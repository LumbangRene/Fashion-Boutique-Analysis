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Remuel\Desktop\Data Analyst Portfolio\"/>
    </mc:Choice>
  </mc:AlternateContent>
  <xr:revisionPtr revIDLastSave="0" documentId="13_ncr:9_{DFC4A6C5-132B-4EA1-9F59-69A216DE48BC}" xr6:coauthVersionLast="47" xr6:coauthVersionMax="47" xr10:uidLastSave="{00000000-0000-0000-0000-000000000000}"/>
  <bookViews>
    <workbookView xWindow="0" yWindow="0" windowWidth="14400" windowHeight="15600" firstSheet="1" activeTab="1" xr2:uid="{A7B9B774-FC00-4455-A7A0-72E4ECA21182}"/>
  </bookViews>
  <sheets>
    <sheet name="raw_data" sheetId="1" r:id="rId1"/>
    <sheet name="clean_data" sheetId="2" r:id="rId2"/>
    <sheet name="Pivots" sheetId="3" r:id="rId3"/>
  </sheets>
  <calcPr calcId="0"/>
  <pivotCaches>
    <pivotCache cacheId="75" r:id="rId4"/>
  </pivotCaches>
</workbook>
</file>

<file path=xl/calcChain.xml><?xml version="1.0" encoding="utf-8"?>
<calcChain xmlns="http://schemas.openxmlformats.org/spreadsheetml/2006/main">
  <c r="R2" i="2" l="1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R802" i="2"/>
  <c r="R803" i="2"/>
  <c r="R804" i="2"/>
  <c r="R805" i="2"/>
  <c r="R806" i="2"/>
  <c r="R807" i="2"/>
  <c r="R808" i="2"/>
  <c r="R809" i="2"/>
  <c r="R810" i="2"/>
  <c r="R811" i="2"/>
  <c r="R812" i="2"/>
  <c r="R813" i="2"/>
  <c r="R814" i="2"/>
  <c r="R815" i="2"/>
  <c r="R816" i="2"/>
  <c r="R817" i="2"/>
  <c r="R818" i="2"/>
  <c r="R819" i="2"/>
  <c r="R820" i="2"/>
  <c r="R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R881" i="2"/>
  <c r="R882" i="2"/>
  <c r="R883" i="2"/>
  <c r="R884" i="2"/>
  <c r="R885" i="2"/>
  <c r="R886" i="2"/>
  <c r="R887" i="2"/>
  <c r="R888" i="2"/>
  <c r="R889" i="2"/>
  <c r="R890" i="2"/>
  <c r="R891" i="2"/>
  <c r="R892" i="2"/>
  <c r="R893" i="2"/>
  <c r="R894" i="2"/>
  <c r="R895" i="2"/>
  <c r="R896" i="2"/>
  <c r="R897" i="2"/>
  <c r="R898" i="2"/>
  <c r="R899" i="2"/>
  <c r="R900" i="2"/>
  <c r="R901" i="2"/>
  <c r="R902" i="2"/>
  <c r="R903" i="2"/>
  <c r="R904" i="2"/>
  <c r="R905" i="2"/>
  <c r="R906" i="2"/>
  <c r="R907" i="2"/>
  <c r="R908" i="2"/>
  <c r="R909" i="2"/>
  <c r="R910" i="2"/>
  <c r="R911" i="2"/>
  <c r="R912" i="2"/>
  <c r="R913" i="2"/>
  <c r="R914" i="2"/>
  <c r="R915" i="2"/>
  <c r="R916" i="2"/>
  <c r="R917" i="2"/>
  <c r="R918" i="2"/>
  <c r="R919" i="2"/>
  <c r="R920" i="2"/>
  <c r="R921" i="2"/>
  <c r="R922" i="2"/>
  <c r="R923" i="2"/>
  <c r="R924" i="2"/>
  <c r="R925" i="2"/>
  <c r="R926" i="2"/>
  <c r="R927" i="2"/>
  <c r="R928" i="2"/>
  <c r="R929" i="2"/>
  <c r="R930" i="2"/>
  <c r="R931" i="2"/>
  <c r="R932" i="2"/>
  <c r="R933" i="2"/>
  <c r="R934" i="2"/>
  <c r="R935" i="2"/>
  <c r="R936" i="2"/>
  <c r="R937" i="2"/>
  <c r="R938" i="2"/>
  <c r="R939" i="2"/>
  <c r="R940" i="2"/>
  <c r="R941" i="2"/>
  <c r="R942" i="2"/>
  <c r="R943" i="2"/>
  <c r="R944" i="2"/>
  <c r="R945" i="2"/>
  <c r="R946" i="2"/>
  <c r="R947" i="2"/>
  <c r="R948" i="2"/>
  <c r="R949" i="2"/>
  <c r="R950" i="2"/>
  <c r="R951" i="2"/>
  <c r="R952" i="2"/>
  <c r="R953" i="2"/>
  <c r="R954" i="2"/>
  <c r="R955" i="2"/>
  <c r="R956" i="2"/>
  <c r="R957" i="2"/>
  <c r="R958" i="2"/>
  <c r="R959" i="2"/>
  <c r="R960" i="2"/>
  <c r="R961" i="2"/>
  <c r="R962" i="2"/>
  <c r="R963" i="2"/>
  <c r="R964" i="2"/>
  <c r="R965" i="2"/>
  <c r="R966" i="2"/>
  <c r="R967" i="2"/>
  <c r="R968" i="2"/>
  <c r="R969" i="2"/>
  <c r="R970" i="2"/>
  <c r="R971" i="2"/>
  <c r="R972" i="2"/>
  <c r="R973" i="2"/>
  <c r="R974" i="2"/>
  <c r="R975" i="2"/>
  <c r="R976" i="2"/>
  <c r="R977" i="2"/>
  <c r="R978" i="2"/>
  <c r="R979" i="2"/>
  <c r="R980" i="2"/>
  <c r="R981" i="2"/>
  <c r="R982" i="2"/>
  <c r="R983" i="2"/>
  <c r="R984" i="2"/>
  <c r="R985" i="2"/>
  <c r="R986" i="2"/>
  <c r="R987" i="2"/>
  <c r="R988" i="2"/>
  <c r="R989" i="2"/>
  <c r="R990" i="2"/>
  <c r="R991" i="2"/>
  <c r="R992" i="2"/>
  <c r="R993" i="2"/>
  <c r="R994" i="2"/>
  <c r="R995" i="2"/>
  <c r="R996" i="2"/>
  <c r="R997" i="2"/>
  <c r="R998" i="2"/>
  <c r="R999" i="2"/>
  <c r="R1000" i="2"/>
  <c r="R1001" i="2"/>
  <c r="R1002" i="2"/>
  <c r="R1003" i="2"/>
  <c r="R1004" i="2"/>
  <c r="R1005" i="2"/>
  <c r="R1006" i="2"/>
  <c r="R1007" i="2"/>
  <c r="R1008" i="2"/>
  <c r="R1009" i="2"/>
  <c r="R1010" i="2"/>
  <c r="R1011" i="2"/>
  <c r="R1012" i="2"/>
  <c r="R1013" i="2"/>
  <c r="R1014" i="2"/>
  <c r="R1015" i="2"/>
  <c r="R1016" i="2"/>
  <c r="R1017" i="2"/>
  <c r="R1018" i="2"/>
  <c r="R1019" i="2"/>
  <c r="R1020" i="2"/>
  <c r="R1021" i="2"/>
  <c r="R1022" i="2"/>
  <c r="R1023" i="2"/>
  <c r="R1024" i="2"/>
  <c r="R1025" i="2"/>
  <c r="R1026" i="2"/>
  <c r="R1027" i="2"/>
  <c r="R1028" i="2"/>
  <c r="R1029" i="2"/>
  <c r="R1030" i="2"/>
  <c r="R1031" i="2"/>
  <c r="R1032" i="2"/>
  <c r="R1033" i="2"/>
  <c r="R1034" i="2"/>
  <c r="R1035" i="2"/>
  <c r="R1036" i="2"/>
  <c r="R1037" i="2"/>
  <c r="R1038" i="2"/>
  <c r="R1039" i="2"/>
  <c r="R1040" i="2"/>
  <c r="R1041" i="2"/>
  <c r="R1042" i="2"/>
  <c r="R1043" i="2"/>
  <c r="R1044" i="2"/>
  <c r="R1045" i="2"/>
  <c r="R1046" i="2"/>
  <c r="R1047" i="2"/>
  <c r="R1048" i="2"/>
  <c r="R1049" i="2"/>
  <c r="R1050" i="2"/>
  <c r="R1051" i="2"/>
  <c r="R1052" i="2"/>
  <c r="R1053" i="2"/>
  <c r="R1054" i="2"/>
  <c r="R1055" i="2"/>
  <c r="R1056" i="2"/>
  <c r="R1057" i="2"/>
  <c r="R1058" i="2"/>
  <c r="R1059" i="2"/>
  <c r="R1060" i="2"/>
  <c r="R1061" i="2"/>
  <c r="R1062" i="2"/>
  <c r="R1063" i="2"/>
  <c r="R1064" i="2"/>
  <c r="R1065" i="2"/>
  <c r="R1066" i="2"/>
  <c r="R1067" i="2"/>
  <c r="R1068" i="2"/>
  <c r="R1069" i="2"/>
  <c r="R1070" i="2"/>
  <c r="R1071" i="2"/>
  <c r="R1072" i="2"/>
  <c r="R1073" i="2"/>
  <c r="R1074" i="2"/>
  <c r="R1075" i="2"/>
  <c r="R1076" i="2"/>
  <c r="R1077" i="2"/>
  <c r="R1078" i="2"/>
  <c r="R1079" i="2"/>
  <c r="R1080" i="2"/>
  <c r="R1081" i="2"/>
  <c r="R1082" i="2"/>
  <c r="R1083" i="2"/>
  <c r="R1084" i="2"/>
  <c r="R1085" i="2"/>
  <c r="R1086" i="2"/>
  <c r="R1087" i="2"/>
  <c r="R1088" i="2"/>
  <c r="R1089" i="2"/>
  <c r="R1090" i="2"/>
  <c r="R1091" i="2"/>
  <c r="R1092" i="2"/>
  <c r="R1093" i="2"/>
  <c r="R1094" i="2"/>
  <c r="R1095" i="2"/>
  <c r="R1096" i="2"/>
  <c r="R1097" i="2"/>
  <c r="R1098" i="2"/>
  <c r="R1099" i="2"/>
  <c r="R1100" i="2"/>
  <c r="R1101" i="2"/>
  <c r="R1102" i="2"/>
  <c r="R1103" i="2"/>
  <c r="R1104" i="2"/>
  <c r="R1105" i="2"/>
  <c r="R1106" i="2"/>
  <c r="R1107" i="2"/>
  <c r="R1108" i="2"/>
  <c r="R1109" i="2"/>
  <c r="R1110" i="2"/>
  <c r="R1111" i="2"/>
  <c r="R1112" i="2"/>
  <c r="R1113" i="2"/>
  <c r="R1114" i="2"/>
  <c r="R1115" i="2"/>
  <c r="R1116" i="2"/>
  <c r="R1117" i="2"/>
  <c r="R1118" i="2"/>
  <c r="R1119" i="2"/>
  <c r="R1120" i="2"/>
  <c r="R1121" i="2"/>
  <c r="R1122" i="2"/>
  <c r="R1123" i="2"/>
  <c r="R1124" i="2"/>
  <c r="R1125" i="2"/>
  <c r="R1126" i="2"/>
  <c r="R1127" i="2"/>
  <c r="R1128" i="2"/>
  <c r="R1129" i="2"/>
  <c r="R1130" i="2"/>
  <c r="R1131" i="2"/>
  <c r="R1132" i="2"/>
  <c r="R1133" i="2"/>
  <c r="R1134" i="2"/>
  <c r="R1135" i="2"/>
  <c r="R1136" i="2"/>
  <c r="R1137" i="2"/>
  <c r="R1138" i="2"/>
  <c r="R1139" i="2"/>
  <c r="R1140" i="2"/>
  <c r="R1141" i="2"/>
  <c r="R1142" i="2"/>
  <c r="R1143" i="2"/>
  <c r="R1144" i="2"/>
  <c r="R1145" i="2"/>
  <c r="R1146" i="2"/>
  <c r="R1147" i="2"/>
  <c r="R1148" i="2"/>
  <c r="R1149" i="2"/>
  <c r="R1150" i="2"/>
  <c r="R1151" i="2"/>
  <c r="R1152" i="2"/>
  <c r="R1153" i="2"/>
  <c r="R1154" i="2"/>
  <c r="R1155" i="2"/>
  <c r="R1156" i="2"/>
  <c r="R1157" i="2"/>
  <c r="R1158" i="2"/>
  <c r="R1159" i="2"/>
  <c r="R1160" i="2"/>
  <c r="R1161" i="2"/>
  <c r="R1162" i="2"/>
  <c r="R1163" i="2"/>
  <c r="R1164" i="2"/>
  <c r="R1165" i="2"/>
  <c r="R1166" i="2"/>
  <c r="R1167" i="2"/>
  <c r="R1168" i="2"/>
  <c r="R1169" i="2"/>
  <c r="R1170" i="2"/>
  <c r="R1171" i="2"/>
  <c r="R1172" i="2"/>
  <c r="R1173" i="2"/>
  <c r="R1174" i="2"/>
  <c r="R1175" i="2"/>
  <c r="R1176" i="2"/>
  <c r="R1177" i="2"/>
  <c r="R1178" i="2"/>
  <c r="R1179" i="2"/>
  <c r="R1180" i="2"/>
  <c r="R1181" i="2"/>
  <c r="R1182" i="2"/>
  <c r="R1183" i="2"/>
  <c r="R1184" i="2"/>
  <c r="R1185" i="2"/>
  <c r="R1186" i="2"/>
  <c r="R1187" i="2"/>
  <c r="R1188" i="2"/>
  <c r="R1189" i="2"/>
  <c r="R1190" i="2"/>
  <c r="R1191" i="2"/>
  <c r="R1192" i="2"/>
  <c r="R1193" i="2"/>
  <c r="R1194" i="2"/>
  <c r="R1195" i="2"/>
  <c r="R1196" i="2"/>
  <c r="R1197" i="2"/>
  <c r="R1198" i="2"/>
  <c r="R1199" i="2"/>
  <c r="R1200" i="2"/>
  <c r="R1201" i="2"/>
  <c r="R1202" i="2"/>
  <c r="R1203" i="2"/>
  <c r="R1204" i="2"/>
  <c r="R1205" i="2"/>
  <c r="R1206" i="2"/>
  <c r="R1207" i="2"/>
  <c r="R1208" i="2"/>
  <c r="R1209" i="2"/>
  <c r="R1210" i="2"/>
  <c r="R1211" i="2"/>
  <c r="R1212" i="2"/>
  <c r="R1213" i="2"/>
  <c r="R1214" i="2"/>
  <c r="R1215" i="2"/>
  <c r="R1216" i="2"/>
  <c r="R1217" i="2"/>
  <c r="R1218" i="2"/>
  <c r="R1219" i="2"/>
  <c r="R1220" i="2"/>
  <c r="R1221" i="2"/>
  <c r="R1222" i="2"/>
  <c r="R1223" i="2"/>
  <c r="R1224" i="2"/>
  <c r="R1225" i="2"/>
  <c r="R1226" i="2"/>
  <c r="R1227" i="2"/>
  <c r="R1228" i="2"/>
  <c r="R1229" i="2"/>
  <c r="R1230" i="2"/>
  <c r="R1231" i="2"/>
  <c r="R1232" i="2"/>
  <c r="R1233" i="2"/>
  <c r="R1234" i="2"/>
  <c r="R1235" i="2"/>
  <c r="R1236" i="2"/>
  <c r="R1237" i="2"/>
  <c r="R1238" i="2"/>
  <c r="R1239" i="2"/>
  <c r="R1240" i="2"/>
  <c r="R1241" i="2"/>
  <c r="R1242" i="2"/>
  <c r="R1243" i="2"/>
  <c r="R1244" i="2"/>
  <c r="R1245" i="2"/>
  <c r="R1246" i="2"/>
  <c r="R1247" i="2"/>
  <c r="R1248" i="2"/>
  <c r="R1249" i="2"/>
  <c r="R1250" i="2"/>
  <c r="R1251" i="2"/>
  <c r="R1252" i="2"/>
  <c r="R1253" i="2"/>
  <c r="R1254" i="2"/>
  <c r="R1255" i="2"/>
  <c r="R1256" i="2"/>
  <c r="R1257" i="2"/>
  <c r="R1258" i="2"/>
  <c r="R1259" i="2"/>
  <c r="R1260" i="2"/>
  <c r="R1261" i="2"/>
  <c r="R1262" i="2"/>
  <c r="R1263" i="2"/>
  <c r="R1264" i="2"/>
  <c r="R1265" i="2"/>
  <c r="R1266" i="2"/>
  <c r="R1267" i="2"/>
  <c r="R1268" i="2"/>
  <c r="R1269" i="2"/>
  <c r="R1270" i="2"/>
  <c r="R1271" i="2"/>
  <c r="R1272" i="2"/>
  <c r="R1273" i="2"/>
  <c r="R1274" i="2"/>
  <c r="R1275" i="2"/>
  <c r="R1276" i="2"/>
  <c r="R1277" i="2"/>
  <c r="R1278" i="2"/>
  <c r="R1279" i="2"/>
  <c r="R1280" i="2"/>
  <c r="R1281" i="2"/>
  <c r="R1282" i="2"/>
  <c r="R1283" i="2"/>
  <c r="R1284" i="2"/>
  <c r="R1285" i="2"/>
  <c r="R1286" i="2"/>
  <c r="R1287" i="2"/>
  <c r="R1288" i="2"/>
  <c r="R1289" i="2"/>
  <c r="R1290" i="2"/>
  <c r="R1291" i="2"/>
  <c r="R1292" i="2"/>
  <c r="R1293" i="2"/>
  <c r="R1294" i="2"/>
  <c r="R1295" i="2"/>
  <c r="R1296" i="2"/>
  <c r="R1297" i="2"/>
  <c r="R1298" i="2"/>
  <c r="R1299" i="2"/>
  <c r="R1300" i="2"/>
  <c r="R1301" i="2"/>
  <c r="R1302" i="2"/>
  <c r="R1303" i="2"/>
  <c r="R1304" i="2"/>
  <c r="R1305" i="2"/>
  <c r="R1306" i="2"/>
  <c r="R1307" i="2"/>
  <c r="R1308" i="2"/>
  <c r="R1309" i="2"/>
  <c r="R1310" i="2"/>
  <c r="R1311" i="2"/>
  <c r="R1312" i="2"/>
  <c r="R1313" i="2"/>
  <c r="R1314" i="2"/>
  <c r="R1315" i="2"/>
  <c r="R1316" i="2"/>
  <c r="R1317" i="2"/>
  <c r="R1318" i="2"/>
  <c r="R1319" i="2"/>
  <c r="R1320" i="2"/>
  <c r="R1321" i="2"/>
  <c r="R1322" i="2"/>
  <c r="R1323" i="2"/>
  <c r="R1324" i="2"/>
  <c r="R1325" i="2"/>
  <c r="R1326" i="2"/>
  <c r="R1327" i="2"/>
  <c r="R1328" i="2"/>
  <c r="R1329" i="2"/>
  <c r="R1330" i="2"/>
  <c r="R1331" i="2"/>
  <c r="R1332" i="2"/>
  <c r="R1333" i="2"/>
  <c r="R1334" i="2"/>
  <c r="R1335" i="2"/>
  <c r="R1336" i="2"/>
  <c r="R1337" i="2"/>
  <c r="R1338" i="2"/>
  <c r="R1339" i="2"/>
  <c r="R1340" i="2"/>
  <c r="R1341" i="2"/>
  <c r="R1342" i="2"/>
  <c r="R1343" i="2"/>
  <c r="R1344" i="2"/>
  <c r="R1345" i="2"/>
  <c r="R1346" i="2"/>
  <c r="R1347" i="2"/>
  <c r="R1348" i="2"/>
  <c r="R1349" i="2"/>
  <c r="R1350" i="2"/>
  <c r="R1351" i="2"/>
  <c r="R1352" i="2"/>
  <c r="R1353" i="2"/>
  <c r="R1354" i="2"/>
  <c r="R1355" i="2"/>
  <c r="R1356" i="2"/>
  <c r="R1357" i="2"/>
  <c r="R1358" i="2"/>
  <c r="R1359" i="2"/>
  <c r="R1360" i="2"/>
  <c r="R1361" i="2"/>
  <c r="R1362" i="2"/>
  <c r="R1363" i="2"/>
  <c r="R1364" i="2"/>
  <c r="R1365" i="2"/>
  <c r="R1366" i="2"/>
  <c r="R1367" i="2"/>
  <c r="R1368" i="2"/>
  <c r="R1369" i="2"/>
  <c r="R1370" i="2"/>
  <c r="R1371" i="2"/>
  <c r="R1372" i="2"/>
  <c r="R1373" i="2"/>
  <c r="R1374" i="2"/>
  <c r="R1375" i="2"/>
  <c r="R1376" i="2"/>
  <c r="R1377" i="2"/>
  <c r="R1378" i="2"/>
  <c r="R1379" i="2"/>
  <c r="R1380" i="2"/>
  <c r="R1381" i="2"/>
  <c r="R1382" i="2"/>
  <c r="R1383" i="2"/>
  <c r="R1384" i="2"/>
  <c r="R1385" i="2"/>
  <c r="R1386" i="2"/>
  <c r="R1387" i="2"/>
  <c r="R1388" i="2"/>
  <c r="R1389" i="2"/>
  <c r="R1390" i="2"/>
  <c r="R1391" i="2"/>
  <c r="R1392" i="2"/>
  <c r="R1393" i="2"/>
  <c r="R1394" i="2"/>
  <c r="R1395" i="2"/>
  <c r="R1396" i="2"/>
  <c r="R1397" i="2"/>
  <c r="R1398" i="2"/>
  <c r="R1399" i="2"/>
  <c r="R1400" i="2"/>
  <c r="R1401" i="2"/>
  <c r="R1402" i="2"/>
  <c r="R1403" i="2"/>
  <c r="R1404" i="2"/>
  <c r="R1405" i="2"/>
  <c r="R1406" i="2"/>
  <c r="R1407" i="2"/>
  <c r="R1408" i="2"/>
  <c r="R1409" i="2"/>
  <c r="R1410" i="2"/>
  <c r="R1411" i="2"/>
  <c r="R1412" i="2"/>
  <c r="R1413" i="2"/>
  <c r="R1414" i="2"/>
  <c r="R1415" i="2"/>
  <c r="R1416" i="2"/>
  <c r="R1417" i="2"/>
  <c r="R1418" i="2"/>
  <c r="R1419" i="2"/>
  <c r="R1420" i="2"/>
  <c r="R1421" i="2"/>
  <c r="R1422" i="2"/>
  <c r="R1423" i="2"/>
  <c r="R1424" i="2"/>
  <c r="R1425" i="2"/>
  <c r="R1426" i="2"/>
  <c r="R1427" i="2"/>
  <c r="R1428" i="2"/>
  <c r="R1429" i="2"/>
  <c r="R1430" i="2"/>
  <c r="R1431" i="2"/>
  <c r="R1432" i="2"/>
  <c r="R1433" i="2"/>
  <c r="R1434" i="2"/>
  <c r="R1435" i="2"/>
  <c r="R1436" i="2"/>
  <c r="R1437" i="2"/>
  <c r="R1438" i="2"/>
  <c r="R1439" i="2"/>
  <c r="R1440" i="2"/>
  <c r="R1441" i="2"/>
  <c r="R1442" i="2"/>
  <c r="R1443" i="2"/>
  <c r="R1444" i="2"/>
  <c r="R1445" i="2"/>
  <c r="R1446" i="2"/>
  <c r="R1447" i="2"/>
  <c r="R1448" i="2"/>
  <c r="R1449" i="2"/>
  <c r="R1450" i="2"/>
  <c r="R1451" i="2"/>
  <c r="R1452" i="2"/>
  <c r="R1453" i="2"/>
  <c r="R1454" i="2"/>
  <c r="R1455" i="2"/>
  <c r="R1456" i="2"/>
  <c r="R1457" i="2"/>
  <c r="R1458" i="2"/>
  <c r="R1459" i="2"/>
  <c r="R1460" i="2"/>
  <c r="R1461" i="2"/>
  <c r="R1462" i="2"/>
  <c r="R1463" i="2"/>
  <c r="R1464" i="2"/>
  <c r="R1465" i="2"/>
  <c r="R1466" i="2"/>
  <c r="R1467" i="2"/>
  <c r="R1468" i="2"/>
  <c r="R1469" i="2"/>
  <c r="R1470" i="2"/>
  <c r="R1471" i="2"/>
  <c r="R1472" i="2"/>
  <c r="R1473" i="2"/>
  <c r="R1474" i="2"/>
  <c r="R1475" i="2"/>
  <c r="R1476" i="2"/>
  <c r="R1477" i="2"/>
  <c r="R1478" i="2"/>
  <c r="R1479" i="2"/>
  <c r="R1480" i="2"/>
  <c r="R1481" i="2"/>
  <c r="R1482" i="2"/>
  <c r="R1483" i="2"/>
  <c r="R1484" i="2"/>
  <c r="R1485" i="2"/>
  <c r="R1486" i="2"/>
  <c r="R1487" i="2"/>
  <c r="R1488" i="2"/>
  <c r="R1489" i="2"/>
  <c r="R1490" i="2"/>
  <c r="R1491" i="2"/>
  <c r="R1492" i="2"/>
  <c r="R1493" i="2"/>
  <c r="R1494" i="2"/>
  <c r="R1495" i="2"/>
  <c r="R1496" i="2"/>
  <c r="R1497" i="2"/>
  <c r="R1498" i="2"/>
  <c r="R1499" i="2"/>
  <c r="R1500" i="2"/>
  <c r="R1501" i="2"/>
  <c r="R1502" i="2"/>
  <c r="R1503" i="2"/>
  <c r="R1504" i="2"/>
  <c r="R1505" i="2"/>
  <c r="R1506" i="2"/>
  <c r="R1507" i="2"/>
  <c r="R1508" i="2"/>
  <c r="R1509" i="2"/>
  <c r="R1510" i="2"/>
  <c r="R1511" i="2"/>
  <c r="R1512" i="2"/>
  <c r="R1513" i="2"/>
  <c r="R1514" i="2"/>
  <c r="R1515" i="2"/>
  <c r="R1516" i="2"/>
  <c r="R1517" i="2"/>
  <c r="R1518" i="2"/>
  <c r="R1519" i="2"/>
  <c r="R1520" i="2"/>
  <c r="R1521" i="2"/>
  <c r="R1522" i="2"/>
  <c r="R1523" i="2"/>
  <c r="R1524" i="2"/>
  <c r="R1525" i="2"/>
  <c r="R1526" i="2"/>
  <c r="R1527" i="2"/>
  <c r="R1528" i="2"/>
  <c r="R1529" i="2"/>
  <c r="R1530" i="2"/>
  <c r="R1531" i="2"/>
  <c r="R1532" i="2"/>
  <c r="R1533" i="2"/>
  <c r="R1534" i="2"/>
  <c r="R1535" i="2"/>
  <c r="R1536" i="2"/>
  <c r="R1537" i="2"/>
  <c r="R1538" i="2"/>
  <c r="R1539" i="2"/>
  <c r="R1540" i="2"/>
  <c r="R1541" i="2"/>
  <c r="R1542" i="2"/>
  <c r="R1543" i="2"/>
  <c r="R1544" i="2"/>
  <c r="R1545" i="2"/>
  <c r="R1546" i="2"/>
  <c r="R1547" i="2"/>
  <c r="R1548" i="2"/>
  <c r="R1549" i="2"/>
  <c r="R1550" i="2"/>
  <c r="R1551" i="2"/>
  <c r="R1552" i="2"/>
  <c r="R1553" i="2"/>
  <c r="R1554" i="2"/>
  <c r="R1555" i="2"/>
  <c r="R1556" i="2"/>
  <c r="R1557" i="2"/>
  <c r="R1558" i="2"/>
  <c r="R1559" i="2"/>
  <c r="R1560" i="2"/>
  <c r="R1561" i="2"/>
  <c r="R1562" i="2"/>
  <c r="R1563" i="2"/>
  <c r="R1564" i="2"/>
  <c r="R1565" i="2"/>
  <c r="R1566" i="2"/>
  <c r="R1567" i="2"/>
  <c r="R1568" i="2"/>
  <c r="R1569" i="2"/>
  <c r="R1570" i="2"/>
  <c r="R1571" i="2"/>
  <c r="R1572" i="2"/>
  <c r="R1573" i="2"/>
  <c r="R1574" i="2"/>
  <c r="R1575" i="2"/>
  <c r="R1576" i="2"/>
  <c r="R1577" i="2"/>
  <c r="R1578" i="2"/>
  <c r="R1579" i="2"/>
  <c r="R1580" i="2"/>
  <c r="R1581" i="2"/>
  <c r="R1582" i="2"/>
  <c r="R1583" i="2"/>
  <c r="R1584" i="2"/>
  <c r="R1585" i="2"/>
  <c r="R1586" i="2"/>
  <c r="R1587" i="2"/>
  <c r="R1588" i="2"/>
  <c r="R1589" i="2"/>
  <c r="R1590" i="2"/>
  <c r="R1591" i="2"/>
  <c r="R1592" i="2"/>
  <c r="R1593" i="2"/>
  <c r="R1594" i="2"/>
  <c r="R1595" i="2"/>
  <c r="R1596" i="2"/>
  <c r="R1597" i="2"/>
  <c r="R1598" i="2"/>
  <c r="R1599" i="2"/>
  <c r="R1600" i="2"/>
  <c r="R1601" i="2"/>
  <c r="R1602" i="2"/>
  <c r="R1603" i="2"/>
  <c r="R1604" i="2"/>
  <c r="R1605" i="2"/>
  <c r="R1606" i="2"/>
  <c r="R1607" i="2"/>
  <c r="R1608" i="2"/>
  <c r="R1609" i="2"/>
  <c r="R1610" i="2"/>
  <c r="R1611" i="2"/>
  <c r="R1612" i="2"/>
  <c r="R1613" i="2"/>
  <c r="R1614" i="2"/>
  <c r="R1615" i="2"/>
  <c r="R1616" i="2"/>
  <c r="R1617" i="2"/>
  <c r="R1618" i="2"/>
  <c r="R1619" i="2"/>
  <c r="R1620" i="2"/>
  <c r="R1621" i="2"/>
  <c r="R1622" i="2"/>
  <c r="R1623" i="2"/>
  <c r="R1624" i="2"/>
  <c r="R1625" i="2"/>
  <c r="R1626" i="2"/>
  <c r="R1627" i="2"/>
  <c r="R1628" i="2"/>
  <c r="R1629" i="2"/>
  <c r="R1630" i="2"/>
  <c r="R1631" i="2"/>
  <c r="R1632" i="2"/>
  <c r="R1633" i="2"/>
  <c r="R1634" i="2"/>
  <c r="R1635" i="2"/>
  <c r="R1636" i="2"/>
  <c r="R1637" i="2"/>
  <c r="R1638" i="2"/>
  <c r="R1639" i="2"/>
  <c r="R1640" i="2"/>
  <c r="R1641" i="2"/>
  <c r="R1642" i="2"/>
  <c r="R1643" i="2"/>
  <c r="R1644" i="2"/>
  <c r="R1645" i="2"/>
  <c r="R1646" i="2"/>
  <c r="R1647" i="2"/>
  <c r="R1648" i="2"/>
  <c r="R1649" i="2"/>
  <c r="R1650" i="2"/>
  <c r="R1651" i="2"/>
  <c r="R1652" i="2"/>
  <c r="R1653" i="2"/>
  <c r="R1654" i="2"/>
  <c r="R1655" i="2"/>
  <c r="R1656" i="2"/>
  <c r="R1657" i="2"/>
  <c r="R1658" i="2"/>
  <c r="R1659" i="2"/>
  <c r="R1660" i="2"/>
  <c r="R1661" i="2"/>
  <c r="R1662" i="2"/>
  <c r="R1663" i="2"/>
  <c r="R1664" i="2"/>
  <c r="R1665" i="2"/>
  <c r="R1666" i="2"/>
  <c r="R1667" i="2"/>
  <c r="R1668" i="2"/>
  <c r="R1669" i="2"/>
  <c r="R1670" i="2"/>
  <c r="R1671" i="2"/>
  <c r="R1672" i="2"/>
  <c r="R1673" i="2"/>
  <c r="R1674" i="2"/>
  <c r="R1675" i="2"/>
  <c r="R1676" i="2"/>
  <c r="R1677" i="2"/>
  <c r="R1678" i="2"/>
  <c r="R1679" i="2"/>
  <c r="R1680" i="2"/>
  <c r="R1681" i="2"/>
  <c r="R1682" i="2"/>
  <c r="R1683" i="2"/>
  <c r="R1684" i="2"/>
  <c r="R1685" i="2"/>
  <c r="R1686" i="2"/>
  <c r="R1687" i="2"/>
  <c r="R1688" i="2"/>
  <c r="R1689" i="2"/>
  <c r="R1690" i="2"/>
  <c r="R1691" i="2"/>
  <c r="R1692" i="2"/>
  <c r="R1693" i="2"/>
  <c r="R1694" i="2"/>
  <c r="R1695" i="2"/>
  <c r="R1696" i="2"/>
  <c r="R1697" i="2"/>
  <c r="R1698" i="2"/>
  <c r="R1699" i="2"/>
  <c r="R1700" i="2"/>
  <c r="R1701" i="2"/>
  <c r="R1702" i="2"/>
  <c r="R1703" i="2"/>
  <c r="R1704" i="2"/>
  <c r="R1705" i="2"/>
  <c r="R1706" i="2"/>
  <c r="R1707" i="2"/>
  <c r="R1708" i="2"/>
  <c r="R1709" i="2"/>
  <c r="R1710" i="2"/>
  <c r="R1711" i="2"/>
  <c r="R1712" i="2"/>
  <c r="R1713" i="2"/>
  <c r="R1714" i="2"/>
  <c r="R1715" i="2"/>
  <c r="R1716" i="2"/>
  <c r="R1717" i="2"/>
  <c r="R1718" i="2"/>
  <c r="R1719" i="2"/>
  <c r="R1720" i="2"/>
  <c r="R1721" i="2"/>
  <c r="R1722" i="2"/>
  <c r="R1723" i="2"/>
  <c r="R1724" i="2"/>
  <c r="R1725" i="2"/>
  <c r="R1726" i="2"/>
  <c r="R1727" i="2"/>
  <c r="R1728" i="2"/>
  <c r="R1729" i="2"/>
  <c r="R1730" i="2"/>
  <c r="R1731" i="2"/>
  <c r="R1732" i="2"/>
  <c r="R1733" i="2"/>
  <c r="R1734" i="2"/>
  <c r="R1735" i="2"/>
  <c r="R1736" i="2"/>
  <c r="R1737" i="2"/>
  <c r="R1738" i="2"/>
  <c r="R1739" i="2"/>
  <c r="R1740" i="2"/>
  <c r="R1741" i="2"/>
  <c r="R1742" i="2"/>
  <c r="R1743" i="2"/>
  <c r="R1744" i="2"/>
  <c r="R1745" i="2"/>
  <c r="R1746" i="2"/>
  <c r="R1747" i="2"/>
  <c r="R1748" i="2"/>
  <c r="R1749" i="2"/>
  <c r="R1750" i="2"/>
  <c r="R1751" i="2"/>
  <c r="R1752" i="2"/>
  <c r="R1753" i="2"/>
  <c r="R1754" i="2"/>
  <c r="R1755" i="2"/>
  <c r="R1756" i="2"/>
  <c r="R1757" i="2"/>
  <c r="R1758" i="2"/>
  <c r="R1759" i="2"/>
  <c r="R1760" i="2"/>
  <c r="R1761" i="2"/>
  <c r="R1762" i="2"/>
  <c r="R1763" i="2"/>
  <c r="R1764" i="2"/>
  <c r="R1765" i="2"/>
  <c r="R1766" i="2"/>
  <c r="R1767" i="2"/>
  <c r="R1768" i="2"/>
  <c r="R1769" i="2"/>
  <c r="R1770" i="2"/>
  <c r="R1771" i="2"/>
  <c r="R1772" i="2"/>
  <c r="R1773" i="2"/>
  <c r="R1774" i="2"/>
  <c r="R1775" i="2"/>
  <c r="R1776" i="2"/>
  <c r="R1777" i="2"/>
  <c r="R1778" i="2"/>
  <c r="R1779" i="2"/>
  <c r="R1780" i="2"/>
  <c r="R1781" i="2"/>
  <c r="R1782" i="2"/>
  <c r="R1783" i="2"/>
  <c r="R1784" i="2"/>
  <c r="R1785" i="2"/>
  <c r="R1786" i="2"/>
  <c r="R1787" i="2"/>
  <c r="R1788" i="2"/>
  <c r="R1789" i="2"/>
  <c r="R1790" i="2"/>
  <c r="R1791" i="2"/>
  <c r="R1792" i="2"/>
  <c r="R1793" i="2"/>
  <c r="R1794" i="2"/>
  <c r="R1795" i="2"/>
  <c r="R1796" i="2"/>
  <c r="R1797" i="2"/>
  <c r="R1798" i="2"/>
  <c r="R1799" i="2"/>
  <c r="R1800" i="2"/>
  <c r="R1801" i="2"/>
  <c r="R1802" i="2"/>
  <c r="R1803" i="2"/>
  <c r="R1804" i="2"/>
  <c r="R1805" i="2"/>
  <c r="R1806" i="2"/>
  <c r="R1807" i="2"/>
  <c r="R1808" i="2"/>
  <c r="R1809" i="2"/>
  <c r="R1810" i="2"/>
  <c r="R1811" i="2"/>
  <c r="R1812" i="2"/>
  <c r="R1813" i="2"/>
  <c r="R1814" i="2"/>
  <c r="R1815" i="2"/>
  <c r="R1816" i="2"/>
  <c r="R1817" i="2"/>
  <c r="R1818" i="2"/>
  <c r="R1819" i="2"/>
  <c r="R1820" i="2"/>
  <c r="R1821" i="2"/>
  <c r="R1822" i="2"/>
  <c r="R1823" i="2"/>
  <c r="R1824" i="2"/>
  <c r="R1825" i="2"/>
  <c r="R1826" i="2"/>
  <c r="R1827" i="2"/>
  <c r="R1828" i="2"/>
  <c r="R1829" i="2"/>
  <c r="R1830" i="2"/>
  <c r="R1831" i="2"/>
  <c r="R1832" i="2"/>
  <c r="R1833" i="2"/>
  <c r="R1834" i="2"/>
  <c r="R1835" i="2"/>
  <c r="R1836" i="2"/>
  <c r="R1837" i="2"/>
  <c r="R1838" i="2"/>
  <c r="R1839" i="2"/>
  <c r="R1840" i="2"/>
  <c r="R1841" i="2"/>
  <c r="R1842" i="2"/>
  <c r="R1843" i="2"/>
  <c r="R1844" i="2"/>
  <c r="R1845" i="2"/>
  <c r="R1846" i="2"/>
  <c r="R1847" i="2"/>
  <c r="R1848" i="2"/>
  <c r="R1849" i="2"/>
  <c r="R1850" i="2"/>
  <c r="R1851" i="2"/>
  <c r="R1852" i="2"/>
  <c r="R1853" i="2"/>
  <c r="R1854" i="2"/>
  <c r="R1855" i="2"/>
  <c r="R1856" i="2"/>
  <c r="R1857" i="2"/>
  <c r="R1858" i="2"/>
  <c r="R1859" i="2"/>
  <c r="R1860" i="2"/>
  <c r="R1861" i="2"/>
  <c r="R1862" i="2"/>
  <c r="R1863" i="2"/>
  <c r="R1864" i="2"/>
  <c r="R1865" i="2"/>
  <c r="R1866" i="2"/>
  <c r="R1867" i="2"/>
  <c r="R1868" i="2"/>
  <c r="R1869" i="2"/>
  <c r="R1870" i="2"/>
  <c r="R1871" i="2"/>
  <c r="R1872" i="2"/>
  <c r="R1873" i="2"/>
  <c r="R1874" i="2"/>
  <c r="R1875" i="2"/>
  <c r="R1876" i="2"/>
  <c r="R1877" i="2"/>
  <c r="R1878" i="2"/>
  <c r="R1879" i="2"/>
  <c r="R1880" i="2"/>
  <c r="R1881" i="2"/>
  <c r="R1882" i="2"/>
  <c r="R1883" i="2"/>
  <c r="R1884" i="2"/>
  <c r="R1885" i="2"/>
  <c r="R1886" i="2"/>
  <c r="R1887" i="2"/>
  <c r="R1888" i="2"/>
  <c r="R1889" i="2"/>
  <c r="R1890" i="2"/>
  <c r="R1891" i="2"/>
  <c r="R1892" i="2"/>
  <c r="R1893" i="2"/>
  <c r="R1894" i="2"/>
  <c r="R1895" i="2"/>
  <c r="R1896" i="2"/>
  <c r="R1897" i="2"/>
  <c r="R1898" i="2"/>
  <c r="R1899" i="2"/>
  <c r="R1900" i="2"/>
  <c r="R1901" i="2"/>
  <c r="R1902" i="2"/>
  <c r="R1903" i="2"/>
  <c r="R1904" i="2"/>
  <c r="R1905" i="2"/>
  <c r="R1906" i="2"/>
  <c r="R1907" i="2"/>
  <c r="R1908" i="2"/>
  <c r="R1909" i="2"/>
  <c r="R1910" i="2"/>
  <c r="R1911" i="2"/>
  <c r="R1912" i="2"/>
  <c r="R1913" i="2"/>
  <c r="R1914" i="2"/>
  <c r="R1915" i="2"/>
  <c r="R1916" i="2"/>
  <c r="R1917" i="2"/>
  <c r="R1918" i="2"/>
  <c r="R1919" i="2"/>
  <c r="R1920" i="2"/>
  <c r="R1921" i="2"/>
  <c r="R1922" i="2"/>
  <c r="R1923" i="2"/>
  <c r="R1924" i="2"/>
  <c r="R1925" i="2"/>
  <c r="R1926" i="2"/>
  <c r="R1927" i="2"/>
  <c r="R1928" i="2"/>
  <c r="R1929" i="2"/>
  <c r="R1930" i="2"/>
  <c r="R1931" i="2"/>
  <c r="R1932" i="2"/>
  <c r="R1933" i="2"/>
  <c r="R1934" i="2"/>
  <c r="R1935" i="2"/>
  <c r="R1936" i="2"/>
  <c r="R1937" i="2"/>
  <c r="R1938" i="2"/>
  <c r="R1939" i="2"/>
  <c r="R1940" i="2"/>
  <c r="R1941" i="2"/>
  <c r="R1942" i="2"/>
  <c r="R1943" i="2"/>
  <c r="R1944" i="2"/>
  <c r="R1945" i="2"/>
  <c r="R1946" i="2"/>
  <c r="R1947" i="2"/>
  <c r="R1948" i="2"/>
  <c r="R1949" i="2"/>
  <c r="R1950" i="2"/>
  <c r="R1951" i="2"/>
  <c r="R1952" i="2"/>
  <c r="R1953" i="2"/>
  <c r="R1954" i="2"/>
  <c r="R1955" i="2"/>
  <c r="R1956" i="2"/>
  <c r="R1957" i="2"/>
  <c r="R1958" i="2"/>
  <c r="R1959" i="2"/>
  <c r="R1960" i="2"/>
  <c r="R1961" i="2"/>
  <c r="R1962" i="2"/>
  <c r="R1963" i="2"/>
  <c r="R1964" i="2"/>
  <c r="R1965" i="2"/>
  <c r="R1966" i="2"/>
  <c r="R1967" i="2"/>
  <c r="R1968" i="2"/>
  <c r="R1969" i="2"/>
  <c r="R1970" i="2"/>
  <c r="R1971" i="2"/>
  <c r="R1972" i="2"/>
  <c r="R1973" i="2"/>
  <c r="R1974" i="2"/>
  <c r="R1975" i="2"/>
  <c r="R1976" i="2"/>
  <c r="R1977" i="2"/>
  <c r="R1978" i="2"/>
  <c r="R1979" i="2"/>
  <c r="R1980" i="2"/>
  <c r="R1981" i="2"/>
  <c r="R1982" i="2"/>
  <c r="R1983" i="2"/>
  <c r="R1984" i="2"/>
  <c r="R1985" i="2"/>
  <c r="R1986" i="2"/>
  <c r="R1987" i="2"/>
  <c r="R1988" i="2"/>
  <c r="R1989" i="2"/>
  <c r="R1990" i="2"/>
  <c r="R1991" i="2"/>
  <c r="R1992" i="2"/>
  <c r="R1993" i="2"/>
  <c r="R1994" i="2"/>
  <c r="R1995" i="2"/>
  <c r="R1996" i="2"/>
  <c r="R1997" i="2"/>
  <c r="R1998" i="2"/>
  <c r="R1999" i="2"/>
  <c r="R2000" i="2"/>
  <c r="R2001" i="2"/>
  <c r="R2002" i="2"/>
  <c r="R2003" i="2"/>
  <c r="R2004" i="2"/>
  <c r="R2005" i="2"/>
  <c r="R2006" i="2"/>
  <c r="R2007" i="2"/>
  <c r="R2008" i="2"/>
  <c r="R2009" i="2"/>
  <c r="R2010" i="2"/>
  <c r="R2011" i="2"/>
  <c r="R2012" i="2"/>
  <c r="R2013" i="2"/>
  <c r="R2014" i="2"/>
  <c r="R2015" i="2"/>
  <c r="R2016" i="2"/>
  <c r="R2017" i="2"/>
  <c r="R2018" i="2"/>
  <c r="R2019" i="2"/>
  <c r="R2020" i="2"/>
  <c r="R2021" i="2"/>
  <c r="R2022" i="2"/>
  <c r="R2023" i="2"/>
  <c r="R2024" i="2"/>
  <c r="R2025" i="2"/>
  <c r="R2026" i="2"/>
  <c r="R2027" i="2"/>
  <c r="R2028" i="2"/>
  <c r="R2029" i="2"/>
  <c r="R2030" i="2"/>
  <c r="R2031" i="2"/>
  <c r="R2032" i="2"/>
  <c r="R2033" i="2"/>
  <c r="R2034" i="2"/>
  <c r="R2035" i="2"/>
  <c r="R2036" i="2"/>
  <c r="R2037" i="2"/>
  <c r="R2038" i="2"/>
  <c r="R2039" i="2"/>
  <c r="R2040" i="2"/>
  <c r="R2041" i="2"/>
  <c r="R2042" i="2"/>
  <c r="R2043" i="2"/>
  <c r="R2044" i="2"/>
  <c r="R2045" i="2"/>
  <c r="R2046" i="2"/>
  <c r="R2047" i="2"/>
  <c r="R2048" i="2"/>
  <c r="R2049" i="2"/>
  <c r="R2050" i="2"/>
  <c r="R2051" i="2"/>
  <c r="R2052" i="2"/>
  <c r="R2053" i="2"/>
  <c r="R2054" i="2"/>
  <c r="R2055" i="2"/>
  <c r="R2056" i="2"/>
  <c r="R2057" i="2"/>
  <c r="R2058" i="2"/>
  <c r="R2059" i="2"/>
  <c r="R2060" i="2"/>
  <c r="R2061" i="2"/>
  <c r="R2062" i="2"/>
  <c r="R2063" i="2"/>
  <c r="R2064" i="2"/>
  <c r="R2065" i="2"/>
  <c r="R2066" i="2"/>
  <c r="R2067" i="2"/>
  <c r="R2068" i="2"/>
  <c r="R2069" i="2"/>
  <c r="R2070" i="2"/>
  <c r="R2071" i="2"/>
  <c r="R2072" i="2"/>
  <c r="R2073" i="2"/>
  <c r="R2074" i="2"/>
  <c r="R2075" i="2"/>
  <c r="R2076" i="2"/>
  <c r="R2077" i="2"/>
  <c r="R2078" i="2"/>
  <c r="R2079" i="2"/>
  <c r="R2080" i="2"/>
  <c r="R2081" i="2"/>
  <c r="R2082" i="2"/>
  <c r="R2083" i="2"/>
  <c r="R2084" i="2"/>
  <c r="R2085" i="2"/>
  <c r="R2086" i="2"/>
  <c r="R2087" i="2"/>
  <c r="R2088" i="2"/>
  <c r="R2089" i="2"/>
  <c r="R2090" i="2"/>
  <c r="R2091" i="2"/>
  <c r="R2092" i="2"/>
  <c r="R2093" i="2"/>
  <c r="R2094" i="2"/>
  <c r="R2095" i="2"/>
  <c r="R2096" i="2"/>
  <c r="R2097" i="2"/>
  <c r="R2098" i="2"/>
  <c r="R2099" i="2"/>
  <c r="R2100" i="2"/>
  <c r="R2101" i="2"/>
  <c r="R2102" i="2"/>
  <c r="R2103" i="2"/>
  <c r="R2104" i="2"/>
  <c r="R2105" i="2"/>
  <c r="R2106" i="2"/>
  <c r="R2107" i="2"/>
  <c r="R2108" i="2"/>
  <c r="R2109" i="2"/>
  <c r="R2110" i="2"/>
  <c r="R2111" i="2"/>
  <c r="R2112" i="2"/>
  <c r="R2113" i="2"/>
  <c r="R2114" i="2"/>
  <c r="R2115" i="2"/>
  <c r="R2116" i="2"/>
  <c r="R2117" i="2"/>
  <c r="R2118" i="2"/>
  <c r="R2119" i="2"/>
  <c r="R2120" i="2"/>
  <c r="R2121" i="2"/>
  <c r="R2122" i="2"/>
  <c r="R2123" i="2"/>
  <c r="R2124" i="2"/>
  <c r="R2125" i="2"/>
  <c r="R2126" i="2"/>
  <c r="R2127" i="2"/>
  <c r="R2128" i="2"/>
  <c r="R2129" i="2"/>
  <c r="R2130" i="2"/>
  <c r="R2131" i="2"/>
  <c r="R2132" i="2"/>
  <c r="R2133" i="2"/>
  <c r="R2134" i="2"/>
  <c r="R2135" i="2"/>
  <c r="R2136" i="2"/>
  <c r="R2137" i="2"/>
  <c r="R2138" i="2"/>
  <c r="R2139" i="2"/>
  <c r="R2140" i="2"/>
  <c r="R2141" i="2"/>
  <c r="R2142" i="2"/>
  <c r="R2143" i="2"/>
  <c r="R2144" i="2"/>
  <c r="R2145" i="2"/>
  <c r="R2146" i="2"/>
  <c r="R2147" i="2"/>
  <c r="R2148" i="2"/>
  <c r="R2149" i="2"/>
  <c r="R2150" i="2"/>
  <c r="R2151" i="2"/>
  <c r="R2152" i="2"/>
  <c r="R2153" i="2"/>
  <c r="R2154" i="2"/>
  <c r="R2155" i="2"/>
  <c r="R2156" i="2"/>
  <c r="R2157" i="2"/>
  <c r="R2158" i="2"/>
  <c r="R2159" i="2"/>
  <c r="R2160" i="2"/>
  <c r="R2161" i="2"/>
  <c r="R2162" i="2"/>
  <c r="R2163" i="2"/>
  <c r="R2164" i="2"/>
  <c r="R2165" i="2"/>
  <c r="R2166" i="2"/>
  <c r="R2167" i="2"/>
  <c r="R2168" i="2"/>
  <c r="R2169" i="2"/>
  <c r="R2170" i="2"/>
  <c r="R2171" i="2"/>
  <c r="R2172" i="2"/>
  <c r="R2173" i="2"/>
  <c r="R2174" i="2"/>
  <c r="R2175" i="2"/>
  <c r="R2176" i="2"/>
  <c r="R2177" i="2"/>
  <c r="O17" i="2"/>
  <c r="P8" i="2"/>
  <c r="Q2" i="2"/>
  <c r="Q3" i="2"/>
  <c r="Q4" i="2"/>
  <c r="Q5" i="2"/>
  <c r="Q6" i="2"/>
  <c r="Q9" i="2"/>
  <c r="Q12" i="2"/>
  <c r="Q13" i="2"/>
  <c r="Q14" i="2"/>
  <c r="Q15" i="2"/>
  <c r="Q16" i="2"/>
  <c r="Q17" i="2"/>
  <c r="Q18" i="2"/>
  <c r="Q19" i="2"/>
  <c r="Q21" i="2"/>
  <c r="Q23" i="2"/>
  <c r="Q24" i="2"/>
  <c r="Q25" i="2"/>
  <c r="Q29" i="2"/>
  <c r="Q30" i="2"/>
  <c r="Q31" i="2"/>
  <c r="Q32" i="2"/>
  <c r="Q34" i="2"/>
  <c r="Q35" i="2"/>
  <c r="Q36" i="2"/>
  <c r="Q39" i="2"/>
  <c r="Q41" i="2"/>
  <c r="Q42" i="2"/>
  <c r="Q43" i="2"/>
  <c r="Q45" i="2"/>
  <c r="Q46" i="2"/>
  <c r="Q47" i="2"/>
  <c r="Q50" i="2"/>
  <c r="Q52" i="2"/>
  <c r="Q53" i="2"/>
  <c r="Q55" i="2"/>
  <c r="Q58" i="2"/>
  <c r="Q60" i="2"/>
  <c r="Q63" i="2"/>
  <c r="Q68" i="2"/>
  <c r="Q69" i="2"/>
  <c r="Q72" i="2"/>
  <c r="Q75" i="2"/>
  <c r="Q76" i="2"/>
  <c r="Q78" i="2"/>
  <c r="Q80" i="2"/>
  <c r="Q81" i="2"/>
  <c r="Q84" i="2"/>
  <c r="Q85" i="2"/>
  <c r="Q88" i="2"/>
  <c r="Q89" i="2"/>
  <c r="Q93" i="2"/>
  <c r="Q95" i="2"/>
  <c r="Q97" i="2"/>
  <c r="Q99" i="2"/>
  <c r="Q101" i="2"/>
  <c r="Q103" i="2"/>
  <c r="Q104" i="2"/>
  <c r="Q106" i="2"/>
  <c r="Q107" i="2"/>
  <c r="Q108" i="2"/>
  <c r="Q109" i="2"/>
  <c r="Q110" i="2"/>
  <c r="Q112" i="2"/>
  <c r="Q113" i="2"/>
  <c r="Q117" i="2"/>
  <c r="Q118" i="2"/>
  <c r="Q119" i="2"/>
  <c r="Q120" i="2"/>
  <c r="Q121" i="2"/>
  <c r="Q122" i="2"/>
  <c r="Q123" i="2"/>
  <c r="Q128" i="2"/>
  <c r="Q130" i="2"/>
  <c r="Q131" i="2"/>
  <c r="Q132" i="2"/>
  <c r="Q133" i="2"/>
  <c r="Q134" i="2"/>
  <c r="Q136" i="2"/>
  <c r="Q137" i="2"/>
  <c r="Q138" i="2"/>
  <c r="Q139" i="2"/>
  <c r="Q141" i="2"/>
  <c r="Q142" i="2"/>
  <c r="Q143" i="2"/>
  <c r="Q144" i="2"/>
  <c r="Q145" i="2"/>
  <c r="Q151" i="2"/>
  <c r="Q152" i="2"/>
  <c r="Q155" i="2"/>
  <c r="Q156" i="2"/>
  <c r="Q157" i="2"/>
  <c r="Q159" i="2"/>
  <c r="Q160" i="2"/>
  <c r="Q161" i="2"/>
  <c r="Q162" i="2"/>
  <c r="Q165" i="2"/>
  <c r="Q166" i="2"/>
  <c r="Q167" i="2"/>
  <c r="Q168" i="2"/>
  <c r="Q171" i="2"/>
  <c r="Q173" i="2"/>
  <c r="Q174" i="2"/>
  <c r="Q175" i="2"/>
  <c r="Q176" i="2"/>
  <c r="Q177" i="2"/>
  <c r="Q178" i="2"/>
  <c r="Q182" i="2"/>
  <c r="Q183" i="2"/>
  <c r="Q184" i="2"/>
  <c r="Q185" i="2"/>
  <c r="Q186" i="2"/>
  <c r="Q189" i="2"/>
  <c r="Q190" i="2"/>
  <c r="Q191" i="2"/>
  <c r="Q193" i="2"/>
  <c r="Q196" i="2"/>
  <c r="Q205" i="2"/>
  <c r="Q207" i="2"/>
  <c r="Q210" i="2"/>
  <c r="Q211" i="2"/>
  <c r="Q213" i="2"/>
  <c r="Q214" i="2"/>
  <c r="Q215" i="2"/>
  <c r="Q216" i="2"/>
  <c r="Q217" i="2"/>
  <c r="Q218" i="2"/>
  <c r="Q219" i="2"/>
  <c r="Q220" i="2"/>
  <c r="Q222" i="2"/>
  <c r="Q223" i="2"/>
  <c r="Q224" i="2"/>
  <c r="Q225" i="2"/>
  <c r="Q226" i="2"/>
  <c r="Q230" i="2"/>
  <c r="Q231" i="2"/>
  <c r="Q232" i="2"/>
  <c r="Q235" i="2"/>
  <c r="Q236" i="2"/>
  <c r="Q237" i="2"/>
  <c r="Q239" i="2"/>
  <c r="Q240" i="2"/>
  <c r="Q241" i="2"/>
  <c r="Q242" i="2"/>
  <c r="Q244" i="2"/>
  <c r="Q249" i="2"/>
  <c r="Q250" i="2"/>
  <c r="Q253" i="2"/>
  <c r="Q254" i="2"/>
  <c r="Q255" i="2"/>
  <c r="Q257" i="2"/>
  <c r="Q258" i="2"/>
  <c r="Q260" i="2"/>
  <c r="Q262" i="2"/>
  <c r="Q263" i="2"/>
  <c r="Q265" i="2"/>
  <c r="Q266" i="2"/>
  <c r="Q267" i="2"/>
  <c r="Q268" i="2"/>
  <c r="Q269" i="2"/>
  <c r="Q271" i="2"/>
  <c r="Q272" i="2"/>
  <c r="Q273" i="2"/>
  <c r="Q274" i="2"/>
  <c r="Q275" i="2"/>
  <c r="Q276" i="2"/>
  <c r="Q278" i="2"/>
  <c r="Q279" i="2"/>
  <c r="Q281" i="2"/>
  <c r="Q282" i="2"/>
  <c r="Q283" i="2"/>
  <c r="Q286" i="2"/>
  <c r="Q288" i="2"/>
  <c r="Q289" i="2"/>
  <c r="Q290" i="2"/>
  <c r="Q292" i="2"/>
  <c r="Q293" i="2"/>
  <c r="Q294" i="2"/>
  <c r="Q295" i="2"/>
  <c r="Q297" i="2"/>
  <c r="Q300" i="2"/>
  <c r="Q302" i="2"/>
  <c r="Q303" i="2"/>
  <c r="Q307" i="2"/>
  <c r="Q308" i="2"/>
  <c r="Q309" i="2"/>
  <c r="Q310" i="2"/>
  <c r="Q311" i="2"/>
  <c r="Q313" i="2"/>
  <c r="Q314" i="2"/>
  <c r="Q316" i="2"/>
  <c r="Q319" i="2"/>
  <c r="Q320" i="2"/>
  <c r="Q321" i="2"/>
  <c r="Q324" i="2"/>
  <c r="Q331" i="2"/>
  <c r="Q332" i="2"/>
  <c r="Q334" i="2"/>
  <c r="Q335" i="2"/>
  <c r="Q336" i="2"/>
  <c r="Q337" i="2"/>
  <c r="Q340" i="2"/>
  <c r="Q343" i="2"/>
  <c r="Q344" i="2"/>
  <c r="Q347" i="2"/>
  <c r="Q349" i="2"/>
  <c r="Q353" i="2"/>
  <c r="Q354" i="2"/>
  <c r="Q355" i="2"/>
  <c r="Q356" i="2"/>
  <c r="Q357" i="2"/>
  <c r="Q358" i="2"/>
  <c r="Q361" i="2"/>
  <c r="Q362" i="2"/>
  <c r="Q363" i="2"/>
  <c r="Q365" i="2"/>
  <c r="Q367" i="2"/>
  <c r="Q368" i="2"/>
  <c r="Q369" i="2"/>
  <c r="Q373" i="2"/>
  <c r="Q374" i="2"/>
  <c r="Q376" i="2"/>
  <c r="Q377" i="2"/>
  <c r="Q378" i="2"/>
  <c r="Q379" i="2"/>
  <c r="Q381" i="2"/>
  <c r="Q382" i="2"/>
  <c r="Q385" i="2"/>
  <c r="Q386" i="2"/>
  <c r="Q388" i="2"/>
  <c r="Q389" i="2"/>
  <c r="Q390" i="2"/>
  <c r="Q392" i="2"/>
  <c r="Q393" i="2"/>
  <c r="Q399" i="2"/>
  <c r="Q404" i="2"/>
  <c r="Q405" i="2"/>
  <c r="Q406" i="2"/>
  <c r="Q408" i="2"/>
  <c r="Q410" i="2"/>
  <c r="Q411" i="2"/>
  <c r="Q412" i="2"/>
  <c r="Q413" i="2"/>
  <c r="Q414" i="2"/>
  <c r="Q416" i="2"/>
  <c r="Q417" i="2"/>
  <c r="Q419" i="2"/>
  <c r="Q420" i="2"/>
  <c r="Q423" i="2"/>
  <c r="Q426" i="2"/>
  <c r="Q427" i="2"/>
  <c r="Q429" i="2"/>
  <c r="Q430" i="2"/>
  <c r="Q432" i="2"/>
  <c r="Q433" i="2"/>
  <c r="Q434" i="2"/>
  <c r="Q435" i="2"/>
  <c r="Q438" i="2"/>
  <c r="Q439" i="2"/>
  <c r="Q440" i="2"/>
  <c r="Q441" i="2"/>
  <c r="Q443" i="2"/>
  <c r="Q444" i="2"/>
  <c r="Q445" i="2"/>
  <c r="Q446" i="2"/>
  <c r="Q447" i="2"/>
  <c r="Q448" i="2"/>
  <c r="Q449" i="2"/>
  <c r="Q451" i="2"/>
  <c r="Q452" i="2"/>
  <c r="Q454" i="2"/>
  <c r="Q455" i="2"/>
  <c r="Q457" i="2"/>
  <c r="Q460" i="2"/>
  <c r="Q463" i="2"/>
  <c r="Q465" i="2"/>
  <c r="Q467" i="2"/>
  <c r="Q468" i="2"/>
  <c r="Q471" i="2"/>
  <c r="Q472" i="2"/>
  <c r="Q474" i="2"/>
  <c r="Q476" i="2"/>
  <c r="Q478" i="2"/>
  <c r="Q479" i="2"/>
  <c r="Q481" i="2"/>
  <c r="Q482" i="2"/>
  <c r="Q484" i="2"/>
  <c r="Q485" i="2"/>
  <c r="Q486" i="2"/>
  <c r="Q488" i="2"/>
  <c r="Q489" i="2"/>
  <c r="Q491" i="2"/>
  <c r="Q494" i="2"/>
  <c r="Q495" i="2"/>
  <c r="Q496" i="2"/>
  <c r="Q498" i="2"/>
  <c r="Q501" i="2"/>
  <c r="Q502" i="2"/>
  <c r="Q503" i="2"/>
  <c r="Q504" i="2"/>
  <c r="Q507" i="2"/>
  <c r="Q508" i="2"/>
  <c r="Q509" i="2"/>
  <c r="Q510" i="2"/>
  <c r="Q511" i="2"/>
  <c r="Q513" i="2"/>
  <c r="Q514" i="2"/>
  <c r="Q516" i="2"/>
  <c r="Q517" i="2"/>
  <c r="Q520" i="2"/>
  <c r="Q521" i="2"/>
  <c r="Q522" i="2"/>
  <c r="Q523" i="2"/>
  <c r="Q524" i="2"/>
  <c r="Q525" i="2"/>
  <c r="Q527" i="2"/>
  <c r="Q529" i="2"/>
  <c r="Q532" i="2"/>
  <c r="Q533" i="2"/>
  <c r="Q534" i="2"/>
  <c r="Q537" i="2"/>
  <c r="Q538" i="2"/>
  <c r="Q540" i="2"/>
  <c r="Q541" i="2"/>
  <c r="Q542" i="2"/>
  <c r="Q543" i="2"/>
  <c r="Q544" i="2"/>
  <c r="Q545" i="2"/>
  <c r="Q546" i="2"/>
  <c r="Q548" i="2"/>
  <c r="Q549" i="2"/>
  <c r="Q550" i="2"/>
  <c r="Q552" i="2"/>
  <c r="Q554" i="2"/>
  <c r="Q557" i="2"/>
  <c r="Q559" i="2"/>
  <c r="Q560" i="2"/>
  <c r="Q562" i="2"/>
  <c r="Q563" i="2"/>
  <c r="Q564" i="2"/>
  <c r="Q565" i="2"/>
  <c r="Q566" i="2"/>
  <c r="Q567" i="2"/>
  <c r="Q572" i="2"/>
  <c r="Q574" i="2"/>
  <c r="Q575" i="2"/>
  <c r="Q576" i="2"/>
  <c r="Q578" i="2"/>
  <c r="Q579" i="2"/>
  <c r="Q580" i="2"/>
  <c r="Q581" i="2"/>
  <c r="Q582" i="2"/>
  <c r="Q583" i="2"/>
  <c r="Q590" i="2"/>
  <c r="Q593" i="2"/>
  <c r="Q596" i="2"/>
  <c r="Q597" i="2"/>
  <c r="Q598" i="2"/>
  <c r="Q599" i="2"/>
  <c r="Q600" i="2"/>
  <c r="Q601" i="2"/>
  <c r="Q602" i="2"/>
  <c r="Q603" i="2"/>
  <c r="Q604" i="2"/>
  <c r="Q605" i="2"/>
  <c r="Q606" i="2"/>
  <c r="Q608" i="2"/>
  <c r="Q609" i="2"/>
  <c r="Q611" i="2"/>
  <c r="Q612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30" i="2"/>
  <c r="Q631" i="2"/>
  <c r="Q632" i="2"/>
  <c r="Q636" i="2"/>
  <c r="Q637" i="2"/>
  <c r="Q639" i="2"/>
  <c r="Q642" i="2"/>
  <c r="Q644" i="2"/>
  <c r="Q645" i="2"/>
  <c r="Q647" i="2"/>
  <c r="Q649" i="2"/>
  <c r="Q650" i="2"/>
  <c r="Q651" i="2"/>
  <c r="Q652" i="2"/>
  <c r="Q653" i="2"/>
  <c r="Q655" i="2"/>
  <c r="Q656" i="2"/>
  <c r="Q657" i="2"/>
  <c r="Q659" i="2"/>
  <c r="Q660" i="2"/>
  <c r="Q661" i="2"/>
  <c r="Q664" i="2"/>
  <c r="Q667" i="2"/>
  <c r="Q668" i="2"/>
  <c r="Q671" i="2"/>
  <c r="Q675" i="2"/>
  <c r="Q676" i="2"/>
  <c r="Q677" i="2"/>
  <c r="Q678" i="2"/>
  <c r="Q681" i="2"/>
  <c r="Q682" i="2"/>
  <c r="Q683" i="2"/>
  <c r="Q684" i="2"/>
  <c r="Q685" i="2"/>
  <c r="Q686" i="2"/>
  <c r="Q687" i="2"/>
  <c r="Q693" i="2"/>
  <c r="Q695" i="2"/>
  <c r="Q696" i="2"/>
  <c r="Q697" i="2"/>
  <c r="Q699" i="2"/>
  <c r="Q700" i="2"/>
  <c r="Q701" i="2"/>
  <c r="Q702" i="2"/>
  <c r="Q703" i="2"/>
  <c r="Q705" i="2"/>
  <c r="Q706" i="2"/>
  <c r="Q707" i="2"/>
  <c r="Q709" i="2"/>
  <c r="Q713" i="2"/>
  <c r="Q715" i="2"/>
  <c r="Q716" i="2"/>
  <c r="Q718" i="2"/>
  <c r="Q721" i="2"/>
  <c r="Q722" i="2"/>
  <c r="Q724" i="2"/>
  <c r="Q725" i="2"/>
  <c r="Q726" i="2"/>
  <c r="Q727" i="2"/>
  <c r="Q729" i="2"/>
  <c r="Q730" i="2"/>
  <c r="Q731" i="2"/>
  <c r="Q732" i="2"/>
  <c r="Q733" i="2"/>
  <c r="Q734" i="2"/>
  <c r="Q736" i="2"/>
  <c r="Q737" i="2"/>
  <c r="Q738" i="2"/>
  <c r="Q740" i="2"/>
  <c r="Q741" i="2"/>
  <c r="Q742" i="2"/>
  <c r="Q746" i="2"/>
  <c r="Q747" i="2"/>
  <c r="Q749" i="2"/>
  <c r="Q751" i="2"/>
  <c r="Q752" i="2"/>
  <c r="Q753" i="2"/>
  <c r="Q754" i="2"/>
  <c r="Q755" i="2"/>
  <c r="Q756" i="2"/>
  <c r="Q757" i="2"/>
  <c r="Q758" i="2"/>
  <c r="Q759" i="2"/>
  <c r="Q760" i="2"/>
  <c r="Q761" i="2"/>
  <c r="Q766" i="2"/>
  <c r="Q767" i="2"/>
  <c r="Q768" i="2"/>
  <c r="Q770" i="2"/>
  <c r="Q772" i="2"/>
  <c r="Q773" i="2"/>
  <c r="Q776" i="2"/>
  <c r="Q778" i="2"/>
  <c r="Q781" i="2"/>
  <c r="Q782" i="2"/>
  <c r="Q787" i="2"/>
  <c r="Q789" i="2"/>
  <c r="Q791" i="2"/>
  <c r="Q796" i="2"/>
  <c r="Q798" i="2"/>
  <c r="Q799" i="2"/>
  <c r="Q805" i="2"/>
  <c r="Q806" i="2"/>
  <c r="Q807" i="2"/>
  <c r="Q811" i="2"/>
  <c r="Q812" i="2"/>
  <c r="Q813" i="2"/>
  <c r="Q814" i="2"/>
  <c r="Q815" i="2"/>
  <c r="Q817" i="2"/>
  <c r="Q818" i="2"/>
  <c r="Q820" i="2"/>
  <c r="Q821" i="2"/>
  <c r="Q822" i="2"/>
  <c r="Q823" i="2"/>
  <c r="Q827" i="2"/>
  <c r="Q828" i="2"/>
  <c r="Q829" i="2"/>
  <c r="Q830" i="2"/>
  <c r="Q832" i="2"/>
  <c r="Q833" i="2"/>
  <c r="Q834" i="2"/>
  <c r="Q835" i="2"/>
  <c r="Q836" i="2"/>
  <c r="Q837" i="2"/>
  <c r="Q838" i="2"/>
  <c r="Q839" i="2"/>
  <c r="Q841" i="2"/>
  <c r="Q842" i="2"/>
  <c r="Q843" i="2"/>
  <c r="Q844" i="2"/>
  <c r="Q846" i="2"/>
  <c r="Q852" i="2"/>
  <c r="Q854" i="2"/>
  <c r="Q856" i="2"/>
  <c r="Q857" i="2"/>
  <c r="Q860" i="2"/>
  <c r="Q861" i="2"/>
  <c r="Q862" i="2"/>
  <c r="Q865" i="2"/>
  <c r="Q868" i="2"/>
  <c r="Q870" i="2"/>
  <c r="Q872" i="2"/>
  <c r="Q873" i="2"/>
  <c r="Q874" i="2"/>
  <c r="Q878" i="2"/>
  <c r="Q881" i="2"/>
  <c r="Q882" i="2"/>
  <c r="Q883" i="2"/>
  <c r="Q884" i="2"/>
  <c r="Q885" i="2"/>
  <c r="Q887" i="2"/>
  <c r="Q889" i="2"/>
  <c r="Q890" i="2"/>
  <c r="Q891" i="2"/>
  <c r="Q892" i="2"/>
  <c r="Q894" i="2"/>
  <c r="Q897" i="2"/>
  <c r="Q898" i="2"/>
  <c r="Q899" i="2"/>
  <c r="Q900" i="2"/>
  <c r="Q901" i="2"/>
  <c r="Q903" i="2"/>
  <c r="Q905" i="2"/>
  <c r="Q906" i="2"/>
  <c r="Q911" i="2"/>
  <c r="Q914" i="2"/>
  <c r="Q916" i="2"/>
  <c r="Q918" i="2"/>
  <c r="Q922" i="2"/>
  <c r="Q923" i="2"/>
  <c r="Q924" i="2"/>
  <c r="Q925" i="2"/>
  <c r="Q926" i="2"/>
  <c r="Q929" i="2"/>
  <c r="Q930" i="2"/>
  <c r="Q932" i="2"/>
  <c r="Q933" i="2"/>
  <c r="Q934" i="2"/>
  <c r="Q936" i="2"/>
  <c r="Q937" i="2"/>
  <c r="Q938" i="2"/>
  <c r="Q940" i="2"/>
  <c r="Q943" i="2"/>
  <c r="Q944" i="2"/>
  <c r="Q945" i="2"/>
  <c r="Q946" i="2"/>
  <c r="Q948" i="2"/>
  <c r="Q949" i="2"/>
  <c r="Q950" i="2"/>
  <c r="Q951" i="2"/>
  <c r="Q953" i="2"/>
  <c r="Q955" i="2"/>
  <c r="Q956" i="2"/>
  <c r="Q958" i="2"/>
  <c r="Q959" i="2"/>
  <c r="Q962" i="2"/>
  <c r="Q963" i="2"/>
  <c r="Q965" i="2"/>
  <c r="Q974" i="2"/>
  <c r="Q975" i="2"/>
  <c r="Q976" i="2"/>
  <c r="Q978" i="2"/>
  <c r="Q979" i="2"/>
  <c r="Q983" i="2"/>
  <c r="Q985" i="2"/>
  <c r="Q986" i="2"/>
  <c r="Q988" i="2"/>
  <c r="Q989" i="2"/>
  <c r="Q990" i="2"/>
  <c r="Q991" i="2"/>
  <c r="Q992" i="2"/>
  <c r="Q993" i="2"/>
  <c r="Q995" i="2"/>
  <c r="Q996" i="2"/>
  <c r="Q997" i="2"/>
  <c r="Q998" i="2"/>
  <c r="Q1003" i="2"/>
  <c r="Q1006" i="2"/>
  <c r="Q1007" i="2"/>
  <c r="Q1011" i="2"/>
  <c r="Q1012" i="2"/>
  <c r="Q1014" i="2"/>
  <c r="Q1015" i="2"/>
  <c r="Q1018" i="2"/>
  <c r="Q1020" i="2"/>
  <c r="Q1021" i="2"/>
  <c r="Q1022" i="2"/>
  <c r="Q1023" i="2"/>
  <c r="Q1024" i="2"/>
  <c r="Q1025" i="2"/>
  <c r="Q1028" i="2"/>
  <c r="Q1029" i="2"/>
  <c r="Q1032" i="2"/>
  <c r="Q1033" i="2"/>
  <c r="Q1034" i="2"/>
  <c r="Q1037" i="2"/>
  <c r="Q1038" i="2"/>
  <c r="Q1040" i="2"/>
  <c r="Q1042" i="2"/>
  <c r="Q1044" i="2"/>
  <c r="Q1045" i="2"/>
  <c r="Q1048" i="2"/>
  <c r="Q1049" i="2"/>
  <c r="Q1050" i="2"/>
  <c r="Q1051" i="2"/>
  <c r="Q1052" i="2"/>
  <c r="Q1053" i="2"/>
  <c r="Q1054" i="2"/>
  <c r="Q1056" i="2"/>
  <c r="Q1057" i="2"/>
  <c r="Q1058" i="2"/>
  <c r="Q1060" i="2"/>
  <c r="Q1062" i="2"/>
  <c r="Q1069" i="2"/>
  <c r="Q1070" i="2"/>
  <c r="Q1071" i="2"/>
  <c r="Q1072" i="2"/>
  <c r="Q1073" i="2"/>
  <c r="Q1074" i="2"/>
  <c r="Q1075" i="2"/>
  <c r="Q1077" i="2"/>
  <c r="Q1080" i="2"/>
  <c r="Q1082" i="2"/>
  <c r="Q1086" i="2"/>
  <c r="Q1087" i="2"/>
  <c r="Q1089" i="2"/>
  <c r="Q1090" i="2"/>
  <c r="Q1091" i="2"/>
  <c r="Q1092" i="2"/>
  <c r="Q1094" i="2"/>
  <c r="Q1100" i="2"/>
  <c r="Q1101" i="2"/>
  <c r="Q1102" i="2"/>
  <c r="Q1104" i="2"/>
  <c r="Q1106" i="2"/>
  <c r="Q1107" i="2"/>
  <c r="Q1108" i="2"/>
  <c r="Q1109" i="2"/>
  <c r="Q1110" i="2"/>
  <c r="Q1111" i="2"/>
  <c r="Q1112" i="2"/>
  <c r="Q1114" i="2"/>
  <c r="Q1115" i="2"/>
  <c r="Q1118" i="2"/>
  <c r="Q1119" i="2"/>
  <c r="Q1121" i="2"/>
  <c r="Q1124" i="2"/>
  <c r="Q1125" i="2"/>
  <c r="Q1126" i="2"/>
  <c r="Q1127" i="2"/>
  <c r="Q1134" i="2"/>
  <c r="Q1136" i="2"/>
  <c r="Q1137" i="2"/>
  <c r="Q1139" i="2"/>
  <c r="Q1142" i="2"/>
  <c r="Q1143" i="2"/>
  <c r="Q1145" i="2"/>
  <c r="Q1147" i="2"/>
  <c r="Q1149" i="2"/>
  <c r="Q1152" i="2"/>
  <c r="Q1154" i="2"/>
  <c r="Q1155" i="2"/>
  <c r="Q1156" i="2"/>
  <c r="Q1158" i="2"/>
  <c r="Q1159" i="2"/>
  <c r="Q1161" i="2"/>
  <c r="Q1162" i="2"/>
  <c r="Q1164" i="2"/>
  <c r="Q1165" i="2"/>
  <c r="Q1166" i="2"/>
  <c r="Q1168" i="2"/>
  <c r="Q1173" i="2"/>
  <c r="Q1174" i="2"/>
  <c r="Q1176" i="2"/>
  <c r="Q1177" i="2"/>
  <c r="Q1178" i="2"/>
  <c r="Q1179" i="2"/>
  <c r="Q1180" i="2"/>
  <c r="Q1181" i="2"/>
  <c r="Q1182" i="2"/>
  <c r="Q1183" i="2"/>
  <c r="Q1184" i="2"/>
  <c r="Q1186" i="2"/>
  <c r="Q1188" i="2"/>
  <c r="Q1196" i="2"/>
  <c r="Q1197" i="2"/>
  <c r="Q1198" i="2"/>
  <c r="Q1200" i="2"/>
  <c r="Q1201" i="2"/>
  <c r="Q1204" i="2"/>
  <c r="Q1206" i="2"/>
  <c r="Q1207" i="2"/>
  <c r="Q1209" i="2"/>
  <c r="Q1210" i="2"/>
  <c r="Q1211" i="2"/>
  <c r="Q1212" i="2"/>
  <c r="Q1213" i="2"/>
  <c r="Q1214" i="2"/>
  <c r="Q1216" i="2"/>
  <c r="Q1218" i="2"/>
  <c r="Q1220" i="2"/>
  <c r="Q1223" i="2"/>
  <c r="Q1224" i="2"/>
  <c r="Q1225" i="2"/>
  <c r="Q1227" i="2"/>
  <c r="Q1228" i="2"/>
  <c r="Q1229" i="2"/>
  <c r="Q1232" i="2"/>
  <c r="Q1233" i="2"/>
  <c r="Q1234" i="2"/>
  <c r="Q1235" i="2"/>
  <c r="Q1236" i="2"/>
  <c r="Q1237" i="2"/>
  <c r="Q1238" i="2"/>
  <c r="Q1239" i="2"/>
  <c r="Q1240" i="2"/>
  <c r="Q1242" i="2"/>
  <c r="Q1244" i="2"/>
  <c r="Q1246" i="2"/>
  <c r="Q1247" i="2"/>
  <c r="Q1249" i="2"/>
  <c r="Q1250" i="2"/>
  <c r="Q1251" i="2"/>
  <c r="Q1253" i="2"/>
  <c r="Q1254" i="2"/>
  <c r="Q1257" i="2"/>
  <c r="Q1258" i="2"/>
  <c r="Q1259" i="2"/>
  <c r="Q1260" i="2"/>
  <c r="Q1264" i="2"/>
  <c r="Q1265" i="2"/>
  <c r="Q1266" i="2"/>
  <c r="Q1268" i="2"/>
  <c r="Q1269" i="2"/>
  <c r="Q1270" i="2"/>
  <c r="Q1271" i="2"/>
  <c r="Q1272" i="2"/>
  <c r="Q1274" i="2"/>
  <c r="Q1275" i="2"/>
  <c r="Q1276" i="2"/>
  <c r="Q1277" i="2"/>
  <c r="Q1278" i="2"/>
  <c r="Q1279" i="2"/>
  <c r="Q1280" i="2"/>
  <c r="Q1282" i="2"/>
  <c r="Q1285" i="2"/>
  <c r="Q1288" i="2"/>
  <c r="Q1289" i="2"/>
  <c r="Q1291" i="2"/>
  <c r="Q1297" i="2"/>
  <c r="Q1300" i="2"/>
  <c r="Q1301" i="2"/>
  <c r="Q1303" i="2"/>
  <c r="Q1313" i="2"/>
  <c r="Q1314" i="2"/>
  <c r="Q1318" i="2"/>
  <c r="Q1319" i="2"/>
  <c r="Q1321" i="2"/>
  <c r="Q1324" i="2"/>
  <c r="Q1325" i="2"/>
  <c r="Q1326" i="2"/>
  <c r="Q1327" i="2"/>
  <c r="Q1328" i="2"/>
  <c r="Q1329" i="2"/>
  <c r="Q1331" i="2"/>
  <c r="Q1332" i="2"/>
  <c r="Q1333" i="2"/>
  <c r="Q1336" i="2"/>
  <c r="Q1339" i="2"/>
  <c r="Q1340" i="2"/>
  <c r="Q1341" i="2"/>
  <c r="Q1342" i="2"/>
  <c r="Q1343" i="2"/>
  <c r="Q1344" i="2"/>
  <c r="Q1347" i="2"/>
  <c r="Q1348" i="2"/>
  <c r="Q1349" i="2"/>
  <c r="Q1351" i="2"/>
  <c r="Q1352" i="2"/>
  <c r="Q1353" i="2"/>
  <c r="Q1354" i="2"/>
  <c r="Q1358" i="2"/>
  <c r="Q1359" i="2"/>
  <c r="Q1360" i="2"/>
  <c r="Q1363" i="2"/>
  <c r="Q1365" i="2"/>
  <c r="Q1366" i="2"/>
  <c r="Q1367" i="2"/>
  <c r="Q1368" i="2"/>
  <c r="Q1369" i="2"/>
  <c r="Q1371" i="2"/>
  <c r="Q1372" i="2"/>
  <c r="Q1374" i="2"/>
  <c r="Q1375" i="2"/>
  <c r="Q1376" i="2"/>
  <c r="Q1378" i="2"/>
  <c r="Q1379" i="2"/>
  <c r="Q1382" i="2"/>
  <c r="Q1383" i="2"/>
  <c r="Q1385" i="2"/>
  <c r="Q1387" i="2"/>
  <c r="Q1390" i="2"/>
  <c r="Q1391" i="2"/>
  <c r="Q1392" i="2"/>
  <c r="Q1393" i="2"/>
  <c r="Q1394" i="2"/>
  <c r="Q1395" i="2"/>
  <c r="Q1399" i="2"/>
  <c r="Q1400" i="2"/>
  <c r="Q1401" i="2"/>
  <c r="Q1402" i="2"/>
  <c r="Q1403" i="2"/>
  <c r="Q1404" i="2"/>
  <c r="Q1406" i="2"/>
  <c r="Q1407" i="2"/>
  <c r="Q1408" i="2"/>
  <c r="Q1409" i="2"/>
  <c r="Q1411" i="2"/>
  <c r="Q1414" i="2"/>
  <c r="Q1415" i="2"/>
  <c r="Q1416" i="2"/>
  <c r="Q1418" i="2"/>
  <c r="Q1420" i="2"/>
  <c r="Q1421" i="2"/>
  <c r="Q1422" i="2"/>
  <c r="Q1423" i="2"/>
  <c r="Q1424" i="2"/>
  <c r="Q1426" i="2"/>
  <c r="Q1427" i="2"/>
  <c r="Q1431" i="2"/>
  <c r="Q1432" i="2"/>
  <c r="Q1433" i="2"/>
  <c r="Q1434" i="2"/>
  <c r="Q1436" i="2"/>
  <c r="Q1437" i="2"/>
  <c r="Q1438" i="2"/>
  <c r="Q1439" i="2"/>
  <c r="Q1440" i="2"/>
  <c r="Q1442" i="2"/>
  <c r="Q1443" i="2"/>
  <c r="Q1445" i="2"/>
  <c r="Q1446" i="2"/>
  <c r="Q1448" i="2"/>
  <c r="Q1450" i="2"/>
  <c r="Q1451" i="2"/>
  <c r="Q1453" i="2"/>
  <c r="Q1454" i="2"/>
  <c r="Q1456" i="2"/>
  <c r="Q1457" i="2"/>
  <c r="Q1458" i="2"/>
  <c r="Q1461" i="2"/>
  <c r="Q1462" i="2"/>
  <c r="Q1463" i="2"/>
  <c r="Q1464" i="2"/>
  <c r="Q1465" i="2"/>
  <c r="Q1466" i="2"/>
  <c r="Q1467" i="2"/>
  <c r="Q1468" i="2"/>
  <c r="Q1469" i="2"/>
  <c r="Q1470" i="2"/>
  <c r="Q1471" i="2"/>
  <c r="Q1474" i="2"/>
  <c r="Q1475" i="2"/>
  <c r="Q1476" i="2"/>
  <c r="Q1477" i="2"/>
  <c r="Q1479" i="2"/>
  <c r="Q1481" i="2"/>
  <c r="Q1482" i="2"/>
  <c r="Q1485" i="2"/>
  <c r="Q1487" i="2"/>
  <c r="Q1490" i="2"/>
  <c r="Q1491" i="2"/>
  <c r="Q1493" i="2"/>
  <c r="Q1494" i="2"/>
  <c r="Q1495" i="2"/>
  <c r="Q1496" i="2"/>
  <c r="Q1497" i="2"/>
  <c r="Q1498" i="2"/>
  <c r="Q1500" i="2"/>
  <c r="Q1501" i="2"/>
  <c r="Q1502" i="2"/>
  <c r="Q1503" i="2"/>
  <c r="Q1504" i="2"/>
  <c r="Q1505" i="2"/>
  <c r="Q1506" i="2"/>
  <c r="Q1508" i="2"/>
  <c r="Q1509" i="2"/>
  <c r="Q1512" i="2"/>
  <c r="Q1515" i="2"/>
  <c r="Q1517" i="2"/>
  <c r="Q1518" i="2"/>
  <c r="Q1522" i="2"/>
  <c r="Q1523" i="2"/>
  <c r="Q1524" i="2"/>
  <c r="Q1525" i="2"/>
  <c r="Q1526" i="2"/>
  <c r="Q1528" i="2"/>
  <c r="Q1529" i="2"/>
  <c r="Q1530" i="2"/>
  <c r="Q1535" i="2"/>
  <c r="Q1538" i="2"/>
  <c r="Q1539" i="2"/>
  <c r="Q1540" i="2"/>
  <c r="Q1543" i="2"/>
  <c r="Q1544" i="2"/>
  <c r="Q1546" i="2"/>
  <c r="Q1547" i="2"/>
  <c r="Q1548" i="2"/>
  <c r="Q1552" i="2"/>
  <c r="Q1554" i="2"/>
  <c r="Q1555" i="2"/>
  <c r="Q1556" i="2"/>
  <c r="Q1557" i="2"/>
  <c r="Q1558" i="2"/>
  <c r="Q1559" i="2"/>
  <c r="Q1560" i="2"/>
  <c r="Q1561" i="2"/>
  <c r="Q1562" i="2"/>
  <c r="Q1566" i="2"/>
  <c r="Q1567" i="2"/>
  <c r="Q1568" i="2"/>
  <c r="Q1569" i="2"/>
  <c r="Q1570" i="2"/>
  <c r="Q1577" i="2"/>
  <c r="Q1580" i="2"/>
  <c r="Q1583" i="2"/>
  <c r="Q1585" i="2"/>
  <c r="Q1587" i="2"/>
  <c r="Q1591" i="2"/>
  <c r="Q1592" i="2"/>
  <c r="Q1593" i="2"/>
  <c r="Q1595" i="2"/>
  <c r="Q1596" i="2"/>
  <c r="Q1597" i="2"/>
  <c r="Q1598" i="2"/>
  <c r="Q1599" i="2"/>
  <c r="Q1600" i="2"/>
  <c r="Q1601" i="2"/>
  <c r="Q1602" i="2"/>
  <c r="Q1604" i="2"/>
  <c r="Q1605" i="2"/>
  <c r="Q1606" i="2"/>
  <c r="Q1607" i="2"/>
  <c r="Q1608" i="2"/>
  <c r="Q1609" i="2"/>
  <c r="Q1610" i="2"/>
  <c r="Q1613" i="2"/>
  <c r="Q1616" i="2"/>
  <c r="Q1618" i="2"/>
  <c r="Q1619" i="2"/>
  <c r="Q1621" i="2"/>
  <c r="Q1622" i="2"/>
  <c r="Q1625" i="2"/>
  <c r="Q1631" i="2"/>
  <c r="Q1632" i="2"/>
  <c r="Q1634" i="2"/>
  <c r="Q1636" i="2"/>
  <c r="Q1641" i="2"/>
  <c r="Q1642" i="2"/>
  <c r="Q1643" i="2"/>
  <c r="Q1644" i="2"/>
  <c r="Q1647" i="2"/>
  <c r="Q1652" i="2"/>
  <c r="Q1654" i="2"/>
  <c r="Q1656" i="2"/>
  <c r="Q1657" i="2"/>
  <c r="Q1658" i="2"/>
  <c r="Q1661" i="2"/>
  <c r="Q1662" i="2"/>
  <c r="Q1663" i="2"/>
  <c r="Q1664" i="2"/>
  <c r="Q1665" i="2"/>
  <c r="Q1667" i="2"/>
  <c r="Q1668" i="2"/>
  <c r="Q1670" i="2"/>
  <c r="Q1671" i="2"/>
  <c r="Q1672" i="2"/>
  <c r="Q1674" i="2"/>
  <c r="Q1675" i="2"/>
  <c r="Q1676" i="2"/>
  <c r="Q1677" i="2"/>
  <c r="Q1678" i="2"/>
  <c r="Q1679" i="2"/>
  <c r="Q1680" i="2"/>
  <c r="Q1681" i="2"/>
  <c r="Q1682" i="2"/>
  <c r="Q1683" i="2"/>
  <c r="Q1685" i="2"/>
  <c r="Q1690" i="2"/>
  <c r="Q1691" i="2"/>
  <c r="Q1692" i="2"/>
  <c r="Q1697" i="2"/>
  <c r="Q1701" i="2"/>
  <c r="Q1704" i="2"/>
  <c r="Q1706" i="2"/>
  <c r="Q1708" i="2"/>
  <c r="Q1709" i="2"/>
  <c r="Q1710" i="2"/>
  <c r="Q1711" i="2"/>
  <c r="Q1712" i="2"/>
  <c r="Q1713" i="2"/>
  <c r="Q1717" i="2"/>
  <c r="Q1718" i="2"/>
  <c r="Q1719" i="2"/>
  <c r="Q1720" i="2"/>
  <c r="Q1721" i="2"/>
  <c r="Q1722" i="2"/>
  <c r="Q1729" i="2"/>
  <c r="Q1731" i="2"/>
  <c r="Q1736" i="2"/>
  <c r="Q1737" i="2"/>
  <c r="Q1738" i="2"/>
  <c r="Q1739" i="2"/>
  <c r="Q1740" i="2"/>
  <c r="Q1741" i="2"/>
  <c r="Q1742" i="2"/>
  <c r="Q1746" i="2"/>
  <c r="Q1747" i="2"/>
  <c r="Q1748" i="2"/>
  <c r="Q1753" i="2"/>
  <c r="Q1754" i="2"/>
  <c r="Q1755" i="2"/>
  <c r="Q1756" i="2"/>
  <c r="Q1757" i="2"/>
  <c r="Q1758" i="2"/>
  <c r="Q1759" i="2"/>
  <c r="Q1762" i="2"/>
  <c r="Q1766" i="2"/>
  <c r="Q1767" i="2"/>
  <c r="Q1768" i="2"/>
  <c r="Q1769" i="2"/>
  <c r="Q1771" i="2"/>
  <c r="Q1773" i="2"/>
  <c r="Q1775" i="2"/>
  <c r="Q1777" i="2"/>
  <c r="Q1780" i="2"/>
  <c r="Q1781" i="2"/>
  <c r="Q1783" i="2"/>
  <c r="Q1784" i="2"/>
  <c r="Q1785" i="2"/>
  <c r="Q1786" i="2"/>
  <c r="Q1787" i="2"/>
  <c r="Q1788" i="2"/>
  <c r="Q1790" i="2"/>
  <c r="Q1791" i="2"/>
  <c r="Q1792" i="2"/>
  <c r="Q1794" i="2"/>
  <c r="Q1795" i="2"/>
  <c r="Q1796" i="2"/>
  <c r="Q1797" i="2"/>
  <c r="Q1800" i="2"/>
  <c r="Q1801" i="2"/>
  <c r="Q1802" i="2"/>
  <c r="Q1803" i="2"/>
  <c r="Q1806" i="2"/>
  <c r="Q1807" i="2"/>
  <c r="Q1808" i="2"/>
  <c r="Q1809" i="2"/>
  <c r="Q1810" i="2"/>
  <c r="Q1811" i="2"/>
  <c r="Q1813" i="2"/>
  <c r="Q1815" i="2"/>
  <c r="Q1816" i="2"/>
  <c r="Q1817" i="2"/>
  <c r="Q1820" i="2"/>
  <c r="Q1822" i="2"/>
  <c r="Q1823" i="2"/>
  <c r="Q1824" i="2"/>
  <c r="Q1832" i="2"/>
  <c r="Q1833" i="2"/>
  <c r="Q1834" i="2"/>
  <c r="Q1835" i="2"/>
  <c r="Q1836" i="2"/>
  <c r="Q1838" i="2"/>
  <c r="Q1841" i="2"/>
  <c r="Q1842" i="2"/>
  <c r="Q1843" i="2"/>
  <c r="Q1844" i="2"/>
  <c r="Q1845" i="2"/>
  <c r="Q1846" i="2"/>
  <c r="Q1847" i="2"/>
  <c r="Q1848" i="2"/>
  <c r="Q1853" i="2"/>
  <c r="Q1856" i="2"/>
  <c r="Q1858" i="2"/>
  <c r="Q1861" i="2"/>
  <c r="Q1862" i="2"/>
  <c r="Q1863" i="2"/>
  <c r="Q1865" i="2"/>
  <c r="Q1868" i="2"/>
  <c r="Q1869" i="2"/>
  <c r="Q1873" i="2"/>
  <c r="Q1876" i="2"/>
  <c r="Q1878" i="2"/>
  <c r="Q1879" i="2"/>
  <c r="Q1882" i="2"/>
  <c r="Q1883" i="2"/>
  <c r="Q1884" i="2"/>
  <c r="Q1885" i="2"/>
  <c r="Q1887" i="2"/>
  <c r="Q1888" i="2"/>
  <c r="Q1890" i="2"/>
  <c r="Q1891" i="2"/>
  <c r="Q1894" i="2"/>
  <c r="Q1896" i="2"/>
  <c r="Q1898" i="2"/>
  <c r="Q1901" i="2"/>
  <c r="Q1902" i="2"/>
  <c r="Q1903" i="2"/>
  <c r="Q1906" i="2"/>
  <c r="Q1907" i="2"/>
  <c r="Q1908" i="2"/>
  <c r="Q1909" i="2"/>
  <c r="Q1911" i="2"/>
  <c r="Q1913" i="2"/>
  <c r="Q1915" i="2"/>
  <c r="Q1916" i="2"/>
  <c r="Q1917" i="2"/>
  <c r="Q1919" i="2"/>
  <c r="Q1920" i="2"/>
  <c r="Q1921" i="2"/>
  <c r="Q1922" i="2"/>
  <c r="Q1924" i="2"/>
  <c r="Q1926" i="2"/>
  <c r="Q1927" i="2"/>
  <c r="Q1928" i="2"/>
  <c r="Q1929" i="2"/>
  <c r="Q1930" i="2"/>
  <c r="Q1931" i="2"/>
  <c r="Q1934" i="2"/>
  <c r="Q1935" i="2"/>
  <c r="Q1943" i="2"/>
  <c r="Q1944" i="2"/>
  <c r="Q1945" i="2"/>
  <c r="Q1946" i="2"/>
  <c r="Q1947" i="2"/>
  <c r="Q1948" i="2"/>
  <c r="Q1949" i="2"/>
  <c r="Q1950" i="2"/>
  <c r="Q1952" i="2"/>
  <c r="Q1955" i="2"/>
  <c r="Q1957" i="2"/>
  <c r="Q1958" i="2"/>
  <c r="Q1960" i="2"/>
  <c r="Q1961" i="2"/>
  <c r="Q1962" i="2"/>
  <c r="Q1963" i="2"/>
  <c r="Q1964" i="2"/>
  <c r="Q1965" i="2"/>
  <c r="Q1967" i="2"/>
  <c r="Q1968" i="2"/>
  <c r="Q1970" i="2"/>
  <c r="Q1971" i="2"/>
  <c r="Q1972" i="2"/>
  <c r="Q1973" i="2"/>
  <c r="Q1974" i="2"/>
  <c r="Q1975" i="2"/>
  <c r="Q1976" i="2"/>
  <c r="Q1977" i="2"/>
  <c r="Q1978" i="2"/>
  <c r="Q1980" i="2"/>
  <c r="Q1981" i="2"/>
  <c r="Q1982" i="2"/>
  <c r="Q1983" i="2"/>
  <c r="Q1985" i="2"/>
  <c r="Q1986" i="2"/>
  <c r="Q1987" i="2"/>
  <c r="Q1988" i="2"/>
  <c r="Q1992" i="2"/>
  <c r="Q1994" i="2"/>
  <c r="Q1995" i="2"/>
  <c r="Q1996" i="2"/>
  <c r="Q1997" i="2"/>
  <c r="Q1998" i="2"/>
  <c r="Q2000" i="2"/>
  <c r="Q2002" i="2"/>
  <c r="Q2003" i="2"/>
  <c r="Q2004" i="2"/>
  <c r="Q2005" i="2"/>
  <c r="Q2007" i="2"/>
  <c r="Q2009" i="2"/>
  <c r="Q2011" i="2"/>
  <c r="Q2012" i="2"/>
  <c r="Q2013" i="2"/>
  <c r="Q2016" i="2"/>
  <c r="Q2017" i="2"/>
  <c r="Q2020" i="2"/>
  <c r="Q2021" i="2"/>
  <c r="Q2022" i="2"/>
  <c r="Q2023" i="2"/>
  <c r="Q2024" i="2"/>
  <c r="Q2025" i="2"/>
  <c r="Q2027" i="2"/>
  <c r="Q2028" i="2"/>
  <c r="Q2029" i="2"/>
  <c r="Q2030" i="2"/>
  <c r="Q2031" i="2"/>
  <c r="Q2034" i="2"/>
  <c r="Q2040" i="2"/>
  <c r="Q2041" i="2"/>
  <c r="Q2044" i="2"/>
  <c r="Q2045" i="2"/>
  <c r="Q2047" i="2"/>
  <c r="Q2052" i="2"/>
  <c r="Q2054" i="2"/>
  <c r="Q2055" i="2"/>
  <c r="Q2056" i="2"/>
  <c r="Q2059" i="2"/>
  <c r="Q2061" i="2"/>
  <c r="Q2063" i="2"/>
  <c r="Q2064" i="2"/>
  <c r="Q2065" i="2"/>
  <c r="Q2066" i="2"/>
  <c r="Q2067" i="2"/>
  <c r="Q2068" i="2"/>
  <c r="Q2070" i="2"/>
  <c r="Q2073" i="2"/>
  <c r="Q2074" i="2"/>
  <c r="Q2075" i="2"/>
  <c r="Q2076" i="2"/>
  <c r="Q2077" i="2"/>
  <c r="Q2078" i="2"/>
  <c r="Q2079" i="2"/>
  <c r="Q2080" i="2"/>
  <c r="Q2081" i="2"/>
  <c r="Q2082" i="2"/>
  <c r="Q2086" i="2"/>
  <c r="Q2088" i="2"/>
  <c r="Q2089" i="2"/>
  <c r="Q2090" i="2"/>
  <c r="Q2091" i="2"/>
  <c r="Q2092" i="2"/>
  <c r="Q2093" i="2"/>
  <c r="Q2094" i="2"/>
  <c r="Q2096" i="2"/>
  <c r="Q2098" i="2"/>
  <c r="Q2099" i="2"/>
  <c r="Q2100" i="2"/>
  <c r="Q2101" i="2"/>
  <c r="Q2102" i="2"/>
  <c r="Q2103" i="2"/>
  <c r="Q2104" i="2"/>
  <c r="Q2105" i="2"/>
  <c r="Q2106" i="2"/>
  <c r="Q2107" i="2"/>
  <c r="Q2109" i="2"/>
  <c r="Q2110" i="2"/>
  <c r="Q2113" i="2"/>
  <c r="Q2119" i="2"/>
  <c r="Q2120" i="2"/>
  <c r="Q2121" i="2"/>
  <c r="Q2123" i="2"/>
  <c r="Q2124" i="2"/>
  <c r="Q2126" i="2"/>
  <c r="Q2127" i="2"/>
  <c r="Q2128" i="2"/>
  <c r="Q2130" i="2"/>
  <c r="Q2131" i="2"/>
  <c r="Q2132" i="2"/>
  <c r="Q2133" i="2"/>
  <c r="Q2134" i="2"/>
  <c r="Q2137" i="2"/>
  <c r="Q2138" i="2"/>
  <c r="Q2139" i="2"/>
  <c r="Q2140" i="2"/>
  <c r="Q2141" i="2"/>
  <c r="Q2145" i="2"/>
  <c r="Q2146" i="2"/>
  <c r="Q2147" i="2"/>
  <c r="Q2148" i="2"/>
  <c r="Q2151" i="2"/>
  <c r="Q2158" i="2"/>
  <c r="Q2160" i="2"/>
  <c r="Q2161" i="2"/>
  <c r="Q2162" i="2"/>
  <c r="Q2163" i="2"/>
  <c r="Q2164" i="2"/>
  <c r="Q2165" i="2"/>
  <c r="Q2167" i="2"/>
  <c r="Q2169" i="2"/>
  <c r="Q2170" i="2"/>
  <c r="Q2171" i="2"/>
  <c r="Q2172" i="2"/>
  <c r="Q2173" i="2"/>
  <c r="Q2174" i="2"/>
  <c r="Q2176" i="2"/>
  <c r="Q2177" i="2"/>
  <c r="P2" i="2"/>
  <c r="P3" i="2"/>
  <c r="P4" i="2"/>
  <c r="P5" i="2"/>
  <c r="P6" i="2"/>
  <c r="P7" i="2"/>
  <c r="Q7" i="2" s="1"/>
  <c r="Q8" i="2"/>
  <c r="P9" i="2"/>
  <c r="P10" i="2"/>
  <c r="Q10" i="2" s="1"/>
  <c r="P11" i="2"/>
  <c r="Q11" i="2" s="1"/>
  <c r="P12" i="2"/>
  <c r="P13" i="2"/>
  <c r="P14" i="2"/>
  <c r="P15" i="2"/>
  <c r="P16" i="2"/>
  <c r="P17" i="2"/>
  <c r="P18" i="2"/>
  <c r="P19" i="2"/>
  <c r="P20" i="2"/>
  <c r="Q20" i="2" s="1"/>
  <c r="P21" i="2"/>
  <c r="P22" i="2"/>
  <c r="Q22" i="2" s="1"/>
  <c r="P23" i="2"/>
  <c r="P24" i="2"/>
  <c r="P25" i="2"/>
  <c r="P26" i="2"/>
  <c r="Q26" i="2" s="1"/>
  <c r="P27" i="2"/>
  <c r="Q27" i="2" s="1"/>
  <c r="P28" i="2"/>
  <c r="Q28" i="2" s="1"/>
  <c r="P29" i="2"/>
  <c r="P30" i="2"/>
  <c r="P31" i="2"/>
  <c r="P32" i="2"/>
  <c r="P33" i="2"/>
  <c r="Q33" i="2" s="1"/>
  <c r="P34" i="2"/>
  <c r="P35" i="2"/>
  <c r="P36" i="2"/>
  <c r="P37" i="2"/>
  <c r="Q37" i="2" s="1"/>
  <c r="P38" i="2"/>
  <c r="Q38" i="2" s="1"/>
  <c r="P39" i="2"/>
  <c r="P40" i="2"/>
  <c r="Q40" i="2" s="1"/>
  <c r="P41" i="2"/>
  <c r="P42" i="2"/>
  <c r="P43" i="2"/>
  <c r="P44" i="2"/>
  <c r="Q44" i="2" s="1"/>
  <c r="P45" i="2"/>
  <c r="P46" i="2"/>
  <c r="P47" i="2"/>
  <c r="P48" i="2"/>
  <c r="Q48" i="2" s="1"/>
  <c r="P49" i="2"/>
  <c r="Q49" i="2" s="1"/>
  <c r="P50" i="2"/>
  <c r="P51" i="2"/>
  <c r="Q51" i="2" s="1"/>
  <c r="P52" i="2"/>
  <c r="P53" i="2"/>
  <c r="P54" i="2"/>
  <c r="Q54" i="2" s="1"/>
  <c r="P55" i="2"/>
  <c r="P56" i="2"/>
  <c r="Q56" i="2" s="1"/>
  <c r="P57" i="2"/>
  <c r="Q57" i="2" s="1"/>
  <c r="P58" i="2"/>
  <c r="P59" i="2"/>
  <c r="Q59" i="2" s="1"/>
  <c r="P60" i="2"/>
  <c r="P61" i="2"/>
  <c r="Q61" i="2" s="1"/>
  <c r="P62" i="2"/>
  <c r="Q62" i="2" s="1"/>
  <c r="P63" i="2"/>
  <c r="P64" i="2"/>
  <c r="Q64" i="2" s="1"/>
  <c r="P65" i="2"/>
  <c r="Q65" i="2" s="1"/>
  <c r="P66" i="2"/>
  <c r="Q66" i="2" s="1"/>
  <c r="P67" i="2"/>
  <c r="Q67" i="2" s="1"/>
  <c r="P68" i="2"/>
  <c r="P69" i="2"/>
  <c r="P70" i="2"/>
  <c r="Q70" i="2" s="1"/>
  <c r="P71" i="2"/>
  <c r="Q71" i="2" s="1"/>
  <c r="P72" i="2"/>
  <c r="P73" i="2"/>
  <c r="Q73" i="2" s="1"/>
  <c r="P74" i="2"/>
  <c r="Q74" i="2" s="1"/>
  <c r="P75" i="2"/>
  <c r="P76" i="2"/>
  <c r="P77" i="2"/>
  <c r="Q77" i="2" s="1"/>
  <c r="P78" i="2"/>
  <c r="P79" i="2"/>
  <c r="Q79" i="2" s="1"/>
  <c r="P80" i="2"/>
  <c r="P81" i="2"/>
  <c r="P82" i="2"/>
  <c r="Q82" i="2" s="1"/>
  <c r="P83" i="2"/>
  <c r="Q83" i="2" s="1"/>
  <c r="P84" i="2"/>
  <c r="P85" i="2"/>
  <c r="P86" i="2"/>
  <c r="Q86" i="2" s="1"/>
  <c r="P87" i="2"/>
  <c r="Q87" i="2" s="1"/>
  <c r="P88" i="2"/>
  <c r="P89" i="2"/>
  <c r="P90" i="2"/>
  <c r="Q90" i="2" s="1"/>
  <c r="P91" i="2"/>
  <c r="Q91" i="2" s="1"/>
  <c r="P92" i="2"/>
  <c r="Q92" i="2" s="1"/>
  <c r="P93" i="2"/>
  <c r="P94" i="2"/>
  <c r="Q94" i="2" s="1"/>
  <c r="P95" i="2"/>
  <c r="P96" i="2"/>
  <c r="Q96" i="2" s="1"/>
  <c r="P97" i="2"/>
  <c r="P98" i="2"/>
  <c r="Q98" i="2" s="1"/>
  <c r="P99" i="2"/>
  <c r="P100" i="2"/>
  <c r="Q100" i="2" s="1"/>
  <c r="P101" i="2"/>
  <c r="P102" i="2"/>
  <c r="Q102" i="2" s="1"/>
  <c r="P103" i="2"/>
  <c r="P104" i="2"/>
  <c r="P105" i="2"/>
  <c r="Q105" i="2" s="1"/>
  <c r="P106" i="2"/>
  <c r="P107" i="2"/>
  <c r="P108" i="2"/>
  <c r="P109" i="2"/>
  <c r="P110" i="2"/>
  <c r="P111" i="2"/>
  <c r="Q111" i="2" s="1"/>
  <c r="P112" i="2"/>
  <c r="P113" i="2"/>
  <c r="P114" i="2"/>
  <c r="Q114" i="2" s="1"/>
  <c r="P115" i="2"/>
  <c r="Q115" i="2" s="1"/>
  <c r="P116" i="2"/>
  <c r="Q116" i="2" s="1"/>
  <c r="P117" i="2"/>
  <c r="P118" i="2"/>
  <c r="P119" i="2"/>
  <c r="P120" i="2"/>
  <c r="P121" i="2"/>
  <c r="P122" i="2"/>
  <c r="P123" i="2"/>
  <c r="P124" i="2"/>
  <c r="Q124" i="2" s="1"/>
  <c r="P125" i="2"/>
  <c r="Q125" i="2" s="1"/>
  <c r="P126" i="2"/>
  <c r="Q126" i="2" s="1"/>
  <c r="P127" i="2"/>
  <c r="Q127" i="2" s="1"/>
  <c r="P128" i="2"/>
  <c r="P129" i="2"/>
  <c r="Q129" i="2" s="1"/>
  <c r="P130" i="2"/>
  <c r="P131" i="2"/>
  <c r="P132" i="2"/>
  <c r="P133" i="2"/>
  <c r="P134" i="2"/>
  <c r="P135" i="2"/>
  <c r="Q135" i="2" s="1"/>
  <c r="P136" i="2"/>
  <c r="P137" i="2"/>
  <c r="P138" i="2"/>
  <c r="P139" i="2"/>
  <c r="P140" i="2"/>
  <c r="Q140" i="2" s="1"/>
  <c r="P141" i="2"/>
  <c r="P142" i="2"/>
  <c r="P143" i="2"/>
  <c r="P144" i="2"/>
  <c r="P145" i="2"/>
  <c r="P146" i="2"/>
  <c r="Q146" i="2" s="1"/>
  <c r="P147" i="2"/>
  <c r="Q147" i="2" s="1"/>
  <c r="P148" i="2"/>
  <c r="Q148" i="2" s="1"/>
  <c r="P149" i="2"/>
  <c r="Q149" i="2" s="1"/>
  <c r="P150" i="2"/>
  <c r="Q150" i="2" s="1"/>
  <c r="P151" i="2"/>
  <c r="P152" i="2"/>
  <c r="P153" i="2"/>
  <c r="Q153" i="2" s="1"/>
  <c r="P154" i="2"/>
  <c r="Q154" i="2" s="1"/>
  <c r="P155" i="2"/>
  <c r="P156" i="2"/>
  <c r="P157" i="2"/>
  <c r="P158" i="2"/>
  <c r="Q158" i="2" s="1"/>
  <c r="P159" i="2"/>
  <c r="P160" i="2"/>
  <c r="P161" i="2"/>
  <c r="P162" i="2"/>
  <c r="P163" i="2"/>
  <c r="Q163" i="2" s="1"/>
  <c r="P164" i="2"/>
  <c r="Q164" i="2" s="1"/>
  <c r="P165" i="2"/>
  <c r="P166" i="2"/>
  <c r="P167" i="2"/>
  <c r="P168" i="2"/>
  <c r="P169" i="2"/>
  <c r="Q169" i="2" s="1"/>
  <c r="P170" i="2"/>
  <c r="Q170" i="2" s="1"/>
  <c r="P171" i="2"/>
  <c r="P172" i="2"/>
  <c r="Q172" i="2" s="1"/>
  <c r="P173" i="2"/>
  <c r="P174" i="2"/>
  <c r="P175" i="2"/>
  <c r="P176" i="2"/>
  <c r="P177" i="2"/>
  <c r="P178" i="2"/>
  <c r="P179" i="2"/>
  <c r="Q179" i="2" s="1"/>
  <c r="P180" i="2"/>
  <c r="Q180" i="2" s="1"/>
  <c r="P181" i="2"/>
  <c r="Q181" i="2" s="1"/>
  <c r="P182" i="2"/>
  <c r="P183" i="2"/>
  <c r="P184" i="2"/>
  <c r="P185" i="2"/>
  <c r="P186" i="2"/>
  <c r="P187" i="2"/>
  <c r="Q187" i="2" s="1"/>
  <c r="P188" i="2"/>
  <c r="Q188" i="2" s="1"/>
  <c r="P189" i="2"/>
  <c r="P190" i="2"/>
  <c r="P191" i="2"/>
  <c r="P192" i="2"/>
  <c r="Q192" i="2" s="1"/>
  <c r="P193" i="2"/>
  <c r="P194" i="2"/>
  <c r="Q194" i="2" s="1"/>
  <c r="P195" i="2"/>
  <c r="Q195" i="2" s="1"/>
  <c r="P196" i="2"/>
  <c r="P197" i="2"/>
  <c r="Q197" i="2" s="1"/>
  <c r="P198" i="2"/>
  <c r="Q198" i="2" s="1"/>
  <c r="P199" i="2"/>
  <c r="Q199" i="2" s="1"/>
  <c r="P200" i="2"/>
  <c r="Q200" i="2" s="1"/>
  <c r="P201" i="2"/>
  <c r="Q201" i="2" s="1"/>
  <c r="P202" i="2"/>
  <c r="Q202" i="2" s="1"/>
  <c r="P203" i="2"/>
  <c r="Q203" i="2" s="1"/>
  <c r="P204" i="2"/>
  <c r="Q204" i="2" s="1"/>
  <c r="P205" i="2"/>
  <c r="P206" i="2"/>
  <c r="Q206" i="2" s="1"/>
  <c r="P207" i="2"/>
  <c r="P208" i="2"/>
  <c r="Q208" i="2" s="1"/>
  <c r="P209" i="2"/>
  <c r="Q209" i="2" s="1"/>
  <c r="P210" i="2"/>
  <c r="P211" i="2"/>
  <c r="P212" i="2"/>
  <c r="Q212" i="2" s="1"/>
  <c r="P213" i="2"/>
  <c r="P214" i="2"/>
  <c r="P215" i="2"/>
  <c r="P216" i="2"/>
  <c r="P217" i="2"/>
  <c r="P218" i="2"/>
  <c r="P219" i="2"/>
  <c r="P220" i="2"/>
  <c r="P221" i="2"/>
  <c r="Q221" i="2" s="1"/>
  <c r="P222" i="2"/>
  <c r="P223" i="2"/>
  <c r="P224" i="2"/>
  <c r="P225" i="2"/>
  <c r="P226" i="2"/>
  <c r="P227" i="2"/>
  <c r="Q227" i="2" s="1"/>
  <c r="P228" i="2"/>
  <c r="Q228" i="2" s="1"/>
  <c r="P229" i="2"/>
  <c r="Q229" i="2" s="1"/>
  <c r="P230" i="2"/>
  <c r="P231" i="2"/>
  <c r="P232" i="2"/>
  <c r="P233" i="2"/>
  <c r="Q233" i="2" s="1"/>
  <c r="P234" i="2"/>
  <c r="Q234" i="2" s="1"/>
  <c r="P235" i="2"/>
  <c r="P236" i="2"/>
  <c r="P237" i="2"/>
  <c r="P238" i="2"/>
  <c r="Q238" i="2" s="1"/>
  <c r="P239" i="2"/>
  <c r="P240" i="2"/>
  <c r="P241" i="2"/>
  <c r="P242" i="2"/>
  <c r="P243" i="2"/>
  <c r="Q243" i="2" s="1"/>
  <c r="P244" i="2"/>
  <c r="P245" i="2"/>
  <c r="Q245" i="2" s="1"/>
  <c r="P246" i="2"/>
  <c r="Q246" i="2" s="1"/>
  <c r="P247" i="2"/>
  <c r="Q247" i="2" s="1"/>
  <c r="P248" i="2"/>
  <c r="Q248" i="2" s="1"/>
  <c r="P249" i="2"/>
  <c r="P250" i="2"/>
  <c r="P251" i="2"/>
  <c r="Q251" i="2" s="1"/>
  <c r="P252" i="2"/>
  <c r="Q252" i="2" s="1"/>
  <c r="P253" i="2"/>
  <c r="P254" i="2"/>
  <c r="P255" i="2"/>
  <c r="P256" i="2"/>
  <c r="Q256" i="2" s="1"/>
  <c r="P257" i="2"/>
  <c r="P258" i="2"/>
  <c r="P259" i="2"/>
  <c r="Q259" i="2" s="1"/>
  <c r="P260" i="2"/>
  <c r="P261" i="2"/>
  <c r="Q261" i="2" s="1"/>
  <c r="P262" i="2"/>
  <c r="P263" i="2"/>
  <c r="P264" i="2"/>
  <c r="Q264" i="2" s="1"/>
  <c r="P265" i="2"/>
  <c r="P266" i="2"/>
  <c r="P267" i="2"/>
  <c r="P268" i="2"/>
  <c r="P269" i="2"/>
  <c r="P270" i="2"/>
  <c r="Q270" i="2" s="1"/>
  <c r="P271" i="2"/>
  <c r="P272" i="2"/>
  <c r="P273" i="2"/>
  <c r="P274" i="2"/>
  <c r="P275" i="2"/>
  <c r="P276" i="2"/>
  <c r="P277" i="2"/>
  <c r="Q277" i="2" s="1"/>
  <c r="P278" i="2"/>
  <c r="P279" i="2"/>
  <c r="P280" i="2"/>
  <c r="Q280" i="2" s="1"/>
  <c r="P281" i="2"/>
  <c r="P282" i="2"/>
  <c r="P283" i="2"/>
  <c r="P284" i="2"/>
  <c r="Q284" i="2" s="1"/>
  <c r="P285" i="2"/>
  <c r="Q285" i="2" s="1"/>
  <c r="P286" i="2"/>
  <c r="P287" i="2"/>
  <c r="Q287" i="2" s="1"/>
  <c r="P288" i="2"/>
  <c r="P289" i="2"/>
  <c r="P290" i="2"/>
  <c r="P291" i="2"/>
  <c r="Q291" i="2" s="1"/>
  <c r="P292" i="2"/>
  <c r="P293" i="2"/>
  <c r="P294" i="2"/>
  <c r="P295" i="2"/>
  <c r="P296" i="2"/>
  <c r="Q296" i="2" s="1"/>
  <c r="P297" i="2"/>
  <c r="P298" i="2"/>
  <c r="Q298" i="2" s="1"/>
  <c r="P299" i="2"/>
  <c r="Q299" i="2" s="1"/>
  <c r="P300" i="2"/>
  <c r="P301" i="2"/>
  <c r="Q301" i="2" s="1"/>
  <c r="P302" i="2"/>
  <c r="P303" i="2"/>
  <c r="P304" i="2"/>
  <c r="Q304" i="2" s="1"/>
  <c r="P305" i="2"/>
  <c r="Q305" i="2" s="1"/>
  <c r="P306" i="2"/>
  <c r="Q306" i="2" s="1"/>
  <c r="P307" i="2"/>
  <c r="P308" i="2"/>
  <c r="P309" i="2"/>
  <c r="P310" i="2"/>
  <c r="P311" i="2"/>
  <c r="P312" i="2"/>
  <c r="Q312" i="2" s="1"/>
  <c r="P313" i="2"/>
  <c r="P314" i="2"/>
  <c r="P315" i="2"/>
  <c r="Q315" i="2" s="1"/>
  <c r="P316" i="2"/>
  <c r="P317" i="2"/>
  <c r="Q317" i="2" s="1"/>
  <c r="P318" i="2"/>
  <c r="Q318" i="2" s="1"/>
  <c r="P319" i="2"/>
  <c r="P320" i="2"/>
  <c r="P321" i="2"/>
  <c r="P322" i="2"/>
  <c r="Q322" i="2" s="1"/>
  <c r="P323" i="2"/>
  <c r="Q323" i="2" s="1"/>
  <c r="P324" i="2"/>
  <c r="P325" i="2"/>
  <c r="Q325" i="2" s="1"/>
  <c r="P326" i="2"/>
  <c r="Q326" i="2" s="1"/>
  <c r="P327" i="2"/>
  <c r="Q327" i="2" s="1"/>
  <c r="P328" i="2"/>
  <c r="Q328" i="2" s="1"/>
  <c r="P329" i="2"/>
  <c r="Q329" i="2" s="1"/>
  <c r="P330" i="2"/>
  <c r="Q330" i="2" s="1"/>
  <c r="P331" i="2"/>
  <c r="P332" i="2"/>
  <c r="P333" i="2"/>
  <c r="Q333" i="2" s="1"/>
  <c r="P334" i="2"/>
  <c r="P335" i="2"/>
  <c r="P336" i="2"/>
  <c r="P337" i="2"/>
  <c r="P338" i="2"/>
  <c r="Q338" i="2" s="1"/>
  <c r="P339" i="2"/>
  <c r="Q339" i="2" s="1"/>
  <c r="P340" i="2"/>
  <c r="P341" i="2"/>
  <c r="Q341" i="2" s="1"/>
  <c r="P342" i="2"/>
  <c r="Q342" i="2" s="1"/>
  <c r="P343" i="2"/>
  <c r="P344" i="2"/>
  <c r="P345" i="2"/>
  <c r="Q345" i="2" s="1"/>
  <c r="P346" i="2"/>
  <c r="Q346" i="2" s="1"/>
  <c r="P347" i="2"/>
  <c r="P348" i="2"/>
  <c r="Q348" i="2" s="1"/>
  <c r="P349" i="2"/>
  <c r="P350" i="2"/>
  <c r="Q350" i="2" s="1"/>
  <c r="P351" i="2"/>
  <c r="Q351" i="2" s="1"/>
  <c r="P352" i="2"/>
  <c r="Q352" i="2" s="1"/>
  <c r="P353" i="2"/>
  <c r="P354" i="2"/>
  <c r="P355" i="2"/>
  <c r="P356" i="2"/>
  <c r="P357" i="2"/>
  <c r="P358" i="2"/>
  <c r="P359" i="2"/>
  <c r="Q359" i="2" s="1"/>
  <c r="P360" i="2"/>
  <c r="Q360" i="2" s="1"/>
  <c r="P361" i="2"/>
  <c r="P362" i="2"/>
  <c r="P363" i="2"/>
  <c r="P364" i="2"/>
  <c r="Q364" i="2" s="1"/>
  <c r="P365" i="2"/>
  <c r="P366" i="2"/>
  <c r="Q366" i="2" s="1"/>
  <c r="P367" i="2"/>
  <c r="P368" i="2"/>
  <c r="P369" i="2"/>
  <c r="P370" i="2"/>
  <c r="Q370" i="2" s="1"/>
  <c r="P371" i="2"/>
  <c r="Q371" i="2" s="1"/>
  <c r="P372" i="2"/>
  <c r="Q372" i="2" s="1"/>
  <c r="P373" i="2"/>
  <c r="P374" i="2"/>
  <c r="P375" i="2"/>
  <c r="Q375" i="2" s="1"/>
  <c r="P376" i="2"/>
  <c r="P377" i="2"/>
  <c r="P378" i="2"/>
  <c r="P379" i="2"/>
  <c r="P380" i="2"/>
  <c r="Q380" i="2" s="1"/>
  <c r="P381" i="2"/>
  <c r="P382" i="2"/>
  <c r="P383" i="2"/>
  <c r="Q383" i="2" s="1"/>
  <c r="P384" i="2"/>
  <c r="Q384" i="2" s="1"/>
  <c r="P385" i="2"/>
  <c r="P386" i="2"/>
  <c r="P387" i="2"/>
  <c r="Q387" i="2" s="1"/>
  <c r="P388" i="2"/>
  <c r="P389" i="2"/>
  <c r="P390" i="2"/>
  <c r="P391" i="2"/>
  <c r="Q391" i="2" s="1"/>
  <c r="P392" i="2"/>
  <c r="P393" i="2"/>
  <c r="P394" i="2"/>
  <c r="Q394" i="2" s="1"/>
  <c r="P395" i="2"/>
  <c r="Q395" i="2" s="1"/>
  <c r="P396" i="2"/>
  <c r="Q396" i="2" s="1"/>
  <c r="P397" i="2"/>
  <c r="Q397" i="2" s="1"/>
  <c r="P398" i="2"/>
  <c r="Q398" i="2" s="1"/>
  <c r="P399" i="2"/>
  <c r="P400" i="2"/>
  <c r="Q400" i="2" s="1"/>
  <c r="P401" i="2"/>
  <c r="Q401" i="2" s="1"/>
  <c r="P402" i="2"/>
  <c r="Q402" i="2" s="1"/>
  <c r="P403" i="2"/>
  <c r="Q403" i="2" s="1"/>
  <c r="P404" i="2"/>
  <c r="P405" i="2"/>
  <c r="P406" i="2"/>
  <c r="P407" i="2"/>
  <c r="Q407" i="2" s="1"/>
  <c r="P408" i="2"/>
  <c r="P409" i="2"/>
  <c r="Q409" i="2" s="1"/>
  <c r="P410" i="2"/>
  <c r="P411" i="2"/>
  <c r="P412" i="2"/>
  <c r="P413" i="2"/>
  <c r="P414" i="2"/>
  <c r="P415" i="2"/>
  <c r="Q415" i="2" s="1"/>
  <c r="P416" i="2"/>
  <c r="P417" i="2"/>
  <c r="P418" i="2"/>
  <c r="Q418" i="2" s="1"/>
  <c r="P419" i="2"/>
  <c r="P420" i="2"/>
  <c r="P421" i="2"/>
  <c r="Q421" i="2" s="1"/>
  <c r="P422" i="2"/>
  <c r="Q422" i="2" s="1"/>
  <c r="P423" i="2"/>
  <c r="P424" i="2"/>
  <c r="Q424" i="2" s="1"/>
  <c r="P425" i="2"/>
  <c r="Q425" i="2" s="1"/>
  <c r="P426" i="2"/>
  <c r="P427" i="2"/>
  <c r="P428" i="2"/>
  <c r="Q428" i="2" s="1"/>
  <c r="P429" i="2"/>
  <c r="P430" i="2"/>
  <c r="P431" i="2"/>
  <c r="Q431" i="2" s="1"/>
  <c r="P432" i="2"/>
  <c r="P433" i="2"/>
  <c r="P434" i="2"/>
  <c r="P435" i="2"/>
  <c r="P436" i="2"/>
  <c r="Q436" i="2" s="1"/>
  <c r="P437" i="2"/>
  <c r="Q437" i="2" s="1"/>
  <c r="P438" i="2"/>
  <c r="P439" i="2"/>
  <c r="P440" i="2"/>
  <c r="P441" i="2"/>
  <c r="P442" i="2"/>
  <c r="Q442" i="2" s="1"/>
  <c r="P443" i="2"/>
  <c r="P444" i="2"/>
  <c r="P445" i="2"/>
  <c r="P446" i="2"/>
  <c r="P447" i="2"/>
  <c r="P448" i="2"/>
  <c r="P449" i="2"/>
  <c r="P450" i="2"/>
  <c r="Q450" i="2" s="1"/>
  <c r="P451" i="2"/>
  <c r="P452" i="2"/>
  <c r="P453" i="2"/>
  <c r="Q453" i="2" s="1"/>
  <c r="P454" i="2"/>
  <c r="P455" i="2"/>
  <c r="P456" i="2"/>
  <c r="Q456" i="2" s="1"/>
  <c r="P457" i="2"/>
  <c r="P458" i="2"/>
  <c r="Q458" i="2" s="1"/>
  <c r="P459" i="2"/>
  <c r="Q459" i="2" s="1"/>
  <c r="P460" i="2"/>
  <c r="P461" i="2"/>
  <c r="Q461" i="2" s="1"/>
  <c r="P462" i="2"/>
  <c r="Q462" i="2" s="1"/>
  <c r="P463" i="2"/>
  <c r="P464" i="2"/>
  <c r="Q464" i="2" s="1"/>
  <c r="P465" i="2"/>
  <c r="P466" i="2"/>
  <c r="Q466" i="2" s="1"/>
  <c r="P467" i="2"/>
  <c r="P468" i="2"/>
  <c r="P469" i="2"/>
  <c r="Q469" i="2" s="1"/>
  <c r="P470" i="2"/>
  <c r="Q470" i="2" s="1"/>
  <c r="P471" i="2"/>
  <c r="P472" i="2"/>
  <c r="P473" i="2"/>
  <c r="Q473" i="2" s="1"/>
  <c r="P474" i="2"/>
  <c r="P475" i="2"/>
  <c r="Q475" i="2" s="1"/>
  <c r="P476" i="2"/>
  <c r="P477" i="2"/>
  <c r="Q477" i="2" s="1"/>
  <c r="P478" i="2"/>
  <c r="P479" i="2"/>
  <c r="P480" i="2"/>
  <c r="Q480" i="2" s="1"/>
  <c r="P481" i="2"/>
  <c r="P482" i="2"/>
  <c r="P483" i="2"/>
  <c r="Q483" i="2" s="1"/>
  <c r="P484" i="2"/>
  <c r="P485" i="2"/>
  <c r="P486" i="2"/>
  <c r="P487" i="2"/>
  <c r="Q487" i="2" s="1"/>
  <c r="P488" i="2"/>
  <c r="P489" i="2"/>
  <c r="P490" i="2"/>
  <c r="Q490" i="2" s="1"/>
  <c r="P491" i="2"/>
  <c r="P492" i="2"/>
  <c r="Q492" i="2" s="1"/>
  <c r="P493" i="2"/>
  <c r="Q493" i="2" s="1"/>
  <c r="P494" i="2"/>
  <c r="P495" i="2"/>
  <c r="P496" i="2"/>
  <c r="P497" i="2"/>
  <c r="Q497" i="2" s="1"/>
  <c r="P498" i="2"/>
  <c r="P499" i="2"/>
  <c r="Q499" i="2" s="1"/>
  <c r="P500" i="2"/>
  <c r="Q500" i="2" s="1"/>
  <c r="P501" i="2"/>
  <c r="P502" i="2"/>
  <c r="P503" i="2"/>
  <c r="P504" i="2"/>
  <c r="P505" i="2"/>
  <c r="Q505" i="2" s="1"/>
  <c r="P506" i="2"/>
  <c r="Q506" i="2" s="1"/>
  <c r="P507" i="2"/>
  <c r="P508" i="2"/>
  <c r="P509" i="2"/>
  <c r="P510" i="2"/>
  <c r="P511" i="2"/>
  <c r="P512" i="2"/>
  <c r="Q512" i="2" s="1"/>
  <c r="P513" i="2"/>
  <c r="P514" i="2"/>
  <c r="P515" i="2"/>
  <c r="Q515" i="2" s="1"/>
  <c r="P516" i="2"/>
  <c r="P517" i="2"/>
  <c r="P518" i="2"/>
  <c r="Q518" i="2" s="1"/>
  <c r="P519" i="2"/>
  <c r="Q519" i="2" s="1"/>
  <c r="P520" i="2"/>
  <c r="P521" i="2"/>
  <c r="P522" i="2"/>
  <c r="P523" i="2"/>
  <c r="P524" i="2"/>
  <c r="P525" i="2"/>
  <c r="P526" i="2"/>
  <c r="Q526" i="2" s="1"/>
  <c r="P527" i="2"/>
  <c r="P528" i="2"/>
  <c r="Q528" i="2" s="1"/>
  <c r="P529" i="2"/>
  <c r="P530" i="2"/>
  <c r="Q530" i="2" s="1"/>
  <c r="P531" i="2"/>
  <c r="Q531" i="2" s="1"/>
  <c r="P532" i="2"/>
  <c r="P533" i="2"/>
  <c r="P534" i="2"/>
  <c r="P535" i="2"/>
  <c r="Q535" i="2" s="1"/>
  <c r="P536" i="2"/>
  <c r="Q536" i="2" s="1"/>
  <c r="P537" i="2"/>
  <c r="P538" i="2"/>
  <c r="P539" i="2"/>
  <c r="Q539" i="2" s="1"/>
  <c r="P540" i="2"/>
  <c r="P541" i="2"/>
  <c r="P542" i="2"/>
  <c r="P543" i="2"/>
  <c r="P544" i="2"/>
  <c r="P545" i="2"/>
  <c r="P546" i="2"/>
  <c r="P547" i="2"/>
  <c r="Q547" i="2" s="1"/>
  <c r="P548" i="2"/>
  <c r="P549" i="2"/>
  <c r="P550" i="2"/>
  <c r="P551" i="2"/>
  <c r="Q551" i="2" s="1"/>
  <c r="P552" i="2"/>
  <c r="P553" i="2"/>
  <c r="Q553" i="2" s="1"/>
  <c r="P554" i="2"/>
  <c r="P555" i="2"/>
  <c r="Q555" i="2" s="1"/>
  <c r="P556" i="2"/>
  <c r="Q556" i="2" s="1"/>
  <c r="P557" i="2"/>
  <c r="P558" i="2"/>
  <c r="Q558" i="2" s="1"/>
  <c r="P559" i="2"/>
  <c r="P560" i="2"/>
  <c r="P561" i="2"/>
  <c r="Q561" i="2" s="1"/>
  <c r="P562" i="2"/>
  <c r="P563" i="2"/>
  <c r="P564" i="2"/>
  <c r="P565" i="2"/>
  <c r="P566" i="2"/>
  <c r="P567" i="2"/>
  <c r="P568" i="2"/>
  <c r="Q568" i="2" s="1"/>
  <c r="P569" i="2"/>
  <c r="Q569" i="2" s="1"/>
  <c r="P570" i="2"/>
  <c r="Q570" i="2" s="1"/>
  <c r="P571" i="2"/>
  <c r="Q571" i="2" s="1"/>
  <c r="P572" i="2"/>
  <c r="P573" i="2"/>
  <c r="Q573" i="2" s="1"/>
  <c r="P574" i="2"/>
  <c r="P575" i="2"/>
  <c r="P576" i="2"/>
  <c r="P577" i="2"/>
  <c r="Q577" i="2" s="1"/>
  <c r="P578" i="2"/>
  <c r="P579" i="2"/>
  <c r="P580" i="2"/>
  <c r="P581" i="2"/>
  <c r="P582" i="2"/>
  <c r="P583" i="2"/>
  <c r="P584" i="2"/>
  <c r="Q584" i="2" s="1"/>
  <c r="P585" i="2"/>
  <c r="Q585" i="2" s="1"/>
  <c r="P586" i="2"/>
  <c r="Q586" i="2" s="1"/>
  <c r="P587" i="2"/>
  <c r="Q587" i="2" s="1"/>
  <c r="P588" i="2"/>
  <c r="Q588" i="2" s="1"/>
  <c r="P589" i="2"/>
  <c r="Q589" i="2" s="1"/>
  <c r="P590" i="2"/>
  <c r="P591" i="2"/>
  <c r="Q591" i="2" s="1"/>
  <c r="P592" i="2"/>
  <c r="Q592" i="2" s="1"/>
  <c r="P593" i="2"/>
  <c r="P594" i="2"/>
  <c r="Q594" i="2" s="1"/>
  <c r="P595" i="2"/>
  <c r="Q595" i="2" s="1"/>
  <c r="P596" i="2"/>
  <c r="P597" i="2"/>
  <c r="P598" i="2"/>
  <c r="P599" i="2"/>
  <c r="P600" i="2"/>
  <c r="P601" i="2"/>
  <c r="P602" i="2"/>
  <c r="P603" i="2"/>
  <c r="P604" i="2"/>
  <c r="P605" i="2"/>
  <c r="P606" i="2"/>
  <c r="P607" i="2"/>
  <c r="Q607" i="2" s="1"/>
  <c r="P608" i="2"/>
  <c r="P609" i="2"/>
  <c r="P610" i="2"/>
  <c r="Q610" i="2" s="1"/>
  <c r="P611" i="2"/>
  <c r="P612" i="2"/>
  <c r="P613" i="2"/>
  <c r="Q613" i="2" s="1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Q629" i="2" s="1"/>
  <c r="P630" i="2"/>
  <c r="P631" i="2"/>
  <c r="P632" i="2"/>
  <c r="P633" i="2"/>
  <c r="Q633" i="2" s="1"/>
  <c r="P634" i="2"/>
  <c r="Q634" i="2" s="1"/>
  <c r="P635" i="2"/>
  <c r="Q635" i="2" s="1"/>
  <c r="P636" i="2"/>
  <c r="P637" i="2"/>
  <c r="P638" i="2"/>
  <c r="Q638" i="2" s="1"/>
  <c r="P639" i="2"/>
  <c r="P640" i="2"/>
  <c r="Q640" i="2" s="1"/>
  <c r="P641" i="2"/>
  <c r="Q641" i="2" s="1"/>
  <c r="P642" i="2"/>
  <c r="P643" i="2"/>
  <c r="Q643" i="2" s="1"/>
  <c r="P644" i="2"/>
  <c r="P645" i="2"/>
  <c r="P646" i="2"/>
  <c r="Q646" i="2" s="1"/>
  <c r="P647" i="2"/>
  <c r="P648" i="2"/>
  <c r="Q648" i="2" s="1"/>
  <c r="P649" i="2"/>
  <c r="P650" i="2"/>
  <c r="P651" i="2"/>
  <c r="P652" i="2"/>
  <c r="P653" i="2"/>
  <c r="P654" i="2"/>
  <c r="Q654" i="2" s="1"/>
  <c r="P655" i="2"/>
  <c r="P656" i="2"/>
  <c r="P657" i="2"/>
  <c r="P658" i="2"/>
  <c r="Q658" i="2" s="1"/>
  <c r="P659" i="2"/>
  <c r="P660" i="2"/>
  <c r="P661" i="2"/>
  <c r="P662" i="2"/>
  <c r="Q662" i="2" s="1"/>
  <c r="P663" i="2"/>
  <c r="Q663" i="2" s="1"/>
  <c r="P664" i="2"/>
  <c r="P665" i="2"/>
  <c r="Q665" i="2" s="1"/>
  <c r="P666" i="2"/>
  <c r="Q666" i="2" s="1"/>
  <c r="P667" i="2"/>
  <c r="P668" i="2"/>
  <c r="P669" i="2"/>
  <c r="Q669" i="2" s="1"/>
  <c r="P670" i="2"/>
  <c r="Q670" i="2" s="1"/>
  <c r="P671" i="2"/>
  <c r="P672" i="2"/>
  <c r="Q672" i="2" s="1"/>
  <c r="P673" i="2"/>
  <c r="Q673" i="2" s="1"/>
  <c r="P674" i="2"/>
  <c r="Q674" i="2" s="1"/>
  <c r="P675" i="2"/>
  <c r="P676" i="2"/>
  <c r="P677" i="2"/>
  <c r="P678" i="2"/>
  <c r="P679" i="2"/>
  <c r="Q679" i="2" s="1"/>
  <c r="P680" i="2"/>
  <c r="Q680" i="2" s="1"/>
  <c r="P681" i="2"/>
  <c r="P682" i="2"/>
  <c r="P683" i="2"/>
  <c r="P684" i="2"/>
  <c r="P685" i="2"/>
  <c r="P686" i="2"/>
  <c r="P687" i="2"/>
  <c r="P688" i="2"/>
  <c r="Q688" i="2" s="1"/>
  <c r="P689" i="2"/>
  <c r="Q689" i="2" s="1"/>
  <c r="P690" i="2"/>
  <c r="Q690" i="2" s="1"/>
  <c r="P691" i="2"/>
  <c r="Q691" i="2" s="1"/>
  <c r="P692" i="2"/>
  <c r="Q692" i="2" s="1"/>
  <c r="P693" i="2"/>
  <c r="P694" i="2"/>
  <c r="Q694" i="2" s="1"/>
  <c r="P695" i="2"/>
  <c r="P696" i="2"/>
  <c r="P697" i="2"/>
  <c r="P698" i="2"/>
  <c r="Q698" i="2" s="1"/>
  <c r="P699" i="2"/>
  <c r="P700" i="2"/>
  <c r="P701" i="2"/>
  <c r="P702" i="2"/>
  <c r="P703" i="2"/>
  <c r="P704" i="2"/>
  <c r="Q704" i="2" s="1"/>
  <c r="P705" i="2"/>
  <c r="P706" i="2"/>
  <c r="P707" i="2"/>
  <c r="P708" i="2"/>
  <c r="Q708" i="2" s="1"/>
  <c r="P709" i="2"/>
  <c r="P710" i="2"/>
  <c r="Q710" i="2" s="1"/>
  <c r="P711" i="2"/>
  <c r="Q711" i="2" s="1"/>
  <c r="P712" i="2"/>
  <c r="Q712" i="2" s="1"/>
  <c r="P713" i="2"/>
  <c r="P714" i="2"/>
  <c r="Q714" i="2" s="1"/>
  <c r="P715" i="2"/>
  <c r="P716" i="2"/>
  <c r="P717" i="2"/>
  <c r="Q717" i="2" s="1"/>
  <c r="P718" i="2"/>
  <c r="P719" i="2"/>
  <c r="Q719" i="2" s="1"/>
  <c r="P720" i="2"/>
  <c r="Q720" i="2" s="1"/>
  <c r="P721" i="2"/>
  <c r="P722" i="2"/>
  <c r="P723" i="2"/>
  <c r="Q723" i="2" s="1"/>
  <c r="P724" i="2"/>
  <c r="P725" i="2"/>
  <c r="P726" i="2"/>
  <c r="P727" i="2"/>
  <c r="P728" i="2"/>
  <c r="Q728" i="2" s="1"/>
  <c r="P729" i="2"/>
  <c r="P730" i="2"/>
  <c r="P731" i="2"/>
  <c r="P732" i="2"/>
  <c r="P733" i="2"/>
  <c r="P734" i="2"/>
  <c r="P735" i="2"/>
  <c r="Q735" i="2" s="1"/>
  <c r="P736" i="2"/>
  <c r="P737" i="2"/>
  <c r="P738" i="2"/>
  <c r="P739" i="2"/>
  <c r="Q739" i="2" s="1"/>
  <c r="P740" i="2"/>
  <c r="P741" i="2"/>
  <c r="P742" i="2"/>
  <c r="P743" i="2"/>
  <c r="Q743" i="2" s="1"/>
  <c r="P744" i="2"/>
  <c r="Q744" i="2" s="1"/>
  <c r="P745" i="2"/>
  <c r="Q745" i="2" s="1"/>
  <c r="P746" i="2"/>
  <c r="P747" i="2"/>
  <c r="P748" i="2"/>
  <c r="Q748" i="2" s="1"/>
  <c r="P749" i="2"/>
  <c r="P750" i="2"/>
  <c r="Q750" i="2" s="1"/>
  <c r="P751" i="2"/>
  <c r="P752" i="2"/>
  <c r="P753" i="2"/>
  <c r="P754" i="2"/>
  <c r="P755" i="2"/>
  <c r="P756" i="2"/>
  <c r="P757" i="2"/>
  <c r="P758" i="2"/>
  <c r="P759" i="2"/>
  <c r="P760" i="2"/>
  <c r="P761" i="2"/>
  <c r="P762" i="2"/>
  <c r="Q762" i="2" s="1"/>
  <c r="P763" i="2"/>
  <c r="Q763" i="2" s="1"/>
  <c r="P764" i="2"/>
  <c r="Q764" i="2" s="1"/>
  <c r="P765" i="2"/>
  <c r="Q765" i="2" s="1"/>
  <c r="P766" i="2"/>
  <c r="P767" i="2"/>
  <c r="P768" i="2"/>
  <c r="P769" i="2"/>
  <c r="Q769" i="2" s="1"/>
  <c r="P770" i="2"/>
  <c r="P771" i="2"/>
  <c r="Q771" i="2" s="1"/>
  <c r="P772" i="2"/>
  <c r="P773" i="2"/>
  <c r="P774" i="2"/>
  <c r="Q774" i="2" s="1"/>
  <c r="P775" i="2"/>
  <c r="Q775" i="2" s="1"/>
  <c r="P776" i="2"/>
  <c r="P777" i="2"/>
  <c r="Q777" i="2" s="1"/>
  <c r="P778" i="2"/>
  <c r="P779" i="2"/>
  <c r="Q779" i="2" s="1"/>
  <c r="P780" i="2"/>
  <c r="Q780" i="2" s="1"/>
  <c r="P781" i="2"/>
  <c r="P782" i="2"/>
  <c r="P783" i="2"/>
  <c r="Q783" i="2" s="1"/>
  <c r="P784" i="2"/>
  <c r="Q784" i="2" s="1"/>
  <c r="P785" i="2"/>
  <c r="Q785" i="2" s="1"/>
  <c r="P786" i="2"/>
  <c r="Q786" i="2" s="1"/>
  <c r="P787" i="2"/>
  <c r="P788" i="2"/>
  <c r="Q788" i="2" s="1"/>
  <c r="P789" i="2"/>
  <c r="P790" i="2"/>
  <c r="Q790" i="2" s="1"/>
  <c r="P791" i="2"/>
  <c r="P792" i="2"/>
  <c r="Q792" i="2" s="1"/>
  <c r="P793" i="2"/>
  <c r="Q793" i="2" s="1"/>
  <c r="P794" i="2"/>
  <c r="Q794" i="2" s="1"/>
  <c r="P795" i="2"/>
  <c r="Q795" i="2" s="1"/>
  <c r="P796" i="2"/>
  <c r="P797" i="2"/>
  <c r="Q797" i="2" s="1"/>
  <c r="P798" i="2"/>
  <c r="P799" i="2"/>
  <c r="P800" i="2"/>
  <c r="Q800" i="2" s="1"/>
  <c r="P801" i="2"/>
  <c r="Q801" i="2" s="1"/>
  <c r="P802" i="2"/>
  <c r="Q802" i="2" s="1"/>
  <c r="P803" i="2"/>
  <c r="Q803" i="2" s="1"/>
  <c r="P804" i="2"/>
  <c r="Q804" i="2" s="1"/>
  <c r="P805" i="2"/>
  <c r="P806" i="2"/>
  <c r="P807" i="2"/>
  <c r="P808" i="2"/>
  <c r="Q808" i="2" s="1"/>
  <c r="P809" i="2"/>
  <c r="Q809" i="2" s="1"/>
  <c r="P810" i="2"/>
  <c r="Q810" i="2" s="1"/>
  <c r="P811" i="2"/>
  <c r="P812" i="2"/>
  <c r="P813" i="2"/>
  <c r="P814" i="2"/>
  <c r="P815" i="2"/>
  <c r="P816" i="2"/>
  <c r="Q816" i="2" s="1"/>
  <c r="P817" i="2"/>
  <c r="P818" i="2"/>
  <c r="P819" i="2"/>
  <c r="Q819" i="2" s="1"/>
  <c r="P820" i="2"/>
  <c r="P821" i="2"/>
  <c r="P822" i="2"/>
  <c r="P823" i="2"/>
  <c r="P824" i="2"/>
  <c r="Q824" i="2" s="1"/>
  <c r="P825" i="2"/>
  <c r="Q825" i="2" s="1"/>
  <c r="P826" i="2"/>
  <c r="Q826" i="2" s="1"/>
  <c r="P827" i="2"/>
  <c r="P828" i="2"/>
  <c r="P829" i="2"/>
  <c r="P830" i="2"/>
  <c r="P831" i="2"/>
  <c r="Q831" i="2" s="1"/>
  <c r="P832" i="2"/>
  <c r="P833" i="2"/>
  <c r="P834" i="2"/>
  <c r="P835" i="2"/>
  <c r="P836" i="2"/>
  <c r="P837" i="2"/>
  <c r="P838" i="2"/>
  <c r="P839" i="2"/>
  <c r="P840" i="2"/>
  <c r="Q840" i="2" s="1"/>
  <c r="P841" i="2"/>
  <c r="P842" i="2"/>
  <c r="P843" i="2"/>
  <c r="P844" i="2"/>
  <c r="P845" i="2"/>
  <c r="Q845" i="2" s="1"/>
  <c r="P846" i="2"/>
  <c r="P847" i="2"/>
  <c r="Q847" i="2" s="1"/>
  <c r="P848" i="2"/>
  <c r="Q848" i="2" s="1"/>
  <c r="P849" i="2"/>
  <c r="Q849" i="2" s="1"/>
  <c r="P850" i="2"/>
  <c r="Q850" i="2" s="1"/>
  <c r="P851" i="2"/>
  <c r="Q851" i="2" s="1"/>
  <c r="P852" i="2"/>
  <c r="P853" i="2"/>
  <c r="Q853" i="2" s="1"/>
  <c r="P854" i="2"/>
  <c r="P855" i="2"/>
  <c r="Q855" i="2" s="1"/>
  <c r="P856" i="2"/>
  <c r="P857" i="2"/>
  <c r="P858" i="2"/>
  <c r="Q858" i="2" s="1"/>
  <c r="P859" i="2"/>
  <c r="Q859" i="2" s="1"/>
  <c r="P860" i="2"/>
  <c r="P861" i="2"/>
  <c r="P862" i="2"/>
  <c r="P863" i="2"/>
  <c r="Q863" i="2" s="1"/>
  <c r="P864" i="2"/>
  <c r="Q864" i="2" s="1"/>
  <c r="P865" i="2"/>
  <c r="P866" i="2"/>
  <c r="Q866" i="2" s="1"/>
  <c r="P867" i="2"/>
  <c r="Q867" i="2" s="1"/>
  <c r="P868" i="2"/>
  <c r="P869" i="2"/>
  <c r="Q869" i="2" s="1"/>
  <c r="P870" i="2"/>
  <c r="P871" i="2"/>
  <c r="Q871" i="2" s="1"/>
  <c r="P872" i="2"/>
  <c r="P873" i="2"/>
  <c r="P874" i="2"/>
  <c r="P875" i="2"/>
  <c r="Q875" i="2" s="1"/>
  <c r="P876" i="2"/>
  <c r="Q876" i="2" s="1"/>
  <c r="P877" i="2"/>
  <c r="Q877" i="2" s="1"/>
  <c r="P878" i="2"/>
  <c r="P879" i="2"/>
  <c r="Q879" i="2" s="1"/>
  <c r="P880" i="2"/>
  <c r="Q880" i="2" s="1"/>
  <c r="P881" i="2"/>
  <c r="P882" i="2"/>
  <c r="P883" i="2"/>
  <c r="P884" i="2"/>
  <c r="P885" i="2"/>
  <c r="P886" i="2"/>
  <c r="Q886" i="2" s="1"/>
  <c r="P887" i="2"/>
  <c r="P888" i="2"/>
  <c r="Q888" i="2" s="1"/>
  <c r="P889" i="2"/>
  <c r="P890" i="2"/>
  <c r="P891" i="2"/>
  <c r="P892" i="2"/>
  <c r="P893" i="2"/>
  <c r="Q893" i="2" s="1"/>
  <c r="P894" i="2"/>
  <c r="P895" i="2"/>
  <c r="Q895" i="2" s="1"/>
  <c r="P896" i="2"/>
  <c r="Q896" i="2" s="1"/>
  <c r="P897" i="2"/>
  <c r="P898" i="2"/>
  <c r="P899" i="2"/>
  <c r="P900" i="2"/>
  <c r="P901" i="2"/>
  <c r="P902" i="2"/>
  <c r="Q902" i="2" s="1"/>
  <c r="P903" i="2"/>
  <c r="P904" i="2"/>
  <c r="Q904" i="2" s="1"/>
  <c r="P905" i="2"/>
  <c r="P906" i="2"/>
  <c r="P907" i="2"/>
  <c r="Q907" i="2" s="1"/>
  <c r="P908" i="2"/>
  <c r="Q908" i="2" s="1"/>
  <c r="P909" i="2"/>
  <c r="Q909" i="2" s="1"/>
  <c r="P910" i="2"/>
  <c r="Q910" i="2" s="1"/>
  <c r="P911" i="2"/>
  <c r="P912" i="2"/>
  <c r="Q912" i="2" s="1"/>
  <c r="P913" i="2"/>
  <c r="Q913" i="2" s="1"/>
  <c r="P914" i="2"/>
  <c r="P915" i="2"/>
  <c r="Q915" i="2" s="1"/>
  <c r="P916" i="2"/>
  <c r="P917" i="2"/>
  <c r="Q917" i="2" s="1"/>
  <c r="P918" i="2"/>
  <c r="P919" i="2"/>
  <c r="Q919" i="2" s="1"/>
  <c r="P920" i="2"/>
  <c r="Q920" i="2" s="1"/>
  <c r="P921" i="2"/>
  <c r="Q921" i="2" s="1"/>
  <c r="P922" i="2"/>
  <c r="P923" i="2"/>
  <c r="P924" i="2"/>
  <c r="P925" i="2"/>
  <c r="P926" i="2"/>
  <c r="P927" i="2"/>
  <c r="Q927" i="2" s="1"/>
  <c r="P928" i="2"/>
  <c r="Q928" i="2" s="1"/>
  <c r="P929" i="2"/>
  <c r="P930" i="2"/>
  <c r="P931" i="2"/>
  <c r="Q931" i="2" s="1"/>
  <c r="P932" i="2"/>
  <c r="P933" i="2"/>
  <c r="P934" i="2"/>
  <c r="P935" i="2"/>
  <c r="Q935" i="2" s="1"/>
  <c r="P936" i="2"/>
  <c r="P937" i="2"/>
  <c r="P938" i="2"/>
  <c r="P939" i="2"/>
  <c r="Q939" i="2" s="1"/>
  <c r="P940" i="2"/>
  <c r="P941" i="2"/>
  <c r="Q941" i="2" s="1"/>
  <c r="P942" i="2"/>
  <c r="Q942" i="2" s="1"/>
  <c r="P943" i="2"/>
  <c r="P944" i="2"/>
  <c r="P945" i="2"/>
  <c r="P946" i="2"/>
  <c r="P947" i="2"/>
  <c r="Q947" i="2" s="1"/>
  <c r="P948" i="2"/>
  <c r="P949" i="2"/>
  <c r="P950" i="2"/>
  <c r="P951" i="2"/>
  <c r="P952" i="2"/>
  <c r="Q952" i="2" s="1"/>
  <c r="P953" i="2"/>
  <c r="P954" i="2"/>
  <c r="Q954" i="2" s="1"/>
  <c r="P955" i="2"/>
  <c r="P956" i="2"/>
  <c r="P957" i="2"/>
  <c r="Q957" i="2" s="1"/>
  <c r="P958" i="2"/>
  <c r="P959" i="2"/>
  <c r="P960" i="2"/>
  <c r="Q960" i="2" s="1"/>
  <c r="P961" i="2"/>
  <c r="Q961" i="2" s="1"/>
  <c r="P962" i="2"/>
  <c r="P963" i="2"/>
  <c r="P964" i="2"/>
  <c r="Q964" i="2" s="1"/>
  <c r="P965" i="2"/>
  <c r="P966" i="2"/>
  <c r="Q966" i="2" s="1"/>
  <c r="P967" i="2"/>
  <c r="Q967" i="2" s="1"/>
  <c r="P968" i="2"/>
  <c r="Q968" i="2" s="1"/>
  <c r="P969" i="2"/>
  <c r="Q969" i="2" s="1"/>
  <c r="P970" i="2"/>
  <c r="Q970" i="2" s="1"/>
  <c r="P971" i="2"/>
  <c r="Q971" i="2" s="1"/>
  <c r="P972" i="2"/>
  <c r="Q972" i="2" s="1"/>
  <c r="P973" i="2"/>
  <c r="Q973" i="2" s="1"/>
  <c r="P974" i="2"/>
  <c r="P975" i="2"/>
  <c r="P976" i="2"/>
  <c r="P977" i="2"/>
  <c r="Q977" i="2" s="1"/>
  <c r="P978" i="2"/>
  <c r="P979" i="2"/>
  <c r="P980" i="2"/>
  <c r="Q980" i="2" s="1"/>
  <c r="P981" i="2"/>
  <c r="Q981" i="2" s="1"/>
  <c r="P982" i="2"/>
  <c r="Q982" i="2" s="1"/>
  <c r="P983" i="2"/>
  <c r="P984" i="2"/>
  <c r="Q984" i="2" s="1"/>
  <c r="P985" i="2"/>
  <c r="P986" i="2"/>
  <c r="P987" i="2"/>
  <c r="Q987" i="2" s="1"/>
  <c r="P988" i="2"/>
  <c r="P989" i="2"/>
  <c r="P990" i="2"/>
  <c r="P991" i="2"/>
  <c r="P992" i="2"/>
  <c r="P993" i="2"/>
  <c r="P994" i="2"/>
  <c r="Q994" i="2" s="1"/>
  <c r="P995" i="2"/>
  <c r="P996" i="2"/>
  <c r="P997" i="2"/>
  <c r="P998" i="2"/>
  <c r="P999" i="2"/>
  <c r="Q999" i="2" s="1"/>
  <c r="P1000" i="2"/>
  <c r="Q1000" i="2" s="1"/>
  <c r="P1001" i="2"/>
  <c r="Q1001" i="2" s="1"/>
  <c r="P1002" i="2"/>
  <c r="Q1002" i="2" s="1"/>
  <c r="P1003" i="2"/>
  <c r="P1004" i="2"/>
  <c r="Q1004" i="2" s="1"/>
  <c r="P1005" i="2"/>
  <c r="Q1005" i="2" s="1"/>
  <c r="P1006" i="2"/>
  <c r="P1007" i="2"/>
  <c r="P1008" i="2"/>
  <c r="Q1008" i="2" s="1"/>
  <c r="P1009" i="2"/>
  <c r="Q1009" i="2" s="1"/>
  <c r="P1010" i="2"/>
  <c r="Q1010" i="2" s="1"/>
  <c r="P1011" i="2"/>
  <c r="P1012" i="2"/>
  <c r="P1013" i="2"/>
  <c r="Q1013" i="2" s="1"/>
  <c r="P1014" i="2"/>
  <c r="P1015" i="2"/>
  <c r="P1016" i="2"/>
  <c r="Q1016" i="2" s="1"/>
  <c r="P1017" i="2"/>
  <c r="Q1017" i="2" s="1"/>
  <c r="P1018" i="2"/>
  <c r="P1019" i="2"/>
  <c r="Q1019" i="2" s="1"/>
  <c r="P1020" i="2"/>
  <c r="P1021" i="2"/>
  <c r="P1022" i="2"/>
  <c r="P1023" i="2"/>
  <c r="P1024" i="2"/>
  <c r="P1025" i="2"/>
  <c r="P1026" i="2"/>
  <c r="Q1026" i="2" s="1"/>
  <c r="P1027" i="2"/>
  <c r="Q1027" i="2" s="1"/>
  <c r="P1028" i="2"/>
  <c r="P1029" i="2"/>
  <c r="P1030" i="2"/>
  <c r="Q1030" i="2" s="1"/>
  <c r="P1031" i="2"/>
  <c r="Q1031" i="2" s="1"/>
  <c r="P1032" i="2"/>
  <c r="P1033" i="2"/>
  <c r="P1034" i="2"/>
  <c r="P1035" i="2"/>
  <c r="Q1035" i="2" s="1"/>
  <c r="P1036" i="2"/>
  <c r="Q1036" i="2" s="1"/>
  <c r="P1037" i="2"/>
  <c r="P1038" i="2"/>
  <c r="P1039" i="2"/>
  <c r="Q1039" i="2" s="1"/>
  <c r="P1040" i="2"/>
  <c r="P1041" i="2"/>
  <c r="Q1041" i="2" s="1"/>
  <c r="P1042" i="2"/>
  <c r="P1043" i="2"/>
  <c r="Q1043" i="2" s="1"/>
  <c r="P1044" i="2"/>
  <c r="P1045" i="2"/>
  <c r="P1046" i="2"/>
  <c r="Q1046" i="2" s="1"/>
  <c r="P1047" i="2"/>
  <c r="Q1047" i="2" s="1"/>
  <c r="P1048" i="2"/>
  <c r="P1049" i="2"/>
  <c r="P1050" i="2"/>
  <c r="P1051" i="2"/>
  <c r="P1052" i="2"/>
  <c r="P1053" i="2"/>
  <c r="P1054" i="2"/>
  <c r="P1055" i="2"/>
  <c r="Q1055" i="2" s="1"/>
  <c r="P1056" i="2"/>
  <c r="P1057" i="2"/>
  <c r="P1058" i="2"/>
  <c r="P1059" i="2"/>
  <c r="Q1059" i="2" s="1"/>
  <c r="P1060" i="2"/>
  <c r="P1061" i="2"/>
  <c r="Q1061" i="2" s="1"/>
  <c r="P1062" i="2"/>
  <c r="P1063" i="2"/>
  <c r="Q1063" i="2" s="1"/>
  <c r="P1064" i="2"/>
  <c r="Q1064" i="2" s="1"/>
  <c r="P1065" i="2"/>
  <c r="Q1065" i="2" s="1"/>
  <c r="P1066" i="2"/>
  <c r="Q1066" i="2" s="1"/>
  <c r="P1067" i="2"/>
  <c r="Q1067" i="2" s="1"/>
  <c r="P1068" i="2"/>
  <c r="Q1068" i="2" s="1"/>
  <c r="P1069" i="2"/>
  <c r="P1070" i="2"/>
  <c r="P1071" i="2"/>
  <c r="P1072" i="2"/>
  <c r="P1073" i="2"/>
  <c r="P1074" i="2"/>
  <c r="P1075" i="2"/>
  <c r="P1076" i="2"/>
  <c r="Q1076" i="2" s="1"/>
  <c r="P1077" i="2"/>
  <c r="P1078" i="2"/>
  <c r="Q1078" i="2" s="1"/>
  <c r="P1079" i="2"/>
  <c r="Q1079" i="2" s="1"/>
  <c r="P1080" i="2"/>
  <c r="P1081" i="2"/>
  <c r="Q1081" i="2" s="1"/>
  <c r="P1082" i="2"/>
  <c r="P1083" i="2"/>
  <c r="Q1083" i="2" s="1"/>
  <c r="P1084" i="2"/>
  <c r="Q1084" i="2" s="1"/>
  <c r="P1085" i="2"/>
  <c r="Q1085" i="2" s="1"/>
  <c r="P1086" i="2"/>
  <c r="P1087" i="2"/>
  <c r="P1088" i="2"/>
  <c r="Q1088" i="2" s="1"/>
  <c r="P1089" i="2"/>
  <c r="P1090" i="2"/>
  <c r="P1091" i="2"/>
  <c r="P1092" i="2"/>
  <c r="P1093" i="2"/>
  <c r="Q1093" i="2" s="1"/>
  <c r="P1094" i="2"/>
  <c r="P1095" i="2"/>
  <c r="Q1095" i="2" s="1"/>
  <c r="P1096" i="2"/>
  <c r="Q1096" i="2" s="1"/>
  <c r="P1097" i="2"/>
  <c r="Q1097" i="2" s="1"/>
  <c r="P1098" i="2"/>
  <c r="Q1098" i="2" s="1"/>
  <c r="P1099" i="2"/>
  <c r="Q1099" i="2" s="1"/>
  <c r="P1100" i="2"/>
  <c r="P1101" i="2"/>
  <c r="P1102" i="2"/>
  <c r="P1103" i="2"/>
  <c r="Q1103" i="2" s="1"/>
  <c r="P1104" i="2"/>
  <c r="P1105" i="2"/>
  <c r="Q1105" i="2" s="1"/>
  <c r="P1106" i="2"/>
  <c r="P1107" i="2"/>
  <c r="P1108" i="2"/>
  <c r="P1109" i="2"/>
  <c r="P1110" i="2"/>
  <c r="P1111" i="2"/>
  <c r="P1112" i="2"/>
  <c r="P1113" i="2"/>
  <c r="Q1113" i="2" s="1"/>
  <c r="P1114" i="2"/>
  <c r="P1115" i="2"/>
  <c r="P1116" i="2"/>
  <c r="Q1116" i="2" s="1"/>
  <c r="P1117" i="2"/>
  <c r="Q1117" i="2" s="1"/>
  <c r="P1118" i="2"/>
  <c r="P1119" i="2"/>
  <c r="P1120" i="2"/>
  <c r="Q1120" i="2" s="1"/>
  <c r="P1121" i="2"/>
  <c r="P1122" i="2"/>
  <c r="Q1122" i="2" s="1"/>
  <c r="P1123" i="2"/>
  <c r="Q1123" i="2" s="1"/>
  <c r="P1124" i="2"/>
  <c r="P1125" i="2"/>
  <c r="P1126" i="2"/>
  <c r="P1127" i="2"/>
  <c r="P1128" i="2"/>
  <c r="Q1128" i="2" s="1"/>
  <c r="P1129" i="2"/>
  <c r="Q1129" i="2" s="1"/>
  <c r="P1130" i="2"/>
  <c r="Q1130" i="2" s="1"/>
  <c r="P1131" i="2"/>
  <c r="Q1131" i="2" s="1"/>
  <c r="P1132" i="2"/>
  <c r="Q1132" i="2" s="1"/>
  <c r="P1133" i="2"/>
  <c r="Q1133" i="2" s="1"/>
  <c r="P1134" i="2"/>
  <c r="P1135" i="2"/>
  <c r="Q1135" i="2" s="1"/>
  <c r="P1136" i="2"/>
  <c r="P1137" i="2"/>
  <c r="P1138" i="2"/>
  <c r="Q1138" i="2" s="1"/>
  <c r="P1139" i="2"/>
  <c r="P1140" i="2"/>
  <c r="Q1140" i="2" s="1"/>
  <c r="P1141" i="2"/>
  <c r="Q1141" i="2" s="1"/>
  <c r="P1142" i="2"/>
  <c r="P1143" i="2"/>
  <c r="P1144" i="2"/>
  <c r="Q1144" i="2" s="1"/>
  <c r="P1145" i="2"/>
  <c r="P1146" i="2"/>
  <c r="Q1146" i="2" s="1"/>
  <c r="P1147" i="2"/>
  <c r="P1148" i="2"/>
  <c r="Q1148" i="2" s="1"/>
  <c r="P1149" i="2"/>
  <c r="P1150" i="2"/>
  <c r="Q1150" i="2" s="1"/>
  <c r="P1151" i="2"/>
  <c r="Q1151" i="2" s="1"/>
  <c r="P1152" i="2"/>
  <c r="P1153" i="2"/>
  <c r="Q1153" i="2" s="1"/>
  <c r="P1154" i="2"/>
  <c r="P1155" i="2"/>
  <c r="P1156" i="2"/>
  <c r="P1157" i="2"/>
  <c r="Q1157" i="2" s="1"/>
  <c r="P1158" i="2"/>
  <c r="P1159" i="2"/>
  <c r="P1160" i="2"/>
  <c r="Q1160" i="2" s="1"/>
  <c r="P1161" i="2"/>
  <c r="P1162" i="2"/>
  <c r="P1163" i="2"/>
  <c r="Q1163" i="2" s="1"/>
  <c r="P1164" i="2"/>
  <c r="P1165" i="2"/>
  <c r="P1166" i="2"/>
  <c r="P1167" i="2"/>
  <c r="Q1167" i="2" s="1"/>
  <c r="P1168" i="2"/>
  <c r="P1169" i="2"/>
  <c r="Q1169" i="2" s="1"/>
  <c r="P1170" i="2"/>
  <c r="Q1170" i="2" s="1"/>
  <c r="P1171" i="2"/>
  <c r="Q1171" i="2" s="1"/>
  <c r="P1172" i="2"/>
  <c r="Q1172" i="2" s="1"/>
  <c r="P1173" i="2"/>
  <c r="P1174" i="2"/>
  <c r="P1175" i="2"/>
  <c r="Q1175" i="2" s="1"/>
  <c r="P1176" i="2"/>
  <c r="P1177" i="2"/>
  <c r="P1178" i="2"/>
  <c r="P1179" i="2"/>
  <c r="P1180" i="2"/>
  <c r="P1181" i="2"/>
  <c r="P1182" i="2"/>
  <c r="P1183" i="2"/>
  <c r="P1184" i="2"/>
  <c r="P1185" i="2"/>
  <c r="Q1185" i="2" s="1"/>
  <c r="P1186" i="2"/>
  <c r="P1187" i="2"/>
  <c r="Q1187" i="2" s="1"/>
  <c r="P1188" i="2"/>
  <c r="P1189" i="2"/>
  <c r="Q1189" i="2" s="1"/>
  <c r="P1190" i="2"/>
  <c r="Q1190" i="2" s="1"/>
  <c r="P1191" i="2"/>
  <c r="Q1191" i="2" s="1"/>
  <c r="P1192" i="2"/>
  <c r="Q1192" i="2" s="1"/>
  <c r="P1193" i="2"/>
  <c r="Q1193" i="2" s="1"/>
  <c r="P1194" i="2"/>
  <c r="Q1194" i="2" s="1"/>
  <c r="P1195" i="2"/>
  <c r="Q1195" i="2" s="1"/>
  <c r="P1196" i="2"/>
  <c r="P1197" i="2"/>
  <c r="P1198" i="2"/>
  <c r="P1199" i="2"/>
  <c r="Q1199" i="2" s="1"/>
  <c r="P1200" i="2"/>
  <c r="P1201" i="2"/>
  <c r="P1202" i="2"/>
  <c r="Q1202" i="2" s="1"/>
  <c r="P1203" i="2"/>
  <c r="Q1203" i="2" s="1"/>
  <c r="P1204" i="2"/>
  <c r="P1205" i="2"/>
  <c r="Q1205" i="2" s="1"/>
  <c r="P1206" i="2"/>
  <c r="P1207" i="2"/>
  <c r="P1208" i="2"/>
  <c r="Q1208" i="2" s="1"/>
  <c r="P1209" i="2"/>
  <c r="P1210" i="2"/>
  <c r="P1211" i="2"/>
  <c r="P1212" i="2"/>
  <c r="P1213" i="2"/>
  <c r="P1214" i="2"/>
  <c r="P1215" i="2"/>
  <c r="Q1215" i="2" s="1"/>
  <c r="P1216" i="2"/>
  <c r="P1217" i="2"/>
  <c r="Q1217" i="2" s="1"/>
  <c r="P1218" i="2"/>
  <c r="P1219" i="2"/>
  <c r="Q1219" i="2" s="1"/>
  <c r="P1220" i="2"/>
  <c r="P1221" i="2"/>
  <c r="Q1221" i="2" s="1"/>
  <c r="P1222" i="2"/>
  <c r="Q1222" i="2" s="1"/>
  <c r="P1223" i="2"/>
  <c r="P1224" i="2"/>
  <c r="P1225" i="2"/>
  <c r="P1226" i="2"/>
  <c r="Q1226" i="2" s="1"/>
  <c r="P1227" i="2"/>
  <c r="P1228" i="2"/>
  <c r="P1229" i="2"/>
  <c r="P1230" i="2"/>
  <c r="Q1230" i="2" s="1"/>
  <c r="P1231" i="2"/>
  <c r="Q1231" i="2" s="1"/>
  <c r="P1232" i="2"/>
  <c r="P1233" i="2"/>
  <c r="P1234" i="2"/>
  <c r="P1235" i="2"/>
  <c r="P1236" i="2"/>
  <c r="P1237" i="2"/>
  <c r="P1238" i="2"/>
  <c r="P1239" i="2"/>
  <c r="P1240" i="2"/>
  <c r="P1241" i="2"/>
  <c r="Q1241" i="2" s="1"/>
  <c r="P1242" i="2"/>
  <c r="P1243" i="2"/>
  <c r="Q1243" i="2" s="1"/>
  <c r="P1244" i="2"/>
  <c r="P1245" i="2"/>
  <c r="Q1245" i="2" s="1"/>
  <c r="P1246" i="2"/>
  <c r="P1247" i="2"/>
  <c r="P1248" i="2"/>
  <c r="Q1248" i="2" s="1"/>
  <c r="P1249" i="2"/>
  <c r="P1250" i="2"/>
  <c r="P1251" i="2"/>
  <c r="P1252" i="2"/>
  <c r="Q1252" i="2" s="1"/>
  <c r="P1253" i="2"/>
  <c r="P1254" i="2"/>
  <c r="P1255" i="2"/>
  <c r="Q1255" i="2" s="1"/>
  <c r="P1256" i="2"/>
  <c r="Q1256" i="2" s="1"/>
  <c r="P1257" i="2"/>
  <c r="P1258" i="2"/>
  <c r="P1259" i="2"/>
  <c r="P1260" i="2"/>
  <c r="P1261" i="2"/>
  <c r="Q1261" i="2" s="1"/>
  <c r="P1262" i="2"/>
  <c r="Q1262" i="2" s="1"/>
  <c r="P1263" i="2"/>
  <c r="Q1263" i="2" s="1"/>
  <c r="P1264" i="2"/>
  <c r="P1265" i="2"/>
  <c r="P1266" i="2"/>
  <c r="P1267" i="2"/>
  <c r="Q1267" i="2" s="1"/>
  <c r="P1268" i="2"/>
  <c r="P1269" i="2"/>
  <c r="P1270" i="2"/>
  <c r="P1271" i="2"/>
  <c r="P1272" i="2"/>
  <c r="P1273" i="2"/>
  <c r="Q1273" i="2" s="1"/>
  <c r="P1274" i="2"/>
  <c r="P1275" i="2"/>
  <c r="P1276" i="2"/>
  <c r="P1277" i="2"/>
  <c r="P1278" i="2"/>
  <c r="P1279" i="2"/>
  <c r="P1280" i="2"/>
  <c r="P1281" i="2"/>
  <c r="Q1281" i="2" s="1"/>
  <c r="P1282" i="2"/>
  <c r="P1283" i="2"/>
  <c r="Q1283" i="2" s="1"/>
  <c r="P1284" i="2"/>
  <c r="Q1284" i="2" s="1"/>
  <c r="P1285" i="2"/>
  <c r="P1286" i="2"/>
  <c r="Q1286" i="2" s="1"/>
  <c r="P1287" i="2"/>
  <c r="Q1287" i="2" s="1"/>
  <c r="P1288" i="2"/>
  <c r="P1289" i="2"/>
  <c r="P1290" i="2"/>
  <c r="Q1290" i="2" s="1"/>
  <c r="P1291" i="2"/>
  <c r="P1292" i="2"/>
  <c r="Q1292" i="2" s="1"/>
  <c r="P1293" i="2"/>
  <c r="Q1293" i="2" s="1"/>
  <c r="P1294" i="2"/>
  <c r="Q1294" i="2" s="1"/>
  <c r="P1295" i="2"/>
  <c r="Q1295" i="2" s="1"/>
  <c r="P1296" i="2"/>
  <c r="Q1296" i="2" s="1"/>
  <c r="P1297" i="2"/>
  <c r="P1298" i="2"/>
  <c r="Q1298" i="2" s="1"/>
  <c r="P1299" i="2"/>
  <c r="Q1299" i="2" s="1"/>
  <c r="P1300" i="2"/>
  <c r="P1301" i="2"/>
  <c r="P1302" i="2"/>
  <c r="Q1302" i="2" s="1"/>
  <c r="P1303" i="2"/>
  <c r="P1304" i="2"/>
  <c r="Q1304" i="2" s="1"/>
  <c r="P1305" i="2"/>
  <c r="Q1305" i="2" s="1"/>
  <c r="P1306" i="2"/>
  <c r="Q1306" i="2" s="1"/>
  <c r="P1307" i="2"/>
  <c r="Q1307" i="2" s="1"/>
  <c r="P1308" i="2"/>
  <c r="Q1308" i="2" s="1"/>
  <c r="P1309" i="2"/>
  <c r="Q1309" i="2" s="1"/>
  <c r="P1310" i="2"/>
  <c r="Q1310" i="2" s="1"/>
  <c r="P1311" i="2"/>
  <c r="Q1311" i="2" s="1"/>
  <c r="P1312" i="2"/>
  <c r="Q1312" i="2" s="1"/>
  <c r="P1313" i="2"/>
  <c r="P1314" i="2"/>
  <c r="P1315" i="2"/>
  <c r="Q1315" i="2" s="1"/>
  <c r="P1316" i="2"/>
  <c r="Q1316" i="2" s="1"/>
  <c r="P1317" i="2"/>
  <c r="Q1317" i="2" s="1"/>
  <c r="P1318" i="2"/>
  <c r="P1319" i="2"/>
  <c r="P1320" i="2"/>
  <c r="Q1320" i="2" s="1"/>
  <c r="P1321" i="2"/>
  <c r="P1322" i="2"/>
  <c r="Q1322" i="2" s="1"/>
  <c r="P1323" i="2"/>
  <c r="Q1323" i="2" s="1"/>
  <c r="P1324" i="2"/>
  <c r="P1325" i="2"/>
  <c r="P1326" i="2"/>
  <c r="P1327" i="2"/>
  <c r="P1328" i="2"/>
  <c r="P1329" i="2"/>
  <c r="P1330" i="2"/>
  <c r="Q1330" i="2" s="1"/>
  <c r="P1331" i="2"/>
  <c r="P1332" i="2"/>
  <c r="P1333" i="2"/>
  <c r="P1334" i="2"/>
  <c r="Q1334" i="2" s="1"/>
  <c r="P1335" i="2"/>
  <c r="Q1335" i="2" s="1"/>
  <c r="P1336" i="2"/>
  <c r="P1337" i="2"/>
  <c r="Q1337" i="2" s="1"/>
  <c r="P1338" i="2"/>
  <c r="Q1338" i="2" s="1"/>
  <c r="P1339" i="2"/>
  <c r="P1340" i="2"/>
  <c r="P1341" i="2"/>
  <c r="P1342" i="2"/>
  <c r="P1343" i="2"/>
  <c r="P1344" i="2"/>
  <c r="P1345" i="2"/>
  <c r="Q1345" i="2" s="1"/>
  <c r="P1346" i="2"/>
  <c r="Q1346" i="2" s="1"/>
  <c r="P1347" i="2"/>
  <c r="P1348" i="2"/>
  <c r="P1349" i="2"/>
  <c r="P1350" i="2"/>
  <c r="Q1350" i="2" s="1"/>
  <c r="P1351" i="2"/>
  <c r="P1352" i="2"/>
  <c r="P1353" i="2"/>
  <c r="P1354" i="2"/>
  <c r="P1355" i="2"/>
  <c r="Q1355" i="2" s="1"/>
  <c r="P1356" i="2"/>
  <c r="Q1356" i="2" s="1"/>
  <c r="P1357" i="2"/>
  <c r="Q1357" i="2" s="1"/>
  <c r="P1358" i="2"/>
  <c r="P1359" i="2"/>
  <c r="P1360" i="2"/>
  <c r="P1361" i="2"/>
  <c r="Q1361" i="2" s="1"/>
  <c r="P1362" i="2"/>
  <c r="Q1362" i="2" s="1"/>
  <c r="P1363" i="2"/>
  <c r="P1364" i="2"/>
  <c r="Q1364" i="2" s="1"/>
  <c r="P1365" i="2"/>
  <c r="P1366" i="2"/>
  <c r="P1367" i="2"/>
  <c r="P1368" i="2"/>
  <c r="P1369" i="2"/>
  <c r="P1370" i="2"/>
  <c r="Q1370" i="2" s="1"/>
  <c r="P1371" i="2"/>
  <c r="P1372" i="2"/>
  <c r="P1373" i="2"/>
  <c r="Q1373" i="2" s="1"/>
  <c r="P1374" i="2"/>
  <c r="P1375" i="2"/>
  <c r="P1376" i="2"/>
  <c r="P1377" i="2"/>
  <c r="Q1377" i="2" s="1"/>
  <c r="P1378" i="2"/>
  <c r="P1379" i="2"/>
  <c r="P1380" i="2"/>
  <c r="Q1380" i="2" s="1"/>
  <c r="P1381" i="2"/>
  <c r="Q1381" i="2" s="1"/>
  <c r="P1382" i="2"/>
  <c r="P1383" i="2"/>
  <c r="P1384" i="2"/>
  <c r="Q1384" i="2" s="1"/>
  <c r="P1385" i="2"/>
  <c r="P1386" i="2"/>
  <c r="Q1386" i="2" s="1"/>
  <c r="P1387" i="2"/>
  <c r="P1388" i="2"/>
  <c r="Q1388" i="2" s="1"/>
  <c r="P1389" i="2"/>
  <c r="Q1389" i="2" s="1"/>
  <c r="P1390" i="2"/>
  <c r="P1391" i="2"/>
  <c r="P1392" i="2"/>
  <c r="P1393" i="2"/>
  <c r="P1394" i="2"/>
  <c r="P1395" i="2"/>
  <c r="P1396" i="2"/>
  <c r="Q1396" i="2" s="1"/>
  <c r="P1397" i="2"/>
  <c r="Q1397" i="2" s="1"/>
  <c r="P1398" i="2"/>
  <c r="Q1398" i="2" s="1"/>
  <c r="P1399" i="2"/>
  <c r="P1400" i="2"/>
  <c r="P1401" i="2"/>
  <c r="P1402" i="2"/>
  <c r="P1403" i="2"/>
  <c r="P1404" i="2"/>
  <c r="P1405" i="2"/>
  <c r="Q1405" i="2" s="1"/>
  <c r="P1406" i="2"/>
  <c r="P1407" i="2"/>
  <c r="P1408" i="2"/>
  <c r="P1409" i="2"/>
  <c r="P1410" i="2"/>
  <c r="Q1410" i="2" s="1"/>
  <c r="P1411" i="2"/>
  <c r="P1412" i="2"/>
  <c r="Q1412" i="2" s="1"/>
  <c r="P1413" i="2"/>
  <c r="Q1413" i="2" s="1"/>
  <c r="P1414" i="2"/>
  <c r="P1415" i="2"/>
  <c r="P1416" i="2"/>
  <c r="P1417" i="2"/>
  <c r="Q1417" i="2" s="1"/>
  <c r="P1418" i="2"/>
  <c r="P1419" i="2"/>
  <c r="Q1419" i="2" s="1"/>
  <c r="P1420" i="2"/>
  <c r="P1421" i="2"/>
  <c r="P1422" i="2"/>
  <c r="P1423" i="2"/>
  <c r="P1424" i="2"/>
  <c r="P1425" i="2"/>
  <c r="Q1425" i="2" s="1"/>
  <c r="P1426" i="2"/>
  <c r="P1427" i="2"/>
  <c r="P1428" i="2"/>
  <c r="Q1428" i="2" s="1"/>
  <c r="P1429" i="2"/>
  <c r="Q1429" i="2" s="1"/>
  <c r="P1430" i="2"/>
  <c r="Q1430" i="2" s="1"/>
  <c r="P1431" i="2"/>
  <c r="P1432" i="2"/>
  <c r="P1433" i="2"/>
  <c r="P1434" i="2"/>
  <c r="P1435" i="2"/>
  <c r="Q1435" i="2" s="1"/>
  <c r="P1436" i="2"/>
  <c r="P1437" i="2"/>
  <c r="P1438" i="2"/>
  <c r="P1439" i="2"/>
  <c r="P1440" i="2"/>
  <c r="P1441" i="2"/>
  <c r="Q1441" i="2" s="1"/>
  <c r="P1442" i="2"/>
  <c r="P1443" i="2"/>
  <c r="P1444" i="2"/>
  <c r="Q1444" i="2" s="1"/>
  <c r="P1445" i="2"/>
  <c r="P1446" i="2"/>
  <c r="P1447" i="2"/>
  <c r="Q1447" i="2" s="1"/>
  <c r="P1448" i="2"/>
  <c r="P1449" i="2"/>
  <c r="Q1449" i="2" s="1"/>
  <c r="P1450" i="2"/>
  <c r="P1451" i="2"/>
  <c r="P1452" i="2"/>
  <c r="Q1452" i="2" s="1"/>
  <c r="P1453" i="2"/>
  <c r="P1454" i="2"/>
  <c r="P1455" i="2"/>
  <c r="Q1455" i="2" s="1"/>
  <c r="P1456" i="2"/>
  <c r="P1457" i="2"/>
  <c r="P1458" i="2"/>
  <c r="P1459" i="2"/>
  <c r="Q1459" i="2" s="1"/>
  <c r="P1460" i="2"/>
  <c r="Q1460" i="2" s="1"/>
  <c r="P1461" i="2"/>
  <c r="P1462" i="2"/>
  <c r="P1463" i="2"/>
  <c r="P1464" i="2"/>
  <c r="P1465" i="2"/>
  <c r="P1466" i="2"/>
  <c r="P1467" i="2"/>
  <c r="P1468" i="2"/>
  <c r="P1469" i="2"/>
  <c r="P1470" i="2"/>
  <c r="P1471" i="2"/>
  <c r="P1472" i="2"/>
  <c r="Q1472" i="2" s="1"/>
  <c r="P1473" i="2"/>
  <c r="Q1473" i="2" s="1"/>
  <c r="P1474" i="2"/>
  <c r="P1475" i="2"/>
  <c r="P1476" i="2"/>
  <c r="P1477" i="2"/>
  <c r="P1478" i="2"/>
  <c r="Q1478" i="2" s="1"/>
  <c r="P1479" i="2"/>
  <c r="P1480" i="2"/>
  <c r="Q1480" i="2" s="1"/>
  <c r="P1481" i="2"/>
  <c r="P1482" i="2"/>
  <c r="P1483" i="2"/>
  <c r="Q1483" i="2" s="1"/>
  <c r="P1484" i="2"/>
  <c r="Q1484" i="2" s="1"/>
  <c r="P1485" i="2"/>
  <c r="P1486" i="2"/>
  <c r="Q1486" i="2" s="1"/>
  <c r="P1487" i="2"/>
  <c r="P1488" i="2"/>
  <c r="Q1488" i="2" s="1"/>
  <c r="P1489" i="2"/>
  <c r="Q1489" i="2" s="1"/>
  <c r="P1490" i="2"/>
  <c r="P1491" i="2"/>
  <c r="P1492" i="2"/>
  <c r="Q1492" i="2" s="1"/>
  <c r="P1493" i="2"/>
  <c r="P1494" i="2"/>
  <c r="P1495" i="2"/>
  <c r="P1496" i="2"/>
  <c r="P1497" i="2"/>
  <c r="P1498" i="2"/>
  <c r="P1499" i="2"/>
  <c r="Q1499" i="2" s="1"/>
  <c r="P1500" i="2"/>
  <c r="P1501" i="2"/>
  <c r="P1502" i="2"/>
  <c r="P1503" i="2"/>
  <c r="P1504" i="2"/>
  <c r="P1505" i="2"/>
  <c r="P1506" i="2"/>
  <c r="P1507" i="2"/>
  <c r="Q1507" i="2" s="1"/>
  <c r="P1508" i="2"/>
  <c r="P1509" i="2"/>
  <c r="P1510" i="2"/>
  <c r="Q1510" i="2" s="1"/>
  <c r="P1511" i="2"/>
  <c r="Q1511" i="2" s="1"/>
  <c r="P1512" i="2"/>
  <c r="P1513" i="2"/>
  <c r="Q1513" i="2" s="1"/>
  <c r="P1514" i="2"/>
  <c r="Q1514" i="2" s="1"/>
  <c r="P1515" i="2"/>
  <c r="P1516" i="2"/>
  <c r="Q1516" i="2" s="1"/>
  <c r="P1517" i="2"/>
  <c r="P1518" i="2"/>
  <c r="P1519" i="2"/>
  <c r="Q1519" i="2" s="1"/>
  <c r="P1520" i="2"/>
  <c r="Q1520" i="2" s="1"/>
  <c r="P1521" i="2"/>
  <c r="Q1521" i="2" s="1"/>
  <c r="P1522" i="2"/>
  <c r="P1523" i="2"/>
  <c r="P1524" i="2"/>
  <c r="P1525" i="2"/>
  <c r="P1526" i="2"/>
  <c r="P1527" i="2"/>
  <c r="Q1527" i="2" s="1"/>
  <c r="P1528" i="2"/>
  <c r="P1529" i="2"/>
  <c r="P1530" i="2"/>
  <c r="P1531" i="2"/>
  <c r="Q1531" i="2" s="1"/>
  <c r="P1532" i="2"/>
  <c r="Q1532" i="2" s="1"/>
  <c r="P1533" i="2"/>
  <c r="Q1533" i="2" s="1"/>
  <c r="P1534" i="2"/>
  <c r="Q1534" i="2" s="1"/>
  <c r="P1535" i="2"/>
  <c r="P1536" i="2"/>
  <c r="Q1536" i="2" s="1"/>
  <c r="P1537" i="2"/>
  <c r="Q1537" i="2" s="1"/>
  <c r="P1538" i="2"/>
  <c r="P1539" i="2"/>
  <c r="P1540" i="2"/>
  <c r="P1541" i="2"/>
  <c r="Q1541" i="2" s="1"/>
  <c r="P1542" i="2"/>
  <c r="Q1542" i="2" s="1"/>
  <c r="P1543" i="2"/>
  <c r="P1544" i="2"/>
  <c r="P1545" i="2"/>
  <c r="Q1545" i="2" s="1"/>
  <c r="P1546" i="2"/>
  <c r="P1547" i="2"/>
  <c r="P1548" i="2"/>
  <c r="P1549" i="2"/>
  <c r="Q1549" i="2" s="1"/>
  <c r="P1550" i="2"/>
  <c r="Q1550" i="2" s="1"/>
  <c r="P1551" i="2"/>
  <c r="Q1551" i="2" s="1"/>
  <c r="P1552" i="2"/>
  <c r="P1553" i="2"/>
  <c r="Q1553" i="2" s="1"/>
  <c r="P1554" i="2"/>
  <c r="P1555" i="2"/>
  <c r="P1556" i="2"/>
  <c r="P1557" i="2"/>
  <c r="P1558" i="2"/>
  <c r="P1559" i="2"/>
  <c r="P1560" i="2"/>
  <c r="P1561" i="2"/>
  <c r="P1562" i="2"/>
  <c r="P1563" i="2"/>
  <c r="Q1563" i="2" s="1"/>
  <c r="P1564" i="2"/>
  <c r="Q1564" i="2" s="1"/>
  <c r="P1565" i="2"/>
  <c r="Q1565" i="2" s="1"/>
  <c r="P1566" i="2"/>
  <c r="P1567" i="2"/>
  <c r="P1568" i="2"/>
  <c r="P1569" i="2"/>
  <c r="P1570" i="2"/>
  <c r="P1571" i="2"/>
  <c r="Q1571" i="2" s="1"/>
  <c r="P1572" i="2"/>
  <c r="Q1572" i="2" s="1"/>
  <c r="P1573" i="2"/>
  <c r="Q1573" i="2" s="1"/>
  <c r="P1574" i="2"/>
  <c r="Q1574" i="2" s="1"/>
  <c r="P1575" i="2"/>
  <c r="Q1575" i="2" s="1"/>
  <c r="P1576" i="2"/>
  <c r="Q1576" i="2" s="1"/>
  <c r="P1577" i="2"/>
  <c r="P1578" i="2"/>
  <c r="Q1578" i="2" s="1"/>
  <c r="P1579" i="2"/>
  <c r="Q1579" i="2" s="1"/>
  <c r="P1580" i="2"/>
  <c r="P1581" i="2"/>
  <c r="Q1581" i="2" s="1"/>
  <c r="P1582" i="2"/>
  <c r="Q1582" i="2" s="1"/>
  <c r="P1583" i="2"/>
  <c r="P1584" i="2"/>
  <c r="Q1584" i="2" s="1"/>
  <c r="P1585" i="2"/>
  <c r="P1586" i="2"/>
  <c r="Q1586" i="2" s="1"/>
  <c r="P1587" i="2"/>
  <c r="P1588" i="2"/>
  <c r="Q1588" i="2" s="1"/>
  <c r="P1589" i="2"/>
  <c r="Q1589" i="2" s="1"/>
  <c r="P1590" i="2"/>
  <c r="Q1590" i="2" s="1"/>
  <c r="P1591" i="2"/>
  <c r="P1592" i="2"/>
  <c r="P1593" i="2"/>
  <c r="P1594" i="2"/>
  <c r="Q1594" i="2" s="1"/>
  <c r="P1595" i="2"/>
  <c r="P1596" i="2"/>
  <c r="P1597" i="2"/>
  <c r="P1598" i="2"/>
  <c r="P1599" i="2"/>
  <c r="P1600" i="2"/>
  <c r="P1601" i="2"/>
  <c r="P1602" i="2"/>
  <c r="P1603" i="2"/>
  <c r="Q1603" i="2" s="1"/>
  <c r="P1604" i="2"/>
  <c r="P1605" i="2"/>
  <c r="P1606" i="2"/>
  <c r="P1607" i="2"/>
  <c r="P1608" i="2"/>
  <c r="P1609" i="2"/>
  <c r="P1610" i="2"/>
  <c r="P1611" i="2"/>
  <c r="Q1611" i="2" s="1"/>
  <c r="P1612" i="2"/>
  <c r="Q1612" i="2" s="1"/>
  <c r="P1613" i="2"/>
  <c r="P1614" i="2"/>
  <c r="Q1614" i="2" s="1"/>
  <c r="P1615" i="2"/>
  <c r="Q1615" i="2" s="1"/>
  <c r="P1616" i="2"/>
  <c r="P1617" i="2"/>
  <c r="Q1617" i="2" s="1"/>
  <c r="P1618" i="2"/>
  <c r="P1619" i="2"/>
  <c r="P1620" i="2"/>
  <c r="Q1620" i="2" s="1"/>
  <c r="P1621" i="2"/>
  <c r="P1622" i="2"/>
  <c r="P1623" i="2"/>
  <c r="Q1623" i="2" s="1"/>
  <c r="P1624" i="2"/>
  <c r="Q1624" i="2" s="1"/>
  <c r="P1625" i="2"/>
  <c r="P1626" i="2"/>
  <c r="Q1626" i="2" s="1"/>
  <c r="P1627" i="2"/>
  <c r="Q1627" i="2" s="1"/>
  <c r="P1628" i="2"/>
  <c r="Q1628" i="2" s="1"/>
  <c r="P1629" i="2"/>
  <c r="Q1629" i="2" s="1"/>
  <c r="P1630" i="2"/>
  <c r="Q1630" i="2" s="1"/>
  <c r="P1631" i="2"/>
  <c r="P1632" i="2"/>
  <c r="P1633" i="2"/>
  <c r="Q1633" i="2" s="1"/>
  <c r="P1634" i="2"/>
  <c r="P1635" i="2"/>
  <c r="Q1635" i="2" s="1"/>
  <c r="P1636" i="2"/>
  <c r="P1637" i="2"/>
  <c r="Q1637" i="2" s="1"/>
  <c r="P1638" i="2"/>
  <c r="Q1638" i="2" s="1"/>
  <c r="P1639" i="2"/>
  <c r="Q1639" i="2" s="1"/>
  <c r="P1640" i="2"/>
  <c r="Q1640" i="2" s="1"/>
  <c r="P1641" i="2"/>
  <c r="P1642" i="2"/>
  <c r="P1643" i="2"/>
  <c r="P1644" i="2"/>
  <c r="P1645" i="2"/>
  <c r="Q1645" i="2" s="1"/>
  <c r="P1646" i="2"/>
  <c r="Q1646" i="2" s="1"/>
  <c r="P1647" i="2"/>
  <c r="P1648" i="2"/>
  <c r="Q1648" i="2" s="1"/>
  <c r="P1649" i="2"/>
  <c r="Q1649" i="2" s="1"/>
  <c r="P1650" i="2"/>
  <c r="Q1650" i="2" s="1"/>
  <c r="P1651" i="2"/>
  <c r="Q1651" i="2" s="1"/>
  <c r="P1652" i="2"/>
  <c r="P1653" i="2"/>
  <c r="Q1653" i="2" s="1"/>
  <c r="P1654" i="2"/>
  <c r="P1655" i="2"/>
  <c r="Q1655" i="2" s="1"/>
  <c r="P1656" i="2"/>
  <c r="P1657" i="2"/>
  <c r="P1658" i="2"/>
  <c r="P1659" i="2"/>
  <c r="Q1659" i="2" s="1"/>
  <c r="P1660" i="2"/>
  <c r="Q1660" i="2" s="1"/>
  <c r="P1661" i="2"/>
  <c r="P1662" i="2"/>
  <c r="P1663" i="2"/>
  <c r="P1664" i="2"/>
  <c r="P1665" i="2"/>
  <c r="P1666" i="2"/>
  <c r="Q1666" i="2" s="1"/>
  <c r="P1667" i="2"/>
  <c r="P1668" i="2"/>
  <c r="P1669" i="2"/>
  <c r="Q1669" i="2" s="1"/>
  <c r="P1670" i="2"/>
  <c r="P1671" i="2"/>
  <c r="P1672" i="2"/>
  <c r="P1673" i="2"/>
  <c r="Q1673" i="2" s="1"/>
  <c r="P1674" i="2"/>
  <c r="P1675" i="2"/>
  <c r="P1676" i="2"/>
  <c r="P1677" i="2"/>
  <c r="P1678" i="2"/>
  <c r="P1679" i="2"/>
  <c r="P1680" i="2"/>
  <c r="P1681" i="2"/>
  <c r="P1682" i="2"/>
  <c r="P1683" i="2"/>
  <c r="P1684" i="2"/>
  <c r="Q1684" i="2" s="1"/>
  <c r="P1685" i="2"/>
  <c r="P1686" i="2"/>
  <c r="Q1686" i="2" s="1"/>
  <c r="P1687" i="2"/>
  <c r="Q1687" i="2" s="1"/>
  <c r="P1688" i="2"/>
  <c r="Q1688" i="2" s="1"/>
  <c r="P1689" i="2"/>
  <c r="Q1689" i="2" s="1"/>
  <c r="P1690" i="2"/>
  <c r="P1691" i="2"/>
  <c r="P1692" i="2"/>
  <c r="P1693" i="2"/>
  <c r="Q1693" i="2" s="1"/>
  <c r="P1694" i="2"/>
  <c r="Q1694" i="2" s="1"/>
  <c r="P1695" i="2"/>
  <c r="Q1695" i="2" s="1"/>
  <c r="P1696" i="2"/>
  <c r="Q1696" i="2" s="1"/>
  <c r="P1697" i="2"/>
  <c r="P1698" i="2"/>
  <c r="Q1698" i="2" s="1"/>
  <c r="P1699" i="2"/>
  <c r="Q1699" i="2" s="1"/>
  <c r="P1700" i="2"/>
  <c r="Q1700" i="2" s="1"/>
  <c r="P1701" i="2"/>
  <c r="P1702" i="2"/>
  <c r="Q1702" i="2" s="1"/>
  <c r="P1703" i="2"/>
  <c r="Q1703" i="2" s="1"/>
  <c r="P1704" i="2"/>
  <c r="P1705" i="2"/>
  <c r="Q1705" i="2" s="1"/>
  <c r="P1706" i="2"/>
  <c r="P1707" i="2"/>
  <c r="Q1707" i="2" s="1"/>
  <c r="P1708" i="2"/>
  <c r="P1709" i="2"/>
  <c r="P1710" i="2"/>
  <c r="P1711" i="2"/>
  <c r="P1712" i="2"/>
  <c r="P1713" i="2"/>
  <c r="P1714" i="2"/>
  <c r="Q1714" i="2" s="1"/>
  <c r="P1715" i="2"/>
  <c r="Q1715" i="2" s="1"/>
  <c r="P1716" i="2"/>
  <c r="Q1716" i="2" s="1"/>
  <c r="P1717" i="2"/>
  <c r="P1718" i="2"/>
  <c r="P1719" i="2"/>
  <c r="P1720" i="2"/>
  <c r="P1721" i="2"/>
  <c r="P1722" i="2"/>
  <c r="P1723" i="2"/>
  <c r="Q1723" i="2" s="1"/>
  <c r="P1724" i="2"/>
  <c r="Q1724" i="2" s="1"/>
  <c r="P1725" i="2"/>
  <c r="Q1725" i="2" s="1"/>
  <c r="P1726" i="2"/>
  <c r="Q1726" i="2" s="1"/>
  <c r="P1727" i="2"/>
  <c r="Q1727" i="2" s="1"/>
  <c r="P1728" i="2"/>
  <c r="Q1728" i="2" s="1"/>
  <c r="P1729" i="2"/>
  <c r="P1730" i="2"/>
  <c r="Q1730" i="2" s="1"/>
  <c r="P1731" i="2"/>
  <c r="P1732" i="2"/>
  <c r="Q1732" i="2" s="1"/>
  <c r="P1733" i="2"/>
  <c r="Q1733" i="2" s="1"/>
  <c r="P1734" i="2"/>
  <c r="Q1734" i="2" s="1"/>
  <c r="P1735" i="2"/>
  <c r="Q1735" i="2" s="1"/>
  <c r="P1736" i="2"/>
  <c r="P1737" i="2"/>
  <c r="P1738" i="2"/>
  <c r="P1739" i="2"/>
  <c r="P1740" i="2"/>
  <c r="P1741" i="2"/>
  <c r="P1742" i="2"/>
  <c r="P1743" i="2"/>
  <c r="Q1743" i="2" s="1"/>
  <c r="P1744" i="2"/>
  <c r="Q1744" i="2" s="1"/>
  <c r="P1745" i="2"/>
  <c r="Q1745" i="2" s="1"/>
  <c r="P1746" i="2"/>
  <c r="P1747" i="2"/>
  <c r="P1748" i="2"/>
  <c r="P1749" i="2"/>
  <c r="Q1749" i="2" s="1"/>
  <c r="P1750" i="2"/>
  <c r="Q1750" i="2" s="1"/>
  <c r="P1751" i="2"/>
  <c r="Q1751" i="2" s="1"/>
  <c r="P1752" i="2"/>
  <c r="Q1752" i="2" s="1"/>
  <c r="P1753" i="2"/>
  <c r="P1754" i="2"/>
  <c r="P1755" i="2"/>
  <c r="P1756" i="2"/>
  <c r="P1757" i="2"/>
  <c r="P1758" i="2"/>
  <c r="P1759" i="2"/>
  <c r="P1760" i="2"/>
  <c r="Q1760" i="2" s="1"/>
  <c r="P1761" i="2"/>
  <c r="Q1761" i="2" s="1"/>
  <c r="P1762" i="2"/>
  <c r="P1763" i="2"/>
  <c r="Q1763" i="2" s="1"/>
  <c r="P1764" i="2"/>
  <c r="Q1764" i="2" s="1"/>
  <c r="P1765" i="2"/>
  <c r="Q1765" i="2" s="1"/>
  <c r="P1766" i="2"/>
  <c r="P1767" i="2"/>
  <c r="P1768" i="2"/>
  <c r="P1769" i="2"/>
  <c r="P1770" i="2"/>
  <c r="Q1770" i="2" s="1"/>
  <c r="P1771" i="2"/>
  <c r="P1772" i="2"/>
  <c r="Q1772" i="2" s="1"/>
  <c r="P1773" i="2"/>
  <c r="P1774" i="2"/>
  <c r="Q1774" i="2" s="1"/>
  <c r="P1775" i="2"/>
  <c r="P1776" i="2"/>
  <c r="Q1776" i="2" s="1"/>
  <c r="P1777" i="2"/>
  <c r="P1778" i="2"/>
  <c r="Q1778" i="2" s="1"/>
  <c r="P1779" i="2"/>
  <c r="Q1779" i="2" s="1"/>
  <c r="P1780" i="2"/>
  <c r="P1781" i="2"/>
  <c r="P1782" i="2"/>
  <c r="Q1782" i="2" s="1"/>
  <c r="P1783" i="2"/>
  <c r="P1784" i="2"/>
  <c r="P1785" i="2"/>
  <c r="P1786" i="2"/>
  <c r="P1787" i="2"/>
  <c r="P1788" i="2"/>
  <c r="P1789" i="2"/>
  <c r="Q1789" i="2" s="1"/>
  <c r="P1790" i="2"/>
  <c r="P1791" i="2"/>
  <c r="P1792" i="2"/>
  <c r="P1793" i="2"/>
  <c r="Q1793" i="2" s="1"/>
  <c r="P1794" i="2"/>
  <c r="P1795" i="2"/>
  <c r="P1796" i="2"/>
  <c r="P1797" i="2"/>
  <c r="P1798" i="2"/>
  <c r="Q1798" i="2" s="1"/>
  <c r="P1799" i="2"/>
  <c r="Q1799" i="2" s="1"/>
  <c r="P1800" i="2"/>
  <c r="P1801" i="2"/>
  <c r="P1802" i="2"/>
  <c r="P1803" i="2"/>
  <c r="P1804" i="2"/>
  <c r="Q1804" i="2" s="1"/>
  <c r="P1805" i="2"/>
  <c r="Q1805" i="2" s="1"/>
  <c r="P1806" i="2"/>
  <c r="P1807" i="2"/>
  <c r="P1808" i="2"/>
  <c r="P1809" i="2"/>
  <c r="P1810" i="2"/>
  <c r="P1811" i="2"/>
  <c r="P1812" i="2"/>
  <c r="Q1812" i="2" s="1"/>
  <c r="P1813" i="2"/>
  <c r="P1814" i="2"/>
  <c r="Q1814" i="2" s="1"/>
  <c r="P1815" i="2"/>
  <c r="P1816" i="2"/>
  <c r="P1817" i="2"/>
  <c r="P1818" i="2"/>
  <c r="Q1818" i="2" s="1"/>
  <c r="P1819" i="2"/>
  <c r="Q1819" i="2" s="1"/>
  <c r="P1820" i="2"/>
  <c r="P1821" i="2"/>
  <c r="Q1821" i="2" s="1"/>
  <c r="P1822" i="2"/>
  <c r="P1823" i="2"/>
  <c r="P1824" i="2"/>
  <c r="P1825" i="2"/>
  <c r="Q1825" i="2" s="1"/>
  <c r="P1826" i="2"/>
  <c r="Q1826" i="2" s="1"/>
  <c r="P1827" i="2"/>
  <c r="Q1827" i="2" s="1"/>
  <c r="P1828" i="2"/>
  <c r="Q1828" i="2" s="1"/>
  <c r="P1829" i="2"/>
  <c r="Q1829" i="2" s="1"/>
  <c r="P1830" i="2"/>
  <c r="Q1830" i="2" s="1"/>
  <c r="P1831" i="2"/>
  <c r="Q1831" i="2" s="1"/>
  <c r="P1832" i="2"/>
  <c r="P1833" i="2"/>
  <c r="P1834" i="2"/>
  <c r="P1835" i="2"/>
  <c r="P1836" i="2"/>
  <c r="P1837" i="2"/>
  <c r="Q1837" i="2" s="1"/>
  <c r="P1838" i="2"/>
  <c r="P1839" i="2"/>
  <c r="Q1839" i="2" s="1"/>
  <c r="P1840" i="2"/>
  <c r="Q1840" i="2" s="1"/>
  <c r="P1841" i="2"/>
  <c r="P1842" i="2"/>
  <c r="P1843" i="2"/>
  <c r="P1844" i="2"/>
  <c r="P1845" i="2"/>
  <c r="P1846" i="2"/>
  <c r="P1847" i="2"/>
  <c r="P1848" i="2"/>
  <c r="P1849" i="2"/>
  <c r="Q1849" i="2" s="1"/>
  <c r="P1850" i="2"/>
  <c r="Q1850" i="2" s="1"/>
  <c r="P1851" i="2"/>
  <c r="Q1851" i="2" s="1"/>
  <c r="P1852" i="2"/>
  <c r="Q1852" i="2" s="1"/>
  <c r="P1853" i="2"/>
  <c r="P1854" i="2"/>
  <c r="Q1854" i="2" s="1"/>
  <c r="P1855" i="2"/>
  <c r="Q1855" i="2" s="1"/>
  <c r="P1856" i="2"/>
  <c r="P1857" i="2"/>
  <c r="Q1857" i="2" s="1"/>
  <c r="P1858" i="2"/>
  <c r="P1859" i="2"/>
  <c r="Q1859" i="2" s="1"/>
  <c r="P1860" i="2"/>
  <c r="Q1860" i="2" s="1"/>
  <c r="P1861" i="2"/>
  <c r="P1862" i="2"/>
  <c r="P1863" i="2"/>
  <c r="P1864" i="2"/>
  <c r="Q1864" i="2" s="1"/>
  <c r="P1865" i="2"/>
  <c r="P1866" i="2"/>
  <c r="Q1866" i="2" s="1"/>
  <c r="P1867" i="2"/>
  <c r="Q1867" i="2" s="1"/>
  <c r="P1868" i="2"/>
  <c r="P1869" i="2"/>
  <c r="P1870" i="2"/>
  <c r="Q1870" i="2" s="1"/>
  <c r="P1871" i="2"/>
  <c r="Q1871" i="2" s="1"/>
  <c r="P1872" i="2"/>
  <c r="Q1872" i="2" s="1"/>
  <c r="P1873" i="2"/>
  <c r="P1874" i="2"/>
  <c r="Q1874" i="2" s="1"/>
  <c r="P1875" i="2"/>
  <c r="Q1875" i="2" s="1"/>
  <c r="P1876" i="2"/>
  <c r="P1877" i="2"/>
  <c r="Q1877" i="2" s="1"/>
  <c r="P1878" i="2"/>
  <c r="P1879" i="2"/>
  <c r="P1880" i="2"/>
  <c r="Q1880" i="2" s="1"/>
  <c r="P1881" i="2"/>
  <c r="Q1881" i="2" s="1"/>
  <c r="P1882" i="2"/>
  <c r="P1883" i="2"/>
  <c r="P1884" i="2"/>
  <c r="P1885" i="2"/>
  <c r="P1886" i="2"/>
  <c r="Q1886" i="2" s="1"/>
  <c r="P1887" i="2"/>
  <c r="P1888" i="2"/>
  <c r="P1889" i="2"/>
  <c r="Q1889" i="2" s="1"/>
  <c r="P1890" i="2"/>
  <c r="P1891" i="2"/>
  <c r="P1892" i="2"/>
  <c r="Q1892" i="2" s="1"/>
  <c r="P1893" i="2"/>
  <c r="Q1893" i="2" s="1"/>
  <c r="P1894" i="2"/>
  <c r="P1895" i="2"/>
  <c r="Q1895" i="2" s="1"/>
  <c r="P1896" i="2"/>
  <c r="P1897" i="2"/>
  <c r="Q1897" i="2" s="1"/>
  <c r="P1898" i="2"/>
  <c r="P1899" i="2"/>
  <c r="Q1899" i="2" s="1"/>
  <c r="P1900" i="2"/>
  <c r="Q1900" i="2" s="1"/>
  <c r="P1901" i="2"/>
  <c r="P1902" i="2"/>
  <c r="P1903" i="2"/>
  <c r="P1904" i="2"/>
  <c r="Q1904" i="2" s="1"/>
  <c r="P1905" i="2"/>
  <c r="Q1905" i="2" s="1"/>
  <c r="P1906" i="2"/>
  <c r="P1907" i="2"/>
  <c r="P1908" i="2"/>
  <c r="P1909" i="2"/>
  <c r="P1910" i="2"/>
  <c r="Q1910" i="2" s="1"/>
  <c r="P1911" i="2"/>
  <c r="P1912" i="2"/>
  <c r="Q1912" i="2" s="1"/>
  <c r="P1913" i="2"/>
  <c r="P1914" i="2"/>
  <c r="Q1914" i="2" s="1"/>
  <c r="P1915" i="2"/>
  <c r="P1916" i="2"/>
  <c r="P1917" i="2"/>
  <c r="P1918" i="2"/>
  <c r="Q1918" i="2" s="1"/>
  <c r="P1919" i="2"/>
  <c r="P1920" i="2"/>
  <c r="P1921" i="2"/>
  <c r="P1922" i="2"/>
  <c r="P1923" i="2"/>
  <c r="Q1923" i="2" s="1"/>
  <c r="P1924" i="2"/>
  <c r="P1925" i="2"/>
  <c r="Q1925" i="2" s="1"/>
  <c r="P1926" i="2"/>
  <c r="P1927" i="2"/>
  <c r="P1928" i="2"/>
  <c r="P1929" i="2"/>
  <c r="P1930" i="2"/>
  <c r="P1931" i="2"/>
  <c r="P1932" i="2"/>
  <c r="Q1932" i="2" s="1"/>
  <c r="P1933" i="2"/>
  <c r="Q1933" i="2" s="1"/>
  <c r="P1934" i="2"/>
  <c r="P1935" i="2"/>
  <c r="P1936" i="2"/>
  <c r="Q1936" i="2" s="1"/>
  <c r="P1937" i="2"/>
  <c r="Q1937" i="2" s="1"/>
  <c r="P1938" i="2"/>
  <c r="Q1938" i="2" s="1"/>
  <c r="P1939" i="2"/>
  <c r="Q1939" i="2" s="1"/>
  <c r="P1940" i="2"/>
  <c r="Q1940" i="2" s="1"/>
  <c r="P1941" i="2"/>
  <c r="Q1941" i="2" s="1"/>
  <c r="P1942" i="2"/>
  <c r="Q1942" i="2" s="1"/>
  <c r="P1943" i="2"/>
  <c r="P1944" i="2"/>
  <c r="P1945" i="2"/>
  <c r="P1946" i="2"/>
  <c r="P1947" i="2"/>
  <c r="P1948" i="2"/>
  <c r="P1949" i="2"/>
  <c r="P1950" i="2"/>
  <c r="P1951" i="2"/>
  <c r="Q1951" i="2" s="1"/>
  <c r="P1952" i="2"/>
  <c r="P1953" i="2"/>
  <c r="Q1953" i="2" s="1"/>
  <c r="P1954" i="2"/>
  <c r="Q1954" i="2" s="1"/>
  <c r="P1955" i="2"/>
  <c r="P1956" i="2"/>
  <c r="Q1956" i="2" s="1"/>
  <c r="P1957" i="2"/>
  <c r="P1958" i="2"/>
  <c r="P1959" i="2"/>
  <c r="Q1959" i="2" s="1"/>
  <c r="P1960" i="2"/>
  <c r="P1961" i="2"/>
  <c r="P1962" i="2"/>
  <c r="P1963" i="2"/>
  <c r="P1964" i="2"/>
  <c r="P1965" i="2"/>
  <c r="P1966" i="2"/>
  <c r="Q1966" i="2" s="1"/>
  <c r="P1967" i="2"/>
  <c r="P1968" i="2"/>
  <c r="P1969" i="2"/>
  <c r="Q1969" i="2" s="1"/>
  <c r="P1970" i="2"/>
  <c r="P1971" i="2"/>
  <c r="P1972" i="2"/>
  <c r="P1973" i="2"/>
  <c r="P1974" i="2"/>
  <c r="P1975" i="2"/>
  <c r="P1976" i="2"/>
  <c r="P1977" i="2"/>
  <c r="P1978" i="2"/>
  <c r="P1979" i="2"/>
  <c r="Q1979" i="2" s="1"/>
  <c r="P1980" i="2"/>
  <c r="P1981" i="2"/>
  <c r="P1982" i="2"/>
  <c r="P1983" i="2"/>
  <c r="P1984" i="2"/>
  <c r="Q1984" i="2" s="1"/>
  <c r="P1985" i="2"/>
  <c r="P1986" i="2"/>
  <c r="P1987" i="2"/>
  <c r="P1988" i="2"/>
  <c r="P1989" i="2"/>
  <c r="Q1989" i="2" s="1"/>
  <c r="P1990" i="2"/>
  <c r="Q1990" i="2" s="1"/>
  <c r="P1991" i="2"/>
  <c r="Q1991" i="2" s="1"/>
  <c r="P1992" i="2"/>
  <c r="P1993" i="2"/>
  <c r="Q1993" i="2" s="1"/>
  <c r="P1994" i="2"/>
  <c r="P1995" i="2"/>
  <c r="P1996" i="2"/>
  <c r="P1997" i="2"/>
  <c r="P1998" i="2"/>
  <c r="P1999" i="2"/>
  <c r="Q1999" i="2" s="1"/>
  <c r="P2000" i="2"/>
  <c r="P2001" i="2"/>
  <c r="Q2001" i="2" s="1"/>
  <c r="P2002" i="2"/>
  <c r="P2003" i="2"/>
  <c r="P2004" i="2"/>
  <c r="P2005" i="2"/>
  <c r="P2006" i="2"/>
  <c r="Q2006" i="2" s="1"/>
  <c r="P2007" i="2"/>
  <c r="P2008" i="2"/>
  <c r="Q2008" i="2" s="1"/>
  <c r="P2009" i="2"/>
  <c r="P2010" i="2"/>
  <c r="Q2010" i="2" s="1"/>
  <c r="P2011" i="2"/>
  <c r="P2012" i="2"/>
  <c r="P2013" i="2"/>
  <c r="P2014" i="2"/>
  <c r="Q2014" i="2" s="1"/>
  <c r="P2015" i="2"/>
  <c r="Q2015" i="2" s="1"/>
  <c r="P2016" i="2"/>
  <c r="P2017" i="2"/>
  <c r="P2018" i="2"/>
  <c r="Q2018" i="2" s="1"/>
  <c r="P2019" i="2"/>
  <c r="Q2019" i="2" s="1"/>
  <c r="P2020" i="2"/>
  <c r="P2021" i="2"/>
  <c r="P2022" i="2"/>
  <c r="P2023" i="2"/>
  <c r="P2024" i="2"/>
  <c r="P2025" i="2"/>
  <c r="P2026" i="2"/>
  <c r="Q2026" i="2" s="1"/>
  <c r="P2027" i="2"/>
  <c r="P2028" i="2"/>
  <c r="P2029" i="2"/>
  <c r="P2030" i="2"/>
  <c r="P2031" i="2"/>
  <c r="P2032" i="2"/>
  <c r="Q2032" i="2" s="1"/>
  <c r="P2033" i="2"/>
  <c r="Q2033" i="2" s="1"/>
  <c r="P2034" i="2"/>
  <c r="P2035" i="2"/>
  <c r="Q2035" i="2" s="1"/>
  <c r="P2036" i="2"/>
  <c r="Q2036" i="2" s="1"/>
  <c r="P2037" i="2"/>
  <c r="Q2037" i="2" s="1"/>
  <c r="P2038" i="2"/>
  <c r="Q2038" i="2" s="1"/>
  <c r="P2039" i="2"/>
  <c r="Q2039" i="2" s="1"/>
  <c r="P2040" i="2"/>
  <c r="P2041" i="2"/>
  <c r="P2042" i="2"/>
  <c r="Q2042" i="2" s="1"/>
  <c r="P2043" i="2"/>
  <c r="Q2043" i="2" s="1"/>
  <c r="P2044" i="2"/>
  <c r="P2045" i="2"/>
  <c r="P2046" i="2"/>
  <c r="Q2046" i="2" s="1"/>
  <c r="P2047" i="2"/>
  <c r="P2048" i="2"/>
  <c r="Q2048" i="2" s="1"/>
  <c r="P2049" i="2"/>
  <c r="Q2049" i="2" s="1"/>
  <c r="P2050" i="2"/>
  <c r="Q2050" i="2" s="1"/>
  <c r="P2051" i="2"/>
  <c r="Q2051" i="2" s="1"/>
  <c r="P2052" i="2"/>
  <c r="P2053" i="2"/>
  <c r="Q2053" i="2" s="1"/>
  <c r="P2054" i="2"/>
  <c r="P2055" i="2"/>
  <c r="P2056" i="2"/>
  <c r="P2057" i="2"/>
  <c r="Q2057" i="2" s="1"/>
  <c r="P2058" i="2"/>
  <c r="Q2058" i="2" s="1"/>
  <c r="P2059" i="2"/>
  <c r="P2060" i="2"/>
  <c r="Q2060" i="2" s="1"/>
  <c r="P2061" i="2"/>
  <c r="P2062" i="2"/>
  <c r="Q2062" i="2" s="1"/>
  <c r="P2063" i="2"/>
  <c r="P2064" i="2"/>
  <c r="P2065" i="2"/>
  <c r="P2066" i="2"/>
  <c r="P2067" i="2"/>
  <c r="P2068" i="2"/>
  <c r="P2069" i="2"/>
  <c r="Q2069" i="2" s="1"/>
  <c r="P2070" i="2"/>
  <c r="P2071" i="2"/>
  <c r="Q2071" i="2" s="1"/>
  <c r="P2072" i="2"/>
  <c r="Q2072" i="2" s="1"/>
  <c r="P2073" i="2"/>
  <c r="P2074" i="2"/>
  <c r="P2075" i="2"/>
  <c r="P2076" i="2"/>
  <c r="P2077" i="2"/>
  <c r="P2078" i="2"/>
  <c r="P2079" i="2"/>
  <c r="P2080" i="2"/>
  <c r="P2081" i="2"/>
  <c r="P2082" i="2"/>
  <c r="P2083" i="2"/>
  <c r="Q2083" i="2" s="1"/>
  <c r="P2084" i="2"/>
  <c r="Q2084" i="2" s="1"/>
  <c r="P2085" i="2"/>
  <c r="Q2085" i="2" s="1"/>
  <c r="P2086" i="2"/>
  <c r="P2087" i="2"/>
  <c r="Q2087" i="2" s="1"/>
  <c r="P2088" i="2"/>
  <c r="P2089" i="2"/>
  <c r="P2090" i="2"/>
  <c r="P2091" i="2"/>
  <c r="P2092" i="2"/>
  <c r="P2093" i="2"/>
  <c r="P2094" i="2"/>
  <c r="P2095" i="2"/>
  <c r="Q2095" i="2" s="1"/>
  <c r="P2096" i="2"/>
  <c r="P2097" i="2"/>
  <c r="Q2097" i="2" s="1"/>
  <c r="P2098" i="2"/>
  <c r="P2099" i="2"/>
  <c r="P2100" i="2"/>
  <c r="P2101" i="2"/>
  <c r="P2102" i="2"/>
  <c r="P2103" i="2"/>
  <c r="P2104" i="2"/>
  <c r="P2105" i="2"/>
  <c r="P2106" i="2"/>
  <c r="P2107" i="2"/>
  <c r="P2108" i="2"/>
  <c r="Q2108" i="2" s="1"/>
  <c r="P2109" i="2"/>
  <c r="P2110" i="2"/>
  <c r="P2111" i="2"/>
  <c r="Q2111" i="2" s="1"/>
  <c r="P2112" i="2"/>
  <c r="Q2112" i="2" s="1"/>
  <c r="P2113" i="2"/>
  <c r="P2114" i="2"/>
  <c r="Q2114" i="2" s="1"/>
  <c r="P2115" i="2"/>
  <c r="Q2115" i="2" s="1"/>
  <c r="P2116" i="2"/>
  <c r="Q2116" i="2" s="1"/>
  <c r="P2117" i="2"/>
  <c r="Q2117" i="2" s="1"/>
  <c r="P2118" i="2"/>
  <c r="Q2118" i="2" s="1"/>
  <c r="P2119" i="2"/>
  <c r="P2120" i="2"/>
  <c r="P2121" i="2"/>
  <c r="P2122" i="2"/>
  <c r="Q2122" i="2" s="1"/>
  <c r="P2123" i="2"/>
  <c r="P2124" i="2"/>
  <c r="P2125" i="2"/>
  <c r="Q2125" i="2" s="1"/>
  <c r="P2126" i="2"/>
  <c r="P2127" i="2"/>
  <c r="P2128" i="2"/>
  <c r="P2129" i="2"/>
  <c r="Q2129" i="2" s="1"/>
  <c r="P2130" i="2"/>
  <c r="P2131" i="2"/>
  <c r="P2132" i="2"/>
  <c r="P2133" i="2"/>
  <c r="P2134" i="2"/>
  <c r="P2135" i="2"/>
  <c r="Q2135" i="2" s="1"/>
  <c r="P2136" i="2"/>
  <c r="Q2136" i="2" s="1"/>
  <c r="P2137" i="2"/>
  <c r="P2138" i="2"/>
  <c r="P2139" i="2"/>
  <c r="P2140" i="2"/>
  <c r="P2141" i="2"/>
  <c r="P2142" i="2"/>
  <c r="Q2142" i="2" s="1"/>
  <c r="P2143" i="2"/>
  <c r="Q2143" i="2" s="1"/>
  <c r="P2144" i="2"/>
  <c r="Q2144" i="2" s="1"/>
  <c r="P2145" i="2"/>
  <c r="P2146" i="2"/>
  <c r="P2147" i="2"/>
  <c r="P2148" i="2"/>
  <c r="P2149" i="2"/>
  <c r="Q2149" i="2" s="1"/>
  <c r="P2150" i="2"/>
  <c r="Q2150" i="2" s="1"/>
  <c r="P2151" i="2"/>
  <c r="P2152" i="2"/>
  <c r="Q2152" i="2" s="1"/>
  <c r="P2153" i="2"/>
  <c r="Q2153" i="2" s="1"/>
  <c r="P2154" i="2"/>
  <c r="Q2154" i="2" s="1"/>
  <c r="P2155" i="2"/>
  <c r="Q2155" i="2" s="1"/>
  <c r="P2156" i="2"/>
  <c r="Q2156" i="2" s="1"/>
  <c r="P2157" i="2"/>
  <c r="Q2157" i="2" s="1"/>
  <c r="P2158" i="2"/>
  <c r="P2159" i="2"/>
  <c r="Q2159" i="2" s="1"/>
  <c r="P2160" i="2"/>
  <c r="P2161" i="2"/>
  <c r="P2162" i="2"/>
  <c r="P2163" i="2"/>
  <c r="P2164" i="2"/>
  <c r="P2165" i="2"/>
  <c r="P2166" i="2"/>
  <c r="Q2166" i="2" s="1"/>
  <c r="P2167" i="2"/>
  <c r="P2168" i="2"/>
  <c r="Q2168" i="2" s="1"/>
  <c r="P2169" i="2"/>
  <c r="P2170" i="2"/>
  <c r="P2171" i="2"/>
  <c r="P2172" i="2"/>
  <c r="P2173" i="2"/>
  <c r="P2174" i="2"/>
  <c r="P2175" i="2"/>
  <c r="Q2175" i="2" s="1"/>
  <c r="P2176" i="2"/>
  <c r="P2177" i="2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O1073" i="2"/>
  <c r="O1074" i="2"/>
  <c r="O1075" i="2"/>
  <c r="O1076" i="2"/>
  <c r="O1077" i="2"/>
  <c r="O1078" i="2"/>
  <c r="O1079" i="2"/>
  <c r="O1080" i="2"/>
  <c r="O1081" i="2"/>
  <c r="O1082" i="2"/>
  <c r="O1083" i="2"/>
  <c r="O1084" i="2"/>
  <c r="O1085" i="2"/>
  <c r="O1086" i="2"/>
  <c r="O1087" i="2"/>
  <c r="O1088" i="2"/>
  <c r="O1089" i="2"/>
  <c r="O1090" i="2"/>
  <c r="O1091" i="2"/>
  <c r="O1092" i="2"/>
  <c r="O1093" i="2"/>
  <c r="O1094" i="2"/>
  <c r="O1095" i="2"/>
  <c r="O1096" i="2"/>
  <c r="O1097" i="2"/>
  <c r="O1098" i="2"/>
  <c r="O1099" i="2"/>
  <c r="O1100" i="2"/>
  <c r="O1101" i="2"/>
  <c r="O1102" i="2"/>
  <c r="O1103" i="2"/>
  <c r="O1104" i="2"/>
  <c r="O1105" i="2"/>
  <c r="O1106" i="2"/>
  <c r="O1107" i="2"/>
  <c r="O1108" i="2"/>
  <c r="O1109" i="2"/>
  <c r="O1110" i="2"/>
  <c r="O1111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1124" i="2"/>
  <c r="O1125" i="2"/>
  <c r="O1126" i="2"/>
  <c r="O1127" i="2"/>
  <c r="O1128" i="2"/>
  <c r="O1129" i="2"/>
  <c r="O1130" i="2"/>
  <c r="O1131" i="2"/>
  <c r="O1132" i="2"/>
  <c r="O1133" i="2"/>
  <c r="O1134" i="2"/>
  <c r="O1135" i="2"/>
  <c r="O1136" i="2"/>
  <c r="O1137" i="2"/>
  <c r="O1138" i="2"/>
  <c r="O1139" i="2"/>
  <c r="O1140" i="2"/>
  <c r="O1141" i="2"/>
  <c r="O1142" i="2"/>
  <c r="O1143" i="2"/>
  <c r="O1144" i="2"/>
  <c r="O1145" i="2"/>
  <c r="O1146" i="2"/>
  <c r="O1147" i="2"/>
  <c r="O1148" i="2"/>
  <c r="O1149" i="2"/>
  <c r="O1150" i="2"/>
  <c r="O1151" i="2"/>
  <c r="O1152" i="2"/>
  <c r="O1153" i="2"/>
  <c r="O1154" i="2"/>
  <c r="O1155" i="2"/>
  <c r="O1156" i="2"/>
  <c r="O1157" i="2"/>
  <c r="O1158" i="2"/>
  <c r="O1159" i="2"/>
  <c r="O1160" i="2"/>
  <c r="O1161" i="2"/>
  <c r="O1162" i="2"/>
  <c r="O1163" i="2"/>
  <c r="O1164" i="2"/>
  <c r="O1165" i="2"/>
  <c r="O1166" i="2"/>
  <c r="O1167" i="2"/>
  <c r="O1168" i="2"/>
  <c r="O1169" i="2"/>
  <c r="O1170" i="2"/>
  <c r="O1171" i="2"/>
  <c r="O1172" i="2"/>
  <c r="O1173" i="2"/>
  <c r="O1174" i="2"/>
  <c r="O1175" i="2"/>
  <c r="O1176" i="2"/>
  <c r="O1177" i="2"/>
  <c r="O1178" i="2"/>
  <c r="O1179" i="2"/>
  <c r="O1180" i="2"/>
  <c r="O1181" i="2"/>
  <c r="O1182" i="2"/>
  <c r="O1183" i="2"/>
  <c r="O1184" i="2"/>
  <c r="O1185" i="2"/>
  <c r="O1186" i="2"/>
  <c r="O1187" i="2"/>
  <c r="O1188" i="2"/>
  <c r="O1189" i="2"/>
  <c r="O1190" i="2"/>
  <c r="O1191" i="2"/>
  <c r="O1192" i="2"/>
  <c r="O1193" i="2"/>
  <c r="O1194" i="2"/>
  <c r="O1195" i="2"/>
  <c r="O1196" i="2"/>
  <c r="O1197" i="2"/>
  <c r="O1198" i="2"/>
  <c r="O1199" i="2"/>
  <c r="O1200" i="2"/>
  <c r="O1201" i="2"/>
  <c r="O1202" i="2"/>
  <c r="O1203" i="2"/>
  <c r="O1204" i="2"/>
  <c r="O1205" i="2"/>
  <c r="O1206" i="2"/>
  <c r="O1207" i="2"/>
  <c r="O1208" i="2"/>
  <c r="O1209" i="2"/>
  <c r="O1210" i="2"/>
  <c r="O1211" i="2"/>
  <c r="O1212" i="2"/>
  <c r="O1213" i="2"/>
  <c r="O1214" i="2"/>
  <c r="O1215" i="2"/>
  <c r="O1216" i="2"/>
  <c r="O1217" i="2"/>
  <c r="O1218" i="2"/>
  <c r="O1219" i="2"/>
  <c r="O1220" i="2"/>
  <c r="O1221" i="2"/>
  <c r="O1222" i="2"/>
  <c r="O1223" i="2"/>
  <c r="O1224" i="2"/>
  <c r="O1225" i="2"/>
  <c r="O1226" i="2"/>
  <c r="O1227" i="2"/>
  <c r="O1228" i="2"/>
  <c r="O1229" i="2"/>
  <c r="O1230" i="2"/>
  <c r="O1231" i="2"/>
  <c r="O1232" i="2"/>
  <c r="O1233" i="2"/>
  <c r="O1234" i="2"/>
  <c r="O1235" i="2"/>
  <c r="O1236" i="2"/>
  <c r="O1237" i="2"/>
  <c r="O1238" i="2"/>
  <c r="O1239" i="2"/>
  <c r="O1240" i="2"/>
  <c r="O1241" i="2"/>
  <c r="O1242" i="2"/>
  <c r="O1243" i="2"/>
  <c r="O1244" i="2"/>
  <c r="O1245" i="2"/>
  <c r="O1246" i="2"/>
  <c r="O1247" i="2"/>
  <c r="O1248" i="2"/>
  <c r="O1249" i="2"/>
  <c r="O1250" i="2"/>
  <c r="O1251" i="2"/>
  <c r="O1252" i="2"/>
  <c r="O1253" i="2"/>
  <c r="O1254" i="2"/>
  <c r="O1255" i="2"/>
  <c r="O1256" i="2"/>
  <c r="O1257" i="2"/>
  <c r="O1258" i="2"/>
  <c r="O1259" i="2"/>
  <c r="O1260" i="2"/>
  <c r="O1261" i="2"/>
  <c r="O1262" i="2"/>
  <c r="O1263" i="2"/>
  <c r="O1264" i="2"/>
  <c r="O1265" i="2"/>
  <c r="O1266" i="2"/>
  <c r="O1267" i="2"/>
  <c r="O1268" i="2"/>
  <c r="O1269" i="2"/>
  <c r="O1270" i="2"/>
  <c r="O1271" i="2"/>
  <c r="O1272" i="2"/>
  <c r="O1273" i="2"/>
  <c r="O1274" i="2"/>
  <c r="O1275" i="2"/>
  <c r="O1276" i="2"/>
  <c r="O1277" i="2"/>
  <c r="O1278" i="2"/>
  <c r="O1279" i="2"/>
  <c r="O1280" i="2"/>
  <c r="O1281" i="2"/>
  <c r="O1282" i="2"/>
  <c r="O1283" i="2"/>
  <c r="O1284" i="2"/>
  <c r="O1285" i="2"/>
  <c r="O1286" i="2"/>
  <c r="O1287" i="2"/>
  <c r="O1288" i="2"/>
  <c r="O1289" i="2"/>
  <c r="O1290" i="2"/>
  <c r="O1291" i="2"/>
  <c r="O1292" i="2"/>
  <c r="O1293" i="2"/>
  <c r="O1294" i="2"/>
  <c r="O1295" i="2"/>
  <c r="O1296" i="2"/>
  <c r="O1297" i="2"/>
  <c r="O1298" i="2"/>
  <c r="O1299" i="2"/>
  <c r="O1300" i="2"/>
  <c r="O1301" i="2"/>
  <c r="O1302" i="2"/>
  <c r="O1303" i="2"/>
  <c r="O1304" i="2"/>
  <c r="O1305" i="2"/>
  <c r="O1306" i="2"/>
  <c r="O1307" i="2"/>
  <c r="O1308" i="2"/>
  <c r="O1309" i="2"/>
  <c r="O1310" i="2"/>
  <c r="O1311" i="2"/>
  <c r="O1312" i="2"/>
  <c r="O1313" i="2"/>
  <c r="O1314" i="2"/>
  <c r="O1315" i="2"/>
  <c r="O1316" i="2"/>
  <c r="O1317" i="2"/>
  <c r="O1318" i="2"/>
  <c r="O1319" i="2"/>
  <c r="O1320" i="2"/>
  <c r="O1321" i="2"/>
  <c r="O1322" i="2"/>
  <c r="O1323" i="2"/>
  <c r="O1324" i="2"/>
  <c r="O1325" i="2"/>
  <c r="O1326" i="2"/>
  <c r="O1327" i="2"/>
  <c r="O1328" i="2"/>
  <c r="O1329" i="2"/>
  <c r="O1330" i="2"/>
  <c r="O1331" i="2"/>
  <c r="O1332" i="2"/>
  <c r="O1333" i="2"/>
  <c r="O1334" i="2"/>
  <c r="O1335" i="2"/>
  <c r="O1336" i="2"/>
  <c r="O1337" i="2"/>
  <c r="O1338" i="2"/>
  <c r="O1339" i="2"/>
  <c r="O1340" i="2"/>
  <c r="O1341" i="2"/>
  <c r="O1342" i="2"/>
  <c r="O1343" i="2"/>
  <c r="O1344" i="2"/>
  <c r="O1345" i="2"/>
  <c r="O1346" i="2"/>
  <c r="O1347" i="2"/>
  <c r="O1348" i="2"/>
  <c r="O1349" i="2"/>
  <c r="O1350" i="2"/>
  <c r="O1351" i="2"/>
  <c r="O1352" i="2"/>
  <c r="O1353" i="2"/>
  <c r="O1354" i="2"/>
  <c r="O1355" i="2"/>
  <c r="O1356" i="2"/>
  <c r="O1357" i="2"/>
  <c r="O1358" i="2"/>
  <c r="O1359" i="2"/>
  <c r="O1360" i="2"/>
  <c r="O1361" i="2"/>
  <c r="O1362" i="2"/>
  <c r="O1363" i="2"/>
  <c r="O1364" i="2"/>
  <c r="O1365" i="2"/>
  <c r="O1366" i="2"/>
  <c r="O1367" i="2"/>
  <c r="O1368" i="2"/>
  <c r="O1369" i="2"/>
  <c r="O1370" i="2"/>
  <c r="O1371" i="2"/>
  <c r="O1372" i="2"/>
  <c r="O1373" i="2"/>
  <c r="O1374" i="2"/>
  <c r="O1375" i="2"/>
  <c r="O1376" i="2"/>
  <c r="O1377" i="2"/>
  <c r="O1378" i="2"/>
  <c r="O1379" i="2"/>
  <c r="O1380" i="2"/>
  <c r="O1381" i="2"/>
  <c r="O1382" i="2"/>
  <c r="O1383" i="2"/>
  <c r="O1384" i="2"/>
  <c r="O1385" i="2"/>
  <c r="O1386" i="2"/>
  <c r="O1387" i="2"/>
  <c r="O1388" i="2"/>
  <c r="O1389" i="2"/>
  <c r="O1390" i="2"/>
  <c r="O1391" i="2"/>
  <c r="O1392" i="2"/>
  <c r="O1393" i="2"/>
  <c r="O1394" i="2"/>
  <c r="O1395" i="2"/>
  <c r="O1396" i="2"/>
  <c r="O1397" i="2"/>
  <c r="O1398" i="2"/>
  <c r="O1399" i="2"/>
  <c r="O1400" i="2"/>
  <c r="O1401" i="2"/>
  <c r="O1402" i="2"/>
  <c r="O1403" i="2"/>
  <c r="O1404" i="2"/>
  <c r="O1405" i="2"/>
  <c r="O1406" i="2"/>
  <c r="O1407" i="2"/>
  <c r="O1408" i="2"/>
  <c r="O1409" i="2"/>
  <c r="O1410" i="2"/>
  <c r="O1411" i="2"/>
  <c r="O1412" i="2"/>
  <c r="O1413" i="2"/>
  <c r="O1414" i="2"/>
  <c r="O1415" i="2"/>
  <c r="O1416" i="2"/>
  <c r="O1417" i="2"/>
  <c r="O1418" i="2"/>
  <c r="O1419" i="2"/>
  <c r="O1420" i="2"/>
  <c r="O1421" i="2"/>
  <c r="O1422" i="2"/>
  <c r="O1423" i="2"/>
  <c r="O1424" i="2"/>
  <c r="O1425" i="2"/>
  <c r="O1426" i="2"/>
  <c r="O1427" i="2"/>
  <c r="O1428" i="2"/>
  <c r="O1429" i="2"/>
  <c r="O1430" i="2"/>
  <c r="O1431" i="2"/>
  <c r="O1432" i="2"/>
  <c r="O1433" i="2"/>
  <c r="O1434" i="2"/>
  <c r="O1435" i="2"/>
  <c r="O1436" i="2"/>
  <c r="O1437" i="2"/>
  <c r="O1438" i="2"/>
  <c r="O1439" i="2"/>
  <c r="O1440" i="2"/>
  <c r="O1441" i="2"/>
  <c r="O1442" i="2"/>
  <c r="O1443" i="2"/>
  <c r="O1444" i="2"/>
  <c r="O1445" i="2"/>
  <c r="O1446" i="2"/>
  <c r="O1447" i="2"/>
  <c r="O1448" i="2"/>
  <c r="O1449" i="2"/>
  <c r="O1450" i="2"/>
  <c r="O1451" i="2"/>
  <c r="O1452" i="2"/>
  <c r="O1453" i="2"/>
  <c r="O1454" i="2"/>
  <c r="O1455" i="2"/>
  <c r="O1456" i="2"/>
  <c r="O1457" i="2"/>
  <c r="O1458" i="2"/>
  <c r="O1459" i="2"/>
  <c r="O1460" i="2"/>
  <c r="O1461" i="2"/>
  <c r="O1462" i="2"/>
  <c r="O1463" i="2"/>
  <c r="O1464" i="2"/>
  <c r="O1465" i="2"/>
  <c r="O1466" i="2"/>
  <c r="O1467" i="2"/>
  <c r="O1468" i="2"/>
  <c r="O1469" i="2"/>
  <c r="O1470" i="2"/>
  <c r="O1471" i="2"/>
  <c r="O1472" i="2"/>
  <c r="O1473" i="2"/>
  <c r="O1474" i="2"/>
  <c r="O1475" i="2"/>
  <c r="O1476" i="2"/>
  <c r="O1477" i="2"/>
  <c r="O1478" i="2"/>
  <c r="O1479" i="2"/>
  <c r="O1480" i="2"/>
  <c r="O1481" i="2"/>
  <c r="O1482" i="2"/>
  <c r="O1483" i="2"/>
  <c r="O1484" i="2"/>
  <c r="O1485" i="2"/>
  <c r="O1486" i="2"/>
  <c r="O1487" i="2"/>
  <c r="O1488" i="2"/>
  <c r="O1489" i="2"/>
  <c r="O1490" i="2"/>
  <c r="O1491" i="2"/>
  <c r="O1492" i="2"/>
  <c r="O1493" i="2"/>
  <c r="O1494" i="2"/>
  <c r="O1495" i="2"/>
  <c r="O1496" i="2"/>
  <c r="O1497" i="2"/>
  <c r="O1498" i="2"/>
  <c r="O1499" i="2"/>
  <c r="O1500" i="2"/>
  <c r="O1501" i="2"/>
  <c r="O1502" i="2"/>
  <c r="O1503" i="2"/>
  <c r="O1504" i="2"/>
  <c r="O1505" i="2"/>
  <c r="O1506" i="2"/>
  <c r="O1507" i="2"/>
  <c r="O1508" i="2"/>
  <c r="O1509" i="2"/>
  <c r="O1510" i="2"/>
  <c r="O1511" i="2"/>
  <c r="O1512" i="2"/>
  <c r="O1513" i="2"/>
  <c r="O1514" i="2"/>
  <c r="O1515" i="2"/>
  <c r="O1516" i="2"/>
  <c r="O1517" i="2"/>
  <c r="O1518" i="2"/>
  <c r="O1519" i="2"/>
  <c r="O1520" i="2"/>
  <c r="O1521" i="2"/>
  <c r="O1522" i="2"/>
  <c r="O1523" i="2"/>
  <c r="O1524" i="2"/>
  <c r="O1525" i="2"/>
  <c r="O1526" i="2"/>
  <c r="O1527" i="2"/>
  <c r="O1528" i="2"/>
  <c r="O1529" i="2"/>
  <c r="O1530" i="2"/>
  <c r="O1531" i="2"/>
  <c r="O1532" i="2"/>
  <c r="O1533" i="2"/>
  <c r="O1534" i="2"/>
  <c r="O1535" i="2"/>
  <c r="O1536" i="2"/>
  <c r="O1537" i="2"/>
  <c r="O1538" i="2"/>
  <c r="O1539" i="2"/>
  <c r="O1540" i="2"/>
  <c r="O1541" i="2"/>
  <c r="O1542" i="2"/>
  <c r="O1543" i="2"/>
  <c r="O1544" i="2"/>
  <c r="O1545" i="2"/>
  <c r="O1546" i="2"/>
  <c r="O1547" i="2"/>
  <c r="O1548" i="2"/>
  <c r="O1549" i="2"/>
  <c r="O1550" i="2"/>
  <c r="O1551" i="2"/>
  <c r="O1552" i="2"/>
  <c r="O1553" i="2"/>
  <c r="O1554" i="2"/>
  <c r="O1555" i="2"/>
  <c r="O1556" i="2"/>
  <c r="O1557" i="2"/>
  <c r="O1558" i="2"/>
  <c r="O1559" i="2"/>
  <c r="O1560" i="2"/>
  <c r="O1561" i="2"/>
  <c r="O1562" i="2"/>
  <c r="O1563" i="2"/>
  <c r="O1564" i="2"/>
  <c r="O1565" i="2"/>
  <c r="O1566" i="2"/>
  <c r="O1567" i="2"/>
  <c r="O1568" i="2"/>
  <c r="O1569" i="2"/>
  <c r="O1570" i="2"/>
  <c r="O1571" i="2"/>
  <c r="O1572" i="2"/>
  <c r="O1573" i="2"/>
  <c r="O1574" i="2"/>
  <c r="O1575" i="2"/>
  <c r="O1576" i="2"/>
  <c r="O1577" i="2"/>
  <c r="O1578" i="2"/>
  <c r="O1579" i="2"/>
  <c r="O1580" i="2"/>
  <c r="O1581" i="2"/>
  <c r="O1582" i="2"/>
  <c r="O1583" i="2"/>
  <c r="O1584" i="2"/>
  <c r="O1585" i="2"/>
  <c r="O1586" i="2"/>
  <c r="O1587" i="2"/>
  <c r="O1588" i="2"/>
  <c r="O1589" i="2"/>
  <c r="O1590" i="2"/>
  <c r="O1591" i="2"/>
  <c r="O1592" i="2"/>
  <c r="O1593" i="2"/>
  <c r="O1594" i="2"/>
  <c r="O1595" i="2"/>
  <c r="O1596" i="2"/>
  <c r="O1597" i="2"/>
  <c r="O1598" i="2"/>
  <c r="O1599" i="2"/>
  <c r="O1600" i="2"/>
  <c r="O1601" i="2"/>
  <c r="O1602" i="2"/>
  <c r="O1603" i="2"/>
  <c r="O1604" i="2"/>
  <c r="O1605" i="2"/>
  <c r="O1606" i="2"/>
  <c r="O1607" i="2"/>
  <c r="O1608" i="2"/>
  <c r="O1609" i="2"/>
  <c r="O1610" i="2"/>
  <c r="O1611" i="2"/>
  <c r="O1612" i="2"/>
  <c r="O1613" i="2"/>
  <c r="O1614" i="2"/>
  <c r="O1615" i="2"/>
  <c r="O1616" i="2"/>
  <c r="O1617" i="2"/>
  <c r="O1618" i="2"/>
  <c r="O1619" i="2"/>
  <c r="O1620" i="2"/>
  <c r="O1621" i="2"/>
  <c r="O1622" i="2"/>
  <c r="O1623" i="2"/>
  <c r="O1624" i="2"/>
  <c r="O1625" i="2"/>
  <c r="O1626" i="2"/>
  <c r="O1627" i="2"/>
  <c r="O1628" i="2"/>
  <c r="O1629" i="2"/>
  <c r="O1630" i="2"/>
  <c r="O1631" i="2"/>
  <c r="O1632" i="2"/>
  <c r="O1633" i="2"/>
  <c r="O1634" i="2"/>
  <c r="O1635" i="2"/>
  <c r="O1636" i="2"/>
  <c r="O1637" i="2"/>
  <c r="O1638" i="2"/>
  <c r="O1639" i="2"/>
  <c r="O1640" i="2"/>
  <c r="O1641" i="2"/>
  <c r="O1642" i="2"/>
  <c r="O1643" i="2"/>
  <c r="O1644" i="2"/>
  <c r="O1645" i="2"/>
  <c r="O1646" i="2"/>
  <c r="O1647" i="2"/>
  <c r="O1648" i="2"/>
  <c r="O1649" i="2"/>
  <c r="O1650" i="2"/>
  <c r="O1651" i="2"/>
  <c r="O1652" i="2"/>
  <c r="O1653" i="2"/>
  <c r="O1654" i="2"/>
  <c r="O1655" i="2"/>
  <c r="O1656" i="2"/>
  <c r="O1657" i="2"/>
  <c r="O1658" i="2"/>
  <c r="O1659" i="2"/>
  <c r="O1660" i="2"/>
  <c r="O1661" i="2"/>
  <c r="O1662" i="2"/>
  <c r="O1663" i="2"/>
  <c r="O1664" i="2"/>
  <c r="O1665" i="2"/>
  <c r="O1666" i="2"/>
  <c r="O1667" i="2"/>
  <c r="O1668" i="2"/>
  <c r="O1669" i="2"/>
  <c r="O1670" i="2"/>
  <c r="O1671" i="2"/>
  <c r="O1672" i="2"/>
  <c r="O1673" i="2"/>
  <c r="O1674" i="2"/>
  <c r="O1675" i="2"/>
  <c r="O1676" i="2"/>
  <c r="O1677" i="2"/>
  <c r="O1678" i="2"/>
  <c r="O1679" i="2"/>
  <c r="O1680" i="2"/>
  <c r="O1681" i="2"/>
  <c r="O1682" i="2"/>
  <c r="O1683" i="2"/>
  <c r="O1684" i="2"/>
  <c r="O1685" i="2"/>
  <c r="O1686" i="2"/>
  <c r="O1687" i="2"/>
  <c r="O1688" i="2"/>
  <c r="O1689" i="2"/>
  <c r="O1690" i="2"/>
  <c r="O1691" i="2"/>
  <c r="O1692" i="2"/>
  <c r="O1693" i="2"/>
  <c r="O1694" i="2"/>
  <c r="O1695" i="2"/>
  <c r="O1696" i="2"/>
  <c r="O1697" i="2"/>
  <c r="O1698" i="2"/>
  <c r="O1699" i="2"/>
  <c r="O1700" i="2"/>
  <c r="O1701" i="2"/>
  <c r="O1702" i="2"/>
  <c r="O1703" i="2"/>
  <c r="O1704" i="2"/>
  <c r="O1705" i="2"/>
  <c r="O1706" i="2"/>
  <c r="O1707" i="2"/>
  <c r="O1708" i="2"/>
  <c r="O1709" i="2"/>
  <c r="O1710" i="2"/>
  <c r="O1711" i="2"/>
  <c r="O1712" i="2"/>
  <c r="O1713" i="2"/>
  <c r="O1714" i="2"/>
  <c r="O1715" i="2"/>
  <c r="O1716" i="2"/>
  <c r="O1717" i="2"/>
  <c r="O1718" i="2"/>
  <c r="O1719" i="2"/>
  <c r="O1720" i="2"/>
  <c r="O1721" i="2"/>
  <c r="O1722" i="2"/>
  <c r="O1723" i="2"/>
  <c r="O1724" i="2"/>
  <c r="O1725" i="2"/>
  <c r="O1726" i="2"/>
  <c r="O1727" i="2"/>
  <c r="O1728" i="2"/>
  <c r="O1729" i="2"/>
  <c r="O1730" i="2"/>
  <c r="O1731" i="2"/>
  <c r="O1732" i="2"/>
  <c r="O1733" i="2"/>
  <c r="O1734" i="2"/>
  <c r="O1735" i="2"/>
  <c r="O1736" i="2"/>
  <c r="O1737" i="2"/>
  <c r="O1738" i="2"/>
  <c r="O1739" i="2"/>
  <c r="O1740" i="2"/>
  <c r="O1741" i="2"/>
  <c r="O1742" i="2"/>
  <c r="O1743" i="2"/>
  <c r="O1744" i="2"/>
  <c r="O1745" i="2"/>
  <c r="O1746" i="2"/>
  <c r="O1747" i="2"/>
  <c r="O1748" i="2"/>
  <c r="O1749" i="2"/>
  <c r="O1750" i="2"/>
  <c r="O1751" i="2"/>
  <c r="O1752" i="2"/>
  <c r="O1753" i="2"/>
  <c r="O1754" i="2"/>
  <c r="O1755" i="2"/>
  <c r="O1756" i="2"/>
  <c r="O1757" i="2"/>
  <c r="O1758" i="2"/>
  <c r="O1759" i="2"/>
  <c r="O1760" i="2"/>
  <c r="O1761" i="2"/>
  <c r="O1762" i="2"/>
  <c r="O1763" i="2"/>
  <c r="O1764" i="2"/>
  <c r="O1765" i="2"/>
  <c r="O1766" i="2"/>
  <c r="O1767" i="2"/>
  <c r="O1768" i="2"/>
  <c r="O1769" i="2"/>
  <c r="O1770" i="2"/>
  <c r="O1771" i="2"/>
  <c r="O1772" i="2"/>
  <c r="O1773" i="2"/>
  <c r="O1774" i="2"/>
  <c r="O1775" i="2"/>
  <c r="O1776" i="2"/>
  <c r="O1777" i="2"/>
  <c r="O1778" i="2"/>
  <c r="O1779" i="2"/>
  <c r="O1780" i="2"/>
  <c r="O1781" i="2"/>
  <c r="O1782" i="2"/>
  <c r="O1783" i="2"/>
  <c r="O1784" i="2"/>
  <c r="O1785" i="2"/>
  <c r="O1786" i="2"/>
  <c r="O1787" i="2"/>
  <c r="O1788" i="2"/>
  <c r="O1789" i="2"/>
  <c r="O1790" i="2"/>
  <c r="O1791" i="2"/>
  <c r="O1792" i="2"/>
  <c r="O1793" i="2"/>
  <c r="O1794" i="2"/>
  <c r="O1795" i="2"/>
  <c r="O1796" i="2"/>
  <c r="O1797" i="2"/>
  <c r="O1798" i="2"/>
  <c r="O1799" i="2"/>
  <c r="O1800" i="2"/>
  <c r="O1801" i="2"/>
  <c r="O1802" i="2"/>
  <c r="O1803" i="2"/>
  <c r="O1804" i="2"/>
  <c r="O1805" i="2"/>
  <c r="O1806" i="2"/>
  <c r="O1807" i="2"/>
  <c r="O1808" i="2"/>
  <c r="O1809" i="2"/>
  <c r="O1810" i="2"/>
  <c r="O1811" i="2"/>
  <c r="O1812" i="2"/>
  <c r="O1813" i="2"/>
  <c r="O1814" i="2"/>
  <c r="O1815" i="2"/>
  <c r="O1816" i="2"/>
  <c r="O1817" i="2"/>
  <c r="O1818" i="2"/>
  <c r="O1819" i="2"/>
  <c r="O1820" i="2"/>
  <c r="O1821" i="2"/>
  <c r="O1822" i="2"/>
  <c r="O1823" i="2"/>
  <c r="O1824" i="2"/>
  <c r="O1825" i="2"/>
  <c r="O1826" i="2"/>
  <c r="O1827" i="2"/>
  <c r="O1828" i="2"/>
  <c r="O1829" i="2"/>
  <c r="O1830" i="2"/>
  <c r="O1831" i="2"/>
  <c r="O1832" i="2"/>
  <c r="O1833" i="2"/>
  <c r="O1834" i="2"/>
  <c r="O1835" i="2"/>
  <c r="O1836" i="2"/>
  <c r="O1837" i="2"/>
  <c r="O1838" i="2"/>
  <c r="O1839" i="2"/>
  <c r="O1840" i="2"/>
  <c r="O1841" i="2"/>
  <c r="O1842" i="2"/>
  <c r="O1843" i="2"/>
  <c r="O1844" i="2"/>
  <c r="O1845" i="2"/>
  <c r="O1846" i="2"/>
  <c r="O1847" i="2"/>
  <c r="O1848" i="2"/>
  <c r="O1849" i="2"/>
  <c r="O1850" i="2"/>
  <c r="O1851" i="2"/>
  <c r="O1852" i="2"/>
  <c r="O1853" i="2"/>
  <c r="O1854" i="2"/>
  <c r="O1855" i="2"/>
  <c r="O1856" i="2"/>
  <c r="O1857" i="2"/>
  <c r="O1858" i="2"/>
  <c r="O1859" i="2"/>
  <c r="O1860" i="2"/>
  <c r="O1861" i="2"/>
  <c r="O1862" i="2"/>
  <c r="O1863" i="2"/>
  <c r="O1864" i="2"/>
  <c r="O1865" i="2"/>
  <c r="O1866" i="2"/>
  <c r="O1867" i="2"/>
  <c r="O1868" i="2"/>
  <c r="O1869" i="2"/>
  <c r="O1870" i="2"/>
  <c r="O1871" i="2"/>
  <c r="O1872" i="2"/>
  <c r="O1873" i="2"/>
  <c r="O1874" i="2"/>
  <c r="O1875" i="2"/>
  <c r="O1876" i="2"/>
  <c r="O1877" i="2"/>
  <c r="O1878" i="2"/>
  <c r="O1879" i="2"/>
  <c r="O1880" i="2"/>
  <c r="O1881" i="2"/>
  <c r="O1882" i="2"/>
  <c r="O1883" i="2"/>
  <c r="O1884" i="2"/>
  <c r="O1885" i="2"/>
  <c r="O1886" i="2"/>
  <c r="O1887" i="2"/>
  <c r="O1888" i="2"/>
  <c r="O1889" i="2"/>
  <c r="O1890" i="2"/>
  <c r="O1891" i="2"/>
  <c r="O1892" i="2"/>
  <c r="O1893" i="2"/>
  <c r="O1894" i="2"/>
  <c r="O1895" i="2"/>
  <c r="O1896" i="2"/>
  <c r="O1897" i="2"/>
  <c r="O1898" i="2"/>
  <c r="O1899" i="2"/>
  <c r="O1900" i="2"/>
  <c r="O1901" i="2"/>
  <c r="O1902" i="2"/>
  <c r="O1903" i="2"/>
  <c r="O1904" i="2"/>
  <c r="O1905" i="2"/>
  <c r="O1906" i="2"/>
  <c r="O1907" i="2"/>
  <c r="O1908" i="2"/>
  <c r="O1909" i="2"/>
  <c r="O1910" i="2"/>
  <c r="O1911" i="2"/>
  <c r="O1912" i="2"/>
  <c r="O1913" i="2"/>
  <c r="O1914" i="2"/>
  <c r="O1915" i="2"/>
  <c r="O1916" i="2"/>
  <c r="O1917" i="2"/>
  <c r="O1918" i="2"/>
  <c r="O1919" i="2"/>
  <c r="O1920" i="2"/>
  <c r="O1921" i="2"/>
  <c r="O1922" i="2"/>
  <c r="O1923" i="2"/>
  <c r="O1924" i="2"/>
  <c r="O1925" i="2"/>
  <c r="O1926" i="2"/>
  <c r="O1927" i="2"/>
  <c r="O1928" i="2"/>
  <c r="O1929" i="2"/>
  <c r="O1930" i="2"/>
  <c r="O1931" i="2"/>
  <c r="O1932" i="2"/>
  <c r="O1933" i="2"/>
  <c r="O1934" i="2"/>
  <c r="O1935" i="2"/>
  <c r="O1936" i="2"/>
  <c r="O1937" i="2"/>
  <c r="O1938" i="2"/>
  <c r="O1939" i="2"/>
  <c r="O1940" i="2"/>
  <c r="O1941" i="2"/>
  <c r="O1942" i="2"/>
  <c r="O1943" i="2"/>
  <c r="O1944" i="2"/>
  <c r="O1945" i="2"/>
  <c r="O1946" i="2"/>
  <c r="O1947" i="2"/>
  <c r="O1948" i="2"/>
  <c r="O1949" i="2"/>
  <c r="O1950" i="2"/>
  <c r="O1951" i="2"/>
  <c r="O1952" i="2"/>
  <c r="O1953" i="2"/>
  <c r="O1954" i="2"/>
  <c r="O1955" i="2"/>
  <c r="O1956" i="2"/>
  <c r="O1957" i="2"/>
  <c r="O1958" i="2"/>
  <c r="O1959" i="2"/>
  <c r="O1960" i="2"/>
  <c r="O1961" i="2"/>
  <c r="O1962" i="2"/>
  <c r="O1963" i="2"/>
  <c r="O1964" i="2"/>
  <c r="O1965" i="2"/>
  <c r="O1966" i="2"/>
  <c r="O1967" i="2"/>
  <c r="O1968" i="2"/>
  <c r="O1969" i="2"/>
  <c r="O1970" i="2"/>
  <c r="O1971" i="2"/>
  <c r="O1972" i="2"/>
  <c r="O1973" i="2"/>
  <c r="O1974" i="2"/>
  <c r="O1975" i="2"/>
  <c r="O1976" i="2"/>
  <c r="O1977" i="2"/>
  <c r="O1978" i="2"/>
  <c r="O1979" i="2"/>
  <c r="O1980" i="2"/>
  <c r="O1981" i="2"/>
  <c r="O1982" i="2"/>
  <c r="O1983" i="2"/>
  <c r="O1984" i="2"/>
  <c r="O1985" i="2"/>
  <c r="O1986" i="2"/>
  <c r="O1987" i="2"/>
  <c r="O1988" i="2"/>
  <c r="O1989" i="2"/>
  <c r="O1990" i="2"/>
  <c r="O1991" i="2"/>
  <c r="O1992" i="2"/>
  <c r="O1993" i="2"/>
  <c r="O1994" i="2"/>
  <c r="O1995" i="2"/>
  <c r="O1996" i="2"/>
  <c r="O1997" i="2"/>
  <c r="O1998" i="2"/>
  <c r="O1999" i="2"/>
  <c r="O2000" i="2"/>
  <c r="O2001" i="2"/>
  <c r="O2002" i="2"/>
  <c r="O2003" i="2"/>
  <c r="O2004" i="2"/>
  <c r="O2005" i="2"/>
  <c r="O2006" i="2"/>
  <c r="O2007" i="2"/>
  <c r="O2008" i="2"/>
  <c r="O2009" i="2"/>
  <c r="O2010" i="2"/>
  <c r="O2011" i="2"/>
  <c r="O2012" i="2"/>
  <c r="O2013" i="2"/>
  <c r="O2014" i="2"/>
  <c r="O2015" i="2"/>
  <c r="O2016" i="2"/>
  <c r="O2017" i="2"/>
  <c r="O2018" i="2"/>
  <c r="O2019" i="2"/>
  <c r="O2020" i="2"/>
  <c r="O2021" i="2"/>
  <c r="O2022" i="2"/>
  <c r="O2023" i="2"/>
  <c r="O2024" i="2"/>
  <c r="O2025" i="2"/>
  <c r="O2026" i="2"/>
  <c r="O2027" i="2"/>
  <c r="O2028" i="2"/>
  <c r="O2029" i="2"/>
  <c r="O2030" i="2"/>
  <c r="O2031" i="2"/>
  <c r="O2032" i="2"/>
  <c r="O2033" i="2"/>
  <c r="O2034" i="2"/>
  <c r="O2035" i="2"/>
  <c r="O2036" i="2"/>
  <c r="O2037" i="2"/>
  <c r="O2038" i="2"/>
  <c r="O2039" i="2"/>
  <c r="O2040" i="2"/>
  <c r="O2041" i="2"/>
  <c r="O2042" i="2"/>
  <c r="O2043" i="2"/>
  <c r="O2044" i="2"/>
  <c r="O2045" i="2"/>
  <c r="O2046" i="2"/>
  <c r="O2047" i="2"/>
  <c r="O2048" i="2"/>
  <c r="O2049" i="2"/>
  <c r="O2050" i="2"/>
  <c r="O2051" i="2"/>
  <c r="O2052" i="2"/>
  <c r="O2053" i="2"/>
  <c r="O2054" i="2"/>
  <c r="O2055" i="2"/>
  <c r="O2056" i="2"/>
  <c r="O2057" i="2"/>
  <c r="O2058" i="2"/>
  <c r="O2059" i="2"/>
  <c r="O2060" i="2"/>
  <c r="O2061" i="2"/>
  <c r="O2062" i="2"/>
  <c r="O2063" i="2"/>
  <c r="O2064" i="2"/>
  <c r="O2065" i="2"/>
  <c r="O2066" i="2"/>
  <c r="O2067" i="2"/>
  <c r="O2068" i="2"/>
  <c r="O2069" i="2"/>
  <c r="O2070" i="2"/>
  <c r="O2071" i="2"/>
  <c r="O2072" i="2"/>
  <c r="O2073" i="2"/>
  <c r="O2074" i="2"/>
  <c r="O2075" i="2"/>
  <c r="O2076" i="2"/>
  <c r="O2077" i="2"/>
  <c r="O2078" i="2"/>
  <c r="O2079" i="2"/>
  <c r="O2080" i="2"/>
  <c r="O2081" i="2"/>
  <c r="O2082" i="2"/>
  <c r="O2083" i="2"/>
  <c r="O2084" i="2"/>
  <c r="O2085" i="2"/>
  <c r="O2086" i="2"/>
  <c r="O2087" i="2"/>
  <c r="O2088" i="2"/>
  <c r="O2089" i="2"/>
  <c r="O2090" i="2"/>
  <c r="O2091" i="2"/>
  <c r="O2092" i="2"/>
  <c r="O2093" i="2"/>
  <c r="O2094" i="2"/>
  <c r="O2095" i="2"/>
  <c r="O2096" i="2"/>
  <c r="O2097" i="2"/>
  <c r="O2098" i="2"/>
  <c r="O2099" i="2"/>
  <c r="O2100" i="2"/>
  <c r="O2101" i="2"/>
  <c r="O2102" i="2"/>
  <c r="O2103" i="2"/>
  <c r="O2104" i="2"/>
  <c r="O2105" i="2"/>
  <c r="O2106" i="2"/>
  <c r="O2107" i="2"/>
  <c r="O2108" i="2"/>
  <c r="O2109" i="2"/>
  <c r="O2110" i="2"/>
  <c r="O2111" i="2"/>
  <c r="O2112" i="2"/>
  <c r="O2113" i="2"/>
  <c r="O2114" i="2"/>
  <c r="O2115" i="2"/>
  <c r="O2116" i="2"/>
  <c r="O2117" i="2"/>
  <c r="O2118" i="2"/>
  <c r="O2119" i="2"/>
  <c r="O2120" i="2"/>
  <c r="O2121" i="2"/>
  <c r="O2122" i="2"/>
  <c r="O2123" i="2"/>
  <c r="O2124" i="2"/>
  <c r="O2125" i="2"/>
  <c r="O2126" i="2"/>
  <c r="O2127" i="2"/>
  <c r="O2128" i="2"/>
  <c r="O2129" i="2"/>
  <c r="O2130" i="2"/>
  <c r="O2131" i="2"/>
  <c r="O2132" i="2"/>
  <c r="O2133" i="2"/>
  <c r="O2134" i="2"/>
  <c r="O2135" i="2"/>
  <c r="O2136" i="2"/>
  <c r="O2137" i="2"/>
  <c r="O2138" i="2"/>
  <c r="O2139" i="2"/>
  <c r="O2140" i="2"/>
  <c r="O2141" i="2"/>
  <c r="O2142" i="2"/>
  <c r="O2143" i="2"/>
  <c r="O2144" i="2"/>
  <c r="O2145" i="2"/>
  <c r="O2146" i="2"/>
  <c r="O2147" i="2"/>
  <c r="O2148" i="2"/>
  <c r="O2149" i="2"/>
  <c r="O2150" i="2"/>
  <c r="O2151" i="2"/>
  <c r="O2152" i="2"/>
  <c r="O2153" i="2"/>
  <c r="O2154" i="2"/>
  <c r="O2155" i="2"/>
  <c r="O2156" i="2"/>
  <c r="O2157" i="2"/>
  <c r="O2158" i="2"/>
  <c r="O2159" i="2"/>
  <c r="O2160" i="2"/>
  <c r="O2161" i="2"/>
  <c r="O2162" i="2"/>
  <c r="O2163" i="2"/>
  <c r="O2164" i="2"/>
  <c r="O2165" i="2"/>
  <c r="O2166" i="2"/>
  <c r="O2167" i="2"/>
  <c r="O2168" i="2"/>
  <c r="O2169" i="2"/>
  <c r="O2170" i="2"/>
  <c r="O2171" i="2"/>
  <c r="O2172" i="2"/>
  <c r="O2173" i="2"/>
  <c r="O2174" i="2"/>
  <c r="O2175" i="2"/>
  <c r="O2176" i="2"/>
  <c r="O2177" i="2"/>
</calcChain>
</file>

<file path=xl/sharedStrings.xml><?xml version="1.0" encoding="utf-8"?>
<sst xmlns="http://schemas.openxmlformats.org/spreadsheetml/2006/main" count="25882" uniqueCount="2254">
  <si>
    <t>product_id</t>
  </si>
  <si>
    <t>category</t>
  </si>
  <si>
    <t>brand</t>
  </si>
  <si>
    <t>season</t>
  </si>
  <si>
    <t>size</t>
  </si>
  <si>
    <t>color</t>
  </si>
  <si>
    <t>original_price</t>
  </si>
  <si>
    <t>markdown_percentage</t>
  </si>
  <si>
    <t>current_price</t>
  </si>
  <si>
    <t>purchase_date</t>
  </si>
  <si>
    <t>stock_quantity</t>
  </si>
  <si>
    <t>customer_rating</t>
  </si>
  <si>
    <t>is_returned</t>
  </si>
  <si>
    <t>return_reason</t>
  </si>
  <si>
    <t>FB000001</t>
  </si>
  <si>
    <t>Outerwear</t>
  </si>
  <si>
    <t>Zara</t>
  </si>
  <si>
    <t>Spring</t>
  </si>
  <si>
    <t>XL</t>
  </si>
  <si>
    <t>Red</t>
  </si>
  <si>
    <t>FB000002</t>
  </si>
  <si>
    <t>Tops</t>
  </si>
  <si>
    <t>Uniqlo</t>
  </si>
  <si>
    <t>Winter</t>
  </si>
  <si>
    <t>L</t>
  </si>
  <si>
    <t>Pink</t>
  </si>
  <si>
    <t>FB000003</t>
  </si>
  <si>
    <t>Accessories</t>
  </si>
  <si>
    <t>Black</t>
  </si>
  <si>
    <t>FB000004</t>
  </si>
  <si>
    <t>Shoes</t>
  </si>
  <si>
    <t>FB000005</t>
  </si>
  <si>
    <t>Banana Republic</t>
  </si>
  <si>
    <t>FB000006</t>
  </si>
  <si>
    <t>Fall</t>
  </si>
  <si>
    <t>White</t>
  </si>
  <si>
    <t>Color Mismatch</t>
  </si>
  <si>
    <t>FB000007</t>
  </si>
  <si>
    <t>Bottoms</t>
  </si>
  <si>
    <t>S</t>
  </si>
  <si>
    <t>Gray</t>
  </si>
  <si>
    <t>FB000008</t>
  </si>
  <si>
    <t>Dresses</t>
  </si>
  <si>
    <t>Mango</t>
  </si>
  <si>
    <t>Blue</t>
  </si>
  <si>
    <t>FB000009</t>
  </si>
  <si>
    <t>Green</t>
  </si>
  <si>
    <t>FB000010</t>
  </si>
  <si>
    <t>H&amp;M</t>
  </si>
  <si>
    <t>XXL</t>
  </si>
  <si>
    <t>FB000011</t>
  </si>
  <si>
    <t>FB000012</t>
  </si>
  <si>
    <t>FB000013</t>
  </si>
  <si>
    <t>Ann Taylor</t>
  </si>
  <si>
    <t>FB000014</t>
  </si>
  <si>
    <t>XS</t>
  </si>
  <si>
    <t>Beige</t>
  </si>
  <si>
    <t>FB000015</t>
  </si>
  <si>
    <t>M</t>
  </si>
  <si>
    <t>FB000016</t>
  </si>
  <si>
    <t>FB000017</t>
  </si>
  <si>
    <t>Gap</t>
  </si>
  <si>
    <t>Summer</t>
  </si>
  <si>
    <t>FB000018</t>
  </si>
  <si>
    <t>Navy</t>
  </si>
  <si>
    <t>FB000019</t>
  </si>
  <si>
    <t>Purple</t>
  </si>
  <si>
    <t>FB000020</t>
  </si>
  <si>
    <t>FB000021</t>
  </si>
  <si>
    <t>FB000022</t>
  </si>
  <si>
    <t>Brown</t>
  </si>
  <si>
    <t>FB000023</t>
  </si>
  <si>
    <t>FB000024</t>
  </si>
  <si>
    <t>Size Issue</t>
  </si>
  <si>
    <t>FB000025</t>
  </si>
  <si>
    <t>Forever21</t>
  </si>
  <si>
    <t>FB000026</t>
  </si>
  <si>
    <t>FB000027</t>
  </si>
  <si>
    <t>Damaged</t>
  </si>
  <si>
    <t>FB000028</t>
  </si>
  <si>
    <t>FB000029</t>
  </si>
  <si>
    <t>FB000030</t>
  </si>
  <si>
    <t>FB000031</t>
  </si>
  <si>
    <t>Quality Issue</t>
  </si>
  <si>
    <t>FB000032</t>
  </si>
  <si>
    <t>FB000033</t>
  </si>
  <si>
    <t>FB000034</t>
  </si>
  <si>
    <t>FB000035</t>
  </si>
  <si>
    <t>FB000036</t>
  </si>
  <si>
    <t>FB000037</t>
  </si>
  <si>
    <t>FB000038</t>
  </si>
  <si>
    <t>FB000039</t>
  </si>
  <si>
    <t>FB000040</t>
  </si>
  <si>
    <t>FB000041</t>
  </si>
  <si>
    <t>FB000042</t>
  </si>
  <si>
    <t>FB000043</t>
  </si>
  <si>
    <t>FB000044</t>
  </si>
  <si>
    <t>FB000045</t>
  </si>
  <si>
    <t>FB000046</t>
  </si>
  <si>
    <t>FB000047</t>
  </si>
  <si>
    <t>FB000048</t>
  </si>
  <si>
    <t>FB000049</t>
  </si>
  <si>
    <t>FB000050</t>
  </si>
  <si>
    <t>FB000051</t>
  </si>
  <si>
    <t>FB000052</t>
  </si>
  <si>
    <t>FB000053</t>
  </si>
  <si>
    <t>FB000054</t>
  </si>
  <si>
    <t>FB000055</t>
  </si>
  <si>
    <t>FB000056</t>
  </si>
  <si>
    <t>FB000057</t>
  </si>
  <si>
    <t>FB000058</t>
  </si>
  <si>
    <t>FB000059</t>
  </si>
  <si>
    <t>FB000060</t>
  </si>
  <si>
    <t>FB000061</t>
  </si>
  <si>
    <t>FB000062</t>
  </si>
  <si>
    <t>Changed Mind</t>
  </si>
  <si>
    <t>FB000063</t>
  </si>
  <si>
    <t>FB000064</t>
  </si>
  <si>
    <t>FB000065</t>
  </si>
  <si>
    <t>FB000066</t>
  </si>
  <si>
    <t>FB000067</t>
  </si>
  <si>
    <t>FB000068</t>
  </si>
  <si>
    <t>FB000069</t>
  </si>
  <si>
    <t>FB000070</t>
  </si>
  <si>
    <t>FB000071</t>
  </si>
  <si>
    <t>Wrong Item</t>
  </si>
  <si>
    <t>FB000072</t>
  </si>
  <si>
    <t>FB000073</t>
  </si>
  <si>
    <t>FB000074</t>
  </si>
  <si>
    <t>FB000075</t>
  </si>
  <si>
    <t>FB000076</t>
  </si>
  <si>
    <t>FB000077</t>
  </si>
  <si>
    <t>FB000078</t>
  </si>
  <si>
    <t>FB000079</t>
  </si>
  <si>
    <t>FB000080</t>
  </si>
  <si>
    <t>FB000081</t>
  </si>
  <si>
    <t>FB000082</t>
  </si>
  <si>
    <t>FB000083</t>
  </si>
  <si>
    <t>FB000084</t>
  </si>
  <si>
    <t>FB000085</t>
  </si>
  <si>
    <t>FB000086</t>
  </si>
  <si>
    <t>FB000087</t>
  </si>
  <si>
    <t>FB000088</t>
  </si>
  <si>
    <t>FB000089</t>
  </si>
  <si>
    <t>FB000090</t>
  </si>
  <si>
    <t>FB000091</t>
  </si>
  <si>
    <t>FB000092</t>
  </si>
  <si>
    <t>FB000093</t>
  </si>
  <si>
    <t>FB000094</t>
  </si>
  <si>
    <t>FB000095</t>
  </si>
  <si>
    <t>FB000096</t>
  </si>
  <si>
    <t>FB000097</t>
  </si>
  <si>
    <t>FB000098</t>
  </si>
  <si>
    <t>FB000099</t>
  </si>
  <si>
    <t>FB000100</t>
  </si>
  <si>
    <t>FB000101</t>
  </si>
  <si>
    <t>FB000102</t>
  </si>
  <si>
    <t>FB000103</t>
  </si>
  <si>
    <t>FB000104</t>
  </si>
  <si>
    <t>FB000105</t>
  </si>
  <si>
    <t>FB000106</t>
  </si>
  <si>
    <t>FB000107</t>
  </si>
  <si>
    <t>FB000108</t>
  </si>
  <si>
    <t>FB000109</t>
  </si>
  <si>
    <t>FB000110</t>
  </si>
  <si>
    <t>FB000111</t>
  </si>
  <si>
    <t>FB000112</t>
  </si>
  <si>
    <t>FB000113</t>
  </si>
  <si>
    <t>FB000114</t>
  </si>
  <si>
    <t>FB000115</t>
  </si>
  <si>
    <t>FB000116</t>
  </si>
  <si>
    <t>FB000117</t>
  </si>
  <si>
    <t>FB000118</t>
  </si>
  <si>
    <t>FB000119</t>
  </si>
  <si>
    <t>FB000120</t>
  </si>
  <si>
    <t>FB000121</t>
  </si>
  <si>
    <t>FB000122</t>
  </si>
  <si>
    <t>FB000123</t>
  </si>
  <si>
    <t>FB000124</t>
  </si>
  <si>
    <t>FB000125</t>
  </si>
  <si>
    <t>FB000126</t>
  </si>
  <si>
    <t>FB000127</t>
  </si>
  <si>
    <t>FB000128</t>
  </si>
  <si>
    <t>FB000129</t>
  </si>
  <si>
    <t>FB000130</t>
  </si>
  <si>
    <t>FB000131</t>
  </si>
  <si>
    <t>FB000132</t>
  </si>
  <si>
    <t>FB000133</t>
  </si>
  <si>
    <t>FB000134</t>
  </si>
  <si>
    <t>FB000135</t>
  </si>
  <si>
    <t>FB000136</t>
  </si>
  <si>
    <t>FB000137</t>
  </si>
  <si>
    <t>FB000138</t>
  </si>
  <si>
    <t>FB000139</t>
  </si>
  <si>
    <t>FB000140</t>
  </si>
  <si>
    <t>FB000141</t>
  </si>
  <si>
    <t>FB000142</t>
  </si>
  <si>
    <t>FB000143</t>
  </si>
  <si>
    <t>FB000144</t>
  </si>
  <si>
    <t>FB000145</t>
  </si>
  <si>
    <t>FB000146</t>
  </si>
  <si>
    <t>FB000147</t>
  </si>
  <si>
    <t>FB000148</t>
  </si>
  <si>
    <t>FB000149</t>
  </si>
  <si>
    <t>FB000150</t>
  </si>
  <si>
    <t>FB000151</t>
  </si>
  <si>
    <t>FB000152</t>
  </si>
  <si>
    <t>FB000153</t>
  </si>
  <si>
    <t>FB000154</t>
  </si>
  <si>
    <t>FB000155</t>
  </si>
  <si>
    <t>FB000156</t>
  </si>
  <si>
    <t>FB000157</t>
  </si>
  <si>
    <t>FB000158</t>
  </si>
  <si>
    <t>FB000159</t>
  </si>
  <si>
    <t>FB000160</t>
  </si>
  <si>
    <t>FB000161</t>
  </si>
  <si>
    <t>FB000162</t>
  </si>
  <si>
    <t>FB000163</t>
  </si>
  <si>
    <t>FB000164</t>
  </si>
  <si>
    <t>FB000165</t>
  </si>
  <si>
    <t>FB000166</t>
  </si>
  <si>
    <t>FB000167</t>
  </si>
  <si>
    <t>FB000168</t>
  </si>
  <si>
    <t>FB000169</t>
  </si>
  <si>
    <t>FB000170</t>
  </si>
  <si>
    <t>FB000171</t>
  </si>
  <si>
    <t>FB000172</t>
  </si>
  <si>
    <t>FB000173</t>
  </si>
  <si>
    <t>FB000174</t>
  </si>
  <si>
    <t>FB000175</t>
  </si>
  <si>
    <t>FB000176</t>
  </si>
  <si>
    <t>FB000177</t>
  </si>
  <si>
    <t>FB000178</t>
  </si>
  <si>
    <t>FB000179</t>
  </si>
  <si>
    <t>FB000180</t>
  </si>
  <si>
    <t>FB000181</t>
  </si>
  <si>
    <t>FB000182</t>
  </si>
  <si>
    <t>FB000183</t>
  </si>
  <si>
    <t>FB000184</t>
  </si>
  <si>
    <t>FB000185</t>
  </si>
  <si>
    <t>FB000186</t>
  </si>
  <si>
    <t>FB000187</t>
  </si>
  <si>
    <t>FB000188</t>
  </si>
  <si>
    <t>FB000189</t>
  </si>
  <si>
    <t>FB000190</t>
  </si>
  <si>
    <t>FB000191</t>
  </si>
  <si>
    <t>FB000192</t>
  </si>
  <si>
    <t>FB000193</t>
  </si>
  <si>
    <t>FB000194</t>
  </si>
  <si>
    <t>FB000195</t>
  </si>
  <si>
    <t>FB000196</t>
  </si>
  <si>
    <t>FB000197</t>
  </si>
  <si>
    <t>FB000198</t>
  </si>
  <si>
    <t>FB000199</t>
  </si>
  <si>
    <t>FB000200</t>
  </si>
  <si>
    <t>FB000201</t>
  </si>
  <si>
    <t>FB000202</t>
  </si>
  <si>
    <t>FB000203</t>
  </si>
  <si>
    <t>FB000204</t>
  </si>
  <si>
    <t>FB000205</t>
  </si>
  <si>
    <t>FB000206</t>
  </si>
  <si>
    <t>FB000207</t>
  </si>
  <si>
    <t>FB000208</t>
  </si>
  <si>
    <t>FB000209</t>
  </si>
  <si>
    <t>FB000210</t>
  </si>
  <si>
    <t>FB000211</t>
  </si>
  <si>
    <t>FB000212</t>
  </si>
  <si>
    <t>FB000213</t>
  </si>
  <si>
    <t>FB000214</t>
  </si>
  <si>
    <t>FB000215</t>
  </si>
  <si>
    <t>FB000216</t>
  </si>
  <si>
    <t>FB000217</t>
  </si>
  <si>
    <t>FB000218</t>
  </si>
  <si>
    <t>FB000219</t>
  </si>
  <si>
    <t>FB000220</t>
  </si>
  <si>
    <t>FB000221</t>
  </si>
  <si>
    <t>FB000222</t>
  </si>
  <si>
    <t>FB000223</t>
  </si>
  <si>
    <t>FB000224</t>
  </si>
  <si>
    <t>FB000225</t>
  </si>
  <si>
    <t>FB000226</t>
  </si>
  <si>
    <t>FB000227</t>
  </si>
  <si>
    <t>FB000228</t>
  </si>
  <si>
    <t>FB000229</t>
  </si>
  <si>
    <t>FB000230</t>
  </si>
  <si>
    <t>FB000231</t>
  </si>
  <si>
    <t>FB000232</t>
  </si>
  <si>
    <t>FB000233</t>
  </si>
  <si>
    <t>FB000234</t>
  </si>
  <si>
    <t>FB000235</t>
  </si>
  <si>
    <t>FB000236</t>
  </si>
  <si>
    <t>FB000237</t>
  </si>
  <si>
    <t>FB000238</t>
  </si>
  <si>
    <t>FB000239</t>
  </si>
  <si>
    <t>FB000240</t>
  </si>
  <si>
    <t>FB000241</t>
  </si>
  <si>
    <t>FB000242</t>
  </si>
  <si>
    <t>FB000243</t>
  </si>
  <si>
    <t>FB000244</t>
  </si>
  <si>
    <t>FB000245</t>
  </si>
  <si>
    <t>FB000246</t>
  </si>
  <si>
    <t>FB000247</t>
  </si>
  <si>
    <t>FB000248</t>
  </si>
  <si>
    <t>FB000249</t>
  </si>
  <si>
    <t>FB000250</t>
  </si>
  <si>
    <t>FB000251</t>
  </si>
  <si>
    <t>FB000252</t>
  </si>
  <si>
    <t>FB000253</t>
  </si>
  <si>
    <t>FB000254</t>
  </si>
  <si>
    <t>FB000255</t>
  </si>
  <si>
    <t>FB000256</t>
  </si>
  <si>
    <t>FB000257</t>
  </si>
  <si>
    <t>FB000258</t>
  </si>
  <si>
    <t>FB000259</t>
  </si>
  <si>
    <t>FB000260</t>
  </si>
  <si>
    <t>FB000261</t>
  </si>
  <si>
    <t>FB000262</t>
  </si>
  <si>
    <t>FB000263</t>
  </si>
  <si>
    <t>FB000264</t>
  </si>
  <si>
    <t>FB000265</t>
  </si>
  <si>
    <t>FB000266</t>
  </si>
  <si>
    <t>FB000267</t>
  </si>
  <si>
    <t>FB000268</t>
  </si>
  <si>
    <t>FB000269</t>
  </si>
  <si>
    <t>FB000270</t>
  </si>
  <si>
    <t>FB000271</t>
  </si>
  <si>
    <t>FB000272</t>
  </si>
  <si>
    <t>FB000273</t>
  </si>
  <si>
    <t>FB000274</t>
  </si>
  <si>
    <t>FB000275</t>
  </si>
  <si>
    <t>FB000276</t>
  </si>
  <si>
    <t>FB000277</t>
  </si>
  <si>
    <t>FB000278</t>
  </si>
  <si>
    <t>FB000279</t>
  </si>
  <si>
    <t>FB000280</t>
  </si>
  <si>
    <t>FB000281</t>
  </si>
  <si>
    <t>FB000282</t>
  </si>
  <si>
    <t>FB000283</t>
  </si>
  <si>
    <t>FB000284</t>
  </si>
  <si>
    <t>FB000285</t>
  </si>
  <si>
    <t>FB000286</t>
  </si>
  <si>
    <t>FB000287</t>
  </si>
  <si>
    <t>FB000288</t>
  </si>
  <si>
    <t>FB000289</t>
  </si>
  <si>
    <t>FB000290</t>
  </si>
  <si>
    <t>FB000291</t>
  </si>
  <si>
    <t>FB000292</t>
  </si>
  <si>
    <t>FB000293</t>
  </si>
  <si>
    <t>FB000294</t>
  </si>
  <si>
    <t>FB000295</t>
  </si>
  <si>
    <t>FB000296</t>
  </si>
  <si>
    <t>FB000297</t>
  </si>
  <si>
    <t>FB000298</t>
  </si>
  <si>
    <t>FB000299</t>
  </si>
  <si>
    <t>FB000300</t>
  </si>
  <si>
    <t>FB000301</t>
  </si>
  <si>
    <t>FB000302</t>
  </si>
  <si>
    <t>FB000303</t>
  </si>
  <si>
    <t>FB000304</t>
  </si>
  <si>
    <t>FB000305</t>
  </si>
  <si>
    <t>FB000306</t>
  </si>
  <si>
    <t>FB000307</t>
  </si>
  <si>
    <t>FB000308</t>
  </si>
  <si>
    <t>FB000309</t>
  </si>
  <si>
    <t>FB000310</t>
  </si>
  <si>
    <t>FB000311</t>
  </si>
  <si>
    <t>FB000312</t>
  </si>
  <si>
    <t>FB000313</t>
  </si>
  <si>
    <t>FB000314</t>
  </si>
  <si>
    <t>FB000315</t>
  </si>
  <si>
    <t>FB000316</t>
  </si>
  <si>
    <t>FB000317</t>
  </si>
  <si>
    <t>FB000318</t>
  </si>
  <si>
    <t>FB000319</t>
  </si>
  <si>
    <t>FB000320</t>
  </si>
  <si>
    <t>FB000321</t>
  </si>
  <si>
    <t>FB000322</t>
  </si>
  <si>
    <t>FB000323</t>
  </si>
  <si>
    <t>FB000324</t>
  </si>
  <si>
    <t>FB000325</t>
  </si>
  <si>
    <t>FB000326</t>
  </si>
  <si>
    <t>FB000327</t>
  </si>
  <si>
    <t>FB000328</t>
  </si>
  <si>
    <t>FB000329</t>
  </si>
  <si>
    <t>FB000330</t>
  </si>
  <si>
    <t>FB000331</t>
  </si>
  <si>
    <t>FB000332</t>
  </si>
  <si>
    <t>FB000333</t>
  </si>
  <si>
    <t>FB000334</t>
  </si>
  <si>
    <t>FB000335</t>
  </si>
  <si>
    <t>FB000336</t>
  </si>
  <si>
    <t>FB000337</t>
  </si>
  <si>
    <t>FB000338</t>
  </si>
  <si>
    <t>FB000339</t>
  </si>
  <si>
    <t>FB000340</t>
  </si>
  <si>
    <t>FB000341</t>
  </si>
  <si>
    <t>FB000342</t>
  </si>
  <si>
    <t>FB000343</t>
  </si>
  <si>
    <t>FB000344</t>
  </si>
  <si>
    <t>FB000345</t>
  </si>
  <si>
    <t>FB000346</t>
  </si>
  <si>
    <t>FB000347</t>
  </si>
  <si>
    <t>FB000348</t>
  </si>
  <si>
    <t>FB000349</t>
  </si>
  <si>
    <t>FB000350</t>
  </si>
  <si>
    <t>FB000351</t>
  </si>
  <si>
    <t>FB000352</t>
  </si>
  <si>
    <t>FB000353</t>
  </si>
  <si>
    <t>FB000354</t>
  </si>
  <si>
    <t>FB000355</t>
  </si>
  <si>
    <t>FB000356</t>
  </si>
  <si>
    <t>FB000357</t>
  </si>
  <si>
    <t>FB000358</t>
  </si>
  <si>
    <t>FB000359</t>
  </si>
  <si>
    <t>FB000360</t>
  </si>
  <si>
    <t>FB000361</t>
  </si>
  <si>
    <t>FB000362</t>
  </si>
  <si>
    <t>FB000363</t>
  </si>
  <si>
    <t>FB000364</t>
  </si>
  <si>
    <t>FB000365</t>
  </si>
  <si>
    <t>FB000366</t>
  </si>
  <si>
    <t>FB000367</t>
  </si>
  <si>
    <t>FB000368</t>
  </si>
  <si>
    <t>FB000369</t>
  </si>
  <si>
    <t>FB000370</t>
  </si>
  <si>
    <t>FB000371</t>
  </si>
  <si>
    <t>FB000372</t>
  </si>
  <si>
    <t>FB000373</t>
  </si>
  <si>
    <t>FB000374</t>
  </si>
  <si>
    <t>FB000375</t>
  </si>
  <si>
    <t>FB000376</t>
  </si>
  <si>
    <t>FB000377</t>
  </si>
  <si>
    <t>FB000378</t>
  </si>
  <si>
    <t>FB000379</t>
  </si>
  <si>
    <t>FB000380</t>
  </si>
  <si>
    <t>FB000381</t>
  </si>
  <si>
    <t>FB000382</t>
  </si>
  <si>
    <t>FB000383</t>
  </si>
  <si>
    <t>FB000384</t>
  </si>
  <si>
    <t>FB000385</t>
  </si>
  <si>
    <t>FB000386</t>
  </si>
  <si>
    <t>FB000387</t>
  </si>
  <si>
    <t>FB000388</t>
  </si>
  <si>
    <t>FB000389</t>
  </si>
  <si>
    <t>FB000390</t>
  </si>
  <si>
    <t>FB000391</t>
  </si>
  <si>
    <t>FB000392</t>
  </si>
  <si>
    <t>FB000393</t>
  </si>
  <si>
    <t>FB000394</t>
  </si>
  <si>
    <t>FB000395</t>
  </si>
  <si>
    <t>FB000396</t>
  </si>
  <si>
    <t>FB000397</t>
  </si>
  <si>
    <t>FB000398</t>
  </si>
  <si>
    <t>FB000399</t>
  </si>
  <si>
    <t>FB000400</t>
  </si>
  <si>
    <t>FB000401</t>
  </si>
  <si>
    <t>FB000402</t>
  </si>
  <si>
    <t>FB000403</t>
  </si>
  <si>
    <t>FB000404</t>
  </si>
  <si>
    <t>FB000405</t>
  </si>
  <si>
    <t>FB000406</t>
  </si>
  <si>
    <t>FB000407</t>
  </si>
  <si>
    <t>FB000408</t>
  </si>
  <si>
    <t>FB000409</t>
  </si>
  <si>
    <t>FB000410</t>
  </si>
  <si>
    <t>FB000411</t>
  </si>
  <si>
    <t>FB000412</t>
  </si>
  <si>
    <t>FB000413</t>
  </si>
  <si>
    <t>FB000414</t>
  </si>
  <si>
    <t>FB000415</t>
  </si>
  <si>
    <t>FB000416</t>
  </si>
  <si>
    <t>FB000417</t>
  </si>
  <si>
    <t>FB000418</t>
  </si>
  <si>
    <t>FB000419</t>
  </si>
  <si>
    <t>FB000420</t>
  </si>
  <si>
    <t>FB000421</t>
  </si>
  <si>
    <t>FB000422</t>
  </si>
  <si>
    <t>FB000423</t>
  </si>
  <si>
    <t>FB000424</t>
  </si>
  <si>
    <t>FB000425</t>
  </si>
  <si>
    <t>FB000426</t>
  </si>
  <si>
    <t>FB000427</t>
  </si>
  <si>
    <t>FB000428</t>
  </si>
  <si>
    <t>FB000429</t>
  </si>
  <si>
    <t>FB000430</t>
  </si>
  <si>
    <t>FB000431</t>
  </si>
  <si>
    <t>FB000432</t>
  </si>
  <si>
    <t>FB000433</t>
  </si>
  <si>
    <t>FB000434</t>
  </si>
  <si>
    <t>FB000435</t>
  </si>
  <si>
    <t>FB000436</t>
  </si>
  <si>
    <t>FB000437</t>
  </si>
  <si>
    <t>FB000438</t>
  </si>
  <si>
    <t>FB000439</t>
  </si>
  <si>
    <t>FB000440</t>
  </si>
  <si>
    <t>FB000441</t>
  </si>
  <si>
    <t>FB000442</t>
  </si>
  <si>
    <t>FB000443</t>
  </si>
  <si>
    <t>FB000444</t>
  </si>
  <si>
    <t>FB000445</t>
  </si>
  <si>
    <t>FB000446</t>
  </si>
  <si>
    <t>FB000447</t>
  </si>
  <si>
    <t>FB000448</t>
  </si>
  <si>
    <t>FB000449</t>
  </si>
  <si>
    <t>FB000450</t>
  </si>
  <si>
    <t>FB000451</t>
  </si>
  <si>
    <t>FB000452</t>
  </si>
  <si>
    <t>FB000453</t>
  </si>
  <si>
    <t>FB000454</t>
  </si>
  <si>
    <t>FB000455</t>
  </si>
  <si>
    <t>FB000456</t>
  </si>
  <si>
    <t>FB000457</t>
  </si>
  <si>
    <t>FB000458</t>
  </si>
  <si>
    <t>FB000459</t>
  </si>
  <si>
    <t>FB000460</t>
  </si>
  <si>
    <t>FB000461</t>
  </si>
  <si>
    <t>FB000462</t>
  </si>
  <si>
    <t>FB000463</t>
  </si>
  <si>
    <t>FB000464</t>
  </si>
  <si>
    <t>FB000465</t>
  </si>
  <si>
    <t>FB000466</t>
  </si>
  <si>
    <t>FB000467</t>
  </si>
  <si>
    <t>FB000468</t>
  </si>
  <si>
    <t>FB000469</t>
  </si>
  <si>
    <t>FB000470</t>
  </si>
  <si>
    <t>FB000471</t>
  </si>
  <si>
    <t>FB000472</t>
  </si>
  <si>
    <t>FB000473</t>
  </si>
  <si>
    <t>FB000474</t>
  </si>
  <si>
    <t>FB000475</t>
  </si>
  <si>
    <t>FB000476</t>
  </si>
  <si>
    <t>FB000477</t>
  </si>
  <si>
    <t>FB000478</t>
  </si>
  <si>
    <t>FB000479</t>
  </si>
  <si>
    <t>FB000480</t>
  </si>
  <si>
    <t>FB000481</t>
  </si>
  <si>
    <t>FB000482</t>
  </si>
  <si>
    <t>FB000483</t>
  </si>
  <si>
    <t>FB000484</t>
  </si>
  <si>
    <t>FB000485</t>
  </si>
  <si>
    <t>FB000486</t>
  </si>
  <si>
    <t>FB000487</t>
  </si>
  <si>
    <t>FB000488</t>
  </si>
  <si>
    <t>FB000489</t>
  </si>
  <si>
    <t>FB000490</t>
  </si>
  <si>
    <t>FB000491</t>
  </si>
  <si>
    <t>FB000492</t>
  </si>
  <si>
    <t>FB000493</t>
  </si>
  <si>
    <t>FB000494</t>
  </si>
  <si>
    <t>FB000495</t>
  </si>
  <si>
    <t>FB000496</t>
  </si>
  <si>
    <t>FB000497</t>
  </si>
  <si>
    <t>FB000498</t>
  </si>
  <si>
    <t>FB000499</t>
  </si>
  <si>
    <t>FB000500</t>
  </si>
  <si>
    <t>FB000501</t>
  </si>
  <si>
    <t>FB000502</t>
  </si>
  <si>
    <t>FB000503</t>
  </si>
  <si>
    <t>FB000504</t>
  </si>
  <si>
    <t>FB000505</t>
  </si>
  <si>
    <t>FB000506</t>
  </si>
  <si>
    <t>FB000507</t>
  </si>
  <si>
    <t>FB000508</t>
  </si>
  <si>
    <t>FB000509</t>
  </si>
  <si>
    <t>FB000510</t>
  </si>
  <si>
    <t>FB000511</t>
  </si>
  <si>
    <t>FB000512</t>
  </si>
  <si>
    <t>FB000513</t>
  </si>
  <si>
    <t>FB000514</t>
  </si>
  <si>
    <t>FB000515</t>
  </si>
  <si>
    <t>FB000516</t>
  </si>
  <si>
    <t>FB000517</t>
  </si>
  <si>
    <t>FB000518</t>
  </si>
  <si>
    <t>FB000519</t>
  </si>
  <si>
    <t>FB000520</t>
  </si>
  <si>
    <t>FB000521</t>
  </si>
  <si>
    <t>FB000522</t>
  </si>
  <si>
    <t>FB000523</t>
  </si>
  <si>
    <t>FB000524</t>
  </si>
  <si>
    <t>FB000525</t>
  </si>
  <si>
    <t>FB000526</t>
  </si>
  <si>
    <t>FB000527</t>
  </si>
  <si>
    <t>FB000528</t>
  </si>
  <si>
    <t>FB000529</t>
  </si>
  <si>
    <t>FB000530</t>
  </si>
  <si>
    <t>FB000531</t>
  </si>
  <si>
    <t>FB000532</t>
  </si>
  <si>
    <t>FB000533</t>
  </si>
  <si>
    <t>FB000534</t>
  </si>
  <si>
    <t>FB000535</t>
  </si>
  <si>
    <t>FB000536</t>
  </si>
  <si>
    <t>FB000537</t>
  </si>
  <si>
    <t>FB000538</t>
  </si>
  <si>
    <t>FB000539</t>
  </si>
  <si>
    <t>FB000540</t>
  </si>
  <si>
    <t>FB000541</t>
  </si>
  <si>
    <t>FB000542</t>
  </si>
  <si>
    <t>FB000543</t>
  </si>
  <si>
    <t>FB000544</t>
  </si>
  <si>
    <t>FB000545</t>
  </si>
  <si>
    <t>FB000546</t>
  </si>
  <si>
    <t>FB000547</t>
  </si>
  <si>
    <t>FB000548</t>
  </si>
  <si>
    <t>FB000549</t>
  </si>
  <si>
    <t>FB000550</t>
  </si>
  <si>
    <t>FB000551</t>
  </si>
  <si>
    <t>FB000552</t>
  </si>
  <si>
    <t>FB000553</t>
  </si>
  <si>
    <t>FB000554</t>
  </si>
  <si>
    <t>FB000555</t>
  </si>
  <si>
    <t>FB000556</t>
  </si>
  <si>
    <t>FB000557</t>
  </si>
  <si>
    <t>FB000558</t>
  </si>
  <si>
    <t>FB000559</t>
  </si>
  <si>
    <t>FB000560</t>
  </si>
  <si>
    <t>FB000561</t>
  </si>
  <si>
    <t>FB000562</t>
  </si>
  <si>
    <t>FB000563</t>
  </si>
  <si>
    <t>FB000564</t>
  </si>
  <si>
    <t>FB000565</t>
  </si>
  <si>
    <t>FB000566</t>
  </si>
  <si>
    <t>FB000567</t>
  </si>
  <si>
    <t>FB000568</t>
  </si>
  <si>
    <t>FB000569</t>
  </si>
  <si>
    <t>FB000570</t>
  </si>
  <si>
    <t>FB000571</t>
  </si>
  <si>
    <t>FB000572</t>
  </si>
  <si>
    <t>FB000573</t>
  </si>
  <si>
    <t>FB000574</t>
  </si>
  <si>
    <t>FB000575</t>
  </si>
  <si>
    <t>FB000576</t>
  </si>
  <si>
    <t>FB000577</t>
  </si>
  <si>
    <t>FB000578</t>
  </si>
  <si>
    <t>FB000579</t>
  </si>
  <si>
    <t>FB000580</t>
  </si>
  <si>
    <t>FB000581</t>
  </si>
  <si>
    <t>FB000582</t>
  </si>
  <si>
    <t>FB000583</t>
  </si>
  <si>
    <t>FB000584</t>
  </si>
  <si>
    <t>FB000585</t>
  </si>
  <si>
    <t>FB000586</t>
  </si>
  <si>
    <t>FB000587</t>
  </si>
  <si>
    <t>FB000588</t>
  </si>
  <si>
    <t>FB000589</t>
  </si>
  <si>
    <t>FB000590</t>
  </si>
  <si>
    <t>FB000591</t>
  </si>
  <si>
    <t>FB000592</t>
  </si>
  <si>
    <t>FB000593</t>
  </si>
  <si>
    <t>FB000594</t>
  </si>
  <si>
    <t>FB000595</t>
  </si>
  <si>
    <t>FB000596</t>
  </si>
  <si>
    <t>FB000597</t>
  </si>
  <si>
    <t>FB000598</t>
  </si>
  <si>
    <t>FB000599</t>
  </si>
  <si>
    <t>FB000600</t>
  </si>
  <si>
    <t>FB000601</t>
  </si>
  <si>
    <t>FB000602</t>
  </si>
  <si>
    <t>FB000603</t>
  </si>
  <si>
    <t>FB000604</t>
  </si>
  <si>
    <t>FB000605</t>
  </si>
  <si>
    <t>FB000606</t>
  </si>
  <si>
    <t>FB000607</t>
  </si>
  <si>
    <t>FB000608</t>
  </si>
  <si>
    <t>FB000609</t>
  </si>
  <si>
    <t>FB000610</t>
  </si>
  <si>
    <t>FB000611</t>
  </si>
  <si>
    <t>FB000612</t>
  </si>
  <si>
    <t>FB000613</t>
  </si>
  <si>
    <t>FB000614</t>
  </si>
  <si>
    <t>FB000615</t>
  </si>
  <si>
    <t>FB000616</t>
  </si>
  <si>
    <t>FB000617</t>
  </si>
  <si>
    <t>FB000618</t>
  </si>
  <si>
    <t>FB000619</t>
  </si>
  <si>
    <t>FB000620</t>
  </si>
  <si>
    <t>FB000621</t>
  </si>
  <si>
    <t>FB000622</t>
  </si>
  <si>
    <t>FB000623</t>
  </si>
  <si>
    <t>FB000624</t>
  </si>
  <si>
    <t>FB000625</t>
  </si>
  <si>
    <t>FB000626</t>
  </si>
  <si>
    <t>FB000627</t>
  </si>
  <si>
    <t>FB000628</t>
  </si>
  <si>
    <t>FB000629</t>
  </si>
  <si>
    <t>FB000630</t>
  </si>
  <si>
    <t>FB000631</t>
  </si>
  <si>
    <t>FB000632</t>
  </si>
  <si>
    <t>FB000633</t>
  </si>
  <si>
    <t>FB000634</t>
  </si>
  <si>
    <t>FB000635</t>
  </si>
  <si>
    <t>FB000636</t>
  </si>
  <si>
    <t>FB000637</t>
  </si>
  <si>
    <t>FB000638</t>
  </si>
  <si>
    <t>FB000639</t>
  </si>
  <si>
    <t>FB000640</t>
  </si>
  <si>
    <t>FB000641</t>
  </si>
  <si>
    <t>FB000642</t>
  </si>
  <si>
    <t>FB000643</t>
  </si>
  <si>
    <t>FB000644</t>
  </si>
  <si>
    <t>FB000645</t>
  </si>
  <si>
    <t>FB000646</t>
  </si>
  <si>
    <t>FB000647</t>
  </si>
  <si>
    <t>FB000648</t>
  </si>
  <si>
    <t>FB000649</t>
  </si>
  <si>
    <t>FB000650</t>
  </si>
  <si>
    <t>FB000651</t>
  </si>
  <si>
    <t>FB000652</t>
  </si>
  <si>
    <t>FB000653</t>
  </si>
  <si>
    <t>FB000654</t>
  </si>
  <si>
    <t>FB000655</t>
  </si>
  <si>
    <t>FB000656</t>
  </si>
  <si>
    <t>FB000657</t>
  </si>
  <si>
    <t>FB000658</t>
  </si>
  <si>
    <t>FB000659</t>
  </si>
  <si>
    <t>FB000660</t>
  </si>
  <si>
    <t>FB000661</t>
  </si>
  <si>
    <t>FB000662</t>
  </si>
  <si>
    <t>FB000663</t>
  </si>
  <si>
    <t>FB000664</t>
  </si>
  <si>
    <t>FB000665</t>
  </si>
  <si>
    <t>FB000666</t>
  </si>
  <si>
    <t>FB000667</t>
  </si>
  <si>
    <t>FB000668</t>
  </si>
  <si>
    <t>FB000669</t>
  </si>
  <si>
    <t>FB000670</t>
  </si>
  <si>
    <t>FB000671</t>
  </si>
  <si>
    <t>FB000672</t>
  </si>
  <si>
    <t>FB000673</t>
  </si>
  <si>
    <t>FB000674</t>
  </si>
  <si>
    <t>FB000675</t>
  </si>
  <si>
    <t>FB000676</t>
  </si>
  <si>
    <t>FB000677</t>
  </si>
  <si>
    <t>FB000678</t>
  </si>
  <si>
    <t>FB000679</t>
  </si>
  <si>
    <t>FB000680</t>
  </si>
  <si>
    <t>FB000681</t>
  </si>
  <si>
    <t>FB000682</t>
  </si>
  <si>
    <t>FB000683</t>
  </si>
  <si>
    <t>FB000684</t>
  </si>
  <si>
    <t>FB000685</t>
  </si>
  <si>
    <t>FB000686</t>
  </si>
  <si>
    <t>FB000687</t>
  </si>
  <si>
    <t>FB000688</t>
  </si>
  <si>
    <t>FB000689</t>
  </si>
  <si>
    <t>FB000690</t>
  </si>
  <si>
    <t>FB000691</t>
  </si>
  <si>
    <t>FB000692</t>
  </si>
  <si>
    <t>FB000693</t>
  </si>
  <si>
    <t>FB000694</t>
  </si>
  <si>
    <t>FB000695</t>
  </si>
  <si>
    <t>FB000696</t>
  </si>
  <si>
    <t>FB000697</t>
  </si>
  <si>
    <t>FB000698</t>
  </si>
  <si>
    <t>FB000699</t>
  </si>
  <si>
    <t>FB000700</t>
  </si>
  <si>
    <t>FB000701</t>
  </si>
  <si>
    <t>FB000702</t>
  </si>
  <si>
    <t>FB000703</t>
  </si>
  <si>
    <t>FB000704</t>
  </si>
  <si>
    <t>FB000705</t>
  </si>
  <si>
    <t>FB000706</t>
  </si>
  <si>
    <t>FB000707</t>
  </si>
  <si>
    <t>FB000708</t>
  </si>
  <si>
    <t>FB000709</t>
  </si>
  <si>
    <t>FB000710</t>
  </si>
  <si>
    <t>FB000711</t>
  </si>
  <si>
    <t>FB000712</t>
  </si>
  <si>
    <t>FB000713</t>
  </si>
  <si>
    <t>FB000714</t>
  </si>
  <si>
    <t>FB000715</t>
  </si>
  <si>
    <t>FB000716</t>
  </si>
  <si>
    <t>FB000717</t>
  </si>
  <si>
    <t>FB000718</t>
  </si>
  <si>
    <t>FB000719</t>
  </si>
  <si>
    <t>FB000720</t>
  </si>
  <si>
    <t>FB000721</t>
  </si>
  <si>
    <t>FB000722</t>
  </si>
  <si>
    <t>FB000723</t>
  </si>
  <si>
    <t>FB000724</t>
  </si>
  <si>
    <t>FB000725</t>
  </si>
  <si>
    <t>FB000726</t>
  </si>
  <si>
    <t>FB000727</t>
  </si>
  <si>
    <t>FB000728</t>
  </si>
  <si>
    <t>FB000729</t>
  </si>
  <si>
    <t>FB000730</t>
  </si>
  <si>
    <t>FB000731</t>
  </si>
  <si>
    <t>FB000732</t>
  </si>
  <si>
    <t>FB000733</t>
  </si>
  <si>
    <t>FB000734</t>
  </si>
  <si>
    <t>FB000735</t>
  </si>
  <si>
    <t>FB000736</t>
  </si>
  <si>
    <t>FB000737</t>
  </si>
  <si>
    <t>FB000738</t>
  </si>
  <si>
    <t>FB000739</t>
  </si>
  <si>
    <t>FB000740</t>
  </si>
  <si>
    <t>FB000741</t>
  </si>
  <si>
    <t>FB000742</t>
  </si>
  <si>
    <t>FB000743</t>
  </si>
  <si>
    <t>FB000744</t>
  </si>
  <si>
    <t>FB000745</t>
  </si>
  <si>
    <t>FB000746</t>
  </si>
  <si>
    <t>FB000747</t>
  </si>
  <si>
    <t>FB000748</t>
  </si>
  <si>
    <t>FB000749</t>
  </si>
  <si>
    <t>FB000750</t>
  </si>
  <si>
    <t>FB000751</t>
  </si>
  <si>
    <t>FB000752</t>
  </si>
  <si>
    <t>FB000753</t>
  </si>
  <si>
    <t>FB000754</t>
  </si>
  <si>
    <t>FB000755</t>
  </si>
  <si>
    <t>FB000756</t>
  </si>
  <si>
    <t>FB000757</t>
  </si>
  <si>
    <t>FB000758</t>
  </si>
  <si>
    <t>FB000759</t>
  </si>
  <si>
    <t>FB000760</t>
  </si>
  <si>
    <t>FB000761</t>
  </si>
  <si>
    <t>FB000762</t>
  </si>
  <si>
    <t>FB000763</t>
  </si>
  <si>
    <t>FB000764</t>
  </si>
  <si>
    <t>FB000765</t>
  </si>
  <si>
    <t>FB000766</t>
  </si>
  <si>
    <t>FB000767</t>
  </si>
  <si>
    <t>FB000768</t>
  </si>
  <si>
    <t>FB000769</t>
  </si>
  <si>
    <t>FB000770</t>
  </si>
  <si>
    <t>FB000771</t>
  </si>
  <si>
    <t>FB000772</t>
  </si>
  <si>
    <t>FB000773</t>
  </si>
  <si>
    <t>FB000774</t>
  </si>
  <si>
    <t>FB000775</t>
  </si>
  <si>
    <t>FB000776</t>
  </si>
  <si>
    <t>FB000777</t>
  </si>
  <si>
    <t>FB000778</t>
  </si>
  <si>
    <t>FB000779</t>
  </si>
  <si>
    <t>FB000780</t>
  </si>
  <si>
    <t>FB000781</t>
  </si>
  <si>
    <t>FB000782</t>
  </si>
  <si>
    <t>FB000783</t>
  </si>
  <si>
    <t>FB000784</t>
  </si>
  <si>
    <t>FB000785</t>
  </si>
  <si>
    <t>FB000786</t>
  </si>
  <si>
    <t>FB000787</t>
  </si>
  <si>
    <t>FB000788</t>
  </si>
  <si>
    <t>FB000789</t>
  </si>
  <si>
    <t>FB000790</t>
  </si>
  <si>
    <t>FB000791</t>
  </si>
  <si>
    <t>FB000792</t>
  </si>
  <si>
    <t>FB000793</t>
  </si>
  <si>
    <t>FB000794</t>
  </si>
  <si>
    <t>FB000795</t>
  </si>
  <si>
    <t>FB000796</t>
  </si>
  <si>
    <t>FB000797</t>
  </si>
  <si>
    <t>FB000798</t>
  </si>
  <si>
    <t>FB000799</t>
  </si>
  <si>
    <t>FB000800</t>
  </si>
  <si>
    <t>FB000801</t>
  </si>
  <si>
    <t>FB000802</t>
  </si>
  <si>
    <t>FB000803</t>
  </si>
  <si>
    <t>FB000804</t>
  </si>
  <si>
    <t>FB000805</t>
  </si>
  <si>
    <t>FB000806</t>
  </si>
  <si>
    <t>FB000807</t>
  </si>
  <si>
    <t>FB000808</t>
  </si>
  <si>
    <t>FB000809</t>
  </si>
  <si>
    <t>FB000810</t>
  </si>
  <si>
    <t>FB000811</t>
  </si>
  <si>
    <t>FB000812</t>
  </si>
  <si>
    <t>FB000813</t>
  </si>
  <si>
    <t>FB000814</t>
  </si>
  <si>
    <t>FB000815</t>
  </si>
  <si>
    <t>FB000816</t>
  </si>
  <si>
    <t>FB000817</t>
  </si>
  <si>
    <t>FB000818</t>
  </si>
  <si>
    <t>FB000819</t>
  </si>
  <si>
    <t>FB000820</t>
  </si>
  <si>
    <t>FB000821</t>
  </si>
  <si>
    <t>FB000822</t>
  </si>
  <si>
    <t>FB000823</t>
  </si>
  <si>
    <t>FB000824</t>
  </si>
  <si>
    <t>FB000825</t>
  </si>
  <si>
    <t>FB000826</t>
  </si>
  <si>
    <t>FB000827</t>
  </si>
  <si>
    <t>FB000828</t>
  </si>
  <si>
    <t>FB000829</t>
  </si>
  <si>
    <t>FB000830</t>
  </si>
  <si>
    <t>FB000831</t>
  </si>
  <si>
    <t>FB000832</t>
  </si>
  <si>
    <t>FB000833</t>
  </si>
  <si>
    <t>FB000834</t>
  </si>
  <si>
    <t>FB000835</t>
  </si>
  <si>
    <t>FB000836</t>
  </si>
  <si>
    <t>FB000837</t>
  </si>
  <si>
    <t>FB000838</t>
  </si>
  <si>
    <t>FB000839</t>
  </si>
  <si>
    <t>FB000840</t>
  </si>
  <si>
    <t>FB000841</t>
  </si>
  <si>
    <t>FB000842</t>
  </si>
  <si>
    <t>FB000843</t>
  </si>
  <si>
    <t>FB000844</t>
  </si>
  <si>
    <t>FB000845</t>
  </si>
  <si>
    <t>FB000846</t>
  </si>
  <si>
    <t>FB000847</t>
  </si>
  <si>
    <t>FB000848</t>
  </si>
  <si>
    <t>FB000849</t>
  </si>
  <si>
    <t>FB000850</t>
  </si>
  <si>
    <t>FB000851</t>
  </si>
  <si>
    <t>FB000852</t>
  </si>
  <si>
    <t>FB000853</t>
  </si>
  <si>
    <t>FB000854</t>
  </si>
  <si>
    <t>FB000855</t>
  </si>
  <si>
    <t>FB000856</t>
  </si>
  <si>
    <t>FB000857</t>
  </si>
  <si>
    <t>FB000858</t>
  </si>
  <si>
    <t>FB000859</t>
  </si>
  <si>
    <t>FB000860</t>
  </si>
  <si>
    <t>FB000861</t>
  </si>
  <si>
    <t>FB000862</t>
  </si>
  <si>
    <t>FB000863</t>
  </si>
  <si>
    <t>FB000864</t>
  </si>
  <si>
    <t>FB000865</t>
  </si>
  <si>
    <t>FB000866</t>
  </si>
  <si>
    <t>FB000867</t>
  </si>
  <si>
    <t>FB000868</t>
  </si>
  <si>
    <t>FB000869</t>
  </si>
  <si>
    <t>FB000870</t>
  </si>
  <si>
    <t>FB000871</t>
  </si>
  <si>
    <t>FB000872</t>
  </si>
  <si>
    <t>FB000873</t>
  </si>
  <si>
    <t>FB000874</t>
  </si>
  <si>
    <t>FB000875</t>
  </si>
  <si>
    <t>FB000876</t>
  </si>
  <si>
    <t>FB000877</t>
  </si>
  <si>
    <t>FB000878</t>
  </si>
  <si>
    <t>FB000879</t>
  </si>
  <si>
    <t>FB000880</t>
  </si>
  <si>
    <t>FB000881</t>
  </si>
  <si>
    <t>FB000882</t>
  </si>
  <si>
    <t>FB000883</t>
  </si>
  <si>
    <t>FB000884</t>
  </si>
  <si>
    <t>FB000885</t>
  </si>
  <si>
    <t>FB000886</t>
  </si>
  <si>
    <t>FB000887</t>
  </si>
  <si>
    <t>FB000888</t>
  </si>
  <si>
    <t>FB000889</t>
  </si>
  <si>
    <t>FB000890</t>
  </si>
  <si>
    <t>FB000891</t>
  </si>
  <si>
    <t>FB000892</t>
  </si>
  <si>
    <t>FB000893</t>
  </si>
  <si>
    <t>FB000894</t>
  </si>
  <si>
    <t>FB000895</t>
  </si>
  <si>
    <t>FB000896</t>
  </si>
  <si>
    <t>FB000897</t>
  </si>
  <si>
    <t>FB000898</t>
  </si>
  <si>
    <t>FB000899</t>
  </si>
  <si>
    <t>FB000900</t>
  </si>
  <si>
    <t>FB000901</t>
  </si>
  <si>
    <t>FB000902</t>
  </si>
  <si>
    <t>FB000903</t>
  </si>
  <si>
    <t>FB000904</t>
  </si>
  <si>
    <t>FB000905</t>
  </si>
  <si>
    <t>FB000906</t>
  </si>
  <si>
    <t>FB000907</t>
  </si>
  <si>
    <t>FB000908</t>
  </si>
  <si>
    <t>FB000909</t>
  </si>
  <si>
    <t>FB000910</t>
  </si>
  <si>
    <t>FB000911</t>
  </si>
  <si>
    <t>FB000912</t>
  </si>
  <si>
    <t>FB000913</t>
  </si>
  <si>
    <t>FB000914</t>
  </si>
  <si>
    <t>FB000915</t>
  </si>
  <si>
    <t>FB000916</t>
  </si>
  <si>
    <t>FB000917</t>
  </si>
  <si>
    <t>FB000918</t>
  </si>
  <si>
    <t>FB000919</t>
  </si>
  <si>
    <t>FB000920</t>
  </si>
  <si>
    <t>FB000921</t>
  </si>
  <si>
    <t>FB000922</t>
  </si>
  <si>
    <t>FB000923</t>
  </si>
  <si>
    <t>FB000924</t>
  </si>
  <si>
    <t>FB000925</t>
  </si>
  <si>
    <t>FB000926</t>
  </si>
  <si>
    <t>FB000927</t>
  </si>
  <si>
    <t>FB000928</t>
  </si>
  <si>
    <t>FB000929</t>
  </si>
  <si>
    <t>FB000930</t>
  </si>
  <si>
    <t>FB000931</t>
  </si>
  <si>
    <t>FB000932</t>
  </si>
  <si>
    <t>FB000933</t>
  </si>
  <si>
    <t>FB000934</t>
  </si>
  <si>
    <t>FB000935</t>
  </si>
  <si>
    <t>FB000936</t>
  </si>
  <si>
    <t>FB000937</t>
  </si>
  <si>
    <t>FB000938</t>
  </si>
  <si>
    <t>FB000939</t>
  </si>
  <si>
    <t>FB000940</t>
  </si>
  <si>
    <t>FB000941</t>
  </si>
  <si>
    <t>FB000942</t>
  </si>
  <si>
    <t>FB000943</t>
  </si>
  <si>
    <t>FB000944</t>
  </si>
  <si>
    <t>FB000945</t>
  </si>
  <si>
    <t>FB000946</t>
  </si>
  <si>
    <t>FB000947</t>
  </si>
  <si>
    <t>FB000948</t>
  </si>
  <si>
    <t>FB000949</t>
  </si>
  <si>
    <t>FB000950</t>
  </si>
  <si>
    <t>FB000951</t>
  </si>
  <si>
    <t>FB000952</t>
  </si>
  <si>
    <t>FB000953</t>
  </si>
  <si>
    <t>FB000954</t>
  </si>
  <si>
    <t>FB000955</t>
  </si>
  <si>
    <t>FB000956</t>
  </si>
  <si>
    <t>FB000957</t>
  </si>
  <si>
    <t>FB000958</t>
  </si>
  <si>
    <t>FB000959</t>
  </si>
  <si>
    <t>FB000960</t>
  </si>
  <si>
    <t>FB000961</t>
  </si>
  <si>
    <t>FB000962</t>
  </si>
  <si>
    <t>FB000963</t>
  </si>
  <si>
    <t>FB000964</t>
  </si>
  <si>
    <t>FB000965</t>
  </si>
  <si>
    <t>FB000966</t>
  </si>
  <si>
    <t>FB000967</t>
  </si>
  <si>
    <t>FB000968</t>
  </si>
  <si>
    <t>FB000969</t>
  </si>
  <si>
    <t>FB000970</t>
  </si>
  <si>
    <t>FB000971</t>
  </si>
  <si>
    <t>FB000972</t>
  </si>
  <si>
    <t>FB000973</t>
  </si>
  <si>
    <t>FB000974</t>
  </si>
  <si>
    <t>FB000975</t>
  </si>
  <si>
    <t>FB000976</t>
  </si>
  <si>
    <t>FB000977</t>
  </si>
  <si>
    <t>FB000978</t>
  </si>
  <si>
    <t>FB000979</t>
  </si>
  <si>
    <t>FB000980</t>
  </si>
  <si>
    <t>FB000981</t>
  </si>
  <si>
    <t>FB000982</t>
  </si>
  <si>
    <t>FB000983</t>
  </si>
  <si>
    <t>FB000984</t>
  </si>
  <si>
    <t>FB000985</t>
  </si>
  <si>
    <t>FB000986</t>
  </si>
  <si>
    <t>FB000987</t>
  </si>
  <si>
    <t>FB000988</t>
  </si>
  <si>
    <t>FB000989</t>
  </si>
  <si>
    <t>FB000990</t>
  </si>
  <si>
    <t>FB000991</t>
  </si>
  <si>
    <t>FB000992</t>
  </si>
  <si>
    <t>FB000993</t>
  </si>
  <si>
    <t>FB000994</t>
  </si>
  <si>
    <t>FB000995</t>
  </si>
  <si>
    <t>FB000996</t>
  </si>
  <si>
    <t>FB000997</t>
  </si>
  <si>
    <t>FB000998</t>
  </si>
  <si>
    <t>FB000999</t>
  </si>
  <si>
    <t>FB001000</t>
  </si>
  <si>
    <t>FB001001</t>
  </si>
  <si>
    <t>FB001002</t>
  </si>
  <si>
    <t>FB001003</t>
  </si>
  <si>
    <t>FB001004</t>
  </si>
  <si>
    <t>FB001005</t>
  </si>
  <si>
    <t>FB001006</t>
  </si>
  <si>
    <t>FB001007</t>
  </si>
  <si>
    <t>FB001008</t>
  </si>
  <si>
    <t>FB001009</t>
  </si>
  <si>
    <t>FB001010</t>
  </si>
  <si>
    <t>FB001011</t>
  </si>
  <si>
    <t>FB001012</t>
  </si>
  <si>
    <t>FB001013</t>
  </si>
  <si>
    <t>FB001014</t>
  </si>
  <si>
    <t>FB001015</t>
  </si>
  <si>
    <t>FB001016</t>
  </si>
  <si>
    <t>FB001017</t>
  </si>
  <si>
    <t>FB001018</t>
  </si>
  <si>
    <t>FB001019</t>
  </si>
  <si>
    <t>FB001020</t>
  </si>
  <si>
    <t>FB001021</t>
  </si>
  <si>
    <t>FB001022</t>
  </si>
  <si>
    <t>FB001023</t>
  </si>
  <si>
    <t>FB001024</t>
  </si>
  <si>
    <t>FB001025</t>
  </si>
  <si>
    <t>FB001026</t>
  </si>
  <si>
    <t>FB001027</t>
  </si>
  <si>
    <t>FB001028</t>
  </si>
  <si>
    <t>FB001029</t>
  </si>
  <si>
    <t>FB001030</t>
  </si>
  <si>
    <t>FB001031</t>
  </si>
  <si>
    <t>FB001032</t>
  </si>
  <si>
    <t>FB001033</t>
  </si>
  <si>
    <t>FB001034</t>
  </si>
  <si>
    <t>FB001035</t>
  </si>
  <si>
    <t>FB001036</t>
  </si>
  <si>
    <t>FB001037</t>
  </si>
  <si>
    <t>FB001038</t>
  </si>
  <si>
    <t>FB001039</t>
  </si>
  <si>
    <t>FB001040</t>
  </si>
  <si>
    <t>FB001041</t>
  </si>
  <si>
    <t>FB001042</t>
  </si>
  <si>
    <t>FB001043</t>
  </si>
  <si>
    <t>FB001044</t>
  </si>
  <si>
    <t>FB001045</t>
  </si>
  <si>
    <t>FB001046</t>
  </si>
  <si>
    <t>FB001047</t>
  </si>
  <si>
    <t>FB001048</t>
  </si>
  <si>
    <t>FB001049</t>
  </si>
  <si>
    <t>FB001050</t>
  </si>
  <si>
    <t>FB001051</t>
  </si>
  <si>
    <t>FB001052</t>
  </si>
  <si>
    <t>FB001053</t>
  </si>
  <si>
    <t>FB001054</t>
  </si>
  <si>
    <t>FB001055</t>
  </si>
  <si>
    <t>FB001056</t>
  </si>
  <si>
    <t>FB001057</t>
  </si>
  <si>
    <t>FB001058</t>
  </si>
  <si>
    <t>FB001059</t>
  </si>
  <si>
    <t>FB001060</t>
  </si>
  <si>
    <t>FB001061</t>
  </si>
  <si>
    <t>FB001062</t>
  </si>
  <si>
    <t>FB001063</t>
  </si>
  <si>
    <t>FB001064</t>
  </si>
  <si>
    <t>FB001065</t>
  </si>
  <si>
    <t>FB001066</t>
  </si>
  <si>
    <t>FB001067</t>
  </si>
  <si>
    <t>FB001068</t>
  </si>
  <si>
    <t>FB001069</t>
  </si>
  <si>
    <t>FB001070</t>
  </si>
  <si>
    <t>FB001071</t>
  </si>
  <si>
    <t>FB001072</t>
  </si>
  <si>
    <t>FB001073</t>
  </si>
  <si>
    <t>FB001074</t>
  </si>
  <si>
    <t>FB001075</t>
  </si>
  <si>
    <t>FB001076</t>
  </si>
  <si>
    <t>FB001077</t>
  </si>
  <si>
    <t>FB001078</t>
  </si>
  <si>
    <t>FB001079</t>
  </si>
  <si>
    <t>FB001080</t>
  </si>
  <si>
    <t>FB001081</t>
  </si>
  <si>
    <t>FB001082</t>
  </si>
  <si>
    <t>FB001083</t>
  </si>
  <si>
    <t>FB001084</t>
  </si>
  <si>
    <t>FB001085</t>
  </si>
  <si>
    <t>FB001086</t>
  </si>
  <si>
    <t>FB001087</t>
  </si>
  <si>
    <t>FB001088</t>
  </si>
  <si>
    <t>FB001089</t>
  </si>
  <si>
    <t>FB001090</t>
  </si>
  <si>
    <t>FB001091</t>
  </si>
  <si>
    <t>FB001092</t>
  </si>
  <si>
    <t>FB001093</t>
  </si>
  <si>
    <t>FB001094</t>
  </si>
  <si>
    <t>FB001095</t>
  </si>
  <si>
    <t>FB001096</t>
  </si>
  <si>
    <t>FB001097</t>
  </si>
  <si>
    <t>FB001098</t>
  </si>
  <si>
    <t>FB001099</t>
  </si>
  <si>
    <t>FB001100</t>
  </si>
  <si>
    <t>FB001101</t>
  </si>
  <si>
    <t>FB001102</t>
  </si>
  <si>
    <t>FB001103</t>
  </si>
  <si>
    <t>FB001104</t>
  </si>
  <si>
    <t>FB001105</t>
  </si>
  <si>
    <t>FB001106</t>
  </si>
  <si>
    <t>FB001107</t>
  </si>
  <si>
    <t>FB001108</t>
  </si>
  <si>
    <t>FB001109</t>
  </si>
  <si>
    <t>FB001110</t>
  </si>
  <si>
    <t>FB001111</t>
  </si>
  <si>
    <t>FB001112</t>
  </si>
  <si>
    <t>FB001113</t>
  </si>
  <si>
    <t>FB001114</t>
  </si>
  <si>
    <t>FB001115</t>
  </si>
  <si>
    <t>FB001116</t>
  </si>
  <si>
    <t>FB001117</t>
  </si>
  <si>
    <t>FB001118</t>
  </si>
  <si>
    <t>FB001119</t>
  </si>
  <si>
    <t>FB001120</t>
  </si>
  <si>
    <t>FB001121</t>
  </si>
  <si>
    <t>FB001122</t>
  </si>
  <si>
    <t>FB001123</t>
  </si>
  <si>
    <t>FB001124</t>
  </si>
  <si>
    <t>FB001125</t>
  </si>
  <si>
    <t>FB001126</t>
  </si>
  <si>
    <t>FB001127</t>
  </si>
  <si>
    <t>FB001128</t>
  </si>
  <si>
    <t>FB001129</t>
  </si>
  <si>
    <t>FB001130</t>
  </si>
  <si>
    <t>FB001131</t>
  </si>
  <si>
    <t>FB001132</t>
  </si>
  <si>
    <t>FB001133</t>
  </si>
  <si>
    <t>FB001134</t>
  </si>
  <si>
    <t>FB001135</t>
  </si>
  <si>
    <t>FB001136</t>
  </si>
  <si>
    <t>FB001137</t>
  </si>
  <si>
    <t>FB001138</t>
  </si>
  <si>
    <t>FB001139</t>
  </si>
  <si>
    <t>FB001140</t>
  </si>
  <si>
    <t>FB001141</t>
  </si>
  <si>
    <t>FB001142</t>
  </si>
  <si>
    <t>FB001143</t>
  </si>
  <si>
    <t>FB001144</t>
  </si>
  <si>
    <t>FB001145</t>
  </si>
  <si>
    <t>FB001146</t>
  </si>
  <si>
    <t>FB001147</t>
  </si>
  <si>
    <t>FB001148</t>
  </si>
  <si>
    <t>FB001149</t>
  </si>
  <si>
    <t>FB001150</t>
  </si>
  <si>
    <t>FB001151</t>
  </si>
  <si>
    <t>FB001152</t>
  </si>
  <si>
    <t>FB001153</t>
  </si>
  <si>
    <t>FB001154</t>
  </si>
  <si>
    <t>FB001155</t>
  </si>
  <si>
    <t>FB001156</t>
  </si>
  <si>
    <t>FB001157</t>
  </si>
  <si>
    <t>FB001158</t>
  </si>
  <si>
    <t>FB001159</t>
  </si>
  <si>
    <t>FB001160</t>
  </si>
  <si>
    <t>FB001161</t>
  </si>
  <si>
    <t>FB001162</t>
  </si>
  <si>
    <t>FB001163</t>
  </si>
  <si>
    <t>FB001164</t>
  </si>
  <si>
    <t>FB001165</t>
  </si>
  <si>
    <t>FB001166</t>
  </si>
  <si>
    <t>FB001167</t>
  </si>
  <si>
    <t>FB001168</t>
  </si>
  <si>
    <t>FB001169</t>
  </si>
  <si>
    <t>FB001170</t>
  </si>
  <si>
    <t>FB001171</t>
  </si>
  <si>
    <t>FB001172</t>
  </si>
  <si>
    <t>FB001173</t>
  </si>
  <si>
    <t>FB001174</t>
  </si>
  <si>
    <t>FB001175</t>
  </si>
  <si>
    <t>FB001176</t>
  </si>
  <si>
    <t>FB001177</t>
  </si>
  <si>
    <t>FB001178</t>
  </si>
  <si>
    <t>FB001179</t>
  </si>
  <si>
    <t>FB001180</t>
  </si>
  <si>
    <t>FB001181</t>
  </si>
  <si>
    <t>FB001182</t>
  </si>
  <si>
    <t>FB001183</t>
  </si>
  <si>
    <t>FB001184</t>
  </si>
  <si>
    <t>FB001185</t>
  </si>
  <si>
    <t>FB001186</t>
  </si>
  <si>
    <t>FB001187</t>
  </si>
  <si>
    <t>FB001188</t>
  </si>
  <si>
    <t>FB001189</t>
  </si>
  <si>
    <t>FB001190</t>
  </si>
  <si>
    <t>FB001191</t>
  </si>
  <si>
    <t>FB001192</t>
  </si>
  <si>
    <t>FB001193</t>
  </si>
  <si>
    <t>FB001194</t>
  </si>
  <si>
    <t>FB001195</t>
  </si>
  <si>
    <t>FB001196</t>
  </si>
  <si>
    <t>FB001197</t>
  </si>
  <si>
    <t>FB001198</t>
  </si>
  <si>
    <t>FB001199</t>
  </si>
  <si>
    <t>FB001200</t>
  </si>
  <si>
    <t>FB001201</t>
  </si>
  <si>
    <t>FB001202</t>
  </si>
  <si>
    <t>FB001203</t>
  </si>
  <si>
    <t>FB001204</t>
  </si>
  <si>
    <t>FB001205</t>
  </si>
  <si>
    <t>FB001206</t>
  </si>
  <si>
    <t>FB001207</t>
  </si>
  <si>
    <t>FB001208</t>
  </si>
  <si>
    <t>FB001209</t>
  </si>
  <si>
    <t>FB001210</t>
  </si>
  <si>
    <t>FB001211</t>
  </si>
  <si>
    <t>FB001212</t>
  </si>
  <si>
    <t>FB001213</t>
  </si>
  <si>
    <t>FB001214</t>
  </si>
  <si>
    <t>FB001215</t>
  </si>
  <si>
    <t>FB001216</t>
  </si>
  <si>
    <t>FB001217</t>
  </si>
  <si>
    <t>FB001218</t>
  </si>
  <si>
    <t>FB001219</t>
  </si>
  <si>
    <t>FB001220</t>
  </si>
  <si>
    <t>FB001221</t>
  </si>
  <si>
    <t>FB001222</t>
  </si>
  <si>
    <t>FB001223</t>
  </si>
  <si>
    <t>FB001224</t>
  </si>
  <si>
    <t>FB001225</t>
  </si>
  <si>
    <t>FB001226</t>
  </si>
  <si>
    <t>FB001227</t>
  </si>
  <si>
    <t>FB001228</t>
  </si>
  <si>
    <t>FB001229</t>
  </si>
  <si>
    <t>FB001230</t>
  </si>
  <si>
    <t>FB001231</t>
  </si>
  <si>
    <t>FB001232</t>
  </si>
  <si>
    <t>FB001233</t>
  </si>
  <si>
    <t>FB001234</t>
  </si>
  <si>
    <t>FB001235</t>
  </si>
  <si>
    <t>FB001236</t>
  </si>
  <si>
    <t>FB001237</t>
  </si>
  <si>
    <t>FB001238</t>
  </si>
  <si>
    <t>FB001239</t>
  </si>
  <si>
    <t>FB001240</t>
  </si>
  <si>
    <t>FB001241</t>
  </si>
  <si>
    <t>FB001242</t>
  </si>
  <si>
    <t>FB001243</t>
  </si>
  <si>
    <t>FB001244</t>
  </si>
  <si>
    <t>FB001245</t>
  </si>
  <si>
    <t>FB001246</t>
  </si>
  <si>
    <t>FB001247</t>
  </si>
  <si>
    <t>FB001248</t>
  </si>
  <si>
    <t>FB001249</t>
  </si>
  <si>
    <t>FB001250</t>
  </si>
  <si>
    <t>FB001251</t>
  </si>
  <si>
    <t>FB001252</t>
  </si>
  <si>
    <t>FB001253</t>
  </si>
  <si>
    <t>FB001254</t>
  </si>
  <si>
    <t>FB001255</t>
  </si>
  <si>
    <t>FB001256</t>
  </si>
  <si>
    <t>FB001257</t>
  </si>
  <si>
    <t>FB001258</t>
  </si>
  <si>
    <t>FB001259</t>
  </si>
  <si>
    <t>FB001260</t>
  </si>
  <si>
    <t>FB001261</t>
  </si>
  <si>
    <t>FB001262</t>
  </si>
  <si>
    <t>FB001263</t>
  </si>
  <si>
    <t>FB001264</t>
  </si>
  <si>
    <t>FB001265</t>
  </si>
  <si>
    <t>FB001266</t>
  </si>
  <si>
    <t>FB001267</t>
  </si>
  <si>
    <t>FB001268</t>
  </si>
  <si>
    <t>FB001269</t>
  </si>
  <si>
    <t>FB001270</t>
  </si>
  <si>
    <t>FB001271</t>
  </si>
  <si>
    <t>FB001272</t>
  </si>
  <si>
    <t>FB001273</t>
  </si>
  <si>
    <t>FB001274</t>
  </si>
  <si>
    <t>FB001275</t>
  </si>
  <si>
    <t>FB001276</t>
  </si>
  <si>
    <t>FB001277</t>
  </si>
  <si>
    <t>FB001278</t>
  </si>
  <si>
    <t>FB001279</t>
  </si>
  <si>
    <t>FB001280</t>
  </si>
  <si>
    <t>FB001281</t>
  </si>
  <si>
    <t>FB001282</t>
  </si>
  <si>
    <t>FB001283</t>
  </si>
  <si>
    <t>FB001284</t>
  </si>
  <si>
    <t>FB001285</t>
  </si>
  <si>
    <t>FB001286</t>
  </si>
  <si>
    <t>FB001287</t>
  </si>
  <si>
    <t>FB001288</t>
  </si>
  <si>
    <t>FB001289</t>
  </si>
  <si>
    <t>FB001290</t>
  </si>
  <si>
    <t>FB001291</t>
  </si>
  <si>
    <t>FB001292</t>
  </si>
  <si>
    <t>FB001293</t>
  </si>
  <si>
    <t>FB001294</t>
  </si>
  <si>
    <t>FB001295</t>
  </si>
  <si>
    <t>FB001296</t>
  </si>
  <si>
    <t>FB001297</t>
  </si>
  <si>
    <t>FB001298</t>
  </si>
  <si>
    <t>FB001299</t>
  </si>
  <si>
    <t>FB001300</t>
  </si>
  <si>
    <t>FB001301</t>
  </si>
  <si>
    <t>FB001302</t>
  </si>
  <si>
    <t>FB001303</t>
  </si>
  <si>
    <t>FB001304</t>
  </si>
  <si>
    <t>FB001305</t>
  </si>
  <si>
    <t>FB001306</t>
  </si>
  <si>
    <t>FB001307</t>
  </si>
  <si>
    <t>FB001308</t>
  </si>
  <si>
    <t>FB001309</t>
  </si>
  <si>
    <t>FB001310</t>
  </si>
  <si>
    <t>FB001311</t>
  </si>
  <si>
    <t>FB001312</t>
  </si>
  <si>
    <t>FB001313</t>
  </si>
  <si>
    <t>FB001314</t>
  </si>
  <si>
    <t>FB001315</t>
  </si>
  <si>
    <t>FB001316</t>
  </si>
  <si>
    <t>FB001317</t>
  </si>
  <si>
    <t>FB001318</t>
  </si>
  <si>
    <t>FB001319</t>
  </si>
  <si>
    <t>FB001320</t>
  </si>
  <si>
    <t>FB001321</t>
  </si>
  <si>
    <t>FB001322</t>
  </si>
  <si>
    <t>FB001323</t>
  </si>
  <si>
    <t>FB001324</t>
  </si>
  <si>
    <t>FB001325</t>
  </si>
  <si>
    <t>FB001326</t>
  </si>
  <si>
    <t>FB001327</t>
  </si>
  <si>
    <t>FB001328</t>
  </si>
  <si>
    <t>FB001329</t>
  </si>
  <si>
    <t>FB001330</t>
  </si>
  <si>
    <t>FB001331</t>
  </si>
  <si>
    <t>FB001332</t>
  </si>
  <si>
    <t>FB001333</t>
  </si>
  <si>
    <t>FB001334</t>
  </si>
  <si>
    <t>FB001335</t>
  </si>
  <si>
    <t>FB001336</t>
  </si>
  <si>
    <t>FB001337</t>
  </si>
  <si>
    <t>FB001338</t>
  </si>
  <si>
    <t>FB001339</t>
  </si>
  <si>
    <t>FB001340</t>
  </si>
  <si>
    <t>FB001341</t>
  </si>
  <si>
    <t>FB001342</t>
  </si>
  <si>
    <t>FB001343</t>
  </si>
  <si>
    <t>FB001344</t>
  </si>
  <si>
    <t>FB001345</t>
  </si>
  <si>
    <t>FB001346</t>
  </si>
  <si>
    <t>FB001347</t>
  </si>
  <si>
    <t>FB001348</t>
  </si>
  <si>
    <t>FB001349</t>
  </si>
  <si>
    <t>FB001350</t>
  </si>
  <si>
    <t>FB001351</t>
  </si>
  <si>
    <t>FB001352</t>
  </si>
  <si>
    <t>FB001353</t>
  </si>
  <si>
    <t>FB001354</t>
  </si>
  <si>
    <t>FB001355</t>
  </si>
  <si>
    <t>FB001356</t>
  </si>
  <si>
    <t>FB001357</t>
  </si>
  <si>
    <t>FB001358</t>
  </si>
  <si>
    <t>FB001359</t>
  </si>
  <si>
    <t>FB001360</t>
  </si>
  <si>
    <t>FB001361</t>
  </si>
  <si>
    <t>FB001362</t>
  </si>
  <si>
    <t>FB001363</t>
  </si>
  <si>
    <t>FB001364</t>
  </si>
  <si>
    <t>FB001365</t>
  </si>
  <si>
    <t>FB001366</t>
  </si>
  <si>
    <t>FB001367</t>
  </si>
  <si>
    <t>FB001368</t>
  </si>
  <si>
    <t>FB001369</t>
  </si>
  <si>
    <t>FB001370</t>
  </si>
  <si>
    <t>FB001371</t>
  </si>
  <si>
    <t>FB001372</t>
  </si>
  <si>
    <t>FB001373</t>
  </si>
  <si>
    <t>FB001374</t>
  </si>
  <si>
    <t>FB001375</t>
  </si>
  <si>
    <t>FB001376</t>
  </si>
  <si>
    <t>FB001377</t>
  </si>
  <si>
    <t>FB001378</t>
  </si>
  <si>
    <t>FB001379</t>
  </si>
  <si>
    <t>FB001380</t>
  </si>
  <si>
    <t>FB001381</t>
  </si>
  <si>
    <t>FB001382</t>
  </si>
  <si>
    <t>FB001383</t>
  </si>
  <si>
    <t>FB001384</t>
  </si>
  <si>
    <t>FB001385</t>
  </si>
  <si>
    <t>FB001386</t>
  </si>
  <si>
    <t>FB001387</t>
  </si>
  <si>
    <t>FB001388</t>
  </si>
  <si>
    <t>FB001389</t>
  </si>
  <si>
    <t>FB001390</t>
  </si>
  <si>
    <t>FB001391</t>
  </si>
  <si>
    <t>FB001392</t>
  </si>
  <si>
    <t>FB001393</t>
  </si>
  <si>
    <t>FB001394</t>
  </si>
  <si>
    <t>FB001395</t>
  </si>
  <si>
    <t>FB001396</t>
  </si>
  <si>
    <t>FB001397</t>
  </si>
  <si>
    <t>FB001398</t>
  </si>
  <si>
    <t>FB001399</t>
  </si>
  <si>
    <t>FB001400</t>
  </si>
  <si>
    <t>FB001401</t>
  </si>
  <si>
    <t>FB001402</t>
  </si>
  <si>
    <t>FB001403</t>
  </si>
  <si>
    <t>FB001404</t>
  </si>
  <si>
    <t>FB001405</t>
  </si>
  <si>
    <t>FB001406</t>
  </si>
  <si>
    <t>FB001407</t>
  </si>
  <si>
    <t>FB001408</t>
  </si>
  <si>
    <t>FB001409</t>
  </si>
  <si>
    <t>FB001410</t>
  </si>
  <si>
    <t>FB001411</t>
  </si>
  <si>
    <t>FB001412</t>
  </si>
  <si>
    <t>FB001413</t>
  </si>
  <si>
    <t>FB001414</t>
  </si>
  <si>
    <t>FB001415</t>
  </si>
  <si>
    <t>FB001416</t>
  </si>
  <si>
    <t>FB001417</t>
  </si>
  <si>
    <t>FB001418</t>
  </si>
  <si>
    <t>FB001419</t>
  </si>
  <si>
    <t>FB001420</t>
  </si>
  <si>
    <t>FB001421</t>
  </si>
  <si>
    <t>FB001422</t>
  </si>
  <si>
    <t>FB001423</t>
  </si>
  <si>
    <t>FB001424</t>
  </si>
  <si>
    <t>FB001425</t>
  </si>
  <si>
    <t>FB001426</t>
  </si>
  <si>
    <t>FB001427</t>
  </si>
  <si>
    <t>FB001428</t>
  </si>
  <si>
    <t>FB001429</t>
  </si>
  <si>
    <t>FB001430</t>
  </si>
  <si>
    <t>FB001431</t>
  </si>
  <si>
    <t>FB001432</t>
  </si>
  <si>
    <t>FB001433</t>
  </si>
  <si>
    <t>FB001434</t>
  </si>
  <si>
    <t>FB001435</t>
  </si>
  <si>
    <t>FB001436</t>
  </si>
  <si>
    <t>FB001437</t>
  </si>
  <si>
    <t>FB001438</t>
  </si>
  <si>
    <t>FB001439</t>
  </si>
  <si>
    <t>FB001440</t>
  </si>
  <si>
    <t>FB001441</t>
  </si>
  <si>
    <t>FB001442</t>
  </si>
  <si>
    <t>FB001443</t>
  </si>
  <si>
    <t>FB001444</t>
  </si>
  <si>
    <t>FB001445</t>
  </si>
  <si>
    <t>FB001446</t>
  </si>
  <si>
    <t>FB001447</t>
  </si>
  <si>
    <t>FB001448</t>
  </si>
  <si>
    <t>FB001449</t>
  </si>
  <si>
    <t>FB001450</t>
  </si>
  <si>
    <t>FB001451</t>
  </si>
  <si>
    <t>FB001452</t>
  </si>
  <si>
    <t>FB001453</t>
  </si>
  <si>
    <t>FB001454</t>
  </si>
  <si>
    <t>FB001455</t>
  </si>
  <si>
    <t>FB001456</t>
  </si>
  <si>
    <t>FB001457</t>
  </si>
  <si>
    <t>FB001458</t>
  </si>
  <si>
    <t>FB001459</t>
  </si>
  <si>
    <t>FB001460</t>
  </si>
  <si>
    <t>FB001461</t>
  </si>
  <si>
    <t>FB001462</t>
  </si>
  <si>
    <t>FB001463</t>
  </si>
  <si>
    <t>FB001464</t>
  </si>
  <si>
    <t>FB001465</t>
  </si>
  <si>
    <t>FB001466</t>
  </si>
  <si>
    <t>FB001467</t>
  </si>
  <si>
    <t>FB001468</t>
  </si>
  <si>
    <t>FB001469</t>
  </si>
  <si>
    <t>FB001470</t>
  </si>
  <si>
    <t>FB001471</t>
  </si>
  <si>
    <t>FB001472</t>
  </si>
  <si>
    <t>FB001473</t>
  </si>
  <si>
    <t>FB001474</t>
  </si>
  <si>
    <t>FB001475</t>
  </si>
  <si>
    <t>FB001476</t>
  </si>
  <si>
    <t>FB001477</t>
  </si>
  <si>
    <t>FB001478</t>
  </si>
  <si>
    <t>FB001479</t>
  </si>
  <si>
    <t>FB001480</t>
  </si>
  <si>
    <t>FB001481</t>
  </si>
  <si>
    <t>FB001482</t>
  </si>
  <si>
    <t>FB001483</t>
  </si>
  <si>
    <t>FB001484</t>
  </si>
  <si>
    <t>FB001485</t>
  </si>
  <si>
    <t>FB001486</t>
  </si>
  <si>
    <t>FB001487</t>
  </si>
  <si>
    <t>FB001488</t>
  </si>
  <si>
    <t>FB001489</t>
  </si>
  <si>
    <t>FB001490</t>
  </si>
  <si>
    <t>FB001491</t>
  </si>
  <si>
    <t>FB001492</t>
  </si>
  <si>
    <t>FB001493</t>
  </si>
  <si>
    <t>FB001494</t>
  </si>
  <si>
    <t>FB001495</t>
  </si>
  <si>
    <t>FB001496</t>
  </si>
  <si>
    <t>FB001497</t>
  </si>
  <si>
    <t>FB001498</t>
  </si>
  <si>
    <t>FB001499</t>
  </si>
  <si>
    <t>FB001500</t>
  </si>
  <si>
    <t>FB001501</t>
  </si>
  <si>
    <t>FB001502</t>
  </si>
  <si>
    <t>FB001503</t>
  </si>
  <si>
    <t>FB001504</t>
  </si>
  <si>
    <t>FB001505</t>
  </si>
  <si>
    <t>FB001506</t>
  </si>
  <si>
    <t>FB001507</t>
  </si>
  <si>
    <t>FB001508</t>
  </si>
  <si>
    <t>FB001509</t>
  </si>
  <si>
    <t>FB001510</t>
  </si>
  <si>
    <t>FB001511</t>
  </si>
  <si>
    <t>FB001512</t>
  </si>
  <si>
    <t>FB001513</t>
  </si>
  <si>
    <t>FB001514</t>
  </si>
  <si>
    <t>FB001515</t>
  </si>
  <si>
    <t>FB001516</t>
  </si>
  <si>
    <t>FB001517</t>
  </si>
  <si>
    <t>FB001518</t>
  </si>
  <si>
    <t>FB001519</t>
  </si>
  <si>
    <t>FB001520</t>
  </si>
  <si>
    <t>FB001521</t>
  </si>
  <si>
    <t>FB001522</t>
  </si>
  <si>
    <t>FB001523</t>
  </si>
  <si>
    <t>FB001524</t>
  </si>
  <si>
    <t>FB001525</t>
  </si>
  <si>
    <t>FB001526</t>
  </si>
  <si>
    <t>FB001527</t>
  </si>
  <si>
    <t>FB001528</t>
  </si>
  <si>
    <t>FB001529</t>
  </si>
  <si>
    <t>FB001530</t>
  </si>
  <si>
    <t>FB001531</t>
  </si>
  <si>
    <t>FB001532</t>
  </si>
  <si>
    <t>FB001533</t>
  </si>
  <si>
    <t>FB001534</t>
  </si>
  <si>
    <t>FB001535</t>
  </si>
  <si>
    <t>FB001536</t>
  </si>
  <si>
    <t>FB001537</t>
  </si>
  <si>
    <t>FB001538</t>
  </si>
  <si>
    <t>FB001539</t>
  </si>
  <si>
    <t>FB001540</t>
  </si>
  <si>
    <t>FB001541</t>
  </si>
  <si>
    <t>FB001542</t>
  </si>
  <si>
    <t>FB001543</t>
  </si>
  <si>
    <t>FB001544</t>
  </si>
  <si>
    <t>FB001545</t>
  </si>
  <si>
    <t>FB001546</t>
  </si>
  <si>
    <t>FB001547</t>
  </si>
  <si>
    <t>FB001548</t>
  </si>
  <si>
    <t>FB001549</t>
  </si>
  <si>
    <t>FB001550</t>
  </si>
  <si>
    <t>FB001551</t>
  </si>
  <si>
    <t>FB001552</t>
  </si>
  <si>
    <t>FB001553</t>
  </si>
  <si>
    <t>FB001554</t>
  </si>
  <si>
    <t>FB001555</t>
  </si>
  <si>
    <t>FB001556</t>
  </si>
  <si>
    <t>FB001557</t>
  </si>
  <si>
    <t>FB001558</t>
  </si>
  <si>
    <t>FB001559</t>
  </si>
  <si>
    <t>FB001560</t>
  </si>
  <si>
    <t>FB001561</t>
  </si>
  <si>
    <t>FB001562</t>
  </si>
  <si>
    <t>FB001563</t>
  </si>
  <si>
    <t>FB001564</t>
  </si>
  <si>
    <t>FB001565</t>
  </si>
  <si>
    <t>FB001566</t>
  </si>
  <si>
    <t>FB001567</t>
  </si>
  <si>
    <t>FB001568</t>
  </si>
  <si>
    <t>FB001569</t>
  </si>
  <si>
    <t>FB001570</t>
  </si>
  <si>
    <t>FB001571</t>
  </si>
  <si>
    <t>FB001572</t>
  </si>
  <si>
    <t>FB001573</t>
  </si>
  <si>
    <t>FB001574</t>
  </si>
  <si>
    <t>FB001575</t>
  </si>
  <si>
    <t>FB001576</t>
  </si>
  <si>
    <t>FB001577</t>
  </si>
  <si>
    <t>FB001578</t>
  </si>
  <si>
    <t>FB001579</t>
  </si>
  <si>
    <t>FB001580</t>
  </si>
  <si>
    <t>FB001581</t>
  </si>
  <si>
    <t>FB001582</t>
  </si>
  <si>
    <t>FB001583</t>
  </si>
  <si>
    <t>FB001584</t>
  </si>
  <si>
    <t>FB001585</t>
  </si>
  <si>
    <t>FB001586</t>
  </si>
  <si>
    <t>FB001587</t>
  </si>
  <si>
    <t>FB001588</t>
  </si>
  <si>
    <t>FB001589</t>
  </si>
  <si>
    <t>FB001590</t>
  </si>
  <si>
    <t>FB001591</t>
  </si>
  <si>
    <t>FB001592</t>
  </si>
  <si>
    <t>FB001593</t>
  </si>
  <si>
    <t>FB001594</t>
  </si>
  <si>
    <t>FB001595</t>
  </si>
  <si>
    <t>FB001596</t>
  </si>
  <si>
    <t>FB001597</t>
  </si>
  <si>
    <t>FB001598</t>
  </si>
  <si>
    <t>FB001599</t>
  </si>
  <si>
    <t>FB001600</t>
  </si>
  <si>
    <t>FB001601</t>
  </si>
  <si>
    <t>FB001602</t>
  </si>
  <si>
    <t>FB001603</t>
  </si>
  <si>
    <t>FB001604</t>
  </si>
  <si>
    <t>FB001605</t>
  </si>
  <si>
    <t>FB001606</t>
  </si>
  <si>
    <t>FB001607</t>
  </si>
  <si>
    <t>FB001608</t>
  </si>
  <si>
    <t>FB001609</t>
  </si>
  <si>
    <t>FB001610</t>
  </si>
  <si>
    <t>FB001611</t>
  </si>
  <si>
    <t>FB001612</t>
  </si>
  <si>
    <t>FB001613</t>
  </si>
  <si>
    <t>FB001614</t>
  </si>
  <si>
    <t>FB001615</t>
  </si>
  <si>
    <t>FB001616</t>
  </si>
  <si>
    <t>FB001617</t>
  </si>
  <si>
    <t>FB001618</t>
  </si>
  <si>
    <t>FB001619</t>
  </si>
  <si>
    <t>FB001620</t>
  </si>
  <si>
    <t>FB001621</t>
  </si>
  <si>
    <t>FB001622</t>
  </si>
  <si>
    <t>FB001623</t>
  </si>
  <si>
    <t>FB001624</t>
  </si>
  <si>
    <t>FB001625</t>
  </si>
  <si>
    <t>FB001626</t>
  </si>
  <si>
    <t>FB001627</t>
  </si>
  <si>
    <t>FB001628</t>
  </si>
  <si>
    <t>FB001629</t>
  </si>
  <si>
    <t>FB001630</t>
  </si>
  <si>
    <t>FB001631</t>
  </si>
  <si>
    <t>FB001632</t>
  </si>
  <si>
    <t>FB001633</t>
  </si>
  <si>
    <t>FB001634</t>
  </si>
  <si>
    <t>FB001635</t>
  </si>
  <si>
    <t>FB001636</t>
  </si>
  <si>
    <t>FB001637</t>
  </si>
  <si>
    <t>FB001638</t>
  </si>
  <si>
    <t>FB001639</t>
  </si>
  <si>
    <t>FB001640</t>
  </si>
  <si>
    <t>FB001641</t>
  </si>
  <si>
    <t>FB001642</t>
  </si>
  <si>
    <t>FB001643</t>
  </si>
  <si>
    <t>FB001644</t>
  </si>
  <si>
    <t>FB001645</t>
  </si>
  <si>
    <t>FB001646</t>
  </si>
  <si>
    <t>FB001647</t>
  </si>
  <si>
    <t>FB001648</t>
  </si>
  <si>
    <t>FB001649</t>
  </si>
  <si>
    <t>FB001650</t>
  </si>
  <si>
    <t>FB001651</t>
  </si>
  <si>
    <t>FB001652</t>
  </si>
  <si>
    <t>FB001653</t>
  </si>
  <si>
    <t>FB001654</t>
  </si>
  <si>
    <t>FB001655</t>
  </si>
  <si>
    <t>FB001656</t>
  </si>
  <si>
    <t>FB001657</t>
  </si>
  <si>
    <t>FB001658</t>
  </si>
  <si>
    <t>FB001659</t>
  </si>
  <si>
    <t>FB001660</t>
  </si>
  <si>
    <t>FB001661</t>
  </si>
  <si>
    <t>FB001662</t>
  </si>
  <si>
    <t>FB001663</t>
  </si>
  <si>
    <t>FB001664</t>
  </si>
  <si>
    <t>FB001665</t>
  </si>
  <si>
    <t>FB001666</t>
  </si>
  <si>
    <t>FB001667</t>
  </si>
  <si>
    <t>FB001668</t>
  </si>
  <si>
    <t>FB001669</t>
  </si>
  <si>
    <t>FB001670</t>
  </si>
  <si>
    <t>FB001671</t>
  </si>
  <si>
    <t>FB001672</t>
  </si>
  <si>
    <t>FB001673</t>
  </si>
  <si>
    <t>FB001674</t>
  </si>
  <si>
    <t>FB001675</t>
  </si>
  <si>
    <t>FB001676</t>
  </si>
  <si>
    <t>FB001677</t>
  </si>
  <si>
    <t>FB001678</t>
  </si>
  <si>
    <t>FB001679</t>
  </si>
  <si>
    <t>FB001680</t>
  </si>
  <si>
    <t>FB001681</t>
  </si>
  <si>
    <t>FB001682</t>
  </si>
  <si>
    <t>FB001683</t>
  </si>
  <si>
    <t>FB001684</t>
  </si>
  <si>
    <t>FB001685</t>
  </si>
  <si>
    <t>FB001686</t>
  </si>
  <si>
    <t>FB001687</t>
  </si>
  <si>
    <t>FB001688</t>
  </si>
  <si>
    <t>FB001689</t>
  </si>
  <si>
    <t>FB001690</t>
  </si>
  <si>
    <t>FB001691</t>
  </si>
  <si>
    <t>FB001692</t>
  </si>
  <si>
    <t>FB001693</t>
  </si>
  <si>
    <t>FB001694</t>
  </si>
  <si>
    <t>FB001695</t>
  </si>
  <si>
    <t>FB001696</t>
  </si>
  <si>
    <t>FB001697</t>
  </si>
  <si>
    <t>FB001698</t>
  </si>
  <si>
    <t>FB001699</t>
  </si>
  <si>
    <t>FB001700</t>
  </si>
  <si>
    <t>FB001701</t>
  </si>
  <si>
    <t>FB001702</t>
  </si>
  <si>
    <t>FB001703</t>
  </si>
  <si>
    <t>FB001704</t>
  </si>
  <si>
    <t>FB001705</t>
  </si>
  <si>
    <t>FB001706</t>
  </si>
  <si>
    <t>FB001707</t>
  </si>
  <si>
    <t>FB001708</t>
  </si>
  <si>
    <t>FB001709</t>
  </si>
  <si>
    <t>FB001710</t>
  </si>
  <si>
    <t>FB001711</t>
  </si>
  <si>
    <t>FB001712</t>
  </si>
  <si>
    <t>FB001713</t>
  </si>
  <si>
    <t>FB001714</t>
  </si>
  <si>
    <t>FB001715</t>
  </si>
  <si>
    <t>FB001716</t>
  </si>
  <si>
    <t>FB001717</t>
  </si>
  <si>
    <t>FB001718</t>
  </si>
  <si>
    <t>FB001719</t>
  </si>
  <si>
    <t>FB001720</t>
  </si>
  <si>
    <t>FB001721</t>
  </si>
  <si>
    <t>FB001722</t>
  </si>
  <si>
    <t>FB001723</t>
  </si>
  <si>
    <t>FB001724</t>
  </si>
  <si>
    <t>FB001725</t>
  </si>
  <si>
    <t>FB001726</t>
  </si>
  <si>
    <t>FB001727</t>
  </si>
  <si>
    <t>FB001728</t>
  </si>
  <si>
    <t>FB001729</t>
  </si>
  <si>
    <t>FB001730</t>
  </si>
  <si>
    <t>FB001731</t>
  </si>
  <si>
    <t>FB001732</t>
  </si>
  <si>
    <t>FB001733</t>
  </si>
  <si>
    <t>FB001734</t>
  </si>
  <si>
    <t>FB001735</t>
  </si>
  <si>
    <t>FB001736</t>
  </si>
  <si>
    <t>FB001737</t>
  </si>
  <si>
    <t>FB001738</t>
  </si>
  <si>
    <t>FB001739</t>
  </si>
  <si>
    <t>FB001740</t>
  </si>
  <si>
    <t>FB001741</t>
  </si>
  <si>
    <t>FB001742</t>
  </si>
  <si>
    <t>FB001743</t>
  </si>
  <si>
    <t>FB001744</t>
  </si>
  <si>
    <t>FB001745</t>
  </si>
  <si>
    <t>FB001746</t>
  </si>
  <si>
    <t>FB001747</t>
  </si>
  <si>
    <t>FB001748</t>
  </si>
  <si>
    <t>FB001749</t>
  </si>
  <si>
    <t>FB001750</t>
  </si>
  <si>
    <t>FB001751</t>
  </si>
  <si>
    <t>FB001752</t>
  </si>
  <si>
    <t>FB001753</t>
  </si>
  <si>
    <t>FB001754</t>
  </si>
  <si>
    <t>FB001755</t>
  </si>
  <si>
    <t>FB001756</t>
  </si>
  <si>
    <t>FB001757</t>
  </si>
  <si>
    <t>FB001758</t>
  </si>
  <si>
    <t>FB001759</t>
  </si>
  <si>
    <t>FB001760</t>
  </si>
  <si>
    <t>FB001761</t>
  </si>
  <si>
    <t>FB001762</t>
  </si>
  <si>
    <t>FB001763</t>
  </si>
  <si>
    <t>FB001764</t>
  </si>
  <si>
    <t>FB001765</t>
  </si>
  <si>
    <t>FB001766</t>
  </si>
  <si>
    <t>FB001767</t>
  </si>
  <si>
    <t>FB001768</t>
  </si>
  <si>
    <t>FB001769</t>
  </si>
  <si>
    <t>FB001770</t>
  </si>
  <si>
    <t>FB001771</t>
  </si>
  <si>
    <t>FB001772</t>
  </si>
  <si>
    <t>FB001773</t>
  </si>
  <si>
    <t>FB001774</t>
  </si>
  <si>
    <t>FB001775</t>
  </si>
  <si>
    <t>FB001776</t>
  </si>
  <si>
    <t>FB001777</t>
  </si>
  <si>
    <t>FB001778</t>
  </si>
  <si>
    <t>FB001779</t>
  </si>
  <si>
    <t>FB001780</t>
  </si>
  <si>
    <t>FB001781</t>
  </si>
  <si>
    <t>FB001782</t>
  </si>
  <si>
    <t>FB001783</t>
  </si>
  <si>
    <t>FB001784</t>
  </si>
  <si>
    <t>FB001785</t>
  </si>
  <si>
    <t>FB001786</t>
  </si>
  <si>
    <t>FB001787</t>
  </si>
  <si>
    <t>FB001788</t>
  </si>
  <si>
    <t>FB001789</t>
  </si>
  <si>
    <t>FB001790</t>
  </si>
  <si>
    <t>FB001791</t>
  </si>
  <si>
    <t>FB001792</t>
  </si>
  <si>
    <t>FB001793</t>
  </si>
  <si>
    <t>FB001794</t>
  </si>
  <si>
    <t>FB001795</t>
  </si>
  <si>
    <t>FB001796</t>
  </si>
  <si>
    <t>FB001797</t>
  </si>
  <si>
    <t>FB001798</t>
  </si>
  <si>
    <t>FB001799</t>
  </si>
  <si>
    <t>FB001800</t>
  </si>
  <si>
    <t>FB001801</t>
  </si>
  <si>
    <t>FB001802</t>
  </si>
  <si>
    <t>FB001803</t>
  </si>
  <si>
    <t>FB001804</t>
  </si>
  <si>
    <t>FB001805</t>
  </si>
  <si>
    <t>FB001806</t>
  </si>
  <si>
    <t>FB001807</t>
  </si>
  <si>
    <t>FB001808</t>
  </si>
  <si>
    <t>FB001809</t>
  </si>
  <si>
    <t>FB001810</t>
  </si>
  <si>
    <t>FB001811</t>
  </si>
  <si>
    <t>FB001812</t>
  </si>
  <si>
    <t>FB001813</t>
  </si>
  <si>
    <t>FB001814</t>
  </si>
  <si>
    <t>FB001815</t>
  </si>
  <si>
    <t>FB001816</t>
  </si>
  <si>
    <t>FB001817</t>
  </si>
  <si>
    <t>FB001818</t>
  </si>
  <si>
    <t>FB001819</t>
  </si>
  <si>
    <t>FB001820</t>
  </si>
  <si>
    <t>FB001821</t>
  </si>
  <si>
    <t>FB001822</t>
  </si>
  <si>
    <t>FB001823</t>
  </si>
  <si>
    <t>FB001824</t>
  </si>
  <si>
    <t>FB001825</t>
  </si>
  <si>
    <t>FB001826</t>
  </si>
  <si>
    <t>FB001827</t>
  </si>
  <si>
    <t>FB001828</t>
  </si>
  <si>
    <t>FB001829</t>
  </si>
  <si>
    <t>FB001830</t>
  </si>
  <si>
    <t>FB001831</t>
  </si>
  <si>
    <t>FB001832</t>
  </si>
  <si>
    <t>FB001833</t>
  </si>
  <si>
    <t>FB001834</t>
  </si>
  <si>
    <t>FB001835</t>
  </si>
  <si>
    <t>FB001836</t>
  </si>
  <si>
    <t>FB001837</t>
  </si>
  <si>
    <t>FB001838</t>
  </si>
  <si>
    <t>FB001839</t>
  </si>
  <si>
    <t>FB001840</t>
  </si>
  <si>
    <t>FB001841</t>
  </si>
  <si>
    <t>FB001842</t>
  </si>
  <si>
    <t>FB001843</t>
  </si>
  <si>
    <t>FB001844</t>
  </si>
  <si>
    <t>FB001845</t>
  </si>
  <si>
    <t>FB001846</t>
  </si>
  <si>
    <t>FB001847</t>
  </si>
  <si>
    <t>FB001848</t>
  </si>
  <si>
    <t>FB001849</t>
  </si>
  <si>
    <t>FB001850</t>
  </si>
  <si>
    <t>FB001851</t>
  </si>
  <si>
    <t>FB001852</t>
  </si>
  <si>
    <t>FB001853</t>
  </si>
  <si>
    <t>FB001854</t>
  </si>
  <si>
    <t>FB001855</t>
  </si>
  <si>
    <t>FB001856</t>
  </si>
  <si>
    <t>FB001857</t>
  </si>
  <si>
    <t>FB001858</t>
  </si>
  <si>
    <t>FB001859</t>
  </si>
  <si>
    <t>FB001860</t>
  </si>
  <si>
    <t>FB001861</t>
  </si>
  <si>
    <t>FB001862</t>
  </si>
  <si>
    <t>FB001863</t>
  </si>
  <si>
    <t>FB001864</t>
  </si>
  <si>
    <t>FB001865</t>
  </si>
  <si>
    <t>FB001866</t>
  </si>
  <si>
    <t>FB001867</t>
  </si>
  <si>
    <t>FB001868</t>
  </si>
  <si>
    <t>FB001869</t>
  </si>
  <si>
    <t>FB001870</t>
  </si>
  <si>
    <t>FB001871</t>
  </si>
  <si>
    <t>FB001872</t>
  </si>
  <si>
    <t>FB001873</t>
  </si>
  <si>
    <t>FB001874</t>
  </si>
  <si>
    <t>FB001875</t>
  </si>
  <si>
    <t>FB001876</t>
  </si>
  <si>
    <t>FB001877</t>
  </si>
  <si>
    <t>FB001878</t>
  </si>
  <si>
    <t>FB001879</t>
  </si>
  <si>
    <t>FB001880</t>
  </si>
  <si>
    <t>FB001881</t>
  </si>
  <si>
    <t>FB001882</t>
  </si>
  <si>
    <t>FB001883</t>
  </si>
  <si>
    <t>FB001884</t>
  </si>
  <si>
    <t>FB001885</t>
  </si>
  <si>
    <t>FB001886</t>
  </si>
  <si>
    <t>FB001887</t>
  </si>
  <si>
    <t>FB001888</t>
  </si>
  <si>
    <t>FB001889</t>
  </si>
  <si>
    <t>FB001890</t>
  </si>
  <si>
    <t>FB001891</t>
  </si>
  <si>
    <t>FB001892</t>
  </si>
  <si>
    <t>FB001893</t>
  </si>
  <si>
    <t>FB001894</t>
  </si>
  <si>
    <t>FB001895</t>
  </si>
  <si>
    <t>FB001896</t>
  </si>
  <si>
    <t>FB001897</t>
  </si>
  <si>
    <t>FB001898</t>
  </si>
  <si>
    <t>FB001899</t>
  </si>
  <si>
    <t>FB001900</t>
  </si>
  <si>
    <t>FB001901</t>
  </si>
  <si>
    <t>FB001902</t>
  </si>
  <si>
    <t>FB001903</t>
  </si>
  <si>
    <t>FB001904</t>
  </si>
  <si>
    <t>FB001905</t>
  </si>
  <si>
    <t>FB001906</t>
  </si>
  <si>
    <t>FB001907</t>
  </si>
  <si>
    <t>FB001908</t>
  </si>
  <si>
    <t>FB001909</t>
  </si>
  <si>
    <t>FB001910</t>
  </si>
  <si>
    <t>FB001911</t>
  </si>
  <si>
    <t>FB001912</t>
  </si>
  <si>
    <t>FB001913</t>
  </si>
  <si>
    <t>FB001914</t>
  </si>
  <si>
    <t>FB001915</t>
  </si>
  <si>
    <t>FB001916</t>
  </si>
  <si>
    <t>FB001917</t>
  </si>
  <si>
    <t>FB001918</t>
  </si>
  <si>
    <t>FB001919</t>
  </si>
  <si>
    <t>FB001920</t>
  </si>
  <si>
    <t>FB001921</t>
  </si>
  <si>
    <t>FB001922</t>
  </si>
  <si>
    <t>FB001923</t>
  </si>
  <si>
    <t>FB001924</t>
  </si>
  <si>
    <t>FB001925</t>
  </si>
  <si>
    <t>FB001926</t>
  </si>
  <si>
    <t>FB001927</t>
  </si>
  <si>
    <t>FB001928</t>
  </si>
  <si>
    <t>FB001929</t>
  </si>
  <si>
    <t>FB001930</t>
  </si>
  <si>
    <t>FB001931</t>
  </si>
  <si>
    <t>FB001932</t>
  </si>
  <si>
    <t>FB001933</t>
  </si>
  <si>
    <t>FB001934</t>
  </si>
  <si>
    <t>FB001935</t>
  </si>
  <si>
    <t>FB001936</t>
  </si>
  <si>
    <t>FB001937</t>
  </si>
  <si>
    <t>FB001938</t>
  </si>
  <si>
    <t>FB001939</t>
  </si>
  <si>
    <t>FB001940</t>
  </si>
  <si>
    <t>FB001941</t>
  </si>
  <si>
    <t>FB001942</t>
  </si>
  <si>
    <t>FB001943</t>
  </si>
  <si>
    <t>FB001944</t>
  </si>
  <si>
    <t>FB001945</t>
  </si>
  <si>
    <t>FB001946</t>
  </si>
  <si>
    <t>FB001947</t>
  </si>
  <si>
    <t>FB001948</t>
  </si>
  <si>
    <t>FB001949</t>
  </si>
  <si>
    <t>FB001950</t>
  </si>
  <si>
    <t>FB001951</t>
  </si>
  <si>
    <t>FB001952</t>
  </si>
  <si>
    <t>FB001953</t>
  </si>
  <si>
    <t>FB001954</t>
  </si>
  <si>
    <t>FB001955</t>
  </si>
  <si>
    <t>FB001956</t>
  </si>
  <si>
    <t>FB001957</t>
  </si>
  <si>
    <t>FB001958</t>
  </si>
  <si>
    <t>FB001959</t>
  </si>
  <si>
    <t>FB001960</t>
  </si>
  <si>
    <t>FB001961</t>
  </si>
  <si>
    <t>FB001962</t>
  </si>
  <si>
    <t>FB001963</t>
  </si>
  <si>
    <t>FB001964</t>
  </si>
  <si>
    <t>FB001965</t>
  </si>
  <si>
    <t>FB001966</t>
  </si>
  <si>
    <t>FB001967</t>
  </si>
  <si>
    <t>FB001968</t>
  </si>
  <si>
    <t>FB001969</t>
  </si>
  <si>
    <t>FB001970</t>
  </si>
  <si>
    <t>FB001971</t>
  </si>
  <si>
    <t>FB001972</t>
  </si>
  <si>
    <t>FB001973</t>
  </si>
  <si>
    <t>FB001974</t>
  </si>
  <si>
    <t>FB001975</t>
  </si>
  <si>
    <t>FB001976</t>
  </si>
  <si>
    <t>FB001977</t>
  </si>
  <si>
    <t>FB001978</t>
  </si>
  <si>
    <t>FB001979</t>
  </si>
  <si>
    <t>FB001980</t>
  </si>
  <si>
    <t>FB001981</t>
  </si>
  <si>
    <t>FB001982</t>
  </si>
  <si>
    <t>FB001983</t>
  </si>
  <si>
    <t>FB001984</t>
  </si>
  <si>
    <t>FB001985</t>
  </si>
  <si>
    <t>FB001986</t>
  </si>
  <si>
    <t>FB001987</t>
  </si>
  <si>
    <t>FB001988</t>
  </si>
  <si>
    <t>FB001989</t>
  </si>
  <si>
    <t>FB001990</t>
  </si>
  <si>
    <t>FB001991</t>
  </si>
  <si>
    <t>FB001992</t>
  </si>
  <si>
    <t>FB001993</t>
  </si>
  <si>
    <t>FB001994</t>
  </si>
  <si>
    <t>FB001995</t>
  </si>
  <si>
    <t>FB001996</t>
  </si>
  <si>
    <t>FB001997</t>
  </si>
  <si>
    <t>FB001998</t>
  </si>
  <si>
    <t>FB001999</t>
  </si>
  <si>
    <t>FB002000</t>
  </si>
  <si>
    <t>FB002001</t>
  </si>
  <si>
    <t>FB002002</t>
  </si>
  <si>
    <t>FB002003</t>
  </si>
  <si>
    <t>FB002004</t>
  </si>
  <si>
    <t>FB002005</t>
  </si>
  <si>
    <t>FB002006</t>
  </si>
  <si>
    <t>FB002007</t>
  </si>
  <si>
    <t>FB002008</t>
  </si>
  <si>
    <t>FB002009</t>
  </si>
  <si>
    <t>FB002010</t>
  </si>
  <si>
    <t>FB002011</t>
  </si>
  <si>
    <t>FB002012</t>
  </si>
  <si>
    <t>FB002013</t>
  </si>
  <si>
    <t>FB002014</t>
  </si>
  <si>
    <t>FB002015</t>
  </si>
  <si>
    <t>FB002016</t>
  </si>
  <si>
    <t>FB002017</t>
  </si>
  <si>
    <t>FB002018</t>
  </si>
  <si>
    <t>FB002019</t>
  </si>
  <si>
    <t>FB002020</t>
  </si>
  <si>
    <t>FB002021</t>
  </si>
  <si>
    <t>FB002022</t>
  </si>
  <si>
    <t>FB002023</t>
  </si>
  <si>
    <t>FB002024</t>
  </si>
  <si>
    <t>FB002025</t>
  </si>
  <si>
    <t>FB002026</t>
  </si>
  <si>
    <t>FB002027</t>
  </si>
  <si>
    <t>FB002028</t>
  </si>
  <si>
    <t>FB002029</t>
  </si>
  <si>
    <t>FB002030</t>
  </si>
  <si>
    <t>FB002031</t>
  </si>
  <si>
    <t>FB002032</t>
  </si>
  <si>
    <t>FB002033</t>
  </si>
  <si>
    <t>FB002034</t>
  </si>
  <si>
    <t>FB002035</t>
  </si>
  <si>
    <t>FB002036</t>
  </si>
  <si>
    <t>FB002037</t>
  </si>
  <si>
    <t>FB002038</t>
  </si>
  <si>
    <t>FB002039</t>
  </si>
  <si>
    <t>FB002040</t>
  </si>
  <si>
    <t>FB002041</t>
  </si>
  <si>
    <t>FB002042</t>
  </si>
  <si>
    <t>FB002043</t>
  </si>
  <si>
    <t>FB002044</t>
  </si>
  <si>
    <t>FB002045</t>
  </si>
  <si>
    <t>FB002046</t>
  </si>
  <si>
    <t>FB002047</t>
  </si>
  <si>
    <t>FB002048</t>
  </si>
  <si>
    <t>FB002049</t>
  </si>
  <si>
    <t>FB002050</t>
  </si>
  <si>
    <t>FB002051</t>
  </si>
  <si>
    <t>FB002052</t>
  </si>
  <si>
    <t>FB002053</t>
  </si>
  <si>
    <t>FB002054</t>
  </si>
  <si>
    <t>FB002055</t>
  </si>
  <si>
    <t>FB002056</t>
  </si>
  <si>
    <t>FB002057</t>
  </si>
  <si>
    <t>FB002058</t>
  </si>
  <si>
    <t>FB002059</t>
  </si>
  <si>
    <t>FB002060</t>
  </si>
  <si>
    <t>FB002061</t>
  </si>
  <si>
    <t>FB002062</t>
  </si>
  <si>
    <t>FB002063</t>
  </si>
  <si>
    <t>FB002064</t>
  </si>
  <si>
    <t>FB002065</t>
  </si>
  <si>
    <t>FB002066</t>
  </si>
  <si>
    <t>FB002067</t>
  </si>
  <si>
    <t>FB002068</t>
  </si>
  <si>
    <t>FB002069</t>
  </si>
  <si>
    <t>FB002070</t>
  </si>
  <si>
    <t>FB002071</t>
  </si>
  <si>
    <t>FB002072</t>
  </si>
  <si>
    <t>FB002073</t>
  </si>
  <si>
    <t>FB002074</t>
  </si>
  <si>
    <t>FB002075</t>
  </si>
  <si>
    <t>FB002076</t>
  </si>
  <si>
    <t>FB002077</t>
  </si>
  <si>
    <t>FB002078</t>
  </si>
  <si>
    <t>FB002079</t>
  </si>
  <si>
    <t>FB002080</t>
  </si>
  <si>
    <t>FB002081</t>
  </si>
  <si>
    <t>FB002082</t>
  </si>
  <si>
    <t>FB002083</t>
  </si>
  <si>
    <t>FB002084</t>
  </si>
  <si>
    <t>FB002085</t>
  </si>
  <si>
    <t>FB002086</t>
  </si>
  <si>
    <t>FB002087</t>
  </si>
  <si>
    <t>FB002088</t>
  </si>
  <si>
    <t>FB002089</t>
  </si>
  <si>
    <t>FB002090</t>
  </si>
  <si>
    <t>FB002091</t>
  </si>
  <si>
    <t>FB002092</t>
  </si>
  <si>
    <t>FB002093</t>
  </si>
  <si>
    <t>FB002094</t>
  </si>
  <si>
    <t>FB002095</t>
  </si>
  <si>
    <t>FB002096</t>
  </si>
  <si>
    <t>FB002097</t>
  </si>
  <si>
    <t>FB002098</t>
  </si>
  <si>
    <t>FB002099</t>
  </si>
  <si>
    <t>FB002100</t>
  </si>
  <si>
    <t>FB002101</t>
  </si>
  <si>
    <t>FB002102</t>
  </si>
  <si>
    <t>FB002103</t>
  </si>
  <si>
    <t>FB002104</t>
  </si>
  <si>
    <t>FB002105</t>
  </si>
  <si>
    <t>FB002106</t>
  </si>
  <si>
    <t>FB002107</t>
  </si>
  <si>
    <t>FB002108</t>
  </si>
  <si>
    <t>FB002109</t>
  </si>
  <si>
    <t>FB002110</t>
  </si>
  <si>
    <t>FB002111</t>
  </si>
  <si>
    <t>FB002112</t>
  </si>
  <si>
    <t>FB002113</t>
  </si>
  <si>
    <t>FB002114</t>
  </si>
  <si>
    <t>FB002115</t>
  </si>
  <si>
    <t>FB002116</t>
  </si>
  <si>
    <t>FB002117</t>
  </si>
  <si>
    <t>FB002118</t>
  </si>
  <si>
    <t>FB002119</t>
  </si>
  <si>
    <t>FB002120</t>
  </si>
  <si>
    <t>FB002121</t>
  </si>
  <si>
    <t>FB002122</t>
  </si>
  <si>
    <t>FB002123</t>
  </si>
  <si>
    <t>FB002124</t>
  </si>
  <si>
    <t>FB002125</t>
  </si>
  <si>
    <t>FB002126</t>
  </si>
  <si>
    <t>FB002127</t>
  </si>
  <si>
    <t>FB002128</t>
  </si>
  <si>
    <t>FB002129</t>
  </si>
  <si>
    <t>FB002130</t>
  </si>
  <si>
    <t>FB002131</t>
  </si>
  <si>
    <t>FB002132</t>
  </si>
  <si>
    <t>FB002133</t>
  </si>
  <si>
    <t>FB002134</t>
  </si>
  <si>
    <t>FB002135</t>
  </si>
  <si>
    <t>FB002136</t>
  </si>
  <si>
    <t>FB002137</t>
  </si>
  <si>
    <t>FB002138</t>
  </si>
  <si>
    <t>FB002139</t>
  </si>
  <si>
    <t>FB002140</t>
  </si>
  <si>
    <t>FB002141</t>
  </si>
  <si>
    <t>FB002142</t>
  </si>
  <si>
    <t>FB002143</t>
  </si>
  <si>
    <t>FB002144</t>
  </si>
  <si>
    <t>FB002145</t>
  </si>
  <si>
    <t>FB002146</t>
  </si>
  <si>
    <t>FB002147</t>
  </si>
  <si>
    <t>FB002148</t>
  </si>
  <si>
    <t>FB002149</t>
  </si>
  <si>
    <t>FB002150</t>
  </si>
  <si>
    <t>FB002151</t>
  </si>
  <si>
    <t>FB002152</t>
  </si>
  <si>
    <t>FB002153</t>
  </si>
  <si>
    <t>FB002154</t>
  </si>
  <si>
    <t>FB002155</t>
  </si>
  <si>
    <t>FB002156</t>
  </si>
  <si>
    <t>FB002157</t>
  </si>
  <si>
    <t>FB002158</t>
  </si>
  <si>
    <t>FB002159</t>
  </si>
  <si>
    <t>FB002160</t>
  </si>
  <si>
    <t>FB002161</t>
  </si>
  <si>
    <t>FB002162</t>
  </si>
  <si>
    <t>FB002163</t>
  </si>
  <si>
    <t>FB002164</t>
  </si>
  <si>
    <t>FB002165</t>
  </si>
  <si>
    <t>FB002166</t>
  </si>
  <si>
    <t>FB002167</t>
  </si>
  <si>
    <t>FB002168</t>
  </si>
  <si>
    <t>FB002169</t>
  </si>
  <si>
    <t>FB002170</t>
  </si>
  <si>
    <t>FB002171</t>
  </si>
  <si>
    <t>FB002172</t>
  </si>
  <si>
    <t>FB002173</t>
  </si>
  <si>
    <t>FB002174</t>
  </si>
  <si>
    <t>FB002175</t>
  </si>
  <si>
    <t>FB002176</t>
  </si>
  <si>
    <t>return_status_check</t>
  </si>
  <si>
    <t>price_check</t>
  </si>
  <si>
    <t>amount_disscounted</t>
  </si>
  <si>
    <t>Row Labels</t>
  </si>
  <si>
    <t>Grand Total</t>
  </si>
  <si>
    <t>TRUE</t>
  </si>
  <si>
    <t>0-10</t>
  </si>
  <si>
    <t>10-20</t>
  </si>
  <si>
    <t>20-30</t>
  </si>
  <si>
    <t>30-40</t>
  </si>
  <si>
    <t>40-50</t>
  </si>
  <si>
    <t>50-60</t>
  </si>
  <si>
    <t>Number of Returns</t>
  </si>
  <si>
    <t>Brands</t>
  </si>
  <si>
    <t>Total Number of Stocks</t>
  </si>
  <si>
    <t>Categories</t>
  </si>
  <si>
    <t>Average Customer Rating</t>
  </si>
  <si>
    <t>Markdown Percent</t>
  </si>
  <si>
    <t>Number of returns</t>
  </si>
  <si>
    <t>Category</t>
  </si>
  <si>
    <t>Average markdown percent</t>
  </si>
  <si>
    <t>revenue</t>
  </si>
  <si>
    <t>Total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</si>
</sst>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₱&quot;* #,##0.00_-;\-&quot;₱&quot;* #,##0.00_-;_-&quot;₱&quot;* &quot;-&quot;??_-;_-@_-"/>
    <numFmt numFmtId="164" formatCode="_-[$$-409]* #,##0.00_ ;_-[$$-409]* \-#,##0.00\ ;_-[$$-409]* &quot;-&quot;??_ ;_-@_ "/>
    <numFmt numFmtId="165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14" fontId="0" fillId="0" borderId="0" xfId="0" applyNumberFormat="1"/>
    <xf numFmtId="0" fontId="0" fillId="0" borderId="10" xfId="0" applyBorder="1"/>
    <xf numFmtId="14" fontId="0" fillId="0" borderId="10" xfId="0" applyNumberFormat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164" fontId="0" fillId="0" borderId="12" xfId="0" applyNumberFormat="1" applyBorder="1"/>
    <xf numFmtId="164" fontId="0" fillId="0" borderId="10" xfId="0" applyNumberFormat="1" applyBorder="1"/>
    <xf numFmtId="164" fontId="0" fillId="0" borderId="0" xfId="0" applyNumberFormat="1"/>
    <xf numFmtId="2" fontId="0" fillId="0" borderId="12" xfId="0" applyNumberFormat="1" applyBorder="1"/>
    <xf numFmtId="2" fontId="0" fillId="0" borderId="10" xfId="0" applyNumberFormat="1" applyBorder="1"/>
    <xf numFmtId="2" fontId="0" fillId="0" borderId="0" xfId="0" applyNumberFormat="1"/>
    <xf numFmtId="1" fontId="0" fillId="0" borderId="12" xfId="0" applyNumberFormat="1" applyBorder="1"/>
    <xf numFmtId="1" fontId="0" fillId="0" borderId="10" xfId="0" applyNumberFormat="1" applyBorder="1"/>
    <xf numFmtId="1" fontId="0" fillId="0" borderId="0" xfId="0" applyNumberFormat="1"/>
    <xf numFmtId="165" fontId="0" fillId="0" borderId="12" xfId="0" applyNumberFormat="1" applyBorder="1"/>
    <xf numFmtId="165" fontId="0" fillId="0" borderId="10" xfId="0" applyNumberFormat="1" applyBorder="1"/>
    <xf numFmtId="165" fontId="0" fillId="0" borderId="0" xfId="0" applyNumberFormat="1"/>
    <xf numFmtId="14" fontId="0" fillId="0" borderId="12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0" applyNumberFormat="1" applyAlignment="1">
      <alignment horizontal="left"/>
    </xf>
    <xf numFmtId="164" fontId="0" fillId="0" borderId="12" xfId="1" applyNumberFormat="1" applyFont="1" applyBorder="1"/>
    <xf numFmtId="164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22">
    <dxf>
      <numFmt numFmtId="164" formatCode="_-[$$-409]* #,##0.00_ ;_-[$$-409]* \-#,##0.00\ ;_-[$$-409]* &quot;-&quot;??_ ;_-@_ "/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-[$$-409]* #,##0.00_ ;_-[$$-409]* \-#,##0.00\ ;_-[$$-409]* &quot;-&quot;??_ ;_-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-[$$-409]* #,##0.00_ ;_-[$$-409]* \-#,##0.00\ ;_-[$$-409]* &quot;-&quot;??_ ;_-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-[$$-409]* #,##0.00_ ;_-[$$-409]* \-#,##0.00\ ;_-[$$-409]* &quot;-&quot;??_ ;_-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[FashionBotiqueAnalysis.xlsx]Pivots!PivotTable1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Returns by Brand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Pivots!$B$3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Pivots!$A$4:$A$12</c:f>
              <c:strCache>
                <c:ptCount val="8"/>
                <c:pt idx="0">
                  <c:v>Zara</c:v>
                </c:pt>
                <c:pt idx="1">
                  <c:v>Banana Republic</c:v>
                </c:pt>
                <c:pt idx="2">
                  <c:v>Mango</c:v>
                </c:pt>
                <c:pt idx="3">
                  <c:v>H&amp;M</c:v>
                </c:pt>
                <c:pt idx="4">
                  <c:v>Uniqlo</c:v>
                </c:pt>
                <c:pt idx="5">
                  <c:v>Ann Taylor</c:v>
                </c:pt>
                <c:pt idx="6">
                  <c:v>Forever21</c:v>
                </c:pt>
                <c:pt idx="7">
                  <c:v>Gap</c:v>
                </c:pt>
              </c:strCache>
            </c:strRef>
          </c:cat>
          <c:val>
            <c:numRef>
              <c:f>Pivots!$B$4:$B$12</c:f>
              <c:numCache>
                <c:formatCode>General</c:formatCode>
                <c:ptCount val="8"/>
                <c:pt idx="0">
                  <c:v>313</c:v>
                </c:pt>
                <c:pt idx="1">
                  <c:v>285</c:v>
                </c:pt>
                <c:pt idx="2">
                  <c:v>284</c:v>
                </c:pt>
                <c:pt idx="3">
                  <c:v>283</c:v>
                </c:pt>
                <c:pt idx="4">
                  <c:v>260</c:v>
                </c:pt>
                <c:pt idx="5">
                  <c:v>257</c:v>
                </c:pt>
                <c:pt idx="6">
                  <c:v>250</c:v>
                </c:pt>
                <c:pt idx="7">
                  <c:v>244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8D-4ECF-ADF0-5CC00F7A27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80168095"/>
        <c:axId val="1880168575"/>
      </c:barChart>
      <c:catAx>
        <c:axId val="18801680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0168575"/>
        <c:crosses val="autoZero"/>
        <c:auto val="1"/>
        <c:lblAlgn val="ctr"/>
        <c:lblOffset val="100"/>
        <c:noMultiLvlLbl val="0"/>
      </c:catAx>
      <c:valAx>
        <c:axId val="1880168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0168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[FashionBotiqueAnalysis.xlsx]Pivots!PivotTable2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Rating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Pivots!$E$3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Pivots!$D$4:$D$10</c:f>
              <c:strCache>
                <c:ptCount val="6"/>
                <c:pt idx="0">
                  <c:v>Shoes</c:v>
                </c:pt>
                <c:pt idx="1">
                  <c:v>Bottoms</c:v>
                </c:pt>
                <c:pt idx="2">
                  <c:v>Dresses</c:v>
                </c:pt>
                <c:pt idx="3">
                  <c:v>Tops</c:v>
                </c:pt>
                <c:pt idx="4">
                  <c:v>Accessories</c:v>
                </c:pt>
                <c:pt idx="5">
                  <c:v>Outerwear</c:v>
                </c:pt>
              </c:strCache>
            </c:strRef>
          </c:cat>
          <c:val>
            <c:numRef>
              <c:f>Pivots!$E$4:$E$10</c:f>
              <c:numCache>
                <c:formatCode>General</c:formatCode>
                <c:ptCount val="6"/>
                <c:pt idx="0">
                  <c:v>3.0508090614886725</c:v>
                </c:pt>
                <c:pt idx="1">
                  <c:v>3.0154320987654324</c:v>
                </c:pt>
                <c:pt idx="2">
                  <c:v>3.0135338345864682</c:v>
                </c:pt>
                <c:pt idx="3">
                  <c:v>2.9680412371134022</c:v>
                </c:pt>
                <c:pt idx="4">
                  <c:v>2.9605187319884712</c:v>
                </c:pt>
                <c:pt idx="5">
                  <c:v>2.9075812274368231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D0-44A9-95E4-A23C7ADA1E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666431"/>
        <c:axId val="79665951"/>
      </c:barChart>
      <c:catAx>
        <c:axId val="79666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65951"/>
        <c:crosses val="autoZero"/>
        <c:auto val="1"/>
        <c:lblAlgn val="ctr"/>
        <c:lblOffset val="100"/>
        <c:noMultiLvlLbl val="0"/>
      </c:catAx>
      <c:valAx>
        <c:axId val="79665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66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[FashionBotiqueAnalysis.xlsx]Pivots!PivotTable3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</a:t>
            </a:r>
            <a:r>
              <a:rPr lang="en-US" baseline="0"/>
              <a:t> of Returns by Markdown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Pivots!$H$3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Pivots!$G$4:$G$10</c:f>
              <c:strCache>
                <c:ptCount val="6"/>
                <c:pt idx="0">
                  <c:v>0-10</c:v>
                </c:pt>
                <c:pt idx="1">
                  <c:v>20-30</c:v>
                </c:pt>
                <c:pt idx="2">
                  <c:v>40-50</c:v>
                </c:pt>
                <c:pt idx="3">
                  <c:v>10-20</c:v>
                </c:pt>
                <c:pt idx="4">
                  <c:v>50-60</c:v>
                </c:pt>
                <c:pt idx="5">
                  <c:v>30-40</c:v>
                </c:pt>
              </c:strCache>
            </c:strRef>
          </c:cat>
          <c:val>
            <c:numRef>
              <c:f>Pivots!$H$4:$H$10</c:f>
              <c:numCache>
                <c:formatCode>General</c:formatCode>
                <c:ptCount val="6"/>
                <c:pt idx="0">
                  <c:v>202</c:v>
                </c:pt>
                <c:pt idx="1">
                  <c:v>36</c:v>
                </c:pt>
                <c:pt idx="2">
                  <c:v>25</c:v>
                </c:pt>
                <c:pt idx="3">
                  <c:v>20</c:v>
                </c:pt>
                <c:pt idx="4">
                  <c:v>19</c:v>
                </c:pt>
                <c:pt idx="5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22-401C-BEA0-AA0106D3A8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208831"/>
        <c:axId val="82205471"/>
      </c:lineChart>
      <c:catAx>
        <c:axId val="82208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205471"/>
        <c:crosses val="autoZero"/>
        <c:auto val="1"/>
        <c:lblAlgn val="ctr"/>
        <c:lblOffset val="100"/>
        <c:noMultiLvlLbl val="0"/>
      </c:catAx>
      <c:valAx>
        <c:axId val="82205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208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[FashionBotiqueAnalysis.xlsx]Pivots!PivotTable4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Stocks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Pivots!$B$31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Pivots!$A$32:$A$38</c:f>
              <c:strCache>
                <c:ptCount val="6"/>
                <c:pt idx="0">
                  <c:v>Accessories</c:v>
                </c:pt>
                <c:pt idx="1">
                  <c:v>Bottoms</c:v>
                </c:pt>
                <c:pt idx="2">
                  <c:v>Shoes</c:v>
                </c:pt>
                <c:pt idx="3">
                  <c:v>Tops</c:v>
                </c:pt>
                <c:pt idx="4">
                  <c:v>Outerwear</c:v>
                </c:pt>
                <c:pt idx="5">
                  <c:v>Dresses</c:v>
                </c:pt>
              </c:strCache>
            </c:strRef>
          </c:cat>
          <c:val>
            <c:numRef>
              <c:f>Pivots!$B$32:$B$38</c:f>
              <c:numCache>
                <c:formatCode>0</c:formatCode>
                <c:ptCount val="6"/>
                <c:pt idx="0">
                  <c:v>10541</c:v>
                </c:pt>
                <c:pt idx="1">
                  <c:v>9442</c:v>
                </c:pt>
                <c:pt idx="2">
                  <c:v>9118</c:v>
                </c:pt>
                <c:pt idx="3">
                  <c:v>8868</c:v>
                </c:pt>
                <c:pt idx="4">
                  <c:v>8368</c:v>
                </c:pt>
                <c:pt idx="5">
                  <c:v>7928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2E-4EC3-8FC3-F20663986C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1366639"/>
        <c:axId val="91368559"/>
        <c:axId val="0"/>
      </c:bar3DChart>
      <c:catAx>
        <c:axId val="913666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368559"/>
        <c:crosses val="autoZero"/>
        <c:auto val="1"/>
        <c:lblAlgn val="ctr"/>
        <c:lblOffset val="100"/>
        <c:noMultiLvlLbl val="0"/>
      </c:catAx>
      <c:valAx>
        <c:axId val="91368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366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[FashionBotiqueAnalysis.xlsx]Pivots!PivotTable5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Rating by Brand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Pivots!$E$31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Pivots!$D$32:$D$40</c:f>
              <c:strCache>
                <c:ptCount val="8"/>
                <c:pt idx="0">
                  <c:v>Uniqlo</c:v>
                </c:pt>
                <c:pt idx="1">
                  <c:v>Ann Taylor</c:v>
                </c:pt>
                <c:pt idx="2">
                  <c:v>H&amp;M</c:v>
                </c:pt>
                <c:pt idx="3">
                  <c:v>Gap</c:v>
                </c:pt>
                <c:pt idx="4">
                  <c:v>Banana Republic</c:v>
                </c:pt>
                <c:pt idx="5">
                  <c:v>Forever21</c:v>
                </c:pt>
                <c:pt idx="6">
                  <c:v>Zara</c:v>
                </c:pt>
                <c:pt idx="7">
                  <c:v>Mango</c:v>
                </c:pt>
              </c:strCache>
            </c:strRef>
          </c:cat>
          <c:val>
            <c:numRef>
              <c:f>Pivots!$E$32:$E$40</c:f>
              <c:numCache>
                <c:formatCode>General</c:formatCode>
                <c:ptCount val="8"/>
                <c:pt idx="0">
                  <c:v>3.1105990783410111</c:v>
                </c:pt>
                <c:pt idx="1">
                  <c:v>3.0942857142857156</c:v>
                </c:pt>
                <c:pt idx="2">
                  <c:v>3.0364806866952789</c:v>
                </c:pt>
                <c:pt idx="3">
                  <c:v>3.0346733668341694</c:v>
                </c:pt>
                <c:pt idx="4">
                  <c:v>3.0059071729957809</c:v>
                </c:pt>
                <c:pt idx="5">
                  <c:v>2.9698113207547192</c:v>
                </c:pt>
                <c:pt idx="6">
                  <c:v>2.90563909774436</c:v>
                </c:pt>
                <c:pt idx="7">
                  <c:v>2.777499999999999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46-4768-9D72-4E63BBBEE1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5474095"/>
        <c:axId val="62748319"/>
        <c:axId val="0"/>
      </c:bar3DChart>
      <c:catAx>
        <c:axId val="75474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48319"/>
        <c:crosses val="autoZero"/>
        <c:auto val="1"/>
        <c:lblAlgn val="ctr"/>
        <c:lblOffset val="100"/>
        <c:noMultiLvlLbl val="0"/>
      </c:catAx>
      <c:valAx>
        <c:axId val="62748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74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[FashionBotiqueAnalysis.xlsx]Pivots!PivotTable6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returns by Season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tx>
            <c:strRef>
              <c:f>Pivots!$H$31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Ref>
              <c:f>Pivots!$G$32:$G$36</c:f>
              <c:strCache>
                <c:ptCount val="4"/>
                <c:pt idx="0">
                  <c:v>Summer</c:v>
                </c:pt>
                <c:pt idx="1">
                  <c:v>Winter</c:v>
                </c:pt>
                <c:pt idx="2">
                  <c:v>Spring</c:v>
                </c:pt>
                <c:pt idx="3">
                  <c:v>Fall</c:v>
                </c:pt>
              </c:strCache>
            </c:strRef>
          </c:cat>
          <c:val>
            <c:numRef>
              <c:f>Pivots!$H$32:$H$36</c:f>
              <c:numCache>
                <c:formatCode>General</c:formatCode>
                <c:ptCount val="4"/>
                <c:pt idx="0">
                  <c:v>100</c:v>
                </c:pt>
                <c:pt idx="1">
                  <c:v>83</c:v>
                </c:pt>
                <c:pt idx="2">
                  <c:v>72</c:v>
                </c:pt>
                <c:pt idx="3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B9-4217-B65D-A4D16C3DE9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6294367"/>
        <c:axId val="1576294847"/>
        <c:axId val="56952207"/>
      </c:line3DChart>
      <c:catAx>
        <c:axId val="157629436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294847"/>
        <c:crosses val="autoZero"/>
        <c:auto val="1"/>
        <c:lblAlgn val="ctr"/>
        <c:lblOffset val="100"/>
        <c:noMultiLvlLbl val="0"/>
      </c:catAx>
      <c:valAx>
        <c:axId val="1576294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294367"/>
        <c:crosses val="autoZero"/>
        <c:crossBetween val="between"/>
      </c:valAx>
      <c:serAx>
        <c:axId val="56952207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294847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[FashionBotiqueAnalysis.xlsx]Pivots!PivotTable7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Discount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Pivots!$B$59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Pivots!$A$60:$A$66</c:f>
              <c:strCache>
                <c:ptCount val="6"/>
                <c:pt idx="0">
                  <c:v>Bottoms</c:v>
                </c:pt>
                <c:pt idx="1">
                  <c:v>Dresses</c:v>
                </c:pt>
                <c:pt idx="2">
                  <c:v>Shoes</c:v>
                </c:pt>
                <c:pt idx="3">
                  <c:v>Accessories</c:v>
                </c:pt>
                <c:pt idx="4">
                  <c:v>Tops</c:v>
                </c:pt>
                <c:pt idx="5">
                  <c:v>Outerwear</c:v>
                </c:pt>
              </c:strCache>
            </c:strRef>
          </c:cat>
          <c:val>
            <c:numRef>
              <c:f>Pivots!$B$60:$B$66</c:f>
              <c:numCache>
                <c:formatCode>0</c:formatCode>
                <c:ptCount val="6"/>
                <c:pt idx="0">
                  <c:v>13.227551020408161</c:v>
                </c:pt>
                <c:pt idx="1">
                  <c:v>13.165930599369089</c:v>
                </c:pt>
                <c:pt idx="2">
                  <c:v>12.984946236559141</c:v>
                </c:pt>
                <c:pt idx="3">
                  <c:v>11.68656716417911</c:v>
                </c:pt>
                <c:pt idx="4">
                  <c:v>10.983008356545961</c:v>
                </c:pt>
                <c:pt idx="5">
                  <c:v>10.7688622754491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F1-45C9-A4DC-2DB7F1D55D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78168911"/>
        <c:axId val="1878169391"/>
        <c:axId val="0"/>
      </c:bar3DChart>
      <c:catAx>
        <c:axId val="18781689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8169391"/>
        <c:crosses val="autoZero"/>
        <c:auto val="1"/>
        <c:lblAlgn val="ctr"/>
        <c:lblOffset val="100"/>
        <c:noMultiLvlLbl val="0"/>
      </c:catAx>
      <c:valAx>
        <c:axId val="18781693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8168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[FashionBotiqueAnalysis.xlsx]Pivots!PivotTable11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Brand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Pivots!$E$59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Pivots!$D$60:$D$68</c:f>
              <c:strCache>
                <c:ptCount val="8"/>
                <c:pt idx="0">
                  <c:v>Zara</c:v>
                </c:pt>
                <c:pt idx="1">
                  <c:v>Mango</c:v>
                </c:pt>
                <c:pt idx="2">
                  <c:v>Banana Republic</c:v>
                </c:pt>
                <c:pt idx="3">
                  <c:v>Uniqlo</c:v>
                </c:pt>
                <c:pt idx="4">
                  <c:v>H&amp;M</c:v>
                </c:pt>
                <c:pt idx="5">
                  <c:v>Ann Taylor</c:v>
                </c:pt>
                <c:pt idx="6">
                  <c:v>Forever21</c:v>
                </c:pt>
                <c:pt idx="7">
                  <c:v>Gap</c:v>
                </c:pt>
              </c:strCache>
            </c:strRef>
          </c:cat>
          <c:val>
            <c:numRef>
              <c:f>Pivots!$E$60:$E$68</c:f>
              <c:numCache>
                <c:formatCode>_-[$$-409]* #,##0.00_ ;_-[$$-409]* \-#,##0.00\ ;_-[$$-409]* "-"??_ ;_-@_ </c:formatCode>
                <c:ptCount val="8"/>
                <c:pt idx="0">
                  <c:v>660784.74000000011</c:v>
                </c:pt>
                <c:pt idx="1">
                  <c:v>650877.21999999927</c:v>
                </c:pt>
                <c:pt idx="2">
                  <c:v>615746.07999999973</c:v>
                </c:pt>
                <c:pt idx="3">
                  <c:v>585501.79</c:v>
                </c:pt>
                <c:pt idx="4">
                  <c:v>576382.07000000041</c:v>
                </c:pt>
                <c:pt idx="5">
                  <c:v>542348.57000000018</c:v>
                </c:pt>
                <c:pt idx="6">
                  <c:v>526451.26000000024</c:v>
                </c:pt>
                <c:pt idx="7">
                  <c:v>468318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94-4D5A-89F7-33207C537E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5530815"/>
        <c:axId val="65538495"/>
        <c:axId val="0"/>
      </c:bar3DChart>
      <c:catAx>
        <c:axId val="65530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538495"/>
        <c:crosses val="autoZero"/>
        <c:auto val="1"/>
        <c:lblAlgn val="ctr"/>
        <c:lblOffset val="100"/>
        <c:noMultiLvlLbl val="0"/>
      </c:catAx>
      <c:valAx>
        <c:axId val="65538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530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179014</xdr:rowOff>
    </xdr:from>
    <xdr:to>
      <xdr:col>2</xdr:col>
      <xdr:colOff>1019175</xdr:colOff>
      <xdr:row>26</xdr:row>
      <xdr:rowOff>64714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7B44860-D5E2-3093-7038-C4776ABDC9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2241</xdr:colOff>
      <xdr:row>10</xdr:row>
      <xdr:rowOff>1400</xdr:rowOff>
    </xdr:from>
    <xdr:to>
      <xdr:col>5</xdr:col>
      <xdr:colOff>977153</xdr:colOff>
      <xdr:row>24</xdr:row>
      <xdr:rowOff>77600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F51CF3B-E90D-BFF7-A973-BE20657FED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2241</xdr:colOff>
      <xdr:row>9</xdr:row>
      <xdr:rowOff>187418</xdr:rowOff>
    </xdr:from>
    <xdr:to>
      <xdr:col>9</xdr:col>
      <xdr:colOff>268380</xdr:colOff>
      <xdr:row>24</xdr:row>
      <xdr:rowOff>73118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A754D34-3488-76A2-5857-9E92F8ED5F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38</xdr:row>
      <xdr:rowOff>34739</xdr:rowOff>
    </xdr:from>
    <xdr:to>
      <xdr:col>2</xdr:col>
      <xdr:colOff>1058957</xdr:colOff>
      <xdr:row>52</xdr:row>
      <xdr:rowOff>110939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05E1531-FABA-2BB3-2835-E185029C44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0</xdr:colOff>
      <xdr:row>40</xdr:row>
      <xdr:rowOff>23531</xdr:rowOff>
    </xdr:from>
    <xdr:to>
      <xdr:col>5</xdr:col>
      <xdr:colOff>941295</xdr:colOff>
      <xdr:row>54</xdr:row>
      <xdr:rowOff>99731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E3AAB95-F637-D5FF-73DC-CC8F177B42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1</xdr:colOff>
      <xdr:row>36</xdr:row>
      <xdr:rowOff>12326</xdr:rowOff>
    </xdr:from>
    <xdr:to>
      <xdr:col>9</xdr:col>
      <xdr:colOff>324970</xdr:colOff>
      <xdr:row>50</xdr:row>
      <xdr:rowOff>88526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2A80C28-948E-EE27-5F13-9B6E45308C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66</xdr:row>
      <xdr:rowOff>1120</xdr:rowOff>
    </xdr:from>
    <xdr:to>
      <xdr:col>2</xdr:col>
      <xdr:colOff>907676</xdr:colOff>
      <xdr:row>80</xdr:row>
      <xdr:rowOff>77320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3335FDA-AD2B-29C5-1120-E69930513E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2291602</xdr:colOff>
      <xdr:row>67</xdr:row>
      <xdr:rowOff>180414</xdr:rowOff>
    </xdr:from>
    <xdr:to>
      <xdr:col>5</xdr:col>
      <xdr:colOff>1210235</xdr:colOff>
      <xdr:row>82</xdr:row>
      <xdr:rowOff>66114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2D03336-B06B-6BFA-C72D-0C2432F450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muel" refreshedDate="46054.024820833336" createdVersion="8" refreshedVersion="8" minRefreshableVersion="3" recordCount="2176" xr:uid="{5C460776-4C39-4CC8-A03E-7956E2E37BF7}">
  <cacheSource type="worksheet">
    <worksheetSource name="Table1"/>
  </cacheSource>
  <cacheFields count="18">
    <cacheField name="product_id" numFmtId="0">
      <sharedItems/>
    </cacheField>
    <cacheField name="category" numFmtId="0">
      <sharedItems count="6">
        <s v="Outerwear"/>
        <s v="Tops"/>
        <s v="Accessories"/>
        <s v="Shoes"/>
        <s v="Bottoms"/>
        <s v="Dresses"/>
      </sharedItems>
    </cacheField>
    <cacheField name="brand" numFmtId="0">
      <sharedItems count="8">
        <s v="Zara"/>
        <s v="Uniqlo"/>
        <s v="Banana Republic"/>
        <s v="Mango"/>
        <s v="H&amp;M"/>
        <s v="Ann Taylor"/>
        <s v="Gap"/>
        <s v="Forever21"/>
      </sharedItems>
    </cacheField>
    <cacheField name="season" numFmtId="0">
      <sharedItems count="4">
        <s v="Spring"/>
        <s v="Winter"/>
        <s v="Fall"/>
        <s v="Summer"/>
      </sharedItems>
    </cacheField>
    <cacheField name="size" numFmtId="0">
      <sharedItems containsBlank="1"/>
    </cacheField>
    <cacheField name="color" numFmtId="0">
      <sharedItems/>
    </cacheField>
    <cacheField name="original_price" numFmtId="164">
      <sharedItems containsSemiMixedTypes="0" containsString="0" containsNumber="1" minValue="15.14" maxValue="249.98"/>
    </cacheField>
    <cacheField name="markdown_percentage" numFmtId="2">
      <sharedItems containsSemiMixedTypes="0" containsString="0" containsNumber="1" minValue="0" maxValue="59.9" count="458">
        <n v="0"/>
        <n v="35.4"/>
        <n v="54.5"/>
        <n v="22.1"/>
        <n v="12.8"/>
        <n v="10.9"/>
        <n v="58.5"/>
        <n v="21.8"/>
        <n v="29.1"/>
        <n v="34"/>
        <n v="36"/>
        <n v="24.4"/>
        <n v="5.7"/>
        <n v="47.8"/>
        <n v="14.2"/>
        <n v="51.4"/>
        <n v="30.3"/>
        <n v="53.9"/>
        <n v="55.9"/>
        <n v="57.1"/>
        <n v="50.9"/>
        <n v="15.2"/>
        <n v="26.3"/>
        <n v="2.6"/>
        <n v="6.6"/>
        <n v="1.1000000000000001"/>
        <n v="18"/>
        <n v="2.4"/>
        <n v="21.7"/>
        <n v="9.5"/>
        <n v="19.8"/>
        <n v="7.4"/>
        <n v="55.2"/>
        <n v="48"/>
        <n v="22.5"/>
        <n v="19.100000000000001"/>
        <n v="22.6"/>
        <n v="11.9"/>
        <n v="55.3"/>
        <n v="40"/>
        <n v="6.4"/>
        <n v="49.5"/>
        <n v="52.4"/>
        <n v="56.4"/>
        <n v="3"/>
        <n v="19.5"/>
        <n v="58.2"/>
        <n v="59.5"/>
        <n v="50"/>
        <n v="33.799999999999997"/>
        <n v="25.5"/>
        <n v="45.9"/>
        <n v="51.5"/>
        <n v="21.5"/>
        <n v="27"/>
        <n v="58.8"/>
        <n v="45.3"/>
        <n v="15.8"/>
        <n v="25.4"/>
        <n v="57.3"/>
        <n v="46"/>
        <n v="11.4"/>
        <n v="29.4"/>
        <n v="28.3"/>
        <n v="40.6"/>
        <n v="21.4"/>
        <n v="1.7"/>
        <n v="20"/>
        <n v="39.200000000000003"/>
        <n v="39.799999999999997"/>
        <n v="3.9"/>
        <n v="35.9"/>
        <n v="7.1"/>
        <n v="12.3"/>
        <n v="13"/>
        <n v="51.7"/>
        <n v="42.7"/>
        <n v="57.5"/>
        <n v="56.1"/>
        <n v="33.299999999999997"/>
        <n v="17"/>
        <n v="23.9"/>
        <n v="36.4"/>
        <n v="8.8000000000000007"/>
        <n v="16.7"/>
        <n v="18.399999999999999"/>
        <n v="54.8"/>
        <n v="1.4"/>
        <n v="43.3"/>
        <n v="22.4"/>
        <n v="41.7"/>
        <n v="47.6"/>
        <n v="50.5"/>
        <n v="54.6"/>
        <n v="14.6"/>
        <n v="48.8"/>
        <n v="17.8"/>
        <n v="4.3"/>
        <n v="44.7"/>
        <n v="9.1999999999999993"/>
        <n v="0.4"/>
        <n v="37.1"/>
        <n v="10.199999999999999"/>
        <n v="23"/>
        <n v="39.4"/>
        <n v="14.1"/>
        <n v="24.3"/>
        <n v="50.4"/>
        <n v="5.4"/>
        <n v="42.2"/>
        <n v="35.200000000000003"/>
        <n v="9.1"/>
        <n v="57.4"/>
        <n v="7.5"/>
        <n v="26.1"/>
        <n v="16.2"/>
        <n v="10.8"/>
        <n v="36.799999999999997"/>
        <n v="50.2"/>
        <n v="46.5"/>
        <n v="29.5"/>
        <n v="52.1"/>
        <n v="11.1"/>
        <n v="36.9"/>
        <n v="40.700000000000003"/>
        <n v="54"/>
        <n v="0.9"/>
        <n v="4.2"/>
        <n v="29.2"/>
        <n v="46.7"/>
        <n v="16.399999999999999"/>
        <n v="56.5"/>
        <n v="28.7"/>
        <n v="37.6"/>
        <n v="20.2"/>
        <n v="45.8"/>
        <n v="27.8"/>
        <n v="49.6"/>
        <n v="27.9"/>
        <n v="42.9"/>
        <n v="40.799999999999997"/>
        <n v="46.8"/>
        <n v="56.7"/>
        <n v="3.4"/>
        <n v="26.9"/>
        <n v="35.700000000000003"/>
        <n v="44.6"/>
        <n v="32"/>
        <n v="11.6"/>
        <n v="20.6"/>
        <n v="3.3"/>
        <n v="15.6"/>
        <n v="59.4"/>
        <n v="55"/>
        <n v="52.9"/>
        <n v="31.7"/>
        <n v="50.6"/>
        <n v="0.3"/>
        <n v="11.8"/>
        <n v="54.3"/>
        <n v="9.9"/>
        <n v="54.1"/>
        <n v="30"/>
        <n v="27.6"/>
        <n v="37.700000000000003"/>
        <n v="6.3"/>
        <n v="53"/>
        <n v="33.4"/>
        <n v="38.799999999999997"/>
        <n v="38.1"/>
        <n v="5.9"/>
        <n v="31.8"/>
        <n v="51.3"/>
        <n v="42.5"/>
        <n v="43.8"/>
        <n v="48.2"/>
        <n v="36.700000000000003"/>
        <n v="38.9"/>
        <n v="22"/>
        <n v="49.4"/>
        <n v="32.6"/>
        <n v="28.4"/>
        <n v="34.5"/>
        <n v="18.899999999999999"/>
        <n v="45"/>
        <n v="32.700000000000003"/>
        <n v="14"/>
        <n v="47.1"/>
        <n v="40.5"/>
        <n v="16.600000000000001"/>
        <n v="28"/>
        <n v="33.700000000000003"/>
        <n v="13.6"/>
        <n v="33.6"/>
        <n v="12.4"/>
        <n v="18.3"/>
        <n v="11.3"/>
        <n v="10.6"/>
        <n v="46.2"/>
        <n v="40.4"/>
        <n v="45.2"/>
        <n v="44.8"/>
        <n v="2.1"/>
        <n v="36.5"/>
        <n v="11"/>
        <n v="51.9"/>
        <n v="58.6"/>
        <n v="13.9"/>
        <n v="26.4"/>
        <n v="58.3"/>
        <n v="0.5"/>
        <n v="12.6"/>
        <n v="52"/>
        <n v="46.4"/>
        <n v="45.4"/>
        <n v="34.9"/>
        <n v="7.9"/>
        <n v="19.7"/>
        <n v="35.799999999999997"/>
        <n v="43.7"/>
        <n v="39.700000000000003"/>
        <n v="54.9"/>
        <n v="57"/>
        <n v="15.7"/>
        <n v="35.5"/>
        <n v="6"/>
        <n v="9.6"/>
        <n v="1.6"/>
        <n v="25.9"/>
        <n v="52.8"/>
        <n v="27.3"/>
        <n v="45.5"/>
        <n v="50.7"/>
        <n v="35.299999999999997"/>
        <n v="59.9"/>
        <n v="17.3"/>
        <n v="53.5"/>
        <n v="37.5"/>
        <n v="43"/>
        <n v="20.7"/>
        <n v="36.6"/>
        <n v="12.7"/>
        <n v="58.4"/>
        <n v="0.8"/>
        <n v="30.8"/>
        <n v="13.7"/>
        <n v="16.100000000000001"/>
        <n v="20.5"/>
        <n v="8.6999999999999993"/>
        <n v="38"/>
        <n v="32.200000000000003"/>
        <n v="18.7"/>
        <n v="17.600000000000001"/>
        <n v="53.7"/>
        <n v="23.1"/>
        <n v="1.2"/>
        <n v="44.1"/>
        <n v="16.8"/>
        <n v="44.3"/>
        <n v="44.9"/>
        <n v="10.4"/>
        <n v="31"/>
        <n v="33.1"/>
        <n v="8.1999999999999993"/>
        <n v="22.8"/>
        <n v="57.8"/>
        <n v="49"/>
        <n v="12.2"/>
        <n v="16"/>
        <n v="37.799999999999997"/>
        <n v="50.1"/>
        <n v="53.2"/>
        <n v="23.7"/>
        <n v="37"/>
        <n v="19.899999999999999"/>
        <n v="28.5"/>
        <n v="59.1"/>
        <n v="39"/>
        <n v="12.9"/>
        <n v="41.2"/>
        <n v="13.3"/>
        <n v="48.4"/>
        <n v="19"/>
        <n v="16.899999999999999"/>
        <n v="5.5"/>
        <n v="42.1"/>
        <n v="23.6"/>
        <n v="56.6"/>
        <n v="47.4"/>
        <n v="28.8"/>
        <n v="34.299999999999997"/>
        <n v="40.200000000000003"/>
        <n v="47.7"/>
        <n v="38.299999999999997"/>
        <n v="29"/>
        <n v="34.6"/>
        <n v="24.2"/>
        <n v="47.5"/>
        <n v="12.1"/>
        <n v="38.6"/>
        <n v="55.4"/>
        <n v="41.3"/>
        <n v="8.1"/>
        <n v="16.5"/>
        <n v="56.3"/>
        <n v="11.2"/>
        <n v="18.100000000000001"/>
        <n v="57.9"/>
        <n v="10.1"/>
        <n v="55.5"/>
        <n v="49.7"/>
        <n v="7.6"/>
        <n v="14.7"/>
        <n v="47"/>
        <n v="54.2"/>
        <n v="17.5"/>
        <n v="26.8"/>
        <n v="6.8"/>
        <n v="32.1"/>
        <n v="40.9"/>
        <n v="5.0999999999999996"/>
        <n v="48.7"/>
        <n v="59.8"/>
        <n v="50.3"/>
        <n v="21.6"/>
        <n v="2.9"/>
        <n v="3.1"/>
        <n v="8.4"/>
        <n v="13.5"/>
        <n v="41.9"/>
        <n v="26.2"/>
        <n v="20.9"/>
        <n v="52.6"/>
        <n v="8.3000000000000007"/>
        <n v="56.8"/>
        <n v="24.6"/>
        <n v="15"/>
        <n v="9.8000000000000007"/>
        <n v="21.1"/>
        <n v="9.3000000000000007"/>
        <n v="20.100000000000001"/>
        <n v="23.3"/>
        <n v="58"/>
        <n v="22.9"/>
        <n v="8"/>
        <n v="51.6"/>
        <n v="19.600000000000001"/>
        <n v="19.2"/>
        <n v="12.5"/>
        <n v="25.7"/>
        <n v="27.4"/>
        <n v="27.7"/>
        <n v="30.9"/>
        <n v="3.7"/>
        <n v="23.4"/>
        <n v="49.8"/>
        <n v="3.5"/>
        <n v="10.7"/>
        <n v="34.200000000000003"/>
        <n v="31.6"/>
        <n v="41"/>
        <n v="23.2"/>
        <n v="29.9"/>
        <n v="1"/>
        <n v="35.1"/>
        <n v="25.2"/>
        <n v="44"/>
        <n v="4.5999999999999996"/>
        <n v="43.6"/>
        <n v="14.8"/>
        <n v="1.8"/>
        <n v="25.8"/>
        <n v="49.9"/>
        <n v="14.9"/>
        <n v="30.5"/>
        <n v="6.2"/>
        <n v="1.3"/>
        <n v="43.4"/>
        <n v="20.3"/>
        <n v="29.8"/>
        <n v="43.5"/>
        <n v="2.5"/>
        <n v="46.1"/>
        <n v="5.3"/>
        <n v="39.9"/>
        <n v="37.9"/>
        <n v="47.3"/>
        <n v="28.2"/>
        <n v="52.3"/>
        <n v="5"/>
        <n v="10.3"/>
        <n v="8.9"/>
        <n v="54.7"/>
        <n v="12"/>
        <n v="34.4"/>
        <n v="0.7"/>
        <n v="48.9"/>
        <n v="38.4"/>
        <n v="7.3"/>
        <n v="5.2"/>
        <n v="40.299999999999997"/>
        <n v="43.2"/>
        <n v="53.6"/>
        <n v="3.6"/>
        <n v="7.8"/>
        <n v="4.8"/>
        <n v="27.1"/>
        <n v="24.1"/>
        <n v="59.7"/>
        <n v="34.700000000000003"/>
        <n v="27.5"/>
        <n v="39.1"/>
        <n v="41.5"/>
        <n v="17.399999999999999"/>
        <n v="24.8"/>
        <n v="56"/>
        <n v="14.3"/>
        <n v="48.1"/>
        <n v="29.6"/>
        <n v="40.1"/>
        <n v="28.9"/>
        <n v="6.7"/>
        <n v="48.3"/>
        <n v="43.1"/>
        <n v="6.1"/>
        <n v="35"/>
        <n v="48.5"/>
        <n v="9.6999999999999993"/>
        <n v="2.7"/>
        <n v="58.1"/>
        <n v="26"/>
        <n v="58.7"/>
        <n v="59.3"/>
        <n v="28.1"/>
        <n v="29.3"/>
        <n v="14.4"/>
        <n v="32.799999999999997"/>
        <n v="31.1"/>
        <n v="10"/>
        <n v="3.2"/>
        <n v="18.8"/>
        <n v="24"/>
        <n v="26.5"/>
        <n v="55.7"/>
        <n v="24.5"/>
        <n v="20.8"/>
        <n v="22.2"/>
        <n v="30.7"/>
        <n v="38.5"/>
        <n v="7.7"/>
        <n v="5.8"/>
        <n v="51"/>
        <n v="14.5"/>
        <n v="26.6"/>
        <n v="8.6"/>
        <n v="51.8"/>
        <n v="46.9"/>
        <n v="31.4"/>
      </sharedItems>
      <fieldGroup base="7">
        <rangePr startNum="0" endNum="59.9" groupInterval="10"/>
        <groupItems count="8">
          <s v="&lt;0"/>
          <s v="0-10"/>
          <s v="10-20"/>
          <s v="20-30"/>
          <s v="30-40"/>
          <s v="40-50"/>
          <s v="50-60"/>
          <s v="&gt;60"/>
        </groupItems>
      </fieldGroup>
    </cacheField>
    <cacheField name="current_price" numFmtId="164">
      <sharedItems containsSemiMixedTypes="0" containsString="0" containsNumber="1" minValue="7.29" maxValue="249.98"/>
    </cacheField>
    <cacheField name="purchase_date" numFmtId="14">
      <sharedItems containsSemiMixedTypes="0" containsNonDate="0" containsDate="1" containsString="0" minDate="2024-08-06T00:00:00" maxDate="2025-08-07T00:00:00"/>
    </cacheField>
    <cacheField name="stock_quantity" numFmtId="1">
      <sharedItems containsSemiMixedTypes="0" containsString="0" containsNumber="1" containsInteger="1" minValue="0" maxValue="50"/>
    </cacheField>
    <cacheField name="customer_rating" numFmtId="165">
      <sharedItems containsString="0" containsBlank="1" containsNumber="1" minValue="1" maxValue="5"/>
    </cacheField>
    <cacheField name="is_returned" numFmtId="0">
      <sharedItems count="2">
        <b v="0"/>
        <b v="1"/>
      </sharedItems>
    </cacheField>
    <cacheField name="return_reason" numFmtId="0">
      <sharedItems containsBlank="1"/>
    </cacheField>
    <cacheField name="return_status_check" numFmtId="0">
      <sharedItems/>
    </cacheField>
    <cacheField name="amount_disscounted" numFmtId="164">
      <sharedItems containsSemiMixedTypes="0" containsString="0" containsNumber="1" minValue="0" maxValue="132.06"/>
    </cacheField>
    <cacheField name="price_check" numFmtId="0">
      <sharedItems/>
    </cacheField>
    <cacheField name="revenue" numFmtId="164">
      <sharedItems containsSemiMixedTypes="0" containsString="0" containsNumber="1" minValue="0" maxValue="11667.39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76">
  <r>
    <s v="FB000001"/>
    <x v="0"/>
    <x v="0"/>
    <x v="0"/>
    <s v="XL"/>
    <s v="Red"/>
    <n v="196.01"/>
    <x v="0"/>
    <n v="196.01"/>
    <d v="2025-07-05T00:00:00"/>
    <n v="37"/>
    <n v="3"/>
    <x v="0"/>
    <m/>
    <s v="OK"/>
    <n v="0"/>
    <s v="Correct Price"/>
    <n v="7252.37"/>
  </r>
  <r>
    <s v="FB000002"/>
    <x v="1"/>
    <x v="1"/>
    <x v="1"/>
    <s v="L"/>
    <s v="Pink"/>
    <n v="119.64"/>
    <x v="0"/>
    <n v="119.64"/>
    <d v="2025-08-06T00:00:00"/>
    <n v="2"/>
    <n v="2.5"/>
    <x v="0"/>
    <m/>
    <s v="OK"/>
    <n v="0"/>
    <s v="Correct Price"/>
    <n v="239.28"/>
  </r>
  <r>
    <s v="FB000003"/>
    <x v="2"/>
    <x v="1"/>
    <x v="1"/>
    <m/>
    <s v="Black"/>
    <n v="33.799999999999997"/>
    <x v="0"/>
    <n v="33.799999999999997"/>
    <d v="2025-08-06T00:00:00"/>
    <n v="22"/>
    <n v="4.3"/>
    <x v="0"/>
    <m/>
    <s v="OK"/>
    <n v="0"/>
    <s v="Correct Price"/>
    <n v="743.59999999999991"/>
  </r>
  <r>
    <s v="FB000004"/>
    <x v="3"/>
    <x v="1"/>
    <x v="0"/>
    <s v="XL"/>
    <s v="Black"/>
    <n v="75.36"/>
    <x v="0"/>
    <n v="75.36"/>
    <d v="2025-07-07T00:00:00"/>
    <n v="48"/>
    <n v="2.6"/>
    <x v="0"/>
    <m/>
    <s v="OK"/>
    <n v="0"/>
    <s v="Correct Price"/>
    <n v="3617.2799999999997"/>
  </r>
  <r>
    <s v="FB000005"/>
    <x v="1"/>
    <x v="2"/>
    <x v="1"/>
    <s v="XL"/>
    <s v="Black"/>
    <n v="105.02"/>
    <x v="0"/>
    <n v="105.02"/>
    <d v="2025-08-06T00:00:00"/>
    <n v="10"/>
    <m/>
    <x v="0"/>
    <m/>
    <s v="OK"/>
    <n v="0"/>
    <s v="Correct Price"/>
    <n v="1050.2"/>
  </r>
  <r>
    <s v="FB000006"/>
    <x v="2"/>
    <x v="0"/>
    <x v="2"/>
    <m/>
    <s v="White"/>
    <n v="35.03"/>
    <x v="1"/>
    <n v="22.63"/>
    <d v="2025-08-06T00:00:00"/>
    <n v="38"/>
    <n v="2.9"/>
    <x v="1"/>
    <s v="Color Mismatch"/>
    <s v="OK"/>
    <n v="12.400619999999998"/>
    <s v="Correct Price"/>
    <n v="859.93999999999994"/>
  </r>
  <r>
    <s v="FB000007"/>
    <x v="4"/>
    <x v="0"/>
    <x v="0"/>
    <s v="S"/>
    <s v="Gray"/>
    <n v="53.83"/>
    <x v="2"/>
    <n v="24.49"/>
    <d v="2024-10-29T00:00:00"/>
    <n v="38"/>
    <n v="2.6"/>
    <x v="0"/>
    <m/>
    <s v="OK"/>
    <n v="29.337350000000001"/>
    <s v="Correct Price"/>
    <n v="930.61999999999989"/>
  </r>
  <r>
    <s v="FB000008"/>
    <x v="5"/>
    <x v="3"/>
    <x v="1"/>
    <s v="XL"/>
    <s v="Blue"/>
    <n v="91.55"/>
    <x v="3"/>
    <n v="71.319999999999993"/>
    <d v="2025-08-06T00:00:00"/>
    <n v="47"/>
    <n v="1.6"/>
    <x v="0"/>
    <m/>
    <s v="OK"/>
    <n v="20.23255"/>
    <s v="Correct Price"/>
    <n v="3352.0399999999995"/>
  </r>
  <r>
    <s v="FB000009"/>
    <x v="0"/>
    <x v="1"/>
    <x v="0"/>
    <s v="XL"/>
    <s v="Green"/>
    <n v="227.73"/>
    <x v="4"/>
    <n v="198.58"/>
    <d v="2025-03-24T00:00:00"/>
    <n v="14"/>
    <m/>
    <x v="0"/>
    <m/>
    <s v="OK"/>
    <n v="29.149439999999998"/>
    <s v="Correct Price"/>
    <n v="2780.1200000000003"/>
  </r>
  <r>
    <s v="FB000010"/>
    <x v="0"/>
    <x v="4"/>
    <x v="2"/>
    <s v="XXL"/>
    <s v="Pink"/>
    <n v="248.41"/>
    <x v="5"/>
    <n v="221.33"/>
    <d v="2025-08-06T00:00:00"/>
    <n v="37"/>
    <m/>
    <x v="0"/>
    <m/>
    <s v="OK"/>
    <n v="27.076689999999999"/>
    <s v="Correct Price"/>
    <n v="8189.21"/>
  </r>
  <r>
    <s v="FB000011"/>
    <x v="1"/>
    <x v="3"/>
    <x v="0"/>
    <s v="L"/>
    <s v="Black"/>
    <n v="116.84"/>
    <x v="0"/>
    <n v="116.84"/>
    <d v="2025-04-25T00:00:00"/>
    <n v="3"/>
    <n v="4.4000000000000004"/>
    <x v="0"/>
    <m/>
    <s v="OK"/>
    <n v="0"/>
    <s v="Correct Price"/>
    <n v="350.52"/>
  </r>
  <r>
    <s v="FB000012"/>
    <x v="3"/>
    <x v="1"/>
    <x v="1"/>
    <s v="S"/>
    <s v="Blue"/>
    <n v="146.97999999999999"/>
    <x v="0"/>
    <n v="146.97999999999999"/>
    <d v="2025-08-06T00:00:00"/>
    <n v="2"/>
    <n v="3.4"/>
    <x v="0"/>
    <m/>
    <s v="OK"/>
    <n v="0"/>
    <s v="Correct Price"/>
    <n v="293.95999999999998"/>
  </r>
  <r>
    <s v="FB000013"/>
    <x v="4"/>
    <x v="5"/>
    <x v="0"/>
    <s v="S"/>
    <s v="White"/>
    <n v="37.51"/>
    <x v="0"/>
    <n v="37.51"/>
    <d v="2025-01-04T00:00:00"/>
    <n v="43"/>
    <m/>
    <x v="0"/>
    <m/>
    <s v="OK"/>
    <n v="0"/>
    <s v="Correct Price"/>
    <n v="1612.9299999999998"/>
  </r>
  <r>
    <s v="FB000014"/>
    <x v="5"/>
    <x v="1"/>
    <x v="2"/>
    <s v="XS"/>
    <s v="Beige"/>
    <n v="48.15"/>
    <x v="0"/>
    <n v="48.15"/>
    <d v="2025-08-06T00:00:00"/>
    <n v="39"/>
    <n v="1.6"/>
    <x v="0"/>
    <m/>
    <s v="OK"/>
    <n v="0"/>
    <s v="Correct Price"/>
    <n v="1877.85"/>
  </r>
  <r>
    <s v="FB000015"/>
    <x v="1"/>
    <x v="3"/>
    <x v="1"/>
    <s v="M"/>
    <s v="Beige"/>
    <n v="79.66"/>
    <x v="0"/>
    <n v="79.66"/>
    <d v="2025-08-06T00:00:00"/>
    <n v="7"/>
    <n v="1.7"/>
    <x v="0"/>
    <m/>
    <s v="OK"/>
    <n v="0"/>
    <s v="Correct Price"/>
    <n v="557.62"/>
  </r>
  <r>
    <s v="FB000016"/>
    <x v="2"/>
    <x v="3"/>
    <x v="1"/>
    <m/>
    <s v="Green"/>
    <n v="67.569999999999993"/>
    <x v="0"/>
    <n v="67.569999999999993"/>
    <d v="2025-08-06T00:00:00"/>
    <n v="17"/>
    <n v="2.4"/>
    <x v="0"/>
    <m/>
    <s v="OK"/>
    <n v="0"/>
    <s v="Correct Price"/>
    <n v="1148.6899999999998"/>
  </r>
  <r>
    <s v="FB000017"/>
    <x v="3"/>
    <x v="6"/>
    <x v="3"/>
    <s v="S"/>
    <s v="Beige"/>
    <n v="123.53"/>
    <x v="0"/>
    <n v="123.53"/>
    <d v="2025-08-06T00:00:00"/>
    <n v="14"/>
    <n v="4.5999999999999996"/>
    <x v="0"/>
    <m/>
    <s v="OK"/>
    <n v="0"/>
    <s v="Correct Price"/>
    <n v="1729.42"/>
  </r>
  <r>
    <s v="FB000018"/>
    <x v="1"/>
    <x v="5"/>
    <x v="1"/>
    <s v="L"/>
    <s v="Navy"/>
    <n v="102.35"/>
    <x v="0"/>
    <n v="102.35"/>
    <d v="2025-08-06T00:00:00"/>
    <n v="14"/>
    <n v="3.5"/>
    <x v="0"/>
    <m/>
    <s v="OK"/>
    <n v="0"/>
    <s v="Correct Price"/>
    <n v="1432.8999999999999"/>
  </r>
  <r>
    <s v="FB000019"/>
    <x v="0"/>
    <x v="3"/>
    <x v="3"/>
    <s v="M"/>
    <s v="Purple"/>
    <n v="137.94999999999999"/>
    <x v="6"/>
    <n v="57.25"/>
    <d v="2025-08-06T00:00:00"/>
    <n v="16"/>
    <n v="4.0999999999999996"/>
    <x v="0"/>
    <m/>
    <s v="OK"/>
    <n v="80.700749999999985"/>
    <s v="Correct Price"/>
    <n v="916"/>
  </r>
  <r>
    <s v="FB000020"/>
    <x v="0"/>
    <x v="2"/>
    <x v="3"/>
    <s v="XXL"/>
    <s v="Gray"/>
    <n v="142.59"/>
    <x v="0"/>
    <n v="142.59"/>
    <d v="2025-08-06T00:00:00"/>
    <n v="1"/>
    <n v="3.7"/>
    <x v="0"/>
    <m/>
    <s v="OK"/>
    <n v="0"/>
    <s v="Correct Price"/>
    <n v="142.59"/>
  </r>
  <r>
    <s v="FB000021"/>
    <x v="4"/>
    <x v="3"/>
    <x v="2"/>
    <s v="L"/>
    <s v="Beige"/>
    <n v="33.33"/>
    <x v="7"/>
    <n v="26.06"/>
    <d v="2025-08-06T00:00:00"/>
    <n v="42"/>
    <m/>
    <x v="0"/>
    <m/>
    <s v="OK"/>
    <n v="7.2659399999999996"/>
    <s v="Correct Price"/>
    <n v="1094.52"/>
  </r>
  <r>
    <s v="FB000022"/>
    <x v="2"/>
    <x v="0"/>
    <x v="0"/>
    <m/>
    <s v="Brown"/>
    <n v="62.3"/>
    <x v="0"/>
    <n v="62.3"/>
    <d v="2024-09-24T00:00:00"/>
    <n v="10"/>
    <n v="2.5"/>
    <x v="0"/>
    <m/>
    <s v="OK"/>
    <n v="0"/>
    <s v="Correct Price"/>
    <n v="623"/>
  </r>
  <r>
    <s v="FB000023"/>
    <x v="2"/>
    <x v="0"/>
    <x v="1"/>
    <m/>
    <s v="Pink"/>
    <n v="38.479999999999997"/>
    <x v="0"/>
    <n v="38.479999999999997"/>
    <d v="2025-08-06T00:00:00"/>
    <n v="46"/>
    <n v="1.2"/>
    <x v="0"/>
    <m/>
    <s v="OK"/>
    <n v="0"/>
    <s v="Correct Price"/>
    <n v="1770.08"/>
  </r>
  <r>
    <s v="FB000024"/>
    <x v="5"/>
    <x v="2"/>
    <x v="3"/>
    <s v="XL"/>
    <s v="Green"/>
    <n v="91.36"/>
    <x v="0"/>
    <n v="91.36"/>
    <d v="2025-08-06T00:00:00"/>
    <n v="37"/>
    <n v="1.2"/>
    <x v="1"/>
    <s v="Size Issue"/>
    <s v="OK"/>
    <n v="0"/>
    <s v="Correct Price"/>
    <n v="3380.32"/>
  </r>
  <r>
    <s v="FB000025"/>
    <x v="1"/>
    <x v="7"/>
    <x v="2"/>
    <s v="XS"/>
    <s v="Blue"/>
    <n v="80.47"/>
    <x v="8"/>
    <n v="57.05"/>
    <d v="2025-08-06T00:00:00"/>
    <n v="38"/>
    <n v="3.6"/>
    <x v="0"/>
    <m/>
    <s v="OK"/>
    <n v="23.41677"/>
    <s v="Correct Price"/>
    <n v="2167.9"/>
  </r>
  <r>
    <s v="FB000026"/>
    <x v="4"/>
    <x v="1"/>
    <x v="0"/>
    <s v="M"/>
    <s v="Red"/>
    <n v="40.89"/>
    <x v="9"/>
    <n v="26.99"/>
    <d v="2025-06-11T00:00:00"/>
    <n v="16"/>
    <n v="3.7"/>
    <x v="0"/>
    <m/>
    <s v="OK"/>
    <n v="13.9026"/>
    <s v="Correct Price"/>
    <n v="431.84"/>
  </r>
  <r>
    <s v="FB000027"/>
    <x v="4"/>
    <x v="2"/>
    <x v="3"/>
    <s v="L"/>
    <s v="Red"/>
    <n v="47.04"/>
    <x v="10"/>
    <n v="30.11"/>
    <d v="2025-08-06T00:00:00"/>
    <n v="25"/>
    <n v="1.1000000000000001"/>
    <x v="1"/>
    <s v="Damaged"/>
    <s v="OK"/>
    <n v="16.9344"/>
    <s v="Correct Price"/>
    <n v="752.75"/>
  </r>
  <r>
    <s v="FB000028"/>
    <x v="4"/>
    <x v="6"/>
    <x v="3"/>
    <s v="M"/>
    <s v="Blue"/>
    <n v="53.37"/>
    <x v="0"/>
    <n v="53.37"/>
    <d v="2025-08-06T00:00:00"/>
    <n v="28"/>
    <n v="3.8"/>
    <x v="0"/>
    <m/>
    <s v="OK"/>
    <n v="0"/>
    <s v="Correct Price"/>
    <n v="1494.36"/>
  </r>
  <r>
    <s v="FB000029"/>
    <x v="5"/>
    <x v="5"/>
    <x v="3"/>
    <s v="L"/>
    <s v="White"/>
    <n v="114.35"/>
    <x v="0"/>
    <n v="114.35"/>
    <d v="2025-08-06T00:00:00"/>
    <n v="6"/>
    <n v="1.2"/>
    <x v="0"/>
    <m/>
    <s v="OK"/>
    <n v="0"/>
    <s v="Correct Price"/>
    <n v="686.09999999999991"/>
  </r>
  <r>
    <s v="FB000030"/>
    <x v="3"/>
    <x v="6"/>
    <x v="0"/>
    <s v="XL"/>
    <s v="Red"/>
    <n v="77.63"/>
    <x v="0"/>
    <n v="77.63"/>
    <d v="2024-10-24T00:00:00"/>
    <n v="1"/>
    <m/>
    <x v="0"/>
    <m/>
    <s v="OK"/>
    <n v="0"/>
    <s v="Correct Price"/>
    <n v="77.63"/>
  </r>
  <r>
    <s v="FB000031"/>
    <x v="3"/>
    <x v="1"/>
    <x v="3"/>
    <s v="S"/>
    <s v="Red"/>
    <n v="71.290000000000006"/>
    <x v="0"/>
    <n v="71.290000000000006"/>
    <d v="2025-08-06T00:00:00"/>
    <n v="37"/>
    <n v="4.0999999999999996"/>
    <x v="1"/>
    <s v="Quality Issue"/>
    <s v="OK"/>
    <n v="0"/>
    <s v="Correct Price"/>
    <n v="2637.73"/>
  </r>
  <r>
    <s v="FB000032"/>
    <x v="1"/>
    <x v="6"/>
    <x v="0"/>
    <s v="L"/>
    <s v="Purple"/>
    <n v="37.43"/>
    <x v="11"/>
    <n v="28.3"/>
    <d v="2025-04-16T00:00:00"/>
    <n v="5"/>
    <m/>
    <x v="0"/>
    <m/>
    <s v="OK"/>
    <n v="9.1329199999999986"/>
    <s v="Correct Price"/>
    <n v="141.5"/>
  </r>
  <r>
    <s v="FB000033"/>
    <x v="3"/>
    <x v="0"/>
    <x v="0"/>
    <s v="XL"/>
    <s v="Purple"/>
    <n v="143.78"/>
    <x v="0"/>
    <n v="143.78"/>
    <d v="2024-10-16T00:00:00"/>
    <n v="43"/>
    <n v="1.1000000000000001"/>
    <x v="0"/>
    <m/>
    <s v="OK"/>
    <n v="0"/>
    <s v="Correct Price"/>
    <n v="6182.54"/>
  </r>
  <r>
    <s v="FB000034"/>
    <x v="1"/>
    <x v="2"/>
    <x v="3"/>
    <s v="XL"/>
    <s v="Gray"/>
    <n v="88.23"/>
    <x v="0"/>
    <n v="88.23"/>
    <d v="2025-08-06T00:00:00"/>
    <n v="44"/>
    <n v="1.6"/>
    <x v="0"/>
    <m/>
    <s v="OK"/>
    <n v="0"/>
    <s v="Correct Price"/>
    <n v="3882.1200000000003"/>
  </r>
  <r>
    <s v="FB000035"/>
    <x v="2"/>
    <x v="7"/>
    <x v="2"/>
    <m/>
    <s v="Navy"/>
    <n v="58.57"/>
    <x v="0"/>
    <n v="58.57"/>
    <d v="2025-08-06T00:00:00"/>
    <n v="38"/>
    <n v="1.5"/>
    <x v="0"/>
    <m/>
    <s v="OK"/>
    <n v="0"/>
    <s v="Correct Price"/>
    <n v="2225.66"/>
  </r>
  <r>
    <s v="FB000036"/>
    <x v="1"/>
    <x v="1"/>
    <x v="1"/>
    <s v="XXL"/>
    <s v="White"/>
    <n v="119.7"/>
    <x v="12"/>
    <n v="112.88"/>
    <d v="2025-08-06T00:00:00"/>
    <n v="37"/>
    <n v="4.9000000000000004"/>
    <x v="0"/>
    <m/>
    <s v="OK"/>
    <n v="6.8229000000000006"/>
    <s v="Correct Price"/>
    <n v="4176.5599999999995"/>
  </r>
  <r>
    <s v="FB000037"/>
    <x v="4"/>
    <x v="2"/>
    <x v="2"/>
    <s v="XXL"/>
    <s v="Green"/>
    <n v="97.06"/>
    <x v="13"/>
    <n v="50.67"/>
    <d v="2025-08-06T00:00:00"/>
    <n v="31"/>
    <n v="4.0999999999999996"/>
    <x v="0"/>
    <m/>
    <s v="OK"/>
    <n v="46.394680000000001"/>
    <s v="Correct Price"/>
    <n v="1570.77"/>
  </r>
  <r>
    <s v="FB000038"/>
    <x v="5"/>
    <x v="2"/>
    <x v="3"/>
    <s v="L"/>
    <s v="White"/>
    <n v="110.09"/>
    <x v="0"/>
    <n v="110.09"/>
    <d v="2025-08-06T00:00:00"/>
    <n v="32"/>
    <n v="3.4"/>
    <x v="0"/>
    <m/>
    <s v="OK"/>
    <n v="0"/>
    <s v="Correct Price"/>
    <n v="3522.88"/>
  </r>
  <r>
    <s v="FB000039"/>
    <x v="3"/>
    <x v="0"/>
    <x v="1"/>
    <s v="XS"/>
    <s v="Green"/>
    <n v="198.42"/>
    <x v="14"/>
    <n v="170.24"/>
    <d v="2025-08-06T00:00:00"/>
    <n v="10"/>
    <m/>
    <x v="0"/>
    <m/>
    <s v="OK"/>
    <n v="28.175639999999998"/>
    <s v="Correct Price"/>
    <n v="1702.4"/>
  </r>
  <r>
    <s v="FB000040"/>
    <x v="4"/>
    <x v="2"/>
    <x v="1"/>
    <m/>
    <s v="Purple"/>
    <n v="101.72"/>
    <x v="0"/>
    <n v="101.72"/>
    <d v="2025-08-06T00:00:00"/>
    <n v="40"/>
    <m/>
    <x v="0"/>
    <m/>
    <s v="OK"/>
    <n v="0"/>
    <s v="Correct Price"/>
    <n v="4068.8"/>
  </r>
  <r>
    <s v="FB000041"/>
    <x v="1"/>
    <x v="1"/>
    <x v="3"/>
    <s v="S"/>
    <s v="White"/>
    <n v="117.86"/>
    <x v="0"/>
    <n v="117.86"/>
    <d v="2025-08-06T00:00:00"/>
    <n v="6"/>
    <m/>
    <x v="0"/>
    <m/>
    <s v="OK"/>
    <n v="0"/>
    <s v="Correct Price"/>
    <n v="707.16"/>
  </r>
  <r>
    <s v="FB000042"/>
    <x v="1"/>
    <x v="5"/>
    <x v="3"/>
    <s v="M"/>
    <s v="Green"/>
    <n v="78.86"/>
    <x v="0"/>
    <n v="78.86"/>
    <d v="2025-08-06T00:00:00"/>
    <n v="22"/>
    <n v="4.3"/>
    <x v="0"/>
    <m/>
    <s v="OK"/>
    <n v="0"/>
    <s v="Correct Price"/>
    <n v="1734.92"/>
  </r>
  <r>
    <s v="FB000043"/>
    <x v="0"/>
    <x v="0"/>
    <x v="1"/>
    <s v="XS"/>
    <s v="Navy"/>
    <n v="216.16"/>
    <x v="15"/>
    <n v="105.05"/>
    <d v="2025-08-06T00:00:00"/>
    <n v="36"/>
    <n v="4"/>
    <x v="0"/>
    <m/>
    <s v="OK"/>
    <n v="111.10624"/>
    <s v="Correct Price"/>
    <n v="3781.7999999999997"/>
  </r>
  <r>
    <s v="FB000044"/>
    <x v="3"/>
    <x v="0"/>
    <x v="0"/>
    <s v="XL"/>
    <s v="Pink"/>
    <n v="129.85"/>
    <x v="0"/>
    <n v="129.85"/>
    <d v="2025-04-25T00:00:00"/>
    <n v="36"/>
    <n v="3.3"/>
    <x v="0"/>
    <m/>
    <s v="OK"/>
    <n v="0"/>
    <s v="Correct Price"/>
    <n v="4674.5999999999995"/>
  </r>
  <r>
    <s v="FB000045"/>
    <x v="1"/>
    <x v="2"/>
    <x v="1"/>
    <s v="XXL"/>
    <s v="Green"/>
    <n v="111.3"/>
    <x v="0"/>
    <n v="111.3"/>
    <d v="2025-08-06T00:00:00"/>
    <n v="11"/>
    <n v="1.7"/>
    <x v="0"/>
    <m/>
    <s v="OK"/>
    <n v="0"/>
    <s v="Correct Price"/>
    <n v="1224.3"/>
  </r>
  <r>
    <s v="FB000046"/>
    <x v="5"/>
    <x v="1"/>
    <x v="3"/>
    <s v="XL"/>
    <s v="Brown"/>
    <n v="73.650000000000006"/>
    <x v="0"/>
    <n v="73.650000000000006"/>
    <d v="2025-08-06T00:00:00"/>
    <n v="33"/>
    <n v="3.6"/>
    <x v="0"/>
    <m/>
    <s v="OK"/>
    <n v="0"/>
    <s v="Correct Price"/>
    <n v="2430.4500000000003"/>
  </r>
  <r>
    <s v="FB000047"/>
    <x v="3"/>
    <x v="3"/>
    <x v="3"/>
    <s v="L"/>
    <s v="Pink"/>
    <n v="147.13"/>
    <x v="16"/>
    <n v="102.55"/>
    <d v="2025-08-06T00:00:00"/>
    <n v="13"/>
    <n v="4.4000000000000004"/>
    <x v="0"/>
    <m/>
    <s v="OK"/>
    <n v="44.580389999999994"/>
    <s v="Correct Price"/>
    <n v="1333.1499999999999"/>
  </r>
  <r>
    <s v="FB000048"/>
    <x v="2"/>
    <x v="5"/>
    <x v="1"/>
    <m/>
    <s v="Green"/>
    <n v="44.6"/>
    <x v="17"/>
    <n v="20.56"/>
    <d v="2025-08-06T00:00:00"/>
    <n v="42"/>
    <n v="2.4"/>
    <x v="0"/>
    <m/>
    <s v="OK"/>
    <n v="24.039400000000001"/>
    <s v="Correct Price"/>
    <n v="863.52"/>
  </r>
  <r>
    <s v="FB000049"/>
    <x v="4"/>
    <x v="7"/>
    <x v="3"/>
    <s v="XL"/>
    <s v="White"/>
    <n v="101.8"/>
    <x v="0"/>
    <n v="101.8"/>
    <d v="2025-08-06T00:00:00"/>
    <n v="7"/>
    <n v="2.8"/>
    <x v="0"/>
    <m/>
    <s v="OK"/>
    <n v="0"/>
    <s v="Correct Price"/>
    <n v="712.6"/>
  </r>
  <r>
    <s v="FB000050"/>
    <x v="2"/>
    <x v="2"/>
    <x v="3"/>
    <m/>
    <s v="Brown"/>
    <n v="16.52"/>
    <x v="18"/>
    <n v="7.29"/>
    <d v="2025-08-06T00:00:00"/>
    <n v="43"/>
    <m/>
    <x v="0"/>
    <m/>
    <s v="OK"/>
    <n v="9.2346799999999991"/>
    <s v="Correct Price"/>
    <n v="313.47000000000003"/>
  </r>
  <r>
    <s v="FB000051"/>
    <x v="4"/>
    <x v="4"/>
    <x v="2"/>
    <s v="M"/>
    <s v="Beige"/>
    <n v="50.91"/>
    <x v="0"/>
    <n v="50.91"/>
    <d v="2025-08-06T00:00:00"/>
    <n v="3"/>
    <n v="1.8"/>
    <x v="0"/>
    <m/>
    <s v="OK"/>
    <n v="0"/>
    <s v="Correct Price"/>
    <n v="152.72999999999999"/>
  </r>
  <r>
    <s v="FB000052"/>
    <x v="0"/>
    <x v="7"/>
    <x v="0"/>
    <s v="S"/>
    <s v="White"/>
    <n v="222.26"/>
    <x v="0"/>
    <n v="222.26"/>
    <d v="2025-05-03T00:00:00"/>
    <n v="50"/>
    <n v="4.5"/>
    <x v="0"/>
    <m/>
    <s v="OK"/>
    <n v="0"/>
    <s v="Correct Price"/>
    <n v="11113"/>
  </r>
  <r>
    <s v="FB000053"/>
    <x v="3"/>
    <x v="6"/>
    <x v="3"/>
    <s v="S"/>
    <s v="Navy"/>
    <n v="104.14"/>
    <x v="19"/>
    <n v="44.68"/>
    <d v="2025-08-06T00:00:00"/>
    <n v="14"/>
    <n v="1.8"/>
    <x v="0"/>
    <m/>
    <s v="OK"/>
    <n v="59.463940000000001"/>
    <s v="Correct Price"/>
    <n v="625.52"/>
  </r>
  <r>
    <s v="FB000054"/>
    <x v="0"/>
    <x v="0"/>
    <x v="0"/>
    <s v="S"/>
    <s v="White"/>
    <n v="166.76"/>
    <x v="0"/>
    <n v="166.76"/>
    <d v="2025-06-12T00:00:00"/>
    <n v="21"/>
    <n v="4.2"/>
    <x v="0"/>
    <m/>
    <s v="OK"/>
    <n v="0"/>
    <s v="Correct Price"/>
    <n v="3501.96"/>
  </r>
  <r>
    <s v="FB000055"/>
    <x v="2"/>
    <x v="2"/>
    <x v="2"/>
    <m/>
    <s v="Black"/>
    <n v="44.13"/>
    <x v="20"/>
    <n v="21.67"/>
    <d v="2025-08-06T00:00:00"/>
    <n v="21"/>
    <n v="3"/>
    <x v="0"/>
    <m/>
    <s v="OK"/>
    <n v="22.46217"/>
    <s v="Correct Price"/>
    <n v="455.07000000000005"/>
  </r>
  <r>
    <s v="FB000056"/>
    <x v="0"/>
    <x v="6"/>
    <x v="3"/>
    <s v="S"/>
    <s v="Green"/>
    <n v="121.29"/>
    <x v="21"/>
    <n v="102.85"/>
    <d v="2025-08-06T00:00:00"/>
    <n v="42"/>
    <m/>
    <x v="0"/>
    <m/>
    <s v="OK"/>
    <n v="18.43608"/>
    <s v="Correct Price"/>
    <n v="4319.7"/>
  </r>
  <r>
    <s v="FB000057"/>
    <x v="1"/>
    <x v="4"/>
    <x v="0"/>
    <s v="S"/>
    <s v="Beige"/>
    <n v="73.709999999999994"/>
    <x v="0"/>
    <n v="73.709999999999994"/>
    <d v="2025-07-10T00:00:00"/>
    <n v="35"/>
    <n v="3.9"/>
    <x v="1"/>
    <s v="Quality Issue"/>
    <s v="OK"/>
    <n v="0"/>
    <s v="Correct Price"/>
    <n v="2579.85"/>
  </r>
  <r>
    <s v="FB000058"/>
    <x v="4"/>
    <x v="0"/>
    <x v="0"/>
    <s v="XL"/>
    <s v="Brown"/>
    <n v="84.07"/>
    <x v="22"/>
    <n v="61.96"/>
    <d v="2024-10-25T00:00:00"/>
    <n v="19"/>
    <n v="2.2999999999999998"/>
    <x v="1"/>
    <s v="Size Issue"/>
    <s v="OK"/>
    <n v="22.110409999999998"/>
    <s v="Correct Price"/>
    <n v="1177.24"/>
  </r>
  <r>
    <s v="FB000059"/>
    <x v="1"/>
    <x v="3"/>
    <x v="3"/>
    <s v="XS"/>
    <s v="Black"/>
    <n v="28.59"/>
    <x v="0"/>
    <n v="28.59"/>
    <d v="2025-08-06T00:00:00"/>
    <n v="39"/>
    <n v="1.4"/>
    <x v="0"/>
    <m/>
    <s v="OK"/>
    <n v="0"/>
    <s v="Correct Price"/>
    <n v="1115.01"/>
  </r>
  <r>
    <s v="FB000060"/>
    <x v="3"/>
    <x v="3"/>
    <x v="1"/>
    <s v="XXL"/>
    <s v="Blue"/>
    <n v="166.49"/>
    <x v="23"/>
    <n v="162.16"/>
    <d v="2025-08-06T00:00:00"/>
    <n v="27"/>
    <m/>
    <x v="0"/>
    <m/>
    <s v="OK"/>
    <n v="4.3287399999999998"/>
    <s v="Correct Price"/>
    <n v="4378.32"/>
  </r>
  <r>
    <s v="FB000061"/>
    <x v="3"/>
    <x v="5"/>
    <x v="3"/>
    <s v="M"/>
    <s v="White"/>
    <n v="145.94999999999999"/>
    <x v="24"/>
    <n v="136.32"/>
    <d v="2025-08-06T00:00:00"/>
    <n v="15"/>
    <n v="4"/>
    <x v="0"/>
    <m/>
    <s v="OK"/>
    <n v="9.632699999999998"/>
    <s v="Correct Price"/>
    <n v="2044.8"/>
  </r>
  <r>
    <s v="FB000062"/>
    <x v="0"/>
    <x v="6"/>
    <x v="2"/>
    <s v="M"/>
    <s v="Purple"/>
    <n v="218.42"/>
    <x v="0"/>
    <n v="218.42"/>
    <d v="2025-08-06T00:00:00"/>
    <n v="33"/>
    <n v="4.4000000000000004"/>
    <x v="1"/>
    <s v="Changed Mind"/>
    <s v="OK"/>
    <n v="0"/>
    <s v="Correct Price"/>
    <n v="7207.86"/>
  </r>
  <r>
    <s v="FB000063"/>
    <x v="2"/>
    <x v="7"/>
    <x v="1"/>
    <m/>
    <s v="White"/>
    <n v="46.17"/>
    <x v="25"/>
    <n v="45.66"/>
    <d v="2025-08-06T00:00:00"/>
    <n v="30"/>
    <n v="1.9"/>
    <x v="0"/>
    <m/>
    <s v="OK"/>
    <n v="0.50787000000000004"/>
    <s v="Correct Price"/>
    <n v="1369.8"/>
  </r>
  <r>
    <s v="FB000064"/>
    <x v="3"/>
    <x v="4"/>
    <x v="3"/>
    <m/>
    <s v="Green"/>
    <n v="106.18"/>
    <x v="26"/>
    <n v="87.07"/>
    <d v="2025-08-06T00:00:00"/>
    <n v="11"/>
    <n v="4.5"/>
    <x v="0"/>
    <m/>
    <s v="OK"/>
    <n v="19.112400000000001"/>
    <s v="Correct Price"/>
    <n v="957.77"/>
  </r>
  <r>
    <s v="FB000065"/>
    <x v="1"/>
    <x v="0"/>
    <x v="1"/>
    <s v="XS"/>
    <s v="Gray"/>
    <n v="93.33"/>
    <x v="27"/>
    <n v="91.09"/>
    <d v="2025-08-06T00:00:00"/>
    <n v="20"/>
    <n v="4.2"/>
    <x v="0"/>
    <m/>
    <s v="OK"/>
    <n v="2.2399199999999997"/>
    <s v="Correct Price"/>
    <n v="1821.8000000000002"/>
  </r>
  <r>
    <s v="FB000066"/>
    <x v="4"/>
    <x v="3"/>
    <x v="0"/>
    <s v="XS"/>
    <s v="White"/>
    <n v="86.54"/>
    <x v="28"/>
    <n v="67.760000000000005"/>
    <d v="2025-06-01T00:00:00"/>
    <n v="21"/>
    <n v="3.6"/>
    <x v="1"/>
    <s v="Changed Mind"/>
    <s v="OK"/>
    <n v="18.77918"/>
    <s v="Correct Price"/>
    <n v="1422.96"/>
  </r>
  <r>
    <s v="FB000067"/>
    <x v="2"/>
    <x v="5"/>
    <x v="3"/>
    <m/>
    <s v="Green"/>
    <n v="55.57"/>
    <x v="0"/>
    <n v="55.57"/>
    <d v="2025-08-06T00:00:00"/>
    <n v="44"/>
    <n v="3.8"/>
    <x v="0"/>
    <m/>
    <s v="OK"/>
    <n v="0"/>
    <s v="Correct Price"/>
    <n v="2445.08"/>
  </r>
  <r>
    <s v="FB000068"/>
    <x v="1"/>
    <x v="7"/>
    <x v="0"/>
    <s v="XL"/>
    <s v="Black"/>
    <n v="76.5"/>
    <x v="0"/>
    <n v="76.5"/>
    <d v="2025-01-26T00:00:00"/>
    <n v="17"/>
    <n v="4.5999999999999996"/>
    <x v="0"/>
    <m/>
    <s v="OK"/>
    <n v="0"/>
    <s v="Correct Price"/>
    <n v="1300.5"/>
  </r>
  <r>
    <s v="FB000069"/>
    <x v="5"/>
    <x v="7"/>
    <x v="0"/>
    <s v="XS"/>
    <s v="Green"/>
    <n v="137.19"/>
    <x v="29"/>
    <n v="124.16"/>
    <d v="2025-04-01T00:00:00"/>
    <n v="17"/>
    <m/>
    <x v="0"/>
    <m/>
    <s v="OK"/>
    <n v="13.033050000000001"/>
    <s v="Correct Price"/>
    <n v="2110.7199999999998"/>
  </r>
  <r>
    <s v="FB000070"/>
    <x v="1"/>
    <x v="0"/>
    <x v="3"/>
    <s v="XL"/>
    <s v="Purple"/>
    <n v="48.92"/>
    <x v="30"/>
    <n v="39.229999999999997"/>
    <d v="2025-08-06T00:00:00"/>
    <n v="17"/>
    <n v="2.6"/>
    <x v="0"/>
    <m/>
    <s v="OK"/>
    <n v="9.686160000000001"/>
    <s v="Correct Price"/>
    <n v="666.91"/>
  </r>
  <r>
    <s v="FB000071"/>
    <x v="3"/>
    <x v="5"/>
    <x v="1"/>
    <s v="XL"/>
    <s v="White"/>
    <n v="69.819999999999993"/>
    <x v="0"/>
    <n v="69.819999999999993"/>
    <d v="2025-08-06T00:00:00"/>
    <n v="46"/>
    <m/>
    <x v="1"/>
    <s v="Wrong Item"/>
    <s v="OK"/>
    <n v="0"/>
    <s v="Correct Price"/>
    <n v="3211.72"/>
  </r>
  <r>
    <s v="FB000072"/>
    <x v="0"/>
    <x v="3"/>
    <x v="3"/>
    <s v="XXL"/>
    <s v="Red"/>
    <n v="199.39"/>
    <x v="31"/>
    <n v="184.64"/>
    <d v="2025-08-06T00:00:00"/>
    <n v="49"/>
    <m/>
    <x v="0"/>
    <m/>
    <s v="OK"/>
    <n v="14.754859999999999"/>
    <s v="Correct Price"/>
    <n v="9047.3599999999988"/>
  </r>
  <r>
    <s v="FB000073"/>
    <x v="0"/>
    <x v="2"/>
    <x v="3"/>
    <s v="M"/>
    <s v="White"/>
    <n v="222.09"/>
    <x v="32"/>
    <n v="99.5"/>
    <d v="2025-08-06T00:00:00"/>
    <n v="21"/>
    <n v="4.5"/>
    <x v="0"/>
    <m/>
    <s v="OK"/>
    <n v="122.59368000000001"/>
    <s v="Correct Price"/>
    <n v="2089.5"/>
  </r>
  <r>
    <s v="FB000074"/>
    <x v="1"/>
    <x v="3"/>
    <x v="2"/>
    <s v="XS"/>
    <s v="Red"/>
    <n v="112.86"/>
    <x v="0"/>
    <n v="112.86"/>
    <d v="2025-08-06T00:00:00"/>
    <n v="8"/>
    <n v="2.9"/>
    <x v="0"/>
    <m/>
    <s v="OK"/>
    <n v="0"/>
    <s v="Correct Price"/>
    <n v="902.88"/>
  </r>
  <r>
    <s v="FB000075"/>
    <x v="5"/>
    <x v="3"/>
    <x v="0"/>
    <s v="XS"/>
    <s v="Green"/>
    <n v="100.96"/>
    <x v="0"/>
    <n v="100.96"/>
    <d v="2025-05-10T00:00:00"/>
    <n v="32"/>
    <n v="3.3"/>
    <x v="0"/>
    <m/>
    <s v="OK"/>
    <n v="0"/>
    <s v="Correct Price"/>
    <n v="3230.72"/>
  </r>
  <r>
    <s v="FB000076"/>
    <x v="0"/>
    <x v="6"/>
    <x v="0"/>
    <s v="XL"/>
    <s v="Green"/>
    <n v="243.56"/>
    <x v="33"/>
    <n v="126.65"/>
    <d v="2024-10-14T00:00:00"/>
    <n v="22"/>
    <n v="4.4000000000000004"/>
    <x v="1"/>
    <s v="Changed Mind"/>
    <s v="OK"/>
    <n v="116.90880000000001"/>
    <s v="Correct Price"/>
    <n v="2786.3"/>
  </r>
  <r>
    <s v="FB000077"/>
    <x v="5"/>
    <x v="3"/>
    <x v="0"/>
    <s v="XXL"/>
    <s v="Red"/>
    <n v="153.32"/>
    <x v="0"/>
    <n v="153.32"/>
    <d v="2024-09-13T00:00:00"/>
    <n v="43"/>
    <n v="2.9"/>
    <x v="0"/>
    <m/>
    <s v="OK"/>
    <n v="0"/>
    <s v="Correct Price"/>
    <n v="6592.7599999999993"/>
  </r>
  <r>
    <s v="FB000078"/>
    <x v="2"/>
    <x v="1"/>
    <x v="2"/>
    <m/>
    <s v="Purple"/>
    <n v="42.95"/>
    <x v="34"/>
    <n v="33.29"/>
    <d v="2025-08-06T00:00:00"/>
    <n v="7"/>
    <n v="1.9"/>
    <x v="1"/>
    <s v="Size Issue"/>
    <s v="OK"/>
    <n v="9.6637500000000003"/>
    <s v="Correct Price"/>
    <n v="233.03"/>
  </r>
  <r>
    <s v="FB000079"/>
    <x v="1"/>
    <x v="4"/>
    <x v="3"/>
    <s v="S"/>
    <s v="Green"/>
    <n v="30.79"/>
    <x v="0"/>
    <n v="30.79"/>
    <d v="2025-08-06T00:00:00"/>
    <n v="36"/>
    <n v="3.4"/>
    <x v="0"/>
    <m/>
    <s v="OK"/>
    <n v="0"/>
    <s v="Correct Price"/>
    <n v="1108.44"/>
  </r>
  <r>
    <s v="FB000080"/>
    <x v="2"/>
    <x v="1"/>
    <x v="2"/>
    <m/>
    <s v="Brown"/>
    <n v="59.85"/>
    <x v="0"/>
    <n v="59.85"/>
    <d v="2025-08-06T00:00:00"/>
    <n v="38"/>
    <n v="4"/>
    <x v="0"/>
    <m/>
    <s v="OK"/>
    <n v="0"/>
    <s v="Correct Price"/>
    <n v="2274.3000000000002"/>
  </r>
  <r>
    <s v="FB000081"/>
    <x v="1"/>
    <x v="2"/>
    <x v="0"/>
    <s v="S"/>
    <s v="Navy"/>
    <n v="78.16"/>
    <x v="35"/>
    <n v="63.23"/>
    <d v="2025-07-25T00:00:00"/>
    <n v="23"/>
    <m/>
    <x v="0"/>
    <m/>
    <s v="OK"/>
    <n v="14.928559999999999"/>
    <s v="Correct Price"/>
    <n v="1454.29"/>
  </r>
  <r>
    <s v="FB000082"/>
    <x v="1"/>
    <x v="5"/>
    <x v="2"/>
    <s v="M"/>
    <s v="White"/>
    <n v="113.17"/>
    <x v="35"/>
    <n v="91.55"/>
    <d v="2025-08-06T00:00:00"/>
    <n v="15"/>
    <n v="4.9000000000000004"/>
    <x v="0"/>
    <m/>
    <s v="OK"/>
    <n v="21.615470000000002"/>
    <s v="Correct Price"/>
    <n v="1373.25"/>
  </r>
  <r>
    <s v="FB000083"/>
    <x v="5"/>
    <x v="5"/>
    <x v="1"/>
    <s v="S"/>
    <s v="Blue"/>
    <n v="174.13"/>
    <x v="0"/>
    <n v="174.13"/>
    <d v="2025-08-06T00:00:00"/>
    <n v="34"/>
    <n v="3.7"/>
    <x v="0"/>
    <m/>
    <s v="OK"/>
    <n v="0"/>
    <s v="Correct Price"/>
    <n v="5920.42"/>
  </r>
  <r>
    <s v="FB000084"/>
    <x v="3"/>
    <x v="0"/>
    <x v="3"/>
    <s v="XS"/>
    <s v="Purple"/>
    <n v="191.96"/>
    <x v="0"/>
    <n v="191.96"/>
    <d v="2025-08-06T00:00:00"/>
    <n v="50"/>
    <m/>
    <x v="0"/>
    <m/>
    <s v="OK"/>
    <n v="0"/>
    <s v="Correct Price"/>
    <n v="9598"/>
  </r>
  <r>
    <s v="FB000085"/>
    <x v="0"/>
    <x v="5"/>
    <x v="0"/>
    <s v="XL"/>
    <s v="Beige"/>
    <n v="222.55"/>
    <x v="36"/>
    <n v="172.25"/>
    <d v="2025-02-10T00:00:00"/>
    <n v="50"/>
    <m/>
    <x v="0"/>
    <m/>
    <s v="OK"/>
    <n v="50.296300000000009"/>
    <s v="Correct Price"/>
    <n v="8612.5"/>
  </r>
  <r>
    <s v="FB000086"/>
    <x v="4"/>
    <x v="7"/>
    <x v="1"/>
    <s v="XS"/>
    <s v="Black"/>
    <n v="37.85"/>
    <x v="37"/>
    <n v="33.35"/>
    <d v="2025-08-06T00:00:00"/>
    <n v="45"/>
    <n v="3.4"/>
    <x v="1"/>
    <s v="Changed Mind"/>
    <s v="OK"/>
    <n v="4.5041500000000001"/>
    <s v="Correct Price"/>
    <n v="1500.75"/>
  </r>
  <r>
    <s v="FB000087"/>
    <x v="0"/>
    <x v="1"/>
    <x v="3"/>
    <s v="M"/>
    <s v="Gray"/>
    <n v="241.09"/>
    <x v="0"/>
    <n v="241.09"/>
    <d v="2025-08-06T00:00:00"/>
    <n v="26"/>
    <m/>
    <x v="0"/>
    <m/>
    <s v="OK"/>
    <n v="0"/>
    <s v="Correct Price"/>
    <n v="6268.34"/>
  </r>
  <r>
    <s v="FB000088"/>
    <x v="5"/>
    <x v="2"/>
    <x v="0"/>
    <s v="S"/>
    <s v="Navy"/>
    <n v="136.97"/>
    <x v="0"/>
    <n v="136.97"/>
    <d v="2024-10-25T00:00:00"/>
    <n v="17"/>
    <n v="4.4000000000000004"/>
    <x v="1"/>
    <s v="Quality Issue"/>
    <s v="OK"/>
    <n v="0"/>
    <s v="Correct Price"/>
    <n v="2328.4899999999998"/>
  </r>
  <r>
    <s v="FB000089"/>
    <x v="3"/>
    <x v="4"/>
    <x v="0"/>
    <s v="M"/>
    <s v="Blue"/>
    <n v="113.79"/>
    <x v="38"/>
    <n v="50.86"/>
    <d v="2024-12-29T00:00:00"/>
    <n v="47"/>
    <n v="4.0999999999999996"/>
    <x v="0"/>
    <m/>
    <s v="OK"/>
    <n v="62.925870000000003"/>
    <s v="Correct Price"/>
    <n v="2390.42"/>
  </r>
  <r>
    <s v="FB000090"/>
    <x v="4"/>
    <x v="4"/>
    <x v="3"/>
    <s v="XXL"/>
    <s v="White"/>
    <n v="93.23"/>
    <x v="39"/>
    <n v="55.94"/>
    <d v="2025-08-06T00:00:00"/>
    <n v="46"/>
    <n v="1.9"/>
    <x v="0"/>
    <m/>
    <s v="OK"/>
    <n v="37.292000000000002"/>
    <s v="Correct Price"/>
    <n v="2573.2399999999998"/>
  </r>
  <r>
    <s v="FB000091"/>
    <x v="3"/>
    <x v="1"/>
    <x v="0"/>
    <s v="S"/>
    <s v="Navy"/>
    <n v="106.24"/>
    <x v="40"/>
    <n v="99.44"/>
    <d v="2024-09-09T00:00:00"/>
    <n v="50"/>
    <n v="1.5"/>
    <x v="0"/>
    <m/>
    <s v="OK"/>
    <n v="6.7993600000000001"/>
    <s v="Correct Price"/>
    <n v="4972"/>
  </r>
  <r>
    <s v="FB000092"/>
    <x v="2"/>
    <x v="0"/>
    <x v="1"/>
    <m/>
    <s v="Brown"/>
    <n v="30.95"/>
    <x v="0"/>
    <n v="30.95"/>
    <d v="2025-08-06T00:00:00"/>
    <n v="27"/>
    <n v="3.1"/>
    <x v="1"/>
    <s v="Changed Mind"/>
    <s v="OK"/>
    <n v="0"/>
    <s v="Correct Price"/>
    <n v="835.65"/>
  </r>
  <r>
    <s v="FB000093"/>
    <x v="3"/>
    <x v="0"/>
    <x v="3"/>
    <s v="S"/>
    <s v="Black"/>
    <n v="76.92"/>
    <x v="41"/>
    <n v="38.840000000000003"/>
    <d v="2025-08-06T00:00:00"/>
    <n v="7"/>
    <n v="1.1000000000000001"/>
    <x v="0"/>
    <m/>
    <s v="OK"/>
    <n v="38.075400000000002"/>
    <s v="Correct Price"/>
    <n v="271.88"/>
  </r>
  <r>
    <s v="FB000094"/>
    <x v="4"/>
    <x v="4"/>
    <x v="2"/>
    <s v="XS"/>
    <s v="Beige"/>
    <n v="80.64"/>
    <x v="0"/>
    <n v="80.64"/>
    <d v="2025-08-06T00:00:00"/>
    <n v="26"/>
    <m/>
    <x v="0"/>
    <m/>
    <s v="OK"/>
    <n v="0"/>
    <s v="Correct Price"/>
    <n v="2096.64"/>
  </r>
  <r>
    <s v="FB000095"/>
    <x v="4"/>
    <x v="0"/>
    <x v="2"/>
    <s v="XS"/>
    <s v="Beige"/>
    <n v="32.46"/>
    <x v="42"/>
    <n v="15.45"/>
    <d v="2025-08-06T00:00:00"/>
    <n v="14"/>
    <n v="3.9"/>
    <x v="0"/>
    <m/>
    <s v="OK"/>
    <n v="17.009039999999999"/>
    <s v="Correct Price"/>
    <n v="216.29999999999998"/>
  </r>
  <r>
    <s v="FB000096"/>
    <x v="2"/>
    <x v="6"/>
    <x v="3"/>
    <m/>
    <s v="Black"/>
    <n v="54.79"/>
    <x v="0"/>
    <n v="54.79"/>
    <d v="2025-08-06T00:00:00"/>
    <n v="12"/>
    <n v="4.5"/>
    <x v="0"/>
    <m/>
    <s v="OK"/>
    <n v="0"/>
    <s v="Correct Price"/>
    <n v="657.48"/>
  </r>
  <r>
    <s v="FB000097"/>
    <x v="4"/>
    <x v="4"/>
    <x v="1"/>
    <s v="M"/>
    <s v="Pink"/>
    <n v="71.14"/>
    <x v="43"/>
    <n v="31.02"/>
    <d v="2025-08-06T00:00:00"/>
    <n v="12"/>
    <n v="3.4"/>
    <x v="0"/>
    <m/>
    <s v="OK"/>
    <n v="40.122959999999999"/>
    <s v="Correct Price"/>
    <n v="372.24"/>
  </r>
  <r>
    <s v="FB000098"/>
    <x v="4"/>
    <x v="5"/>
    <x v="3"/>
    <s v="XXL"/>
    <s v="Navy"/>
    <n v="57.85"/>
    <x v="0"/>
    <n v="57.85"/>
    <d v="2025-08-06T00:00:00"/>
    <n v="36"/>
    <n v="3.5"/>
    <x v="0"/>
    <m/>
    <s v="OK"/>
    <n v="0"/>
    <s v="Correct Price"/>
    <n v="2082.6"/>
  </r>
  <r>
    <s v="FB000099"/>
    <x v="4"/>
    <x v="0"/>
    <x v="3"/>
    <s v="XS"/>
    <s v="Green"/>
    <n v="33.369999999999997"/>
    <x v="44"/>
    <n v="32.369999999999997"/>
    <d v="2025-08-06T00:00:00"/>
    <n v="40"/>
    <n v="1.3"/>
    <x v="0"/>
    <m/>
    <s v="OK"/>
    <n v="1.0010999999999999"/>
    <s v="Correct Price"/>
    <n v="1294.8"/>
  </r>
  <r>
    <s v="FB000100"/>
    <x v="1"/>
    <x v="6"/>
    <x v="3"/>
    <s v="L"/>
    <s v="Black"/>
    <n v="91.83"/>
    <x v="0"/>
    <n v="91.83"/>
    <d v="2025-08-06T00:00:00"/>
    <n v="39"/>
    <n v="4.9000000000000004"/>
    <x v="0"/>
    <m/>
    <s v="OK"/>
    <n v="0"/>
    <s v="Correct Price"/>
    <n v="3581.37"/>
  </r>
  <r>
    <s v="FB000101"/>
    <x v="4"/>
    <x v="0"/>
    <x v="2"/>
    <s v="L"/>
    <s v="White"/>
    <n v="60.12"/>
    <x v="45"/>
    <n v="48.4"/>
    <d v="2025-08-06T00:00:00"/>
    <n v="42"/>
    <n v="1"/>
    <x v="0"/>
    <m/>
    <s v="OK"/>
    <n v="11.7234"/>
    <s v="Correct Price"/>
    <n v="2032.8"/>
  </r>
  <r>
    <s v="FB000102"/>
    <x v="5"/>
    <x v="2"/>
    <x v="1"/>
    <s v="S"/>
    <s v="White"/>
    <n v="163.5"/>
    <x v="0"/>
    <n v="163.5"/>
    <d v="2025-08-06T00:00:00"/>
    <n v="34"/>
    <n v="4.9000000000000004"/>
    <x v="0"/>
    <m/>
    <s v="OK"/>
    <n v="0"/>
    <s v="Correct Price"/>
    <n v="5559"/>
  </r>
  <r>
    <s v="FB000103"/>
    <x v="5"/>
    <x v="1"/>
    <x v="0"/>
    <s v="S"/>
    <s v="Beige"/>
    <n v="126.37"/>
    <x v="0"/>
    <n v="126.37"/>
    <d v="2024-11-08T00:00:00"/>
    <n v="25"/>
    <n v="1.8"/>
    <x v="0"/>
    <m/>
    <s v="OK"/>
    <n v="0"/>
    <s v="Correct Price"/>
    <n v="3159.25"/>
  </r>
  <r>
    <s v="FB000104"/>
    <x v="4"/>
    <x v="1"/>
    <x v="1"/>
    <s v="L"/>
    <s v="Navy"/>
    <n v="50.01"/>
    <x v="46"/>
    <n v="20.9"/>
    <d v="2025-08-06T00:00:00"/>
    <n v="32"/>
    <n v="4.8"/>
    <x v="0"/>
    <m/>
    <s v="OK"/>
    <n v="29.105819999999998"/>
    <s v="Correct Price"/>
    <n v="668.8"/>
  </r>
  <r>
    <s v="FB000105"/>
    <x v="3"/>
    <x v="4"/>
    <x v="1"/>
    <s v="S"/>
    <s v="Red"/>
    <n v="84.31"/>
    <x v="0"/>
    <n v="84.31"/>
    <d v="2025-08-06T00:00:00"/>
    <n v="10"/>
    <n v="3.9"/>
    <x v="0"/>
    <m/>
    <s v="OK"/>
    <n v="0"/>
    <s v="Correct Price"/>
    <n v="843.1"/>
  </r>
  <r>
    <s v="FB000106"/>
    <x v="4"/>
    <x v="2"/>
    <x v="0"/>
    <s v="XL"/>
    <s v="Beige"/>
    <n v="100.98"/>
    <x v="0"/>
    <n v="100.98"/>
    <d v="2025-06-17T00:00:00"/>
    <n v="21"/>
    <n v="2.8"/>
    <x v="0"/>
    <m/>
    <s v="OK"/>
    <n v="0"/>
    <s v="Correct Price"/>
    <n v="2120.58"/>
  </r>
  <r>
    <s v="FB000107"/>
    <x v="4"/>
    <x v="2"/>
    <x v="3"/>
    <s v="M"/>
    <s v="Beige"/>
    <n v="38.020000000000003"/>
    <x v="0"/>
    <n v="38.020000000000003"/>
    <d v="2025-08-06T00:00:00"/>
    <n v="44"/>
    <n v="4.7"/>
    <x v="0"/>
    <m/>
    <s v="OK"/>
    <n v="0"/>
    <s v="Correct Price"/>
    <n v="1672.88"/>
  </r>
  <r>
    <s v="FB000108"/>
    <x v="4"/>
    <x v="4"/>
    <x v="2"/>
    <s v="XL"/>
    <s v="Blue"/>
    <n v="63.85"/>
    <x v="0"/>
    <n v="63.85"/>
    <d v="2025-08-06T00:00:00"/>
    <n v="41"/>
    <m/>
    <x v="0"/>
    <m/>
    <s v="OK"/>
    <n v="0"/>
    <s v="Correct Price"/>
    <n v="2617.85"/>
  </r>
  <r>
    <s v="FB000109"/>
    <x v="3"/>
    <x v="4"/>
    <x v="2"/>
    <s v="XS"/>
    <s v="Navy"/>
    <n v="183.15"/>
    <x v="0"/>
    <n v="183.15"/>
    <d v="2025-08-06T00:00:00"/>
    <n v="23"/>
    <n v="4.0999999999999996"/>
    <x v="0"/>
    <m/>
    <s v="OK"/>
    <n v="0"/>
    <s v="Correct Price"/>
    <n v="4212.45"/>
  </r>
  <r>
    <s v="FB000110"/>
    <x v="5"/>
    <x v="0"/>
    <x v="1"/>
    <s v="S"/>
    <s v="Gray"/>
    <n v="91"/>
    <x v="47"/>
    <n v="36.86"/>
    <d v="2025-08-06T00:00:00"/>
    <n v="5"/>
    <n v="3.9"/>
    <x v="0"/>
    <m/>
    <s v="OK"/>
    <n v="54.145000000000003"/>
    <s v="Correct Price"/>
    <n v="184.3"/>
  </r>
  <r>
    <s v="FB000111"/>
    <x v="0"/>
    <x v="1"/>
    <x v="0"/>
    <s v="L"/>
    <s v="Black"/>
    <n v="92.83"/>
    <x v="0"/>
    <n v="92.83"/>
    <d v="2025-07-20T00:00:00"/>
    <n v="9"/>
    <n v="1.2"/>
    <x v="0"/>
    <m/>
    <s v="OK"/>
    <n v="0"/>
    <s v="Correct Price"/>
    <n v="835.47"/>
  </r>
  <r>
    <s v="FB000112"/>
    <x v="2"/>
    <x v="2"/>
    <x v="1"/>
    <m/>
    <s v="Brown"/>
    <n v="34.450000000000003"/>
    <x v="0"/>
    <n v="34.450000000000003"/>
    <d v="2025-08-06T00:00:00"/>
    <n v="4"/>
    <n v="4.5"/>
    <x v="0"/>
    <m/>
    <s v="OK"/>
    <n v="0"/>
    <s v="Correct Price"/>
    <n v="137.80000000000001"/>
  </r>
  <r>
    <s v="FB000113"/>
    <x v="5"/>
    <x v="4"/>
    <x v="2"/>
    <s v="S"/>
    <s v="Purple"/>
    <n v="128.15"/>
    <x v="48"/>
    <n v="64.08"/>
    <d v="2025-08-06T00:00:00"/>
    <n v="28"/>
    <n v="3.2"/>
    <x v="0"/>
    <m/>
    <s v="OK"/>
    <n v="64.075000000000003"/>
    <s v="Correct Price"/>
    <n v="1794.24"/>
  </r>
  <r>
    <s v="FB000114"/>
    <x v="1"/>
    <x v="3"/>
    <x v="3"/>
    <s v="XXL"/>
    <s v="Red"/>
    <n v="99.62"/>
    <x v="49"/>
    <n v="65.95"/>
    <d v="2025-08-06T00:00:00"/>
    <n v="27"/>
    <n v="2.1"/>
    <x v="0"/>
    <m/>
    <s v="OK"/>
    <n v="33.671559999999999"/>
    <s v="Correct Price"/>
    <n v="1780.65"/>
  </r>
  <r>
    <s v="FB000115"/>
    <x v="4"/>
    <x v="7"/>
    <x v="1"/>
    <s v="S"/>
    <s v="Pink"/>
    <n v="87.39"/>
    <x v="50"/>
    <n v="65.11"/>
    <d v="2025-08-06T00:00:00"/>
    <n v="8"/>
    <n v="2.2999999999999998"/>
    <x v="0"/>
    <m/>
    <s v="OK"/>
    <n v="22.284450000000003"/>
    <s v="Correct Price"/>
    <n v="520.88"/>
  </r>
  <r>
    <s v="FB000116"/>
    <x v="1"/>
    <x v="0"/>
    <x v="0"/>
    <s v="XXL"/>
    <s v="Brown"/>
    <n v="49.67"/>
    <x v="0"/>
    <n v="49.67"/>
    <d v="2024-09-06T00:00:00"/>
    <n v="37"/>
    <n v="2.2999999999999998"/>
    <x v="0"/>
    <m/>
    <s v="OK"/>
    <n v="0"/>
    <s v="Correct Price"/>
    <n v="1837.79"/>
  </r>
  <r>
    <s v="FB000117"/>
    <x v="2"/>
    <x v="1"/>
    <x v="2"/>
    <m/>
    <s v="Brown"/>
    <n v="72.040000000000006"/>
    <x v="0"/>
    <n v="72.040000000000006"/>
    <d v="2025-08-06T00:00:00"/>
    <n v="48"/>
    <m/>
    <x v="1"/>
    <s v="Wrong Item"/>
    <s v="OK"/>
    <n v="0"/>
    <s v="Correct Price"/>
    <n v="3457.92"/>
  </r>
  <r>
    <s v="FB000118"/>
    <x v="5"/>
    <x v="0"/>
    <x v="0"/>
    <s v="M"/>
    <s v="Navy"/>
    <n v="133.82"/>
    <x v="0"/>
    <n v="133.82"/>
    <d v="2024-11-25T00:00:00"/>
    <n v="12"/>
    <n v="1.7"/>
    <x v="0"/>
    <m/>
    <s v="OK"/>
    <n v="0"/>
    <s v="Correct Price"/>
    <n v="1605.84"/>
  </r>
  <r>
    <s v="FB000119"/>
    <x v="4"/>
    <x v="1"/>
    <x v="1"/>
    <s v="S"/>
    <s v="Black"/>
    <n v="62.93"/>
    <x v="0"/>
    <n v="62.93"/>
    <d v="2025-08-06T00:00:00"/>
    <n v="49"/>
    <m/>
    <x v="0"/>
    <m/>
    <s v="OK"/>
    <n v="0"/>
    <s v="Correct Price"/>
    <n v="3083.57"/>
  </r>
  <r>
    <s v="FB000120"/>
    <x v="0"/>
    <x v="0"/>
    <x v="0"/>
    <s v="L"/>
    <s v="Red"/>
    <n v="248.58"/>
    <x v="0"/>
    <n v="248.58"/>
    <d v="2025-07-04T00:00:00"/>
    <n v="27"/>
    <n v="1.5"/>
    <x v="0"/>
    <m/>
    <s v="OK"/>
    <n v="0"/>
    <s v="Correct Price"/>
    <n v="6711.6600000000008"/>
  </r>
  <r>
    <s v="FB000121"/>
    <x v="3"/>
    <x v="1"/>
    <x v="2"/>
    <s v="XXL"/>
    <s v="Navy"/>
    <n v="61.08"/>
    <x v="0"/>
    <n v="61.08"/>
    <d v="2025-08-06T00:00:00"/>
    <n v="27"/>
    <m/>
    <x v="1"/>
    <s v="Changed Mind"/>
    <s v="OK"/>
    <n v="0"/>
    <s v="Correct Price"/>
    <n v="1649.1599999999999"/>
  </r>
  <r>
    <s v="FB000122"/>
    <x v="4"/>
    <x v="6"/>
    <x v="1"/>
    <s v="S"/>
    <s v="Red"/>
    <n v="109.12"/>
    <x v="0"/>
    <n v="109.12"/>
    <d v="2025-08-06T00:00:00"/>
    <n v="34"/>
    <m/>
    <x v="0"/>
    <m/>
    <s v="OK"/>
    <n v="0"/>
    <s v="Correct Price"/>
    <n v="3710.08"/>
  </r>
  <r>
    <s v="FB000123"/>
    <x v="0"/>
    <x v="0"/>
    <x v="1"/>
    <s v="XXL"/>
    <s v="Purple"/>
    <n v="82.91"/>
    <x v="51"/>
    <n v="44.85"/>
    <d v="2025-08-06T00:00:00"/>
    <n v="24"/>
    <m/>
    <x v="1"/>
    <s v="Quality Issue"/>
    <s v="OK"/>
    <n v="38.055689999999998"/>
    <s v="Correct Price"/>
    <n v="1076.4000000000001"/>
  </r>
  <r>
    <s v="FB000124"/>
    <x v="3"/>
    <x v="4"/>
    <x v="3"/>
    <s v="XS"/>
    <s v="Purple"/>
    <n v="113.53"/>
    <x v="5"/>
    <n v="101.16"/>
    <d v="2025-08-06T00:00:00"/>
    <n v="40"/>
    <n v="2.8"/>
    <x v="0"/>
    <m/>
    <s v="OK"/>
    <n v="12.374770000000002"/>
    <s v="Correct Price"/>
    <n v="4046.3999999999996"/>
  </r>
  <r>
    <s v="FB000125"/>
    <x v="2"/>
    <x v="1"/>
    <x v="1"/>
    <m/>
    <s v="Brown"/>
    <n v="38.89"/>
    <x v="52"/>
    <n v="18.86"/>
    <d v="2025-08-06T00:00:00"/>
    <n v="28"/>
    <n v="4.3"/>
    <x v="0"/>
    <m/>
    <s v="OK"/>
    <n v="20.02835"/>
    <s v="Correct Price"/>
    <n v="528.07999999999993"/>
  </r>
  <r>
    <s v="FB000126"/>
    <x v="5"/>
    <x v="6"/>
    <x v="0"/>
    <s v="XXL"/>
    <s v="Black"/>
    <n v="53.01"/>
    <x v="51"/>
    <n v="28.68"/>
    <d v="2025-01-14T00:00:00"/>
    <n v="37"/>
    <n v="3.7"/>
    <x v="0"/>
    <m/>
    <s v="OK"/>
    <n v="24.331589999999995"/>
    <s v="Correct Price"/>
    <n v="1061.1600000000001"/>
  </r>
  <r>
    <s v="FB000127"/>
    <x v="3"/>
    <x v="5"/>
    <x v="0"/>
    <s v="XXL"/>
    <s v="Blue"/>
    <n v="81.64"/>
    <x v="0"/>
    <n v="81.64"/>
    <d v="2024-12-06T00:00:00"/>
    <n v="50"/>
    <n v="1.1000000000000001"/>
    <x v="0"/>
    <m/>
    <s v="OK"/>
    <n v="0"/>
    <s v="Correct Price"/>
    <n v="4082"/>
  </r>
  <r>
    <s v="FB000128"/>
    <x v="3"/>
    <x v="5"/>
    <x v="0"/>
    <s v="XXL"/>
    <s v="White"/>
    <n v="125.24"/>
    <x v="53"/>
    <n v="98.31"/>
    <d v="2024-09-06T00:00:00"/>
    <n v="7"/>
    <n v="2.9"/>
    <x v="0"/>
    <m/>
    <s v="OK"/>
    <n v="26.926599999999997"/>
    <s v="Correct Price"/>
    <n v="688.17000000000007"/>
  </r>
  <r>
    <s v="FB000129"/>
    <x v="0"/>
    <x v="5"/>
    <x v="0"/>
    <s v="XS"/>
    <s v="Pink"/>
    <n v="98.61"/>
    <x v="0"/>
    <n v="98.61"/>
    <d v="2025-03-05T00:00:00"/>
    <n v="1"/>
    <n v="2.6"/>
    <x v="0"/>
    <m/>
    <s v="OK"/>
    <n v="0"/>
    <s v="Correct Price"/>
    <n v="98.61"/>
  </r>
  <r>
    <s v="FB000130"/>
    <x v="3"/>
    <x v="6"/>
    <x v="2"/>
    <s v="XS"/>
    <s v="Blue"/>
    <n v="77.540000000000006"/>
    <x v="0"/>
    <n v="77.540000000000006"/>
    <d v="2025-08-06T00:00:00"/>
    <n v="36"/>
    <n v="3.4"/>
    <x v="0"/>
    <m/>
    <s v="OK"/>
    <n v="0"/>
    <s v="Correct Price"/>
    <n v="2791.44"/>
  </r>
  <r>
    <s v="FB000131"/>
    <x v="5"/>
    <x v="2"/>
    <x v="0"/>
    <s v="XL"/>
    <s v="Purple"/>
    <n v="79.13"/>
    <x v="0"/>
    <n v="79.13"/>
    <d v="2024-11-16T00:00:00"/>
    <n v="11"/>
    <n v="3.6"/>
    <x v="0"/>
    <m/>
    <s v="OK"/>
    <n v="0"/>
    <s v="Correct Price"/>
    <n v="870.43"/>
  </r>
  <r>
    <s v="FB000132"/>
    <x v="4"/>
    <x v="3"/>
    <x v="0"/>
    <s v="S"/>
    <s v="Green"/>
    <n v="96.11"/>
    <x v="0"/>
    <n v="96.11"/>
    <d v="2025-04-12T00:00:00"/>
    <n v="13"/>
    <n v="4.2"/>
    <x v="0"/>
    <m/>
    <s v="OK"/>
    <n v="0"/>
    <s v="Correct Price"/>
    <n v="1249.43"/>
  </r>
  <r>
    <s v="FB000133"/>
    <x v="1"/>
    <x v="3"/>
    <x v="0"/>
    <s v="XL"/>
    <s v="White"/>
    <n v="116.61"/>
    <x v="0"/>
    <n v="116.61"/>
    <d v="2024-11-04T00:00:00"/>
    <n v="31"/>
    <m/>
    <x v="0"/>
    <m/>
    <s v="OK"/>
    <n v="0"/>
    <s v="Correct Price"/>
    <n v="3614.91"/>
  </r>
  <r>
    <s v="FB000134"/>
    <x v="2"/>
    <x v="5"/>
    <x v="1"/>
    <m/>
    <s v="Blue"/>
    <n v="57.8"/>
    <x v="54"/>
    <n v="42.19"/>
    <d v="2025-08-06T00:00:00"/>
    <n v="9"/>
    <n v="1.8"/>
    <x v="0"/>
    <m/>
    <s v="OK"/>
    <n v="15.606"/>
    <s v="Correct Price"/>
    <n v="379.71"/>
  </r>
  <r>
    <s v="FB000135"/>
    <x v="1"/>
    <x v="4"/>
    <x v="0"/>
    <s v="S"/>
    <s v="White"/>
    <n v="110.78"/>
    <x v="0"/>
    <n v="110.78"/>
    <d v="2025-01-13T00:00:00"/>
    <n v="9"/>
    <n v="1.4"/>
    <x v="0"/>
    <m/>
    <s v="OK"/>
    <n v="0"/>
    <s v="Correct Price"/>
    <n v="997.02"/>
  </r>
  <r>
    <s v="FB000136"/>
    <x v="1"/>
    <x v="6"/>
    <x v="0"/>
    <s v="L"/>
    <s v="Black"/>
    <n v="112.63"/>
    <x v="0"/>
    <n v="112.63"/>
    <d v="2024-10-14T00:00:00"/>
    <n v="50"/>
    <n v="3.6"/>
    <x v="1"/>
    <s v="Quality Issue"/>
    <s v="OK"/>
    <n v="0"/>
    <s v="Correct Price"/>
    <n v="5631.5"/>
  </r>
  <r>
    <s v="FB000137"/>
    <x v="1"/>
    <x v="4"/>
    <x v="3"/>
    <s v="XS"/>
    <s v="Purple"/>
    <n v="89.36"/>
    <x v="0"/>
    <n v="89.36"/>
    <d v="2025-08-06T00:00:00"/>
    <n v="24"/>
    <n v="4.3"/>
    <x v="1"/>
    <s v="Damaged"/>
    <s v="OK"/>
    <n v="0"/>
    <s v="Correct Price"/>
    <n v="2144.64"/>
  </r>
  <r>
    <s v="FB000138"/>
    <x v="0"/>
    <x v="7"/>
    <x v="2"/>
    <s v="M"/>
    <s v="Pink"/>
    <n v="127.99"/>
    <x v="0"/>
    <n v="127.99"/>
    <d v="2025-08-06T00:00:00"/>
    <n v="16"/>
    <m/>
    <x v="0"/>
    <m/>
    <s v="OK"/>
    <n v="0"/>
    <s v="Correct Price"/>
    <n v="2047.84"/>
  </r>
  <r>
    <s v="FB000139"/>
    <x v="4"/>
    <x v="0"/>
    <x v="1"/>
    <s v="XXL"/>
    <s v="Beige"/>
    <n v="54.88"/>
    <x v="55"/>
    <n v="22.61"/>
    <d v="2025-08-06T00:00:00"/>
    <n v="50"/>
    <n v="3.5"/>
    <x v="0"/>
    <m/>
    <s v="OK"/>
    <n v="32.269440000000003"/>
    <s v="Correct Price"/>
    <n v="1130.5"/>
  </r>
  <r>
    <s v="FB000140"/>
    <x v="3"/>
    <x v="1"/>
    <x v="0"/>
    <s v="L"/>
    <s v="White"/>
    <n v="154.13"/>
    <x v="0"/>
    <n v="154.13"/>
    <d v="2024-10-01T00:00:00"/>
    <n v="31"/>
    <n v="4.0999999999999996"/>
    <x v="1"/>
    <s v="Size Issue"/>
    <s v="OK"/>
    <n v="0"/>
    <s v="Correct Price"/>
    <n v="4778.03"/>
  </r>
  <r>
    <s v="FB000141"/>
    <x v="5"/>
    <x v="5"/>
    <x v="0"/>
    <s v="XS"/>
    <s v="Gray"/>
    <n v="131.5"/>
    <x v="0"/>
    <n v="131.5"/>
    <d v="2024-11-03T00:00:00"/>
    <n v="5"/>
    <m/>
    <x v="0"/>
    <m/>
    <s v="OK"/>
    <n v="0"/>
    <s v="Correct Price"/>
    <n v="657.5"/>
  </r>
  <r>
    <s v="FB000142"/>
    <x v="0"/>
    <x v="6"/>
    <x v="3"/>
    <s v="M"/>
    <s v="Blue"/>
    <n v="133.26"/>
    <x v="0"/>
    <n v="133.26"/>
    <d v="2025-08-06T00:00:00"/>
    <n v="29"/>
    <n v="1.3"/>
    <x v="0"/>
    <m/>
    <s v="OK"/>
    <n v="0"/>
    <s v="Correct Price"/>
    <n v="3864.54"/>
  </r>
  <r>
    <s v="FB000143"/>
    <x v="3"/>
    <x v="7"/>
    <x v="1"/>
    <s v="XL"/>
    <s v="Red"/>
    <n v="173.91"/>
    <x v="0"/>
    <n v="173.91"/>
    <d v="2025-08-06T00:00:00"/>
    <n v="21"/>
    <m/>
    <x v="0"/>
    <m/>
    <s v="OK"/>
    <n v="0"/>
    <s v="Correct Price"/>
    <n v="3652.11"/>
  </r>
  <r>
    <s v="FB000144"/>
    <x v="1"/>
    <x v="4"/>
    <x v="0"/>
    <s v="L"/>
    <s v="Beige"/>
    <n v="102.99"/>
    <x v="0"/>
    <n v="102.99"/>
    <d v="2025-07-16T00:00:00"/>
    <n v="41"/>
    <n v="3.9"/>
    <x v="0"/>
    <m/>
    <s v="OK"/>
    <n v="0"/>
    <s v="Correct Price"/>
    <n v="4222.59"/>
  </r>
  <r>
    <s v="FB000145"/>
    <x v="0"/>
    <x v="0"/>
    <x v="0"/>
    <s v="L"/>
    <s v="Beige"/>
    <n v="87.78"/>
    <x v="56"/>
    <n v="48.02"/>
    <d v="2025-02-17T00:00:00"/>
    <n v="34"/>
    <n v="1.8"/>
    <x v="0"/>
    <m/>
    <s v="OK"/>
    <n v="39.764339999999997"/>
    <s v="Correct Price"/>
    <n v="1632.68"/>
  </r>
  <r>
    <s v="FB000146"/>
    <x v="1"/>
    <x v="1"/>
    <x v="1"/>
    <m/>
    <s v="Beige"/>
    <n v="91.8"/>
    <x v="57"/>
    <n v="77.3"/>
    <d v="2025-08-06T00:00:00"/>
    <n v="30"/>
    <n v="4.2"/>
    <x v="0"/>
    <m/>
    <s v="OK"/>
    <n v="14.5044"/>
    <s v="Correct Price"/>
    <n v="2319"/>
  </r>
  <r>
    <s v="FB000147"/>
    <x v="1"/>
    <x v="0"/>
    <x v="1"/>
    <s v="L"/>
    <s v="White"/>
    <n v="107.32"/>
    <x v="58"/>
    <n v="80.06"/>
    <d v="2025-08-06T00:00:00"/>
    <n v="50"/>
    <n v="4.4000000000000004"/>
    <x v="0"/>
    <m/>
    <s v="OK"/>
    <n v="27.25928"/>
    <s v="Correct Price"/>
    <n v="4003"/>
  </r>
  <r>
    <s v="FB000148"/>
    <x v="4"/>
    <x v="2"/>
    <x v="0"/>
    <s v="XXL"/>
    <s v="Brown"/>
    <n v="67.69"/>
    <x v="59"/>
    <n v="28.9"/>
    <d v="2025-07-24T00:00:00"/>
    <n v="50"/>
    <n v="4.5999999999999996"/>
    <x v="0"/>
    <m/>
    <s v="OK"/>
    <n v="38.786369999999998"/>
    <s v="Correct Price"/>
    <n v="1445"/>
  </r>
  <r>
    <s v="FB000149"/>
    <x v="1"/>
    <x v="5"/>
    <x v="3"/>
    <s v="M"/>
    <s v="Beige"/>
    <n v="68.11"/>
    <x v="60"/>
    <n v="36.78"/>
    <d v="2025-08-06T00:00:00"/>
    <n v="3"/>
    <n v="2.5"/>
    <x v="0"/>
    <m/>
    <s v="OK"/>
    <n v="31.3306"/>
    <s v="Correct Price"/>
    <n v="110.34"/>
  </r>
  <r>
    <s v="FB000150"/>
    <x v="3"/>
    <x v="2"/>
    <x v="0"/>
    <s v="L"/>
    <s v="Blue"/>
    <n v="94.29"/>
    <x v="0"/>
    <n v="94.29"/>
    <d v="2024-09-15T00:00:00"/>
    <n v="18"/>
    <n v="1.7"/>
    <x v="0"/>
    <m/>
    <s v="OK"/>
    <n v="0"/>
    <s v="Correct Price"/>
    <n v="1697.22"/>
  </r>
  <r>
    <s v="FB000151"/>
    <x v="1"/>
    <x v="5"/>
    <x v="1"/>
    <s v="XL"/>
    <s v="Gray"/>
    <n v="94.97"/>
    <x v="0"/>
    <n v="94.97"/>
    <d v="2025-08-06T00:00:00"/>
    <n v="46"/>
    <n v="4.3"/>
    <x v="0"/>
    <m/>
    <s v="OK"/>
    <n v="0"/>
    <s v="Correct Price"/>
    <n v="4368.62"/>
  </r>
  <r>
    <s v="FB000152"/>
    <x v="3"/>
    <x v="2"/>
    <x v="1"/>
    <s v="M"/>
    <s v="Navy"/>
    <n v="65.87"/>
    <x v="61"/>
    <n v="58.36"/>
    <d v="2025-08-06T00:00:00"/>
    <n v="15"/>
    <n v="3.9"/>
    <x v="0"/>
    <m/>
    <s v="OK"/>
    <n v="7.5091800000000015"/>
    <s v="Correct Price"/>
    <n v="875.4"/>
  </r>
  <r>
    <s v="FB000153"/>
    <x v="5"/>
    <x v="0"/>
    <x v="1"/>
    <s v="XXL"/>
    <s v="Blue"/>
    <n v="155.06"/>
    <x v="62"/>
    <n v="109.47"/>
    <d v="2025-08-06T00:00:00"/>
    <n v="5"/>
    <n v="3.6"/>
    <x v="0"/>
    <m/>
    <s v="OK"/>
    <n v="45.58764"/>
    <s v="Correct Price"/>
    <n v="547.35"/>
  </r>
  <r>
    <s v="FB000154"/>
    <x v="0"/>
    <x v="0"/>
    <x v="1"/>
    <s v="L"/>
    <s v="Brown"/>
    <n v="172.59"/>
    <x v="0"/>
    <n v="172.59"/>
    <d v="2025-08-06T00:00:00"/>
    <n v="1"/>
    <n v="2.1"/>
    <x v="0"/>
    <m/>
    <s v="OK"/>
    <n v="0"/>
    <s v="Correct Price"/>
    <n v="172.59"/>
  </r>
  <r>
    <s v="FB000155"/>
    <x v="5"/>
    <x v="4"/>
    <x v="3"/>
    <s v="M"/>
    <s v="Blue"/>
    <n v="68.72"/>
    <x v="0"/>
    <n v="68.72"/>
    <d v="2025-08-06T00:00:00"/>
    <n v="28"/>
    <n v="1.7"/>
    <x v="1"/>
    <s v="Quality Issue"/>
    <s v="OK"/>
    <n v="0"/>
    <s v="Correct Price"/>
    <n v="1924.1599999999999"/>
  </r>
  <r>
    <s v="FB000156"/>
    <x v="1"/>
    <x v="2"/>
    <x v="0"/>
    <s v="XL"/>
    <s v="Blue"/>
    <n v="28.78"/>
    <x v="0"/>
    <n v="28.78"/>
    <d v="2024-10-03T00:00:00"/>
    <n v="21"/>
    <m/>
    <x v="0"/>
    <m/>
    <s v="OK"/>
    <n v="0"/>
    <s v="Correct Price"/>
    <n v="604.38"/>
  </r>
  <r>
    <s v="FB000157"/>
    <x v="0"/>
    <x v="4"/>
    <x v="1"/>
    <s v="XXL"/>
    <s v="Black"/>
    <n v="110.32"/>
    <x v="63"/>
    <n v="79.099999999999994"/>
    <d v="2025-08-06T00:00:00"/>
    <n v="49"/>
    <n v="3.3"/>
    <x v="0"/>
    <m/>
    <s v="OK"/>
    <n v="31.220559999999999"/>
    <s v="Correct Price"/>
    <n v="3875.8999999999996"/>
  </r>
  <r>
    <s v="FB000158"/>
    <x v="3"/>
    <x v="3"/>
    <x v="3"/>
    <s v="XXL"/>
    <s v="Black"/>
    <n v="194.24"/>
    <x v="0"/>
    <n v="194.24"/>
    <d v="2025-08-06T00:00:00"/>
    <n v="17"/>
    <n v="1.2"/>
    <x v="1"/>
    <s v="Changed Mind"/>
    <s v="OK"/>
    <n v="0"/>
    <s v="Correct Price"/>
    <n v="3302.08"/>
  </r>
  <r>
    <s v="FB000159"/>
    <x v="3"/>
    <x v="6"/>
    <x v="2"/>
    <s v="XS"/>
    <s v="Beige"/>
    <n v="175.91"/>
    <x v="0"/>
    <n v="175.91"/>
    <d v="2025-08-06T00:00:00"/>
    <n v="4"/>
    <n v="2.8"/>
    <x v="0"/>
    <m/>
    <s v="OK"/>
    <n v="0"/>
    <s v="Correct Price"/>
    <n v="703.64"/>
  </r>
  <r>
    <s v="FB000160"/>
    <x v="4"/>
    <x v="3"/>
    <x v="1"/>
    <s v="XXL"/>
    <s v="Gray"/>
    <n v="79.34"/>
    <x v="0"/>
    <n v="79.34"/>
    <d v="2025-08-06T00:00:00"/>
    <n v="30"/>
    <n v="4.4000000000000004"/>
    <x v="0"/>
    <m/>
    <s v="OK"/>
    <n v="0"/>
    <s v="Correct Price"/>
    <n v="2380.2000000000003"/>
  </r>
  <r>
    <s v="FB000161"/>
    <x v="4"/>
    <x v="4"/>
    <x v="3"/>
    <s v="M"/>
    <s v="Green"/>
    <n v="111.88"/>
    <x v="0"/>
    <n v="111.88"/>
    <d v="2025-08-06T00:00:00"/>
    <n v="41"/>
    <n v="4.5"/>
    <x v="0"/>
    <m/>
    <s v="OK"/>
    <n v="0"/>
    <s v="Correct Price"/>
    <n v="4587.08"/>
  </r>
  <r>
    <s v="FB000162"/>
    <x v="2"/>
    <x v="6"/>
    <x v="0"/>
    <m/>
    <s v="Navy"/>
    <n v="42.84"/>
    <x v="64"/>
    <n v="25.45"/>
    <d v="2024-09-12T00:00:00"/>
    <n v="18"/>
    <n v="2.6"/>
    <x v="0"/>
    <m/>
    <s v="OK"/>
    <n v="17.393039999999999"/>
    <s v="Correct Price"/>
    <n v="458.09999999999997"/>
  </r>
  <r>
    <s v="FB000163"/>
    <x v="4"/>
    <x v="6"/>
    <x v="0"/>
    <s v="XXL"/>
    <s v="Navy"/>
    <n v="26.28"/>
    <x v="25"/>
    <n v="25.99"/>
    <d v="2025-06-20T00:00:00"/>
    <n v="35"/>
    <n v="5"/>
    <x v="0"/>
    <m/>
    <s v="OK"/>
    <n v="0.28908000000000006"/>
    <s v="Correct Price"/>
    <n v="909.65"/>
  </r>
  <r>
    <s v="FB000164"/>
    <x v="2"/>
    <x v="4"/>
    <x v="0"/>
    <m/>
    <s v="Green"/>
    <n v="23.11"/>
    <x v="0"/>
    <n v="23.11"/>
    <d v="2024-09-17T00:00:00"/>
    <n v="2"/>
    <n v="1.4"/>
    <x v="0"/>
    <m/>
    <s v="OK"/>
    <n v="0"/>
    <s v="Correct Price"/>
    <n v="46.22"/>
  </r>
  <r>
    <s v="FB000165"/>
    <x v="3"/>
    <x v="0"/>
    <x v="1"/>
    <s v="M"/>
    <s v="White"/>
    <n v="168.36"/>
    <x v="0"/>
    <n v="168.36"/>
    <d v="2025-08-06T00:00:00"/>
    <n v="47"/>
    <m/>
    <x v="1"/>
    <s v="Damaged"/>
    <s v="OK"/>
    <n v="0"/>
    <s v="Correct Price"/>
    <n v="7912.920000000001"/>
  </r>
  <r>
    <s v="FB000166"/>
    <x v="3"/>
    <x v="6"/>
    <x v="2"/>
    <s v="XL"/>
    <s v="Green"/>
    <n v="99.26"/>
    <x v="0"/>
    <n v="99.26"/>
    <d v="2025-08-06T00:00:00"/>
    <n v="33"/>
    <m/>
    <x v="1"/>
    <s v="Quality Issue"/>
    <s v="OK"/>
    <n v="0"/>
    <s v="Correct Price"/>
    <n v="3275.5800000000004"/>
  </r>
  <r>
    <s v="FB000167"/>
    <x v="2"/>
    <x v="3"/>
    <x v="0"/>
    <m/>
    <s v="Black"/>
    <n v="53.66"/>
    <x v="0"/>
    <n v="53.66"/>
    <d v="2024-12-19T00:00:00"/>
    <n v="40"/>
    <n v="2.8"/>
    <x v="0"/>
    <m/>
    <s v="OK"/>
    <n v="0"/>
    <s v="Correct Price"/>
    <n v="2146.3999999999996"/>
  </r>
  <r>
    <s v="FB000168"/>
    <x v="2"/>
    <x v="5"/>
    <x v="3"/>
    <m/>
    <s v="Gray"/>
    <n v="69.709999999999994"/>
    <x v="26"/>
    <n v="57.16"/>
    <d v="2025-08-06T00:00:00"/>
    <n v="34"/>
    <n v="4.2"/>
    <x v="1"/>
    <s v="Color Mismatch"/>
    <s v="OK"/>
    <n v="12.547800000000001"/>
    <s v="Correct Price"/>
    <n v="1943.4399999999998"/>
  </r>
  <r>
    <s v="FB000169"/>
    <x v="5"/>
    <x v="7"/>
    <x v="2"/>
    <s v="XXL"/>
    <s v="Gray"/>
    <n v="60.3"/>
    <x v="65"/>
    <n v="47.4"/>
    <d v="2025-08-06T00:00:00"/>
    <n v="4"/>
    <n v="3.6"/>
    <x v="0"/>
    <m/>
    <s v="OK"/>
    <n v="12.904199999999998"/>
    <s v="Correct Price"/>
    <n v="189.6"/>
  </r>
  <r>
    <s v="FB000170"/>
    <x v="3"/>
    <x v="2"/>
    <x v="1"/>
    <s v="XXL"/>
    <s v="Red"/>
    <n v="113.58"/>
    <x v="0"/>
    <n v="113.58"/>
    <d v="2025-08-06T00:00:00"/>
    <n v="33"/>
    <n v="4.9000000000000004"/>
    <x v="1"/>
    <s v="Wrong Item"/>
    <s v="OK"/>
    <n v="0"/>
    <s v="Correct Price"/>
    <n v="3748.14"/>
  </r>
  <r>
    <s v="FB000171"/>
    <x v="4"/>
    <x v="5"/>
    <x v="2"/>
    <s v="XS"/>
    <s v="Brown"/>
    <n v="54.86"/>
    <x v="66"/>
    <n v="53.93"/>
    <d v="2025-08-06T00:00:00"/>
    <n v="40"/>
    <n v="2.5"/>
    <x v="0"/>
    <m/>
    <s v="OK"/>
    <n v="0.93262"/>
    <s v="Correct Price"/>
    <n v="2157.1999999999998"/>
  </r>
  <r>
    <s v="FB000172"/>
    <x v="1"/>
    <x v="0"/>
    <x v="1"/>
    <s v="XS"/>
    <s v="Red"/>
    <n v="92.25"/>
    <x v="0"/>
    <n v="92.25"/>
    <d v="2025-08-06T00:00:00"/>
    <n v="13"/>
    <n v="2.8"/>
    <x v="1"/>
    <s v="Damaged"/>
    <s v="OK"/>
    <n v="0"/>
    <s v="Correct Price"/>
    <n v="1199.25"/>
  </r>
  <r>
    <s v="FB000173"/>
    <x v="2"/>
    <x v="5"/>
    <x v="1"/>
    <m/>
    <s v="White"/>
    <n v="54.07"/>
    <x v="0"/>
    <n v="54.07"/>
    <d v="2025-08-06T00:00:00"/>
    <n v="47"/>
    <n v="4.5999999999999996"/>
    <x v="0"/>
    <m/>
    <s v="OK"/>
    <n v="0"/>
    <s v="Correct Price"/>
    <n v="2541.29"/>
  </r>
  <r>
    <s v="FB000174"/>
    <x v="3"/>
    <x v="2"/>
    <x v="1"/>
    <s v="XL"/>
    <s v="Red"/>
    <n v="104.4"/>
    <x v="0"/>
    <n v="104.4"/>
    <d v="2025-08-06T00:00:00"/>
    <n v="41"/>
    <n v="3.4"/>
    <x v="0"/>
    <m/>
    <s v="OK"/>
    <n v="0"/>
    <s v="Correct Price"/>
    <n v="4280.4000000000005"/>
  </r>
  <r>
    <s v="FB000175"/>
    <x v="5"/>
    <x v="5"/>
    <x v="0"/>
    <s v="M"/>
    <s v="Gray"/>
    <n v="45.97"/>
    <x v="0"/>
    <n v="45.97"/>
    <d v="2024-08-28T00:00:00"/>
    <n v="37"/>
    <n v="3.2"/>
    <x v="1"/>
    <s v="Quality Issue"/>
    <s v="OK"/>
    <n v="0"/>
    <s v="Correct Price"/>
    <n v="1700.8899999999999"/>
  </r>
  <r>
    <s v="FB000176"/>
    <x v="1"/>
    <x v="5"/>
    <x v="3"/>
    <s v="XXL"/>
    <s v="Black"/>
    <n v="28.79"/>
    <x v="0"/>
    <n v="28.79"/>
    <d v="2025-08-06T00:00:00"/>
    <n v="4"/>
    <n v="4.4000000000000004"/>
    <x v="0"/>
    <m/>
    <s v="OK"/>
    <n v="0"/>
    <s v="Correct Price"/>
    <n v="115.16"/>
  </r>
  <r>
    <s v="FB000177"/>
    <x v="0"/>
    <x v="1"/>
    <x v="1"/>
    <s v="M"/>
    <s v="Gray"/>
    <n v="204.21"/>
    <x v="0"/>
    <n v="204.21"/>
    <d v="2025-08-06T00:00:00"/>
    <n v="5"/>
    <n v="3.3"/>
    <x v="0"/>
    <m/>
    <s v="OK"/>
    <n v="0"/>
    <s v="Correct Price"/>
    <n v="1021.0500000000001"/>
  </r>
  <r>
    <s v="FB000178"/>
    <x v="3"/>
    <x v="3"/>
    <x v="2"/>
    <s v="XXL"/>
    <s v="Pink"/>
    <n v="190.75"/>
    <x v="67"/>
    <n v="152.6"/>
    <d v="2025-08-06T00:00:00"/>
    <n v="47"/>
    <m/>
    <x v="0"/>
    <m/>
    <s v="OK"/>
    <n v="38.15"/>
    <s v="Correct Price"/>
    <n v="7172.2"/>
  </r>
  <r>
    <s v="FB000179"/>
    <x v="1"/>
    <x v="7"/>
    <x v="1"/>
    <s v="XS"/>
    <s v="Brown"/>
    <n v="33.01"/>
    <x v="68"/>
    <n v="20.07"/>
    <d v="2025-08-06T00:00:00"/>
    <n v="16"/>
    <n v="3.7"/>
    <x v="0"/>
    <m/>
    <s v="OK"/>
    <n v="12.939919999999999"/>
    <s v="Correct Price"/>
    <n v="321.12"/>
  </r>
  <r>
    <s v="FB000180"/>
    <x v="2"/>
    <x v="2"/>
    <x v="0"/>
    <m/>
    <s v="Blue"/>
    <n v="47.61"/>
    <x v="69"/>
    <n v="28.66"/>
    <d v="2024-12-03T00:00:00"/>
    <n v="18"/>
    <n v="1.3"/>
    <x v="0"/>
    <m/>
    <s v="OK"/>
    <n v="18.948779999999999"/>
    <s v="Correct Price"/>
    <n v="515.88"/>
  </r>
  <r>
    <s v="FB000181"/>
    <x v="0"/>
    <x v="4"/>
    <x v="0"/>
    <s v="XS"/>
    <s v="Red"/>
    <n v="137.16"/>
    <x v="0"/>
    <n v="137.16"/>
    <d v="2024-09-26T00:00:00"/>
    <n v="34"/>
    <n v="3.2"/>
    <x v="0"/>
    <m/>
    <s v="OK"/>
    <n v="0"/>
    <s v="Correct Price"/>
    <n v="4663.4399999999996"/>
  </r>
  <r>
    <s v="FB000182"/>
    <x v="1"/>
    <x v="6"/>
    <x v="2"/>
    <s v="M"/>
    <s v="Navy"/>
    <n v="108.49"/>
    <x v="0"/>
    <n v="108.49"/>
    <d v="2025-08-06T00:00:00"/>
    <n v="7"/>
    <n v="3.3"/>
    <x v="0"/>
    <m/>
    <s v="OK"/>
    <n v="0"/>
    <s v="Correct Price"/>
    <n v="759.43"/>
  </r>
  <r>
    <s v="FB000183"/>
    <x v="1"/>
    <x v="2"/>
    <x v="1"/>
    <s v="XL"/>
    <s v="Green"/>
    <n v="106.49"/>
    <x v="0"/>
    <n v="106.49"/>
    <d v="2025-08-06T00:00:00"/>
    <n v="23"/>
    <n v="4"/>
    <x v="0"/>
    <m/>
    <s v="OK"/>
    <n v="0"/>
    <s v="Correct Price"/>
    <n v="2449.27"/>
  </r>
  <r>
    <s v="FB000184"/>
    <x v="1"/>
    <x v="3"/>
    <x v="1"/>
    <s v="XXL"/>
    <s v="Pink"/>
    <n v="114.86"/>
    <x v="0"/>
    <n v="114.86"/>
    <d v="2025-08-06T00:00:00"/>
    <n v="48"/>
    <n v="1.1000000000000001"/>
    <x v="0"/>
    <m/>
    <s v="OK"/>
    <n v="0"/>
    <s v="Correct Price"/>
    <n v="5513.28"/>
  </r>
  <r>
    <s v="FB000185"/>
    <x v="5"/>
    <x v="0"/>
    <x v="2"/>
    <s v="L"/>
    <s v="Blue"/>
    <n v="121.68"/>
    <x v="0"/>
    <n v="121.68"/>
    <d v="2025-08-06T00:00:00"/>
    <n v="9"/>
    <n v="1.5"/>
    <x v="0"/>
    <m/>
    <s v="OK"/>
    <n v="0"/>
    <s v="Correct Price"/>
    <n v="1095.1200000000001"/>
  </r>
  <r>
    <s v="FB000186"/>
    <x v="4"/>
    <x v="0"/>
    <x v="3"/>
    <s v="XXL"/>
    <s v="Black"/>
    <n v="74.08"/>
    <x v="70"/>
    <n v="71.19"/>
    <d v="2025-08-06T00:00:00"/>
    <n v="37"/>
    <n v="1.7"/>
    <x v="0"/>
    <m/>
    <s v="OK"/>
    <n v="2.8891199999999997"/>
    <s v="Correct Price"/>
    <n v="2634.0299999999997"/>
  </r>
  <r>
    <s v="FB000187"/>
    <x v="1"/>
    <x v="6"/>
    <x v="2"/>
    <s v="M"/>
    <s v="Blue"/>
    <n v="92.37"/>
    <x v="71"/>
    <n v="59.21"/>
    <d v="2025-08-06T00:00:00"/>
    <n v="20"/>
    <m/>
    <x v="0"/>
    <m/>
    <s v="OK"/>
    <n v="33.160830000000004"/>
    <s v="Correct Price"/>
    <n v="1184.2"/>
  </r>
  <r>
    <s v="FB000188"/>
    <x v="1"/>
    <x v="1"/>
    <x v="3"/>
    <s v="XXL"/>
    <s v="Beige"/>
    <n v="34.06"/>
    <x v="0"/>
    <n v="34.06"/>
    <d v="2025-08-06T00:00:00"/>
    <n v="39"/>
    <n v="4.5"/>
    <x v="0"/>
    <m/>
    <s v="OK"/>
    <n v="0"/>
    <s v="Correct Price"/>
    <n v="1328.3400000000001"/>
  </r>
  <r>
    <s v="FB000189"/>
    <x v="5"/>
    <x v="0"/>
    <x v="3"/>
    <s v="L"/>
    <s v="Pink"/>
    <n v="173.42"/>
    <x v="0"/>
    <n v="173.42"/>
    <d v="2025-08-06T00:00:00"/>
    <n v="47"/>
    <n v="4.2"/>
    <x v="0"/>
    <m/>
    <s v="OK"/>
    <n v="0"/>
    <s v="Correct Price"/>
    <n v="8150.74"/>
  </r>
  <r>
    <s v="FB000190"/>
    <x v="4"/>
    <x v="1"/>
    <x v="0"/>
    <s v="XXL"/>
    <s v="Brown"/>
    <n v="66.510000000000005"/>
    <x v="0"/>
    <n v="66.510000000000005"/>
    <d v="2024-10-04T00:00:00"/>
    <n v="32"/>
    <n v="2.1"/>
    <x v="0"/>
    <m/>
    <s v="OK"/>
    <n v="0"/>
    <s v="Correct Price"/>
    <n v="2128.3200000000002"/>
  </r>
  <r>
    <s v="FB000191"/>
    <x v="4"/>
    <x v="1"/>
    <x v="2"/>
    <s v="XXL"/>
    <s v="Blue"/>
    <n v="72.44"/>
    <x v="72"/>
    <n v="67.3"/>
    <d v="2025-08-06T00:00:00"/>
    <n v="10"/>
    <n v="1.8"/>
    <x v="0"/>
    <m/>
    <s v="OK"/>
    <n v="5.1432399999999996"/>
    <s v="Correct Price"/>
    <n v="673"/>
  </r>
  <r>
    <s v="FB000192"/>
    <x v="1"/>
    <x v="5"/>
    <x v="2"/>
    <s v="S"/>
    <s v="Black"/>
    <n v="81.2"/>
    <x v="0"/>
    <n v="81.2"/>
    <d v="2025-08-06T00:00:00"/>
    <n v="3"/>
    <n v="1.5"/>
    <x v="0"/>
    <m/>
    <s v="OK"/>
    <n v="0"/>
    <s v="Correct Price"/>
    <n v="243.60000000000002"/>
  </r>
  <r>
    <s v="FB000193"/>
    <x v="0"/>
    <x v="6"/>
    <x v="3"/>
    <s v="XXL"/>
    <s v="Red"/>
    <n v="104.5"/>
    <x v="73"/>
    <n v="91.65"/>
    <d v="2025-08-06T00:00:00"/>
    <n v="42"/>
    <m/>
    <x v="0"/>
    <m/>
    <s v="OK"/>
    <n v="12.853500000000002"/>
    <s v="Correct Price"/>
    <n v="3849.3"/>
  </r>
  <r>
    <s v="FB000194"/>
    <x v="5"/>
    <x v="6"/>
    <x v="1"/>
    <s v="XL"/>
    <s v="Pink"/>
    <n v="57.53"/>
    <x v="74"/>
    <n v="50.05"/>
    <d v="2025-08-06T00:00:00"/>
    <n v="12"/>
    <n v="4.0999999999999996"/>
    <x v="0"/>
    <m/>
    <s v="OK"/>
    <n v="7.4788999999999994"/>
    <s v="Correct Price"/>
    <n v="600.59999999999991"/>
  </r>
  <r>
    <s v="FB000195"/>
    <x v="3"/>
    <x v="2"/>
    <x v="3"/>
    <s v="XXL"/>
    <s v="Gray"/>
    <n v="142.58000000000001"/>
    <x v="0"/>
    <n v="142.58000000000001"/>
    <d v="2025-08-06T00:00:00"/>
    <n v="25"/>
    <n v="4.8"/>
    <x v="1"/>
    <s v="Quality Issue"/>
    <s v="OK"/>
    <n v="0"/>
    <s v="Correct Price"/>
    <n v="3564.5000000000005"/>
  </r>
  <r>
    <s v="FB000196"/>
    <x v="5"/>
    <x v="0"/>
    <x v="2"/>
    <s v="XXL"/>
    <s v="Green"/>
    <n v="162.22999999999999"/>
    <x v="62"/>
    <n v="114.53"/>
    <d v="2025-08-06T00:00:00"/>
    <n v="41"/>
    <n v="4"/>
    <x v="1"/>
    <s v="Quality Issue"/>
    <s v="OK"/>
    <n v="47.695619999999998"/>
    <s v="Correct Price"/>
    <n v="4695.7300000000005"/>
  </r>
  <r>
    <s v="FB000197"/>
    <x v="4"/>
    <x v="5"/>
    <x v="0"/>
    <s v="XXL"/>
    <s v="Red"/>
    <n v="32.1"/>
    <x v="75"/>
    <n v="15.5"/>
    <d v="2024-11-23T00:00:00"/>
    <n v="27"/>
    <m/>
    <x v="0"/>
    <m/>
    <s v="OK"/>
    <n v="16.595700000000001"/>
    <s v="Correct Price"/>
    <n v="418.5"/>
  </r>
  <r>
    <s v="FB000198"/>
    <x v="3"/>
    <x v="1"/>
    <x v="2"/>
    <s v="L"/>
    <s v="Black"/>
    <n v="162.41"/>
    <x v="76"/>
    <n v="93.06"/>
    <d v="2025-08-06T00:00:00"/>
    <n v="22"/>
    <n v="4.8"/>
    <x v="0"/>
    <m/>
    <s v="OK"/>
    <n v="69.349069999999998"/>
    <s v="Correct Price"/>
    <n v="2047.3200000000002"/>
  </r>
  <r>
    <s v="FB000199"/>
    <x v="1"/>
    <x v="2"/>
    <x v="2"/>
    <s v="M"/>
    <s v="Gray"/>
    <n v="77.459999999999994"/>
    <x v="77"/>
    <n v="32.92"/>
    <d v="2025-08-06T00:00:00"/>
    <n v="23"/>
    <n v="4"/>
    <x v="0"/>
    <m/>
    <s v="OK"/>
    <n v="44.539499999999997"/>
    <s v="Correct Price"/>
    <n v="757.16000000000008"/>
  </r>
  <r>
    <s v="FB000200"/>
    <x v="1"/>
    <x v="4"/>
    <x v="2"/>
    <s v="XXL"/>
    <s v="Blue"/>
    <n v="103.42"/>
    <x v="78"/>
    <n v="45.4"/>
    <d v="2025-08-06T00:00:00"/>
    <n v="4"/>
    <n v="4.7"/>
    <x v="0"/>
    <m/>
    <s v="OK"/>
    <n v="58.018619999999999"/>
    <s v="Correct Price"/>
    <n v="181.6"/>
  </r>
  <r>
    <s v="FB000201"/>
    <x v="4"/>
    <x v="0"/>
    <x v="0"/>
    <s v="XS"/>
    <s v="Green"/>
    <n v="42.91"/>
    <x v="79"/>
    <n v="28.62"/>
    <d v="2024-11-23T00:00:00"/>
    <n v="18"/>
    <m/>
    <x v="0"/>
    <m/>
    <s v="OK"/>
    <n v="14.289029999999999"/>
    <s v="Correct Price"/>
    <n v="515.16"/>
  </r>
  <r>
    <s v="FB000202"/>
    <x v="3"/>
    <x v="0"/>
    <x v="3"/>
    <s v="XL"/>
    <s v="Green"/>
    <n v="144.91999999999999"/>
    <x v="80"/>
    <n v="120.28"/>
    <d v="2025-08-06T00:00:00"/>
    <n v="32"/>
    <n v="2"/>
    <x v="0"/>
    <m/>
    <s v="OK"/>
    <n v="24.636399999999998"/>
    <s v="Correct Price"/>
    <n v="3848.96"/>
  </r>
  <r>
    <s v="FB000203"/>
    <x v="3"/>
    <x v="2"/>
    <x v="3"/>
    <s v="XS"/>
    <s v="Black"/>
    <n v="93.07"/>
    <x v="81"/>
    <n v="70.83"/>
    <d v="2025-08-06T00:00:00"/>
    <n v="10"/>
    <n v="3.5"/>
    <x v="1"/>
    <s v="Changed Mind"/>
    <s v="OK"/>
    <n v="22.243729999999996"/>
    <s v="Correct Price"/>
    <n v="708.3"/>
  </r>
  <r>
    <s v="FB000204"/>
    <x v="0"/>
    <x v="4"/>
    <x v="3"/>
    <s v="S"/>
    <s v="Red"/>
    <n v="119.96"/>
    <x v="0"/>
    <n v="119.96"/>
    <d v="2025-08-06T00:00:00"/>
    <n v="20"/>
    <n v="1.1000000000000001"/>
    <x v="0"/>
    <m/>
    <s v="OK"/>
    <n v="0"/>
    <s v="Correct Price"/>
    <n v="2399.1999999999998"/>
  </r>
  <r>
    <s v="FB000205"/>
    <x v="2"/>
    <x v="7"/>
    <x v="3"/>
    <m/>
    <s v="Gray"/>
    <n v="42.04"/>
    <x v="20"/>
    <n v="20.64"/>
    <d v="2025-08-06T00:00:00"/>
    <n v="43"/>
    <n v="2.2999999999999998"/>
    <x v="1"/>
    <s v="Wrong Item"/>
    <s v="OK"/>
    <n v="21.398359999999997"/>
    <s v="Correct Price"/>
    <n v="887.52"/>
  </r>
  <r>
    <s v="FB000206"/>
    <x v="2"/>
    <x v="2"/>
    <x v="1"/>
    <m/>
    <s v="Red"/>
    <n v="54.45"/>
    <x v="0"/>
    <n v="54.45"/>
    <d v="2025-08-06T00:00:00"/>
    <n v="12"/>
    <n v="2.7"/>
    <x v="0"/>
    <m/>
    <s v="OK"/>
    <n v="0"/>
    <s v="Correct Price"/>
    <n v="653.40000000000009"/>
  </r>
  <r>
    <s v="FB000207"/>
    <x v="1"/>
    <x v="3"/>
    <x v="0"/>
    <s v="M"/>
    <s v="Green"/>
    <n v="66.95"/>
    <x v="82"/>
    <n v="42.58"/>
    <d v="2024-09-28T00:00:00"/>
    <n v="44"/>
    <n v="1.9"/>
    <x v="1"/>
    <s v="Quality Issue"/>
    <s v="OK"/>
    <n v="24.369800000000001"/>
    <s v="Correct Price"/>
    <n v="1873.52"/>
  </r>
  <r>
    <s v="FB000208"/>
    <x v="1"/>
    <x v="5"/>
    <x v="0"/>
    <s v="XL"/>
    <s v="Beige"/>
    <n v="116.96"/>
    <x v="83"/>
    <n v="106.67"/>
    <d v="2025-04-29T00:00:00"/>
    <n v="33"/>
    <n v="1.6"/>
    <x v="0"/>
    <m/>
    <s v="OK"/>
    <n v="10.292480000000001"/>
    <s v="Correct Price"/>
    <n v="3520.11"/>
  </r>
  <r>
    <s v="FB000209"/>
    <x v="1"/>
    <x v="7"/>
    <x v="2"/>
    <s v="XXL"/>
    <s v="Pink"/>
    <n v="111.14"/>
    <x v="0"/>
    <n v="111.14"/>
    <d v="2025-08-06T00:00:00"/>
    <n v="49"/>
    <n v="1.6"/>
    <x v="0"/>
    <m/>
    <s v="OK"/>
    <n v="0"/>
    <s v="Correct Price"/>
    <n v="5445.86"/>
  </r>
  <r>
    <s v="FB000210"/>
    <x v="1"/>
    <x v="2"/>
    <x v="2"/>
    <s v="XS"/>
    <s v="Blue"/>
    <n v="59.6"/>
    <x v="0"/>
    <n v="59.6"/>
    <d v="2025-08-06T00:00:00"/>
    <n v="40"/>
    <n v="2.1"/>
    <x v="0"/>
    <m/>
    <s v="OK"/>
    <n v="0"/>
    <s v="Correct Price"/>
    <n v="2384"/>
  </r>
  <r>
    <s v="FB000211"/>
    <x v="1"/>
    <x v="5"/>
    <x v="0"/>
    <s v="S"/>
    <s v="Gray"/>
    <n v="25.49"/>
    <x v="84"/>
    <n v="21.23"/>
    <d v="2025-05-23T00:00:00"/>
    <n v="32"/>
    <m/>
    <x v="0"/>
    <m/>
    <s v="OK"/>
    <n v="4.256829999999999"/>
    <s v="Correct Price"/>
    <n v="679.36"/>
  </r>
  <r>
    <s v="FB000212"/>
    <x v="1"/>
    <x v="0"/>
    <x v="0"/>
    <s v="M"/>
    <s v="Black"/>
    <n v="82.94"/>
    <x v="0"/>
    <n v="82.94"/>
    <d v="2025-07-17T00:00:00"/>
    <n v="46"/>
    <n v="1.5"/>
    <x v="0"/>
    <m/>
    <s v="OK"/>
    <n v="0"/>
    <s v="Correct Price"/>
    <n v="3815.24"/>
  </r>
  <r>
    <s v="FB000213"/>
    <x v="1"/>
    <x v="1"/>
    <x v="0"/>
    <s v="L"/>
    <s v="Blue"/>
    <n v="99.71"/>
    <x v="0"/>
    <n v="99.71"/>
    <d v="2024-08-21T00:00:00"/>
    <n v="23"/>
    <n v="1.4"/>
    <x v="0"/>
    <m/>
    <s v="OK"/>
    <n v="0"/>
    <s v="Correct Price"/>
    <n v="2293.33"/>
  </r>
  <r>
    <s v="FB000214"/>
    <x v="2"/>
    <x v="2"/>
    <x v="2"/>
    <m/>
    <s v="Black"/>
    <n v="69.739999999999995"/>
    <x v="0"/>
    <n v="69.739999999999995"/>
    <d v="2025-08-06T00:00:00"/>
    <n v="11"/>
    <n v="3.3"/>
    <x v="1"/>
    <s v="Changed Mind"/>
    <s v="OK"/>
    <n v="0"/>
    <s v="Correct Price"/>
    <n v="767.14"/>
  </r>
  <r>
    <s v="FB000215"/>
    <x v="4"/>
    <x v="4"/>
    <x v="3"/>
    <s v="XXL"/>
    <s v="Green"/>
    <n v="57.19"/>
    <x v="0"/>
    <n v="57.19"/>
    <d v="2025-08-06T00:00:00"/>
    <n v="12"/>
    <n v="2.5"/>
    <x v="0"/>
    <m/>
    <s v="OK"/>
    <n v="0"/>
    <s v="Correct Price"/>
    <n v="686.28"/>
  </r>
  <r>
    <s v="FB000216"/>
    <x v="1"/>
    <x v="4"/>
    <x v="3"/>
    <s v="XXL"/>
    <s v="Red"/>
    <n v="58.65"/>
    <x v="0"/>
    <n v="58.65"/>
    <d v="2025-08-06T00:00:00"/>
    <n v="4"/>
    <n v="1.1000000000000001"/>
    <x v="0"/>
    <m/>
    <s v="OK"/>
    <n v="0"/>
    <s v="Correct Price"/>
    <n v="234.6"/>
  </r>
  <r>
    <s v="FB000217"/>
    <x v="0"/>
    <x v="1"/>
    <x v="2"/>
    <s v="XL"/>
    <s v="Pink"/>
    <n v="110.22"/>
    <x v="0"/>
    <n v="110.22"/>
    <d v="2025-08-06T00:00:00"/>
    <n v="4"/>
    <n v="1.6"/>
    <x v="0"/>
    <m/>
    <s v="OK"/>
    <n v="0"/>
    <s v="Correct Price"/>
    <n v="440.88"/>
  </r>
  <r>
    <s v="FB000218"/>
    <x v="1"/>
    <x v="0"/>
    <x v="3"/>
    <s v="XXL"/>
    <s v="Pink"/>
    <n v="69.36"/>
    <x v="0"/>
    <n v="69.36"/>
    <d v="2025-08-06T00:00:00"/>
    <n v="25"/>
    <m/>
    <x v="0"/>
    <m/>
    <s v="OK"/>
    <n v="0"/>
    <s v="Correct Price"/>
    <n v="1734"/>
  </r>
  <r>
    <s v="FB000219"/>
    <x v="4"/>
    <x v="0"/>
    <x v="1"/>
    <s v="S"/>
    <s v="Black"/>
    <n v="87.03"/>
    <x v="0"/>
    <n v="87.03"/>
    <d v="2025-08-06T00:00:00"/>
    <n v="39"/>
    <n v="4.3"/>
    <x v="0"/>
    <m/>
    <s v="OK"/>
    <n v="0"/>
    <s v="Correct Price"/>
    <n v="3394.17"/>
  </r>
  <r>
    <s v="FB000220"/>
    <x v="5"/>
    <x v="0"/>
    <x v="1"/>
    <s v="XXL"/>
    <s v="Brown"/>
    <n v="160.6"/>
    <x v="85"/>
    <n v="131.05000000000001"/>
    <d v="2025-08-06T00:00:00"/>
    <n v="41"/>
    <n v="3"/>
    <x v="0"/>
    <m/>
    <s v="OK"/>
    <n v="29.550399999999996"/>
    <s v="Correct Price"/>
    <n v="5373.05"/>
  </r>
  <r>
    <s v="FB000221"/>
    <x v="0"/>
    <x v="4"/>
    <x v="0"/>
    <s v="XS"/>
    <s v="Purple"/>
    <n v="167.02"/>
    <x v="0"/>
    <n v="167.02"/>
    <d v="2025-01-30T00:00:00"/>
    <n v="26"/>
    <n v="2.6"/>
    <x v="1"/>
    <s v="Size Issue"/>
    <s v="OK"/>
    <n v="0"/>
    <s v="Correct Price"/>
    <n v="4342.5200000000004"/>
  </r>
  <r>
    <s v="FB000222"/>
    <x v="1"/>
    <x v="0"/>
    <x v="3"/>
    <s v="XXL"/>
    <s v="Gray"/>
    <n v="26.09"/>
    <x v="0"/>
    <n v="26.09"/>
    <d v="2025-08-06T00:00:00"/>
    <n v="32"/>
    <n v="4.5999999999999996"/>
    <x v="1"/>
    <s v="Damaged"/>
    <s v="OK"/>
    <n v="0"/>
    <s v="Correct Price"/>
    <n v="834.88"/>
  </r>
  <r>
    <s v="FB000223"/>
    <x v="0"/>
    <x v="4"/>
    <x v="3"/>
    <s v="XL"/>
    <s v="Brown"/>
    <n v="246.65"/>
    <x v="0"/>
    <n v="246.65"/>
    <d v="2025-08-06T00:00:00"/>
    <n v="17"/>
    <n v="2.9"/>
    <x v="1"/>
    <s v="Damaged"/>
    <s v="OK"/>
    <n v="0"/>
    <s v="Correct Price"/>
    <n v="4193.05"/>
  </r>
  <r>
    <s v="FB000224"/>
    <x v="0"/>
    <x v="7"/>
    <x v="3"/>
    <s v="S"/>
    <s v="Red"/>
    <n v="206.91"/>
    <x v="0"/>
    <n v="206.91"/>
    <d v="2025-08-06T00:00:00"/>
    <n v="34"/>
    <n v="2.2999999999999998"/>
    <x v="0"/>
    <m/>
    <s v="OK"/>
    <n v="0"/>
    <s v="Correct Price"/>
    <n v="7034.94"/>
  </r>
  <r>
    <s v="FB000225"/>
    <x v="5"/>
    <x v="6"/>
    <x v="1"/>
    <s v="XL"/>
    <s v="Black"/>
    <n v="85.08"/>
    <x v="0"/>
    <n v="85.08"/>
    <d v="2025-08-06T00:00:00"/>
    <n v="29"/>
    <m/>
    <x v="0"/>
    <m/>
    <s v="OK"/>
    <n v="0"/>
    <s v="Correct Price"/>
    <n v="2467.3200000000002"/>
  </r>
  <r>
    <s v="FB000226"/>
    <x v="0"/>
    <x v="7"/>
    <x v="0"/>
    <s v="XXL"/>
    <s v="White"/>
    <n v="240.32"/>
    <x v="86"/>
    <n v="108.62"/>
    <d v="2024-12-27T00:00:00"/>
    <n v="3"/>
    <n v="4.5"/>
    <x v="0"/>
    <m/>
    <s v="OK"/>
    <n v="131.69535999999999"/>
    <s v="Correct Price"/>
    <n v="325.86"/>
  </r>
  <r>
    <s v="FB000227"/>
    <x v="5"/>
    <x v="1"/>
    <x v="2"/>
    <s v="XXL"/>
    <s v="Red"/>
    <n v="130.12"/>
    <x v="87"/>
    <n v="128.30000000000001"/>
    <d v="2025-08-06T00:00:00"/>
    <n v="0"/>
    <n v="5"/>
    <x v="0"/>
    <m/>
    <s v="OK"/>
    <n v="1.82168"/>
    <s v="Correct Price"/>
    <n v="0"/>
  </r>
  <r>
    <s v="FB000228"/>
    <x v="4"/>
    <x v="4"/>
    <x v="0"/>
    <s v="XS"/>
    <s v="Black"/>
    <n v="42.29"/>
    <x v="57"/>
    <n v="35.61"/>
    <d v="2024-11-02T00:00:00"/>
    <n v="11"/>
    <n v="1.6"/>
    <x v="0"/>
    <m/>
    <s v="OK"/>
    <n v="6.6818200000000001"/>
    <s v="Correct Price"/>
    <n v="391.71"/>
  </r>
  <r>
    <s v="FB000229"/>
    <x v="0"/>
    <x v="4"/>
    <x v="0"/>
    <s v="S"/>
    <s v="Beige"/>
    <n v="191.54"/>
    <x v="0"/>
    <n v="191.54"/>
    <d v="2024-10-10T00:00:00"/>
    <n v="18"/>
    <n v="1.2"/>
    <x v="0"/>
    <m/>
    <s v="OK"/>
    <n v="0"/>
    <s v="Correct Price"/>
    <n v="3447.72"/>
  </r>
  <r>
    <s v="FB000230"/>
    <x v="2"/>
    <x v="5"/>
    <x v="0"/>
    <m/>
    <s v="Beige"/>
    <n v="42.23"/>
    <x v="0"/>
    <n v="42.23"/>
    <d v="2025-07-14T00:00:00"/>
    <n v="15"/>
    <m/>
    <x v="0"/>
    <m/>
    <s v="OK"/>
    <n v="0"/>
    <s v="Correct Price"/>
    <n v="633.44999999999993"/>
  </r>
  <r>
    <s v="FB000231"/>
    <x v="3"/>
    <x v="4"/>
    <x v="3"/>
    <s v="S"/>
    <s v="Gray"/>
    <n v="109.76"/>
    <x v="0"/>
    <n v="109.76"/>
    <d v="2025-08-06T00:00:00"/>
    <n v="16"/>
    <n v="4.3"/>
    <x v="0"/>
    <m/>
    <s v="OK"/>
    <n v="0"/>
    <s v="Correct Price"/>
    <n v="1756.16"/>
  </r>
  <r>
    <s v="FB000232"/>
    <x v="2"/>
    <x v="3"/>
    <x v="3"/>
    <m/>
    <s v="Red"/>
    <n v="76.8"/>
    <x v="88"/>
    <n v="43.55"/>
    <d v="2025-08-06T00:00:00"/>
    <n v="24"/>
    <m/>
    <x v="0"/>
    <m/>
    <s v="OK"/>
    <n v="33.254399999999997"/>
    <s v="Correct Price"/>
    <n v="1045.1999999999998"/>
  </r>
  <r>
    <s v="FB000233"/>
    <x v="5"/>
    <x v="7"/>
    <x v="1"/>
    <m/>
    <s v="Black"/>
    <n v="56.34"/>
    <x v="89"/>
    <n v="43.72"/>
    <d v="2025-08-06T00:00:00"/>
    <n v="37"/>
    <n v="2.5"/>
    <x v="1"/>
    <s v="Wrong Item"/>
    <s v="OK"/>
    <n v="12.62016"/>
    <s v="Correct Price"/>
    <n v="1617.6399999999999"/>
  </r>
  <r>
    <s v="FB000234"/>
    <x v="1"/>
    <x v="6"/>
    <x v="2"/>
    <m/>
    <s v="Beige"/>
    <n v="88.41"/>
    <x v="0"/>
    <n v="88.41"/>
    <d v="2025-08-06T00:00:00"/>
    <n v="24"/>
    <n v="4.4000000000000004"/>
    <x v="0"/>
    <m/>
    <s v="OK"/>
    <n v="0"/>
    <s v="Correct Price"/>
    <n v="2121.84"/>
  </r>
  <r>
    <s v="FB000235"/>
    <x v="1"/>
    <x v="6"/>
    <x v="0"/>
    <s v="S"/>
    <s v="Black"/>
    <n v="25.96"/>
    <x v="0"/>
    <n v="25.96"/>
    <d v="2024-10-04T00:00:00"/>
    <n v="2"/>
    <n v="1.4"/>
    <x v="0"/>
    <m/>
    <s v="OK"/>
    <n v="0"/>
    <s v="Correct Price"/>
    <n v="51.92"/>
  </r>
  <r>
    <s v="FB000236"/>
    <x v="4"/>
    <x v="0"/>
    <x v="0"/>
    <s v="XXL"/>
    <s v="Red"/>
    <n v="60.25"/>
    <x v="0"/>
    <n v="60.25"/>
    <d v="2024-08-16T00:00:00"/>
    <n v="25"/>
    <n v="4.0999999999999996"/>
    <x v="0"/>
    <m/>
    <s v="OK"/>
    <n v="0"/>
    <s v="Correct Price"/>
    <n v="1506.25"/>
  </r>
  <r>
    <s v="FB000237"/>
    <x v="2"/>
    <x v="4"/>
    <x v="2"/>
    <m/>
    <s v="Red"/>
    <n v="52.33"/>
    <x v="35"/>
    <n v="42.33"/>
    <d v="2025-08-06T00:00:00"/>
    <n v="4"/>
    <m/>
    <x v="0"/>
    <m/>
    <s v="OK"/>
    <n v="9.9950299999999999"/>
    <s v="Correct Price"/>
    <n v="169.32"/>
  </r>
  <r>
    <s v="FB000238"/>
    <x v="2"/>
    <x v="3"/>
    <x v="2"/>
    <m/>
    <s v="White"/>
    <n v="67.61"/>
    <x v="0"/>
    <n v="67.61"/>
    <d v="2025-08-06T00:00:00"/>
    <n v="14"/>
    <n v="1.8"/>
    <x v="0"/>
    <m/>
    <s v="OK"/>
    <n v="0"/>
    <s v="Correct Price"/>
    <n v="946.54"/>
  </r>
  <r>
    <s v="FB000239"/>
    <x v="3"/>
    <x v="7"/>
    <x v="0"/>
    <s v="L"/>
    <s v="Brown"/>
    <n v="136"/>
    <x v="0"/>
    <n v="136"/>
    <d v="2025-08-01T00:00:00"/>
    <n v="46"/>
    <n v="4.5"/>
    <x v="0"/>
    <m/>
    <s v="OK"/>
    <n v="0"/>
    <s v="Correct Price"/>
    <n v="6256"/>
  </r>
  <r>
    <s v="FB000240"/>
    <x v="3"/>
    <x v="0"/>
    <x v="2"/>
    <m/>
    <s v="Brown"/>
    <n v="74.48"/>
    <x v="0"/>
    <n v="74.48"/>
    <d v="2025-08-06T00:00:00"/>
    <n v="24"/>
    <n v="3.7"/>
    <x v="0"/>
    <m/>
    <s v="OK"/>
    <n v="0"/>
    <s v="Correct Price"/>
    <n v="1787.52"/>
  </r>
  <r>
    <s v="FB000241"/>
    <x v="5"/>
    <x v="7"/>
    <x v="2"/>
    <s v="XS"/>
    <s v="Pink"/>
    <n v="101.39"/>
    <x v="0"/>
    <n v="101.39"/>
    <d v="2025-08-06T00:00:00"/>
    <n v="33"/>
    <n v="2.4"/>
    <x v="1"/>
    <s v="Size Issue"/>
    <s v="OK"/>
    <n v="0"/>
    <s v="Correct Price"/>
    <n v="3345.87"/>
  </r>
  <r>
    <s v="FB000242"/>
    <x v="5"/>
    <x v="7"/>
    <x v="2"/>
    <s v="XXL"/>
    <s v="Green"/>
    <n v="169.68"/>
    <x v="90"/>
    <n v="98.92"/>
    <d v="2025-08-06T00:00:00"/>
    <n v="43"/>
    <n v="4.5999999999999996"/>
    <x v="0"/>
    <m/>
    <s v="OK"/>
    <n v="70.756560000000007"/>
    <s v="Correct Price"/>
    <n v="4253.5600000000004"/>
  </r>
  <r>
    <s v="FB000243"/>
    <x v="2"/>
    <x v="7"/>
    <x v="1"/>
    <m/>
    <s v="Purple"/>
    <n v="52.45"/>
    <x v="0"/>
    <n v="52.45"/>
    <d v="2025-08-06T00:00:00"/>
    <n v="34"/>
    <n v="2.1"/>
    <x v="0"/>
    <m/>
    <s v="OK"/>
    <n v="0"/>
    <s v="Correct Price"/>
    <n v="1783.3000000000002"/>
  </r>
  <r>
    <s v="FB000244"/>
    <x v="3"/>
    <x v="1"/>
    <x v="3"/>
    <s v="XXL"/>
    <s v="Pink"/>
    <n v="153.85"/>
    <x v="91"/>
    <n v="80.62"/>
    <d v="2025-08-06T00:00:00"/>
    <n v="12"/>
    <n v="3.1"/>
    <x v="0"/>
    <m/>
    <s v="OK"/>
    <n v="73.232600000000005"/>
    <s v="Correct Price"/>
    <n v="967.44"/>
  </r>
  <r>
    <s v="FB000245"/>
    <x v="4"/>
    <x v="3"/>
    <x v="2"/>
    <s v="M"/>
    <s v="Brown"/>
    <n v="32.700000000000003"/>
    <x v="92"/>
    <n v="16.190000000000001"/>
    <d v="2025-08-06T00:00:00"/>
    <n v="46"/>
    <n v="1.3"/>
    <x v="0"/>
    <m/>
    <s v="OK"/>
    <n v="16.513500000000001"/>
    <s v="Correct Price"/>
    <n v="744.74"/>
  </r>
  <r>
    <s v="FB000246"/>
    <x v="0"/>
    <x v="1"/>
    <x v="2"/>
    <s v="L"/>
    <s v="Navy"/>
    <n v="104.27"/>
    <x v="93"/>
    <n v="47.34"/>
    <d v="2025-08-06T00:00:00"/>
    <n v="42"/>
    <n v="4.2"/>
    <x v="0"/>
    <m/>
    <s v="OK"/>
    <n v="56.931419999999996"/>
    <s v="Correct Price"/>
    <n v="1988.2800000000002"/>
  </r>
  <r>
    <s v="FB000247"/>
    <x v="5"/>
    <x v="7"/>
    <x v="3"/>
    <s v="M"/>
    <s v="Gray"/>
    <n v="80.040000000000006"/>
    <x v="20"/>
    <n v="39.299999999999997"/>
    <d v="2025-08-06T00:00:00"/>
    <n v="45"/>
    <m/>
    <x v="0"/>
    <m/>
    <s v="OK"/>
    <n v="40.740360000000003"/>
    <s v="Correct Price"/>
    <n v="1768.4999999999998"/>
  </r>
  <r>
    <s v="FB000248"/>
    <x v="4"/>
    <x v="2"/>
    <x v="0"/>
    <s v="M"/>
    <s v="Black"/>
    <n v="72.069999999999993"/>
    <x v="0"/>
    <n v="72.069999999999993"/>
    <d v="2025-05-08T00:00:00"/>
    <n v="20"/>
    <m/>
    <x v="1"/>
    <s v="Color Mismatch"/>
    <s v="OK"/>
    <n v="0"/>
    <s v="Correct Price"/>
    <n v="1441.3999999999999"/>
  </r>
  <r>
    <s v="FB000249"/>
    <x v="0"/>
    <x v="0"/>
    <x v="2"/>
    <s v="M"/>
    <s v="Green"/>
    <n v="220.99"/>
    <x v="0"/>
    <n v="220.99"/>
    <d v="2025-08-06T00:00:00"/>
    <n v="42"/>
    <n v="3.6"/>
    <x v="0"/>
    <m/>
    <s v="OK"/>
    <n v="0"/>
    <s v="Correct Price"/>
    <n v="9281.58"/>
  </r>
  <r>
    <s v="FB000250"/>
    <x v="0"/>
    <x v="1"/>
    <x v="2"/>
    <s v="XS"/>
    <s v="Black"/>
    <n v="117.36"/>
    <x v="94"/>
    <n v="100.23"/>
    <d v="2025-08-06T00:00:00"/>
    <n v="33"/>
    <m/>
    <x v="1"/>
    <s v="Size Issue"/>
    <s v="OK"/>
    <n v="17.13456"/>
    <s v="Correct Price"/>
    <n v="3307.59"/>
  </r>
  <r>
    <s v="FB000251"/>
    <x v="0"/>
    <x v="2"/>
    <x v="0"/>
    <s v="L"/>
    <s v="Navy"/>
    <n v="198.76"/>
    <x v="95"/>
    <n v="101.77"/>
    <d v="2025-04-26T00:00:00"/>
    <n v="36"/>
    <n v="3"/>
    <x v="0"/>
    <m/>
    <s v="OK"/>
    <n v="96.994879999999995"/>
    <s v="Correct Price"/>
    <n v="3663.72"/>
  </r>
  <r>
    <s v="FB000252"/>
    <x v="0"/>
    <x v="4"/>
    <x v="2"/>
    <s v="L"/>
    <s v="Black"/>
    <n v="121.03"/>
    <x v="0"/>
    <n v="121.03"/>
    <d v="2025-08-06T00:00:00"/>
    <n v="14"/>
    <n v="1.6"/>
    <x v="1"/>
    <s v="Changed Mind"/>
    <s v="OK"/>
    <n v="0"/>
    <s v="Correct Price"/>
    <n v="1694.42"/>
  </r>
  <r>
    <s v="FB000253"/>
    <x v="1"/>
    <x v="4"/>
    <x v="2"/>
    <s v="L"/>
    <s v="White"/>
    <n v="88.62"/>
    <x v="0"/>
    <n v="88.62"/>
    <d v="2025-08-06T00:00:00"/>
    <n v="48"/>
    <n v="2.4"/>
    <x v="0"/>
    <m/>
    <s v="OK"/>
    <n v="0"/>
    <s v="Correct Price"/>
    <n v="4253.76"/>
  </r>
  <r>
    <s v="FB000254"/>
    <x v="3"/>
    <x v="4"/>
    <x v="3"/>
    <s v="XL"/>
    <s v="Green"/>
    <n v="88.94"/>
    <x v="0"/>
    <n v="88.94"/>
    <d v="2025-08-06T00:00:00"/>
    <n v="29"/>
    <n v="3.9"/>
    <x v="0"/>
    <m/>
    <s v="OK"/>
    <n v="0"/>
    <s v="Correct Price"/>
    <n v="2579.2599999999998"/>
  </r>
  <r>
    <s v="FB000255"/>
    <x v="4"/>
    <x v="0"/>
    <x v="1"/>
    <s v="S"/>
    <s v="Black"/>
    <n v="115.7"/>
    <x v="96"/>
    <n v="95.11"/>
    <d v="2025-08-06T00:00:00"/>
    <n v="32"/>
    <n v="1.7"/>
    <x v="0"/>
    <m/>
    <s v="OK"/>
    <n v="20.5946"/>
    <s v="Correct Price"/>
    <n v="3043.52"/>
  </r>
  <r>
    <s v="FB000256"/>
    <x v="4"/>
    <x v="7"/>
    <x v="2"/>
    <s v="XXL"/>
    <s v="Black"/>
    <n v="75.66"/>
    <x v="0"/>
    <n v="75.66"/>
    <d v="2025-08-06T00:00:00"/>
    <n v="20"/>
    <n v="3"/>
    <x v="0"/>
    <m/>
    <s v="OK"/>
    <n v="0"/>
    <s v="Correct Price"/>
    <n v="1513.1999999999998"/>
  </r>
  <r>
    <s v="FB000257"/>
    <x v="2"/>
    <x v="5"/>
    <x v="1"/>
    <m/>
    <s v="Green"/>
    <n v="42.11"/>
    <x v="0"/>
    <n v="42.11"/>
    <d v="2025-08-06T00:00:00"/>
    <n v="26"/>
    <n v="4"/>
    <x v="0"/>
    <m/>
    <s v="OK"/>
    <n v="0"/>
    <s v="Correct Price"/>
    <n v="1094.8599999999999"/>
  </r>
  <r>
    <s v="FB000258"/>
    <x v="0"/>
    <x v="4"/>
    <x v="0"/>
    <s v="XXL"/>
    <s v="Beige"/>
    <n v="247.9"/>
    <x v="97"/>
    <n v="237.24"/>
    <d v="2024-12-25T00:00:00"/>
    <n v="25"/>
    <n v="4.5999999999999996"/>
    <x v="0"/>
    <m/>
    <s v="OK"/>
    <n v="10.659700000000001"/>
    <s v="Correct Price"/>
    <n v="5931"/>
  </r>
  <r>
    <s v="FB000259"/>
    <x v="3"/>
    <x v="2"/>
    <x v="0"/>
    <s v="XL"/>
    <s v="Beige"/>
    <n v="143.44999999999999"/>
    <x v="0"/>
    <n v="143.44999999999999"/>
    <d v="2024-09-27T00:00:00"/>
    <n v="39"/>
    <m/>
    <x v="1"/>
    <s v="Quality Issue"/>
    <s v="OK"/>
    <n v="0"/>
    <s v="Correct Price"/>
    <n v="5594.5499999999993"/>
  </r>
  <r>
    <s v="FB000260"/>
    <x v="2"/>
    <x v="2"/>
    <x v="1"/>
    <m/>
    <s v="Beige"/>
    <n v="24.96"/>
    <x v="98"/>
    <n v="13.8"/>
    <d v="2025-08-06T00:00:00"/>
    <n v="44"/>
    <m/>
    <x v="0"/>
    <m/>
    <s v="OK"/>
    <n v="11.157120000000003"/>
    <s v="Correct Price"/>
    <n v="607.20000000000005"/>
  </r>
  <r>
    <s v="FB000261"/>
    <x v="0"/>
    <x v="7"/>
    <x v="3"/>
    <s v="XL"/>
    <s v="Navy"/>
    <n v="109.74"/>
    <x v="0"/>
    <n v="109.74"/>
    <d v="2025-08-06T00:00:00"/>
    <n v="45"/>
    <n v="1.9"/>
    <x v="0"/>
    <m/>
    <s v="OK"/>
    <n v="0"/>
    <s v="Correct Price"/>
    <n v="4938.3"/>
  </r>
  <r>
    <s v="FB000262"/>
    <x v="5"/>
    <x v="4"/>
    <x v="3"/>
    <s v="XL"/>
    <s v="Blue"/>
    <n v="161.13999999999999"/>
    <x v="0"/>
    <n v="161.13999999999999"/>
    <d v="2025-08-06T00:00:00"/>
    <n v="44"/>
    <n v="1.6"/>
    <x v="0"/>
    <m/>
    <s v="OK"/>
    <n v="0"/>
    <s v="Correct Price"/>
    <n v="7090.16"/>
  </r>
  <r>
    <s v="FB000263"/>
    <x v="0"/>
    <x v="2"/>
    <x v="0"/>
    <s v="XXL"/>
    <s v="Brown"/>
    <n v="220.14"/>
    <x v="99"/>
    <n v="199.89"/>
    <d v="2025-06-27T00:00:00"/>
    <n v="23"/>
    <n v="4.8"/>
    <x v="0"/>
    <m/>
    <s v="OK"/>
    <n v="20.252879999999998"/>
    <s v="Correct Price"/>
    <n v="4597.4699999999993"/>
  </r>
  <r>
    <s v="FB000264"/>
    <x v="5"/>
    <x v="7"/>
    <x v="3"/>
    <s v="S"/>
    <s v="Pink"/>
    <n v="57.33"/>
    <x v="0"/>
    <n v="57.33"/>
    <d v="2025-08-06T00:00:00"/>
    <n v="23"/>
    <n v="2"/>
    <x v="0"/>
    <m/>
    <s v="OK"/>
    <n v="0"/>
    <s v="Correct Price"/>
    <n v="1318.59"/>
  </r>
  <r>
    <s v="FB000265"/>
    <x v="4"/>
    <x v="0"/>
    <x v="2"/>
    <s v="XXL"/>
    <s v="Blue"/>
    <n v="108.24"/>
    <x v="0"/>
    <n v="108.24"/>
    <d v="2025-08-06T00:00:00"/>
    <n v="8"/>
    <n v="2.2999999999999998"/>
    <x v="0"/>
    <m/>
    <s v="OK"/>
    <n v="0"/>
    <s v="Correct Price"/>
    <n v="865.92"/>
  </r>
  <r>
    <s v="FB000266"/>
    <x v="2"/>
    <x v="2"/>
    <x v="3"/>
    <m/>
    <s v="Gray"/>
    <n v="67.930000000000007"/>
    <x v="0"/>
    <n v="67.930000000000007"/>
    <d v="2025-08-06T00:00:00"/>
    <n v="22"/>
    <n v="4.5999999999999996"/>
    <x v="0"/>
    <m/>
    <s v="OK"/>
    <n v="0"/>
    <s v="Correct Price"/>
    <n v="1494.46"/>
  </r>
  <r>
    <s v="FB000267"/>
    <x v="5"/>
    <x v="0"/>
    <x v="1"/>
    <s v="XS"/>
    <s v="Blue"/>
    <n v="168.96"/>
    <x v="0"/>
    <n v="168.96"/>
    <d v="2025-08-06T00:00:00"/>
    <n v="9"/>
    <m/>
    <x v="0"/>
    <m/>
    <s v="OK"/>
    <n v="0"/>
    <s v="Correct Price"/>
    <n v="1520.64"/>
  </r>
  <r>
    <s v="FB000268"/>
    <x v="1"/>
    <x v="5"/>
    <x v="2"/>
    <s v="S"/>
    <s v="White"/>
    <n v="90.63"/>
    <x v="0"/>
    <n v="90.63"/>
    <d v="2025-08-06T00:00:00"/>
    <n v="33"/>
    <n v="4.2"/>
    <x v="0"/>
    <m/>
    <s v="OK"/>
    <n v="0"/>
    <s v="Correct Price"/>
    <n v="2990.79"/>
  </r>
  <r>
    <s v="FB000269"/>
    <x v="2"/>
    <x v="3"/>
    <x v="0"/>
    <m/>
    <s v="Green"/>
    <n v="72.3"/>
    <x v="100"/>
    <n v="72.010000000000005"/>
    <d v="2024-12-29T00:00:00"/>
    <n v="38"/>
    <n v="3"/>
    <x v="1"/>
    <s v="Color Mismatch"/>
    <s v="OK"/>
    <n v="0.28920000000000001"/>
    <s v="Correct Price"/>
    <n v="2736.38"/>
  </r>
  <r>
    <s v="FB000270"/>
    <x v="4"/>
    <x v="4"/>
    <x v="1"/>
    <s v="S"/>
    <s v="Beige"/>
    <n v="27.98"/>
    <x v="0"/>
    <n v="27.98"/>
    <d v="2025-08-06T00:00:00"/>
    <n v="0"/>
    <n v="3"/>
    <x v="0"/>
    <m/>
    <s v="OK"/>
    <n v="0"/>
    <s v="Correct Price"/>
    <n v="0"/>
  </r>
  <r>
    <s v="FB000271"/>
    <x v="5"/>
    <x v="7"/>
    <x v="3"/>
    <m/>
    <s v="Navy"/>
    <n v="92.73"/>
    <x v="0"/>
    <n v="92.73"/>
    <d v="2025-08-06T00:00:00"/>
    <n v="15"/>
    <n v="1.4"/>
    <x v="0"/>
    <m/>
    <s v="OK"/>
    <n v="0"/>
    <s v="Correct Price"/>
    <n v="1390.95"/>
  </r>
  <r>
    <s v="FB000272"/>
    <x v="4"/>
    <x v="3"/>
    <x v="3"/>
    <s v="XXL"/>
    <s v="White"/>
    <n v="64.28"/>
    <x v="0"/>
    <n v="64.28"/>
    <d v="2025-08-06T00:00:00"/>
    <n v="46"/>
    <n v="3"/>
    <x v="0"/>
    <m/>
    <s v="OK"/>
    <n v="0"/>
    <s v="Correct Price"/>
    <n v="2956.88"/>
  </r>
  <r>
    <s v="FB000273"/>
    <x v="5"/>
    <x v="5"/>
    <x v="2"/>
    <s v="M"/>
    <s v="Black"/>
    <n v="133.12"/>
    <x v="0"/>
    <n v="133.12"/>
    <d v="2025-08-06T00:00:00"/>
    <n v="35"/>
    <n v="1.9"/>
    <x v="0"/>
    <m/>
    <s v="OK"/>
    <n v="0"/>
    <s v="Correct Price"/>
    <n v="4659.2"/>
  </r>
  <r>
    <s v="FB000274"/>
    <x v="1"/>
    <x v="6"/>
    <x v="1"/>
    <s v="XXL"/>
    <s v="Brown"/>
    <n v="70.36"/>
    <x v="0"/>
    <n v="70.36"/>
    <d v="2025-08-06T00:00:00"/>
    <n v="0"/>
    <m/>
    <x v="0"/>
    <m/>
    <s v="OK"/>
    <n v="0"/>
    <s v="Correct Price"/>
    <n v="0"/>
  </r>
  <r>
    <s v="FB000275"/>
    <x v="0"/>
    <x v="1"/>
    <x v="3"/>
    <s v="XL"/>
    <s v="Pink"/>
    <n v="199.01"/>
    <x v="0"/>
    <n v="199.01"/>
    <d v="2025-08-06T00:00:00"/>
    <n v="8"/>
    <n v="4.4000000000000004"/>
    <x v="0"/>
    <m/>
    <s v="OK"/>
    <n v="0"/>
    <s v="Correct Price"/>
    <n v="1592.08"/>
  </r>
  <r>
    <s v="FB000276"/>
    <x v="4"/>
    <x v="4"/>
    <x v="3"/>
    <s v="L"/>
    <s v="Navy"/>
    <n v="62.41"/>
    <x v="101"/>
    <n v="39.26"/>
    <d v="2025-08-06T00:00:00"/>
    <n v="6"/>
    <n v="4.0999999999999996"/>
    <x v="0"/>
    <m/>
    <s v="OK"/>
    <n v="23.154109999999999"/>
    <s v="Correct Price"/>
    <n v="235.56"/>
  </r>
  <r>
    <s v="FB000277"/>
    <x v="3"/>
    <x v="1"/>
    <x v="3"/>
    <s v="XS"/>
    <s v="Black"/>
    <n v="71.44"/>
    <x v="0"/>
    <n v="71.44"/>
    <d v="2025-08-06T00:00:00"/>
    <n v="45"/>
    <n v="4"/>
    <x v="0"/>
    <m/>
    <s v="OK"/>
    <n v="0"/>
    <s v="Correct Price"/>
    <n v="3214.7999999999997"/>
  </r>
  <r>
    <s v="FB000278"/>
    <x v="5"/>
    <x v="0"/>
    <x v="1"/>
    <m/>
    <s v="Blue"/>
    <n v="89.69"/>
    <x v="0"/>
    <n v="89.69"/>
    <d v="2025-08-06T00:00:00"/>
    <n v="50"/>
    <n v="4.3"/>
    <x v="0"/>
    <m/>
    <s v="OK"/>
    <n v="0"/>
    <s v="Correct Price"/>
    <n v="4484.5"/>
  </r>
  <r>
    <s v="FB000279"/>
    <x v="0"/>
    <x v="3"/>
    <x v="0"/>
    <s v="XXL"/>
    <s v="Gray"/>
    <n v="161.65"/>
    <x v="102"/>
    <n v="145.16"/>
    <d v="2025-03-30T00:00:00"/>
    <n v="42"/>
    <m/>
    <x v="0"/>
    <m/>
    <s v="OK"/>
    <n v="16.488299999999999"/>
    <s v="Correct Price"/>
    <n v="6096.72"/>
  </r>
  <r>
    <s v="FB000280"/>
    <x v="2"/>
    <x v="1"/>
    <x v="1"/>
    <m/>
    <s v="White"/>
    <n v="46.59"/>
    <x v="0"/>
    <n v="46.59"/>
    <d v="2025-08-06T00:00:00"/>
    <n v="29"/>
    <n v="4.8"/>
    <x v="0"/>
    <m/>
    <s v="OK"/>
    <n v="0"/>
    <s v="Correct Price"/>
    <n v="1351.1100000000001"/>
  </r>
  <r>
    <s v="FB000281"/>
    <x v="2"/>
    <x v="0"/>
    <x v="2"/>
    <m/>
    <s v="Pink"/>
    <n v="74.2"/>
    <x v="0"/>
    <n v="74.2"/>
    <d v="2025-08-06T00:00:00"/>
    <n v="22"/>
    <n v="1.7"/>
    <x v="0"/>
    <m/>
    <s v="OK"/>
    <n v="0"/>
    <s v="Correct Price"/>
    <n v="1632.4"/>
  </r>
  <r>
    <s v="FB000282"/>
    <x v="4"/>
    <x v="1"/>
    <x v="2"/>
    <s v="S"/>
    <s v="Brown"/>
    <n v="99.67"/>
    <x v="0"/>
    <n v="99.67"/>
    <d v="2025-08-06T00:00:00"/>
    <n v="13"/>
    <n v="5"/>
    <x v="0"/>
    <m/>
    <s v="OK"/>
    <n v="0"/>
    <s v="Correct Price"/>
    <n v="1295.71"/>
  </r>
  <r>
    <s v="FB000283"/>
    <x v="3"/>
    <x v="7"/>
    <x v="2"/>
    <s v="XS"/>
    <s v="Purple"/>
    <n v="112.74"/>
    <x v="103"/>
    <n v="86.81"/>
    <d v="2025-08-06T00:00:00"/>
    <n v="37"/>
    <n v="1"/>
    <x v="0"/>
    <m/>
    <s v="OK"/>
    <n v="25.930199999999999"/>
    <s v="Correct Price"/>
    <n v="3211.9700000000003"/>
  </r>
  <r>
    <s v="FB000284"/>
    <x v="1"/>
    <x v="2"/>
    <x v="3"/>
    <s v="S"/>
    <s v="Black"/>
    <n v="95.82"/>
    <x v="104"/>
    <n v="58.07"/>
    <d v="2025-08-06T00:00:00"/>
    <n v="6"/>
    <m/>
    <x v="1"/>
    <s v="Damaged"/>
    <s v="OK"/>
    <n v="37.753079999999997"/>
    <s v="Correct Price"/>
    <n v="348.42"/>
  </r>
  <r>
    <s v="FB000285"/>
    <x v="3"/>
    <x v="5"/>
    <x v="1"/>
    <s v="M"/>
    <s v="Green"/>
    <n v="157.41999999999999"/>
    <x v="0"/>
    <n v="157.41999999999999"/>
    <d v="2025-08-06T00:00:00"/>
    <n v="38"/>
    <n v="2.4"/>
    <x v="0"/>
    <m/>
    <s v="OK"/>
    <n v="0"/>
    <s v="Correct Price"/>
    <n v="5981.9599999999991"/>
  </r>
  <r>
    <s v="FB000286"/>
    <x v="2"/>
    <x v="0"/>
    <x v="2"/>
    <m/>
    <s v="Red"/>
    <n v="60.17"/>
    <x v="105"/>
    <n v="51.69"/>
    <d v="2025-08-06T00:00:00"/>
    <n v="38"/>
    <n v="5"/>
    <x v="0"/>
    <m/>
    <s v="OK"/>
    <n v="8.4839700000000011"/>
    <s v="Correct Price"/>
    <n v="1964.2199999999998"/>
  </r>
  <r>
    <s v="FB000287"/>
    <x v="0"/>
    <x v="3"/>
    <x v="1"/>
    <s v="XL"/>
    <s v="Pink"/>
    <n v="169.03"/>
    <x v="0"/>
    <n v="169.03"/>
    <d v="2025-08-06T00:00:00"/>
    <n v="16"/>
    <n v="1.7"/>
    <x v="0"/>
    <m/>
    <s v="OK"/>
    <n v="0"/>
    <s v="Correct Price"/>
    <n v="2704.48"/>
  </r>
  <r>
    <s v="FB000288"/>
    <x v="5"/>
    <x v="1"/>
    <x v="2"/>
    <s v="S"/>
    <s v="Pink"/>
    <n v="175.86"/>
    <x v="0"/>
    <n v="175.86"/>
    <d v="2025-08-06T00:00:00"/>
    <n v="0"/>
    <n v="4.5999999999999996"/>
    <x v="0"/>
    <m/>
    <s v="OK"/>
    <n v="0"/>
    <s v="Correct Price"/>
    <n v="0"/>
  </r>
  <r>
    <s v="FB000289"/>
    <x v="3"/>
    <x v="3"/>
    <x v="3"/>
    <m/>
    <s v="Brown"/>
    <n v="169.75"/>
    <x v="0"/>
    <n v="169.75"/>
    <d v="2025-08-06T00:00:00"/>
    <n v="5"/>
    <n v="2.7"/>
    <x v="0"/>
    <m/>
    <s v="OK"/>
    <n v="0"/>
    <s v="Correct Price"/>
    <n v="848.75"/>
  </r>
  <r>
    <s v="FB000290"/>
    <x v="2"/>
    <x v="4"/>
    <x v="3"/>
    <m/>
    <s v="Red"/>
    <n v="51.77"/>
    <x v="106"/>
    <n v="39.19"/>
    <d v="2025-08-06T00:00:00"/>
    <n v="50"/>
    <n v="3.7"/>
    <x v="0"/>
    <m/>
    <s v="OK"/>
    <n v="12.580110000000001"/>
    <s v="Correct Price"/>
    <n v="1959.5"/>
  </r>
  <r>
    <s v="FB000291"/>
    <x v="1"/>
    <x v="3"/>
    <x v="2"/>
    <s v="M"/>
    <s v="Black"/>
    <n v="83.09"/>
    <x v="0"/>
    <n v="83.09"/>
    <d v="2025-08-06T00:00:00"/>
    <n v="22"/>
    <n v="2.2999999999999998"/>
    <x v="0"/>
    <m/>
    <s v="OK"/>
    <n v="0"/>
    <s v="Correct Price"/>
    <n v="1827.98"/>
  </r>
  <r>
    <s v="FB000292"/>
    <x v="0"/>
    <x v="5"/>
    <x v="1"/>
    <s v="XS"/>
    <s v="Purple"/>
    <n v="176.1"/>
    <x v="0"/>
    <n v="176.1"/>
    <d v="2025-08-06T00:00:00"/>
    <n v="12"/>
    <n v="4.5999999999999996"/>
    <x v="0"/>
    <m/>
    <s v="OK"/>
    <n v="0"/>
    <s v="Correct Price"/>
    <n v="2113.1999999999998"/>
  </r>
  <r>
    <s v="FB000293"/>
    <x v="4"/>
    <x v="3"/>
    <x v="2"/>
    <s v="M"/>
    <s v="Blue"/>
    <n v="69.11"/>
    <x v="0"/>
    <n v="69.11"/>
    <d v="2025-08-06T00:00:00"/>
    <n v="18"/>
    <n v="3.9"/>
    <x v="0"/>
    <m/>
    <s v="OK"/>
    <n v="0"/>
    <s v="Correct Price"/>
    <n v="1243.98"/>
  </r>
  <r>
    <s v="FB000294"/>
    <x v="3"/>
    <x v="0"/>
    <x v="0"/>
    <s v="S"/>
    <s v="Purple"/>
    <n v="117.85"/>
    <x v="0"/>
    <n v="117.85"/>
    <d v="2024-12-23T00:00:00"/>
    <n v="34"/>
    <n v="3.3"/>
    <x v="0"/>
    <m/>
    <s v="OK"/>
    <n v="0"/>
    <s v="Correct Price"/>
    <n v="4006.8999999999996"/>
  </r>
  <r>
    <s v="FB000295"/>
    <x v="3"/>
    <x v="2"/>
    <x v="2"/>
    <s v="M"/>
    <s v="Purple"/>
    <n v="96.17"/>
    <x v="10"/>
    <n v="61.55"/>
    <d v="2025-08-06T00:00:00"/>
    <n v="45"/>
    <n v="3.5"/>
    <x v="0"/>
    <m/>
    <s v="OK"/>
    <n v="34.621200000000002"/>
    <s v="Correct Price"/>
    <n v="2769.75"/>
  </r>
  <r>
    <s v="FB000296"/>
    <x v="3"/>
    <x v="0"/>
    <x v="0"/>
    <s v="XXL"/>
    <s v="Red"/>
    <n v="80.14"/>
    <x v="0"/>
    <n v="80.14"/>
    <d v="2025-03-31T00:00:00"/>
    <n v="10"/>
    <n v="5"/>
    <x v="0"/>
    <m/>
    <s v="OK"/>
    <n v="0"/>
    <s v="Correct Price"/>
    <n v="801.4"/>
  </r>
  <r>
    <s v="FB000297"/>
    <x v="2"/>
    <x v="6"/>
    <x v="3"/>
    <m/>
    <s v="Pink"/>
    <n v="55.08"/>
    <x v="74"/>
    <n v="47.92"/>
    <d v="2025-08-06T00:00:00"/>
    <n v="17"/>
    <n v="3.9"/>
    <x v="0"/>
    <m/>
    <s v="OK"/>
    <n v="7.1603999999999992"/>
    <s v="Correct Price"/>
    <n v="814.64"/>
  </r>
  <r>
    <s v="FB000298"/>
    <x v="5"/>
    <x v="3"/>
    <x v="2"/>
    <s v="S"/>
    <s v="Pink"/>
    <n v="165.84"/>
    <x v="107"/>
    <n v="82.26"/>
    <d v="2025-08-06T00:00:00"/>
    <n v="17"/>
    <n v="3.2"/>
    <x v="1"/>
    <s v="Damaged"/>
    <s v="OK"/>
    <n v="83.583359999999999"/>
    <s v="Correct Price"/>
    <n v="1398.42"/>
  </r>
  <r>
    <s v="FB000299"/>
    <x v="5"/>
    <x v="6"/>
    <x v="3"/>
    <s v="XXL"/>
    <s v="Red"/>
    <n v="82.7"/>
    <x v="0"/>
    <n v="82.7"/>
    <d v="2025-08-06T00:00:00"/>
    <n v="20"/>
    <n v="4"/>
    <x v="0"/>
    <m/>
    <s v="OK"/>
    <n v="0"/>
    <s v="Correct Price"/>
    <n v="1654"/>
  </r>
  <r>
    <s v="FB000300"/>
    <x v="0"/>
    <x v="2"/>
    <x v="0"/>
    <s v="S"/>
    <s v="Purple"/>
    <n v="222.86"/>
    <x v="24"/>
    <n v="208.15"/>
    <d v="2024-12-19T00:00:00"/>
    <n v="29"/>
    <n v="2.1"/>
    <x v="0"/>
    <m/>
    <s v="OK"/>
    <n v="14.70876"/>
    <s v="Correct Price"/>
    <n v="6036.35"/>
  </r>
  <r>
    <s v="FB000301"/>
    <x v="1"/>
    <x v="3"/>
    <x v="1"/>
    <s v="L"/>
    <s v="Gray"/>
    <n v="107.15"/>
    <x v="0"/>
    <n v="107.15"/>
    <d v="2025-08-06T00:00:00"/>
    <n v="33"/>
    <m/>
    <x v="1"/>
    <s v="Wrong Item"/>
    <s v="OK"/>
    <n v="0"/>
    <s v="Correct Price"/>
    <n v="3535.9500000000003"/>
  </r>
  <r>
    <s v="FB000302"/>
    <x v="3"/>
    <x v="4"/>
    <x v="2"/>
    <s v="XXL"/>
    <s v="Gray"/>
    <n v="85.54"/>
    <x v="0"/>
    <n v="85.54"/>
    <d v="2025-08-06T00:00:00"/>
    <n v="30"/>
    <m/>
    <x v="0"/>
    <m/>
    <s v="OK"/>
    <n v="0"/>
    <s v="Correct Price"/>
    <n v="2566.2000000000003"/>
  </r>
  <r>
    <s v="FB000303"/>
    <x v="4"/>
    <x v="3"/>
    <x v="3"/>
    <s v="XL"/>
    <s v="Green"/>
    <n v="34.36"/>
    <x v="108"/>
    <n v="32.5"/>
    <d v="2025-08-06T00:00:00"/>
    <n v="49"/>
    <n v="4.5"/>
    <x v="0"/>
    <m/>
    <s v="OK"/>
    <n v="1.8554400000000002"/>
    <s v="Correct Price"/>
    <n v="1592.5"/>
  </r>
  <r>
    <s v="FB000304"/>
    <x v="4"/>
    <x v="3"/>
    <x v="1"/>
    <s v="XL"/>
    <s v="Black"/>
    <n v="111.25"/>
    <x v="109"/>
    <n v="64.3"/>
    <d v="2025-08-06T00:00:00"/>
    <n v="34"/>
    <n v="3"/>
    <x v="0"/>
    <m/>
    <s v="OK"/>
    <n v="46.947499999999998"/>
    <s v="Correct Price"/>
    <n v="2186.1999999999998"/>
  </r>
  <r>
    <s v="FB000305"/>
    <x v="1"/>
    <x v="0"/>
    <x v="0"/>
    <s v="XXL"/>
    <s v="Pink"/>
    <n v="39.97"/>
    <x v="110"/>
    <n v="25.9"/>
    <d v="2025-01-22T00:00:00"/>
    <n v="15"/>
    <n v="2.2999999999999998"/>
    <x v="0"/>
    <m/>
    <s v="OK"/>
    <n v="14.06944"/>
    <s v="Correct Price"/>
    <n v="388.5"/>
  </r>
  <r>
    <s v="FB000306"/>
    <x v="3"/>
    <x v="7"/>
    <x v="3"/>
    <s v="M"/>
    <s v="White"/>
    <n v="60.34"/>
    <x v="0"/>
    <n v="60.34"/>
    <d v="2025-08-06T00:00:00"/>
    <n v="4"/>
    <m/>
    <x v="0"/>
    <m/>
    <s v="OK"/>
    <n v="0"/>
    <s v="Correct Price"/>
    <n v="241.36"/>
  </r>
  <r>
    <s v="FB000307"/>
    <x v="2"/>
    <x v="6"/>
    <x v="3"/>
    <m/>
    <s v="Blue"/>
    <n v="17.7"/>
    <x v="0"/>
    <n v="17.7"/>
    <d v="2025-08-06T00:00:00"/>
    <n v="42"/>
    <n v="3.9"/>
    <x v="0"/>
    <m/>
    <s v="OK"/>
    <n v="0"/>
    <s v="Correct Price"/>
    <n v="743.4"/>
  </r>
  <r>
    <s v="FB000308"/>
    <x v="4"/>
    <x v="3"/>
    <x v="3"/>
    <s v="M"/>
    <s v="White"/>
    <n v="57.88"/>
    <x v="0"/>
    <n v="57.88"/>
    <d v="2025-08-06T00:00:00"/>
    <n v="39"/>
    <n v="3"/>
    <x v="0"/>
    <m/>
    <s v="OK"/>
    <n v="0"/>
    <s v="Correct Price"/>
    <n v="2257.3200000000002"/>
  </r>
  <r>
    <s v="FB000309"/>
    <x v="1"/>
    <x v="3"/>
    <x v="3"/>
    <s v="S"/>
    <s v="Blue"/>
    <n v="25.15"/>
    <x v="0"/>
    <n v="25.15"/>
    <d v="2025-08-06T00:00:00"/>
    <n v="34"/>
    <n v="2.6"/>
    <x v="0"/>
    <m/>
    <s v="OK"/>
    <n v="0"/>
    <s v="Correct Price"/>
    <n v="855.09999999999991"/>
  </r>
  <r>
    <s v="FB000310"/>
    <x v="0"/>
    <x v="3"/>
    <x v="0"/>
    <s v="L"/>
    <s v="Purple"/>
    <n v="157.44999999999999"/>
    <x v="0"/>
    <n v="157.44999999999999"/>
    <d v="2025-05-26T00:00:00"/>
    <n v="7"/>
    <n v="2.9"/>
    <x v="0"/>
    <m/>
    <s v="OK"/>
    <n v="0"/>
    <s v="Correct Price"/>
    <n v="1102.1499999999999"/>
  </r>
  <r>
    <s v="FB000311"/>
    <x v="4"/>
    <x v="4"/>
    <x v="1"/>
    <s v="L"/>
    <s v="Purple"/>
    <n v="65.72"/>
    <x v="111"/>
    <n v="59.74"/>
    <d v="2025-08-06T00:00:00"/>
    <n v="10"/>
    <n v="2.8"/>
    <x v="1"/>
    <s v="Quality Issue"/>
    <s v="OK"/>
    <n v="5.9805200000000003"/>
    <s v="Correct Price"/>
    <n v="597.4"/>
  </r>
  <r>
    <s v="FB000312"/>
    <x v="5"/>
    <x v="7"/>
    <x v="1"/>
    <s v="XXL"/>
    <s v="Brown"/>
    <n v="92.8"/>
    <x v="0"/>
    <n v="92.8"/>
    <d v="2025-08-06T00:00:00"/>
    <n v="25"/>
    <n v="2.5"/>
    <x v="0"/>
    <m/>
    <s v="OK"/>
    <n v="0"/>
    <s v="Correct Price"/>
    <n v="2320"/>
  </r>
  <r>
    <s v="FB000313"/>
    <x v="5"/>
    <x v="2"/>
    <x v="1"/>
    <s v="XL"/>
    <s v="Blue"/>
    <n v="88.65"/>
    <x v="0"/>
    <n v="88.65"/>
    <d v="2025-08-06T00:00:00"/>
    <n v="11"/>
    <n v="3.3"/>
    <x v="0"/>
    <m/>
    <s v="OK"/>
    <n v="0"/>
    <s v="Correct Price"/>
    <n v="975.15000000000009"/>
  </r>
  <r>
    <s v="FB000314"/>
    <x v="1"/>
    <x v="0"/>
    <x v="1"/>
    <s v="XXL"/>
    <s v="Beige"/>
    <n v="47.07"/>
    <x v="112"/>
    <n v="20.05"/>
    <d v="2025-08-06T00:00:00"/>
    <n v="24"/>
    <n v="1.3"/>
    <x v="1"/>
    <s v="Size Issue"/>
    <s v="OK"/>
    <n v="27.018179999999997"/>
    <s v="Correct Price"/>
    <n v="481.20000000000005"/>
  </r>
  <r>
    <s v="FB000315"/>
    <x v="0"/>
    <x v="5"/>
    <x v="3"/>
    <s v="XS"/>
    <s v="Red"/>
    <n v="101.75"/>
    <x v="0"/>
    <n v="101.75"/>
    <d v="2025-08-06T00:00:00"/>
    <n v="7"/>
    <n v="3.1"/>
    <x v="0"/>
    <m/>
    <s v="OK"/>
    <n v="0"/>
    <s v="Correct Price"/>
    <n v="712.25"/>
  </r>
  <r>
    <s v="FB000316"/>
    <x v="5"/>
    <x v="3"/>
    <x v="0"/>
    <s v="XS"/>
    <s v="Blue"/>
    <n v="131.08000000000001"/>
    <x v="113"/>
    <n v="121.25"/>
    <d v="2024-12-04T00:00:00"/>
    <n v="20"/>
    <n v="4.5"/>
    <x v="1"/>
    <s v="Wrong Item"/>
    <s v="OK"/>
    <n v="9.8310000000000013"/>
    <s v="Correct Price"/>
    <n v="2425"/>
  </r>
  <r>
    <s v="FB000317"/>
    <x v="1"/>
    <x v="0"/>
    <x v="2"/>
    <s v="XS"/>
    <s v="Black"/>
    <n v="82.06"/>
    <x v="114"/>
    <n v="60.64"/>
    <d v="2025-08-06T00:00:00"/>
    <n v="32"/>
    <n v="1.5"/>
    <x v="0"/>
    <m/>
    <s v="OK"/>
    <n v="21.417660000000001"/>
    <s v="Correct Price"/>
    <n v="1940.48"/>
  </r>
  <r>
    <s v="FB000318"/>
    <x v="5"/>
    <x v="4"/>
    <x v="3"/>
    <s v="L"/>
    <s v="Purple"/>
    <n v="66.31"/>
    <x v="0"/>
    <n v="66.31"/>
    <d v="2025-08-06T00:00:00"/>
    <n v="47"/>
    <n v="3.9"/>
    <x v="0"/>
    <m/>
    <s v="OK"/>
    <n v="0"/>
    <s v="Correct Price"/>
    <n v="3116.57"/>
  </r>
  <r>
    <s v="FB000319"/>
    <x v="2"/>
    <x v="1"/>
    <x v="2"/>
    <m/>
    <s v="Green"/>
    <n v="26.03"/>
    <x v="0"/>
    <n v="26.03"/>
    <d v="2025-08-06T00:00:00"/>
    <n v="15"/>
    <n v="3.8"/>
    <x v="0"/>
    <m/>
    <s v="OK"/>
    <n v="0"/>
    <s v="Correct Price"/>
    <n v="390.45000000000005"/>
  </r>
  <r>
    <s v="FB000320"/>
    <x v="3"/>
    <x v="1"/>
    <x v="0"/>
    <s v="S"/>
    <s v="Beige"/>
    <n v="152.53"/>
    <x v="0"/>
    <n v="152.53"/>
    <d v="2024-11-21T00:00:00"/>
    <n v="24"/>
    <n v="4.2"/>
    <x v="0"/>
    <m/>
    <s v="OK"/>
    <n v="0"/>
    <s v="Correct Price"/>
    <n v="3660.7200000000003"/>
  </r>
  <r>
    <s v="FB000321"/>
    <x v="4"/>
    <x v="3"/>
    <x v="2"/>
    <s v="S"/>
    <s v="Beige"/>
    <n v="26.16"/>
    <x v="115"/>
    <n v="21.92"/>
    <d v="2025-08-06T00:00:00"/>
    <n v="13"/>
    <n v="2.2999999999999998"/>
    <x v="0"/>
    <m/>
    <s v="OK"/>
    <n v="4.2379199999999999"/>
    <s v="Correct Price"/>
    <n v="284.96000000000004"/>
  </r>
  <r>
    <s v="FB000322"/>
    <x v="5"/>
    <x v="1"/>
    <x v="1"/>
    <s v="XXL"/>
    <s v="Blue"/>
    <n v="89.17"/>
    <x v="116"/>
    <n v="79.540000000000006"/>
    <d v="2025-08-06T00:00:00"/>
    <n v="27"/>
    <n v="3.3"/>
    <x v="0"/>
    <m/>
    <s v="OK"/>
    <n v="9.6303600000000014"/>
    <s v="Correct Price"/>
    <n v="2147.5800000000004"/>
  </r>
  <r>
    <s v="FB000323"/>
    <x v="4"/>
    <x v="4"/>
    <x v="0"/>
    <m/>
    <s v="White"/>
    <n v="106.37"/>
    <x v="0"/>
    <n v="106.37"/>
    <d v="2025-04-06T00:00:00"/>
    <n v="37"/>
    <n v="4.9000000000000004"/>
    <x v="0"/>
    <m/>
    <s v="OK"/>
    <n v="0"/>
    <s v="Correct Price"/>
    <n v="3935.69"/>
  </r>
  <r>
    <s v="FB000324"/>
    <x v="5"/>
    <x v="3"/>
    <x v="2"/>
    <s v="XL"/>
    <s v="White"/>
    <n v="80.95"/>
    <x v="117"/>
    <n v="51.16"/>
    <d v="2025-08-06T00:00:00"/>
    <n v="16"/>
    <n v="2.5"/>
    <x v="0"/>
    <m/>
    <s v="OK"/>
    <n v="29.7896"/>
    <s v="Correct Price"/>
    <n v="818.56"/>
  </r>
  <r>
    <s v="FB000325"/>
    <x v="0"/>
    <x v="2"/>
    <x v="3"/>
    <s v="M"/>
    <s v="Navy"/>
    <n v="169.84"/>
    <x v="118"/>
    <n v="84.58"/>
    <d v="2025-08-06T00:00:00"/>
    <n v="21"/>
    <n v="3"/>
    <x v="1"/>
    <s v="Quality Issue"/>
    <s v="OK"/>
    <n v="85.259680000000003"/>
    <s v="Correct Price"/>
    <n v="1776.18"/>
  </r>
  <r>
    <s v="FB000326"/>
    <x v="5"/>
    <x v="7"/>
    <x v="2"/>
    <s v="M"/>
    <s v="Green"/>
    <n v="159.4"/>
    <x v="83"/>
    <n v="145.37"/>
    <d v="2025-08-06T00:00:00"/>
    <n v="43"/>
    <n v="4.5"/>
    <x v="0"/>
    <m/>
    <s v="OK"/>
    <n v="14.027200000000002"/>
    <s v="Correct Price"/>
    <n v="6250.91"/>
  </r>
  <r>
    <s v="FB000327"/>
    <x v="4"/>
    <x v="7"/>
    <x v="1"/>
    <s v="S"/>
    <s v="Black"/>
    <n v="106.53"/>
    <x v="119"/>
    <n v="56.99"/>
    <d v="2025-08-06T00:00:00"/>
    <n v="17"/>
    <m/>
    <x v="0"/>
    <m/>
    <s v="OK"/>
    <n v="49.536450000000002"/>
    <s v="Correct Price"/>
    <n v="968.83"/>
  </r>
  <r>
    <s v="FB000328"/>
    <x v="2"/>
    <x v="6"/>
    <x v="0"/>
    <m/>
    <s v="Black"/>
    <n v="78.81"/>
    <x v="98"/>
    <n v="43.58"/>
    <d v="2024-09-13T00:00:00"/>
    <n v="34"/>
    <n v="1.4"/>
    <x v="0"/>
    <m/>
    <s v="OK"/>
    <n v="35.228070000000002"/>
    <s v="Correct Price"/>
    <n v="1481.72"/>
  </r>
  <r>
    <s v="FB000329"/>
    <x v="0"/>
    <x v="1"/>
    <x v="3"/>
    <s v="XS"/>
    <s v="Gray"/>
    <n v="117.45"/>
    <x v="120"/>
    <n v="82.8"/>
    <d v="2025-08-06T00:00:00"/>
    <n v="43"/>
    <n v="1.2"/>
    <x v="0"/>
    <m/>
    <s v="OK"/>
    <n v="34.647750000000002"/>
    <s v="Correct Price"/>
    <n v="3560.4"/>
  </r>
  <r>
    <s v="FB000330"/>
    <x v="2"/>
    <x v="6"/>
    <x v="0"/>
    <m/>
    <s v="Beige"/>
    <n v="76.94"/>
    <x v="0"/>
    <n v="76.94"/>
    <d v="2025-06-13T00:00:00"/>
    <n v="21"/>
    <n v="4.3"/>
    <x v="0"/>
    <m/>
    <s v="OK"/>
    <n v="0"/>
    <s v="Correct Price"/>
    <n v="1615.74"/>
  </r>
  <r>
    <s v="FB000331"/>
    <x v="0"/>
    <x v="6"/>
    <x v="3"/>
    <s v="L"/>
    <s v="White"/>
    <n v="232.19"/>
    <x v="0"/>
    <n v="232.19"/>
    <d v="2025-08-06T00:00:00"/>
    <n v="31"/>
    <n v="1.3"/>
    <x v="1"/>
    <s v="Changed Mind"/>
    <s v="OK"/>
    <n v="0"/>
    <s v="Correct Price"/>
    <n v="7197.89"/>
  </r>
  <r>
    <s v="FB000332"/>
    <x v="5"/>
    <x v="7"/>
    <x v="2"/>
    <s v="XS"/>
    <s v="Navy"/>
    <n v="80.400000000000006"/>
    <x v="121"/>
    <n v="38.51"/>
    <d v="2025-08-06T00:00:00"/>
    <n v="7"/>
    <n v="1.2"/>
    <x v="0"/>
    <m/>
    <s v="OK"/>
    <n v="41.888400000000004"/>
    <s v="Correct Price"/>
    <n v="269.57"/>
  </r>
  <r>
    <s v="FB000333"/>
    <x v="4"/>
    <x v="3"/>
    <x v="3"/>
    <s v="XL"/>
    <s v="Black"/>
    <n v="102.82"/>
    <x v="0"/>
    <n v="102.82"/>
    <d v="2025-08-06T00:00:00"/>
    <n v="50"/>
    <n v="3.6"/>
    <x v="0"/>
    <m/>
    <s v="OK"/>
    <n v="0"/>
    <s v="Correct Price"/>
    <n v="5141"/>
  </r>
  <r>
    <s v="FB000334"/>
    <x v="2"/>
    <x v="0"/>
    <x v="0"/>
    <m/>
    <s v="Navy"/>
    <n v="48.5"/>
    <x v="0"/>
    <n v="48.5"/>
    <d v="2025-05-09T00:00:00"/>
    <n v="46"/>
    <m/>
    <x v="0"/>
    <m/>
    <s v="OK"/>
    <n v="0"/>
    <s v="Correct Price"/>
    <n v="2231"/>
  </r>
  <r>
    <s v="FB000335"/>
    <x v="4"/>
    <x v="3"/>
    <x v="2"/>
    <m/>
    <s v="Pink"/>
    <n v="88.4"/>
    <x v="0"/>
    <n v="88.4"/>
    <d v="2025-08-06T00:00:00"/>
    <n v="1"/>
    <n v="1.4"/>
    <x v="0"/>
    <m/>
    <s v="OK"/>
    <n v="0"/>
    <s v="Correct Price"/>
    <n v="88.4"/>
  </r>
  <r>
    <s v="FB000336"/>
    <x v="3"/>
    <x v="3"/>
    <x v="1"/>
    <s v="S"/>
    <s v="Black"/>
    <n v="112.5"/>
    <x v="0"/>
    <n v="112.5"/>
    <d v="2025-08-06T00:00:00"/>
    <n v="11"/>
    <n v="4.3"/>
    <x v="0"/>
    <m/>
    <s v="OK"/>
    <n v="0"/>
    <s v="Correct Price"/>
    <n v="1237.5"/>
  </r>
  <r>
    <s v="FB000337"/>
    <x v="4"/>
    <x v="0"/>
    <x v="2"/>
    <s v="XXL"/>
    <s v="Gray"/>
    <n v="97.95"/>
    <x v="122"/>
    <n v="87.08"/>
    <d v="2025-08-06T00:00:00"/>
    <n v="25"/>
    <n v="2.4"/>
    <x v="0"/>
    <m/>
    <s v="OK"/>
    <n v="10.872449999999999"/>
    <s v="Correct Price"/>
    <n v="2177"/>
  </r>
  <r>
    <s v="FB000338"/>
    <x v="0"/>
    <x v="4"/>
    <x v="3"/>
    <s v="M"/>
    <s v="Pink"/>
    <n v="114.51"/>
    <x v="123"/>
    <n v="72.260000000000005"/>
    <d v="2025-08-06T00:00:00"/>
    <n v="33"/>
    <n v="1.5"/>
    <x v="0"/>
    <m/>
    <s v="OK"/>
    <n v="42.254190000000001"/>
    <s v="Correct Price"/>
    <n v="2384.5800000000004"/>
  </r>
  <r>
    <s v="FB000339"/>
    <x v="4"/>
    <x v="0"/>
    <x v="1"/>
    <s v="XS"/>
    <s v="Brown"/>
    <n v="27.85"/>
    <x v="0"/>
    <n v="27.85"/>
    <d v="2025-08-06T00:00:00"/>
    <n v="0"/>
    <n v="1.5"/>
    <x v="0"/>
    <m/>
    <s v="OK"/>
    <n v="0"/>
    <s v="Correct Price"/>
    <n v="0"/>
  </r>
  <r>
    <s v="FB000340"/>
    <x v="3"/>
    <x v="5"/>
    <x v="0"/>
    <s v="XL"/>
    <s v="Blue"/>
    <n v="82.08"/>
    <x v="64"/>
    <n v="48.76"/>
    <d v="2025-05-23T00:00:00"/>
    <n v="43"/>
    <n v="2.5"/>
    <x v="1"/>
    <s v="Quality Issue"/>
    <s v="OK"/>
    <n v="33.324480000000001"/>
    <s v="Correct Price"/>
    <n v="2096.6799999999998"/>
  </r>
  <r>
    <s v="FB000341"/>
    <x v="4"/>
    <x v="3"/>
    <x v="3"/>
    <s v="S"/>
    <s v="Black"/>
    <n v="116.41"/>
    <x v="124"/>
    <n v="69.03"/>
    <d v="2025-08-06T00:00:00"/>
    <n v="23"/>
    <n v="1.2"/>
    <x v="0"/>
    <m/>
    <s v="OK"/>
    <n v="47.378870000000006"/>
    <s v="Correct Price"/>
    <n v="1587.69"/>
  </r>
  <r>
    <s v="FB000342"/>
    <x v="4"/>
    <x v="5"/>
    <x v="0"/>
    <s v="M"/>
    <s v="White"/>
    <n v="95.61"/>
    <x v="0"/>
    <n v="95.61"/>
    <d v="2025-06-10T00:00:00"/>
    <n v="47"/>
    <n v="4.7"/>
    <x v="1"/>
    <s v="Quality Issue"/>
    <s v="OK"/>
    <n v="0"/>
    <s v="Correct Price"/>
    <n v="4493.67"/>
  </r>
  <r>
    <s v="FB000343"/>
    <x v="3"/>
    <x v="3"/>
    <x v="2"/>
    <s v="M"/>
    <s v="White"/>
    <n v="70.040000000000006"/>
    <x v="0"/>
    <n v="70.040000000000006"/>
    <d v="2025-08-06T00:00:00"/>
    <n v="12"/>
    <n v="2.4"/>
    <x v="0"/>
    <m/>
    <s v="OK"/>
    <n v="0"/>
    <s v="Correct Price"/>
    <n v="840.48"/>
  </r>
  <r>
    <s v="FB000344"/>
    <x v="3"/>
    <x v="2"/>
    <x v="1"/>
    <s v="S"/>
    <s v="Gray"/>
    <n v="112.59"/>
    <x v="125"/>
    <n v="51.79"/>
    <d v="2025-08-06T00:00:00"/>
    <n v="17"/>
    <n v="4"/>
    <x v="0"/>
    <m/>
    <s v="OK"/>
    <n v="60.798600000000008"/>
    <s v="Correct Price"/>
    <n v="880.43"/>
  </r>
  <r>
    <s v="FB000345"/>
    <x v="2"/>
    <x v="0"/>
    <x v="3"/>
    <m/>
    <s v="Purple"/>
    <n v="26.8"/>
    <x v="126"/>
    <n v="26.56"/>
    <d v="2025-08-06T00:00:00"/>
    <n v="25"/>
    <n v="1.2"/>
    <x v="1"/>
    <s v="Color Mismatch"/>
    <s v="OK"/>
    <n v="0.2412"/>
    <s v="Correct Price"/>
    <n v="664"/>
  </r>
  <r>
    <s v="FB000346"/>
    <x v="1"/>
    <x v="4"/>
    <x v="3"/>
    <s v="L"/>
    <s v="Blue"/>
    <n v="50.09"/>
    <x v="0"/>
    <n v="50.09"/>
    <d v="2025-08-06T00:00:00"/>
    <n v="47"/>
    <n v="4"/>
    <x v="0"/>
    <m/>
    <s v="OK"/>
    <n v="0"/>
    <s v="Correct Price"/>
    <n v="2354.23"/>
  </r>
  <r>
    <s v="FB000347"/>
    <x v="4"/>
    <x v="3"/>
    <x v="0"/>
    <s v="XS"/>
    <s v="Green"/>
    <n v="92.84"/>
    <x v="127"/>
    <n v="88.94"/>
    <d v="2025-01-13T00:00:00"/>
    <n v="0"/>
    <m/>
    <x v="1"/>
    <s v="Size Issue"/>
    <s v="OK"/>
    <n v="3.8992800000000005"/>
    <s v="Correct Price"/>
    <n v="0"/>
  </r>
  <r>
    <s v="FB000348"/>
    <x v="1"/>
    <x v="1"/>
    <x v="3"/>
    <s v="XXL"/>
    <s v="Gray"/>
    <n v="114.63"/>
    <x v="0"/>
    <n v="114.63"/>
    <d v="2025-08-06T00:00:00"/>
    <n v="47"/>
    <n v="3.8"/>
    <x v="1"/>
    <s v="Changed Mind"/>
    <s v="OK"/>
    <n v="0"/>
    <s v="Correct Price"/>
    <n v="5387.61"/>
  </r>
  <r>
    <s v="FB000349"/>
    <x v="2"/>
    <x v="6"/>
    <x v="3"/>
    <m/>
    <s v="Purple"/>
    <n v="21.9"/>
    <x v="128"/>
    <n v="15.51"/>
    <d v="2025-08-06T00:00:00"/>
    <n v="35"/>
    <n v="2"/>
    <x v="0"/>
    <m/>
    <s v="OK"/>
    <n v="6.3947999999999992"/>
    <s v="Correct Price"/>
    <n v="542.85"/>
  </r>
  <r>
    <s v="FB000350"/>
    <x v="5"/>
    <x v="0"/>
    <x v="0"/>
    <s v="XS"/>
    <s v="Navy"/>
    <n v="100.55"/>
    <x v="129"/>
    <n v="53.59"/>
    <d v="2025-02-01T00:00:00"/>
    <n v="30"/>
    <m/>
    <x v="0"/>
    <m/>
    <s v="OK"/>
    <n v="46.956850000000003"/>
    <s v="Correct Price"/>
    <n v="1607.7"/>
  </r>
  <r>
    <s v="FB000351"/>
    <x v="2"/>
    <x v="7"/>
    <x v="3"/>
    <m/>
    <s v="Brown"/>
    <n v="47.45"/>
    <x v="130"/>
    <n v="39.67"/>
    <d v="2025-08-06T00:00:00"/>
    <n v="33"/>
    <n v="1.7"/>
    <x v="0"/>
    <m/>
    <s v="OK"/>
    <n v="7.7817999999999996"/>
    <s v="Correct Price"/>
    <n v="1309.1100000000001"/>
  </r>
  <r>
    <s v="FB000352"/>
    <x v="4"/>
    <x v="4"/>
    <x v="3"/>
    <s v="XL"/>
    <s v="Brown"/>
    <n v="113.21"/>
    <x v="0"/>
    <n v="113.21"/>
    <d v="2025-08-06T00:00:00"/>
    <n v="8"/>
    <n v="2.7"/>
    <x v="0"/>
    <m/>
    <s v="OK"/>
    <n v="0"/>
    <s v="Correct Price"/>
    <n v="905.68"/>
  </r>
  <r>
    <s v="FB000353"/>
    <x v="5"/>
    <x v="2"/>
    <x v="0"/>
    <s v="XS"/>
    <s v="Black"/>
    <n v="163.27000000000001"/>
    <x v="0"/>
    <n v="163.27000000000001"/>
    <d v="2025-04-23T00:00:00"/>
    <n v="24"/>
    <n v="2.5"/>
    <x v="0"/>
    <m/>
    <s v="OK"/>
    <n v="0"/>
    <s v="Correct Price"/>
    <n v="3918.4800000000005"/>
  </r>
  <r>
    <s v="FB000354"/>
    <x v="2"/>
    <x v="1"/>
    <x v="2"/>
    <m/>
    <s v="Black"/>
    <n v="44.58"/>
    <x v="0"/>
    <n v="44.58"/>
    <d v="2025-08-06T00:00:00"/>
    <n v="21"/>
    <m/>
    <x v="0"/>
    <m/>
    <s v="OK"/>
    <n v="0"/>
    <s v="Correct Price"/>
    <n v="936.18"/>
  </r>
  <r>
    <s v="FB000355"/>
    <x v="5"/>
    <x v="7"/>
    <x v="3"/>
    <s v="L"/>
    <s v="Red"/>
    <n v="166.53"/>
    <x v="0"/>
    <n v="166.53"/>
    <d v="2025-08-06T00:00:00"/>
    <n v="28"/>
    <n v="1.7"/>
    <x v="0"/>
    <m/>
    <s v="OK"/>
    <n v="0"/>
    <s v="Correct Price"/>
    <n v="4662.84"/>
  </r>
  <r>
    <s v="FB000356"/>
    <x v="3"/>
    <x v="2"/>
    <x v="3"/>
    <s v="XL"/>
    <s v="Pink"/>
    <n v="144.61000000000001"/>
    <x v="0"/>
    <n v="144.61000000000001"/>
    <d v="2025-08-06T00:00:00"/>
    <n v="21"/>
    <n v="2.5"/>
    <x v="0"/>
    <m/>
    <s v="OK"/>
    <n v="0"/>
    <s v="Correct Price"/>
    <n v="3036.8100000000004"/>
  </r>
  <r>
    <s v="FB000357"/>
    <x v="2"/>
    <x v="3"/>
    <x v="2"/>
    <m/>
    <s v="Navy"/>
    <n v="31"/>
    <x v="0"/>
    <n v="31"/>
    <d v="2025-08-06T00:00:00"/>
    <n v="29"/>
    <n v="1.9"/>
    <x v="0"/>
    <m/>
    <s v="OK"/>
    <n v="0"/>
    <s v="Correct Price"/>
    <n v="899"/>
  </r>
  <r>
    <s v="FB000358"/>
    <x v="2"/>
    <x v="7"/>
    <x v="1"/>
    <m/>
    <s v="Pink"/>
    <n v="68.569999999999993"/>
    <x v="62"/>
    <n v="48.41"/>
    <d v="2025-08-06T00:00:00"/>
    <n v="4"/>
    <n v="3.5"/>
    <x v="0"/>
    <m/>
    <s v="OK"/>
    <n v="20.159579999999995"/>
    <s v="Correct Price"/>
    <n v="193.64"/>
  </r>
  <r>
    <s v="FB000359"/>
    <x v="5"/>
    <x v="7"/>
    <x v="3"/>
    <s v="L"/>
    <s v="Red"/>
    <n v="73.040000000000006"/>
    <x v="131"/>
    <n v="31.77"/>
    <d v="2025-08-06T00:00:00"/>
    <n v="15"/>
    <n v="3"/>
    <x v="1"/>
    <s v="Changed Mind"/>
    <s v="OK"/>
    <n v="41.267600000000002"/>
    <s v="Correct Price"/>
    <n v="476.55"/>
  </r>
  <r>
    <s v="FB000360"/>
    <x v="1"/>
    <x v="4"/>
    <x v="0"/>
    <s v="L"/>
    <s v="Purple"/>
    <n v="95.19"/>
    <x v="0"/>
    <n v="95.19"/>
    <d v="2025-02-09T00:00:00"/>
    <n v="13"/>
    <n v="4.0999999999999996"/>
    <x v="0"/>
    <m/>
    <s v="OK"/>
    <n v="0"/>
    <s v="Correct Price"/>
    <n v="1237.47"/>
  </r>
  <r>
    <s v="FB000361"/>
    <x v="1"/>
    <x v="6"/>
    <x v="1"/>
    <s v="XS"/>
    <s v="Purple"/>
    <n v="104.94"/>
    <x v="0"/>
    <n v="104.94"/>
    <d v="2025-08-06T00:00:00"/>
    <n v="42"/>
    <n v="2"/>
    <x v="0"/>
    <m/>
    <s v="OK"/>
    <n v="0"/>
    <s v="Correct Price"/>
    <n v="4407.4799999999996"/>
  </r>
  <r>
    <s v="FB000362"/>
    <x v="4"/>
    <x v="6"/>
    <x v="0"/>
    <s v="XXL"/>
    <s v="Beige"/>
    <n v="97.29"/>
    <x v="0"/>
    <n v="97.29"/>
    <d v="2025-07-29T00:00:00"/>
    <n v="42"/>
    <n v="4.5"/>
    <x v="0"/>
    <m/>
    <s v="OK"/>
    <n v="0"/>
    <s v="Correct Price"/>
    <n v="4086.1800000000003"/>
  </r>
  <r>
    <s v="FB000363"/>
    <x v="3"/>
    <x v="3"/>
    <x v="1"/>
    <s v="L"/>
    <s v="White"/>
    <n v="83.05"/>
    <x v="69"/>
    <n v="50"/>
    <d v="2025-08-06T00:00:00"/>
    <n v="5"/>
    <n v="3.4"/>
    <x v="0"/>
    <m/>
    <s v="OK"/>
    <n v="33.053899999999999"/>
    <s v="Correct Price"/>
    <n v="250"/>
  </r>
  <r>
    <s v="FB000364"/>
    <x v="0"/>
    <x v="1"/>
    <x v="2"/>
    <s v="S"/>
    <s v="Beige"/>
    <n v="86.13"/>
    <x v="0"/>
    <n v="86.13"/>
    <d v="2025-08-06T00:00:00"/>
    <n v="28"/>
    <n v="2.7"/>
    <x v="0"/>
    <m/>
    <s v="OK"/>
    <n v="0"/>
    <s v="Correct Price"/>
    <n v="2411.64"/>
  </r>
  <r>
    <s v="FB000365"/>
    <x v="4"/>
    <x v="2"/>
    <x v="3"/>
    <s v="S"/>
    <s v="White"/>
    <n v="104.13"/>
    <x v="132"/>
    <n v="74.239999999999995"/>
    <d v="2025-08-06T00:00:00"/>
    <n v="23"/>
    <n v="3.1"/>
    <x v="0"/>
    <m/>
    <s v="OK"/>
    <n v="29.88531"/>
    <s v="Correct Price"/>
    <n v="1707.52"/>
  </r>
  <r>
    <s v="FB000366"/>
    <x v="2"/>
    <x v="1"/>
    <x v="2"/>
    <m/>
    <s v="Green"/>
    <n v="41.7"/>
    <x v="0"/>
    <n v="41.7"/>
    <d v="2025-08-06T00:00:00"/>
    <n v="18"/>
    <n v="3.2"/>
    <x v="0"/>
    <m/>
    <s v="OK"/>
    <n v="0"/>
    <s v="Correct Price"/>
    <n v="750.6"/>
  </r>
  <r>
    <s v="FB000367"/>
    <x v="0"/>
    <x v="2"/>
    <x v="0"/>
    <s v="L"/>
    <s v="White"/>
    <n v="80.11"/>
    <x v="0"/>
    <n v="80.11"/>
    <d v="2025-04-16T00:00:00"/>
    <n v="34"/>
    <n v="1.8"/>
    <x v="0"/>
    <m/>
    <s v="OK"/>
    <n v="0"/>
    <s v="Correct Price"/>
    <n v="2723.74"/>
  </r>
  <r>
    <s v="FB000368"/>
    <x v="1"/>
    <x v="5"/>
    <x v="2"/>
    <s v="L"/>
    <s v="White"/>
    <n v="97.84"/>
    <x v="0"/>
    <n v="97.84"/>
    <d v="2025-08-06T00:00:00"/>
    <n v="16"/>
    <m/>
    <x v="0"/>
    <m/>
    <s v="OK"/>
    <n v="0"/>
    <s v="Correct Price"/>
    <n v="1565.44"/>
  </r>
  <r>
    <s v="FB000369"/>
    <x v="4"/>
    <x v="6"/>
    <x v="2"/>
    <s v="XL"/>
    <s v="Beige"/>
    <n v="77.37"/>
    <x v="110"/>
    <n v="50.14"/>
    <d v="2025-08-06T00:00:00"/>
    <n v="14"/>
    <n v="2.2999999999999998"/>
    <x v="0"/>
    <m/>
    <s v="OK"/>
    <n v="27.234240000000003"/>
    <s v="Correct Price"/>
    <n v="701.96"/>
  </r>
  <r>
    <s v="FB000370"/>
    <x v="2"/>
    <x v="4"/>
    <x v="2"/>
    <m/>
    <s v="Red"/>
    <n v="36.35"/>
    <x v="133"/>
    <n v="22.68"/>
    <d v="2025-08-06T00:00:00"/>
    <n v="49"/>
    <n v="4"/>
    <x v="1"/>
    <s v="Changed Mind"/>
    <s v="OK"/>
    <n v="13.667600000000002"/>
    <s v="Correct Price"/>
    <n v="1111.32"/>
  </r>
  <r>
    <s v="FB000371"/>
    <x v="0"/>
    <x v="2"/>
    <x v="1"/>
    <s v="XXL"/>
    <s v="Green"/>
    <n v="181.04"/>
    <x v="134"/>
    <n v="144.47"/>
    <d v="2025-08-06T00:00:00"/>
    <n v="17"/>
    <m/>
    <x v="1"/>
    <s v="Size Issue"/>
    <s v="OK"/>
    <n v="36.570079999999997"/>
    <s v="Correct Price"/>
    <n v="2455.9899999999998"/>
  </r>
  <r>
    <s v="FB000372"/>
    <x v="0"/>
    <x v="0"/>
    <x v="0"/>
    <s v="XL"/>
    <s v="Black"/>
    <n v="158.37"/>
    <x v="0"/>
    <n v="158.37"/>
    <d v="2025-02-15T00:00:00"/>
    <n v="33"/>
    <m/>
    <x v="0"/>
    <m/>
    <s v="OK"/>
    <n v="0"/>
    <s v="Correct Price"/>
    <n v="5226.21"/>
  </r>
  <r>
    <s v="FB000373"/>
    <x v="3"/>
    <x v="7"/>
    <x v="3"/>
    <s v="XXL"/>
    <s v="Purple"/>
    <n v="91.98"/>
    <x v="0"/>
    <n v="91.98"/>
    <d v="2025-08-06T00:00:00"/>
    <n v="48"/>
    <n v="3.9"/>
    <x v="0"/>
    <m/>
    <s v="OK"/>
    <n v="0"/>
    <s v="Correct Price"/>
    <n v="4415.04"/>
  </r>
  <r>
    <s v="FB000374"/>
    <x v="3"/>
    <x v="0"/>
    <x v="1"/>
    <s v="S"/>
    <s v="Brown"/>
    <n v="140.29"/>
    <x v="38"/>
    <n v="62.71"/>
    <d v="2025-08-06T00:00:00"/>
    <n v="5"/>
    <n v="4.4000000000000004"/>
    <x v="0"/>
    <m/>
    <s v="OK"/>
    <n v="77.580369999999988"/>
    <s v="Correct Price"/>
    <n v="313.55"/>
  </r>
  <r>
    <s v="FB000375"/>
    <x v="1"/>
    <x v="1"/>
    <x v="0"/>
    <s v="XL"/>
    <s v="Red"/>
    <n v="26.01"/>
    <x v="0"/>
    <n v="26.01"/>
    <d v="2025-02-23T00:00:00"/>
    <n v="9"/>
    <n v="4"/>
    <x v="0"/>
    <m/>
    <s v="OK"/>
    <n v="0"/>
    <s v="Correct Price"/>
    <n v="234.09"/>
  </r>
  <r>
    <s v="FB000376"/>
    <x v="1"/>
    <x v="7"/>
    <x v="1"/>
    <s v="XL"/>
    <s v="Blue"/>
    <n v="51.06"/>
    <x v="29"/>
    <n v="46.21"/>
    <d v="2025-08-06T00:00:00"/>
    <n v="34"/>
    <n v="1.1000000000000001"/>
    <x v="0"/>
    <m/>
    <s v="OK"/>
    <n v="4.8507000000000007"/>
    <s v="Correct Price"/>
    <n v="1571.14"/>
  </r>
  <r>
    <s v="FB000377"/>
    <x v="0"/>
    <x v="6"/>
    <x v="2"/>
    <s v="XS"/>
    <s v="Red"/>
    <n v="132.91999999999999"/>
    <x v="0"/>
    <n v="132.91999999999999"/>
    <d v="2025-08-06T00:00:00"/>
    <n v="36"/>
    <n v="1.2"/>
    <x v="0"/>
    <m/>
    <s v="OK"/>
    <n v="0"/>
    <s v="Correct Price"/>
    <n v="4785.12"/>
  </r>
  <r>
    <s v="FB000378"/>
    <x v="2"/>
    <x v="6"/>
    <x v="2"/>
    <m/>
    <s v="Purple"/>
    <n v="16.57"/>
    <x v="0"/>
    <n v="16.57"/>
    <d v="2025-08-06T00:00:00"/>
    <n v="17"/>
    <m/>
    <x v="0"/>
    <m/>
    <s v="OK"/>
    <n v="0"/>
    <s v="Correct Price"/>
    <n v="281.69"/>
  </r>
  <r>
    <s v="FB000379"/>
    <x v="4"/>
    <x v="7"/>
    <x v="1"/>
    <s v="XS"/>
    <s v="Black"/>
    <n v="78.599999999999994"/>
    <x v="135"/>
    <n v="42.6"/>
    <d v="2025-08-06T00:00:00"/>
    <n v="6"/>
    <n v="2.7"/>
    <x v="0"/>
    <m/>
    <s v="OK"/>
    <n v="35.998799999999996"/>
    <s v="Correct Price"/>
    <n v="255.60000000000002"/>
  </r>
  <r>
    <s v="FB000380"/>
    <x v="2"/>
    <x v="3"/>
    <x v="3"/>
    <m/>
    <s v="Brown"/>
    <n v="69.38"/>
    <x v="0"/>
    <n v="69.38"/>
    <d v="2025-08-06T00:00:00"/>
    <n v="43"/>
    <n v="2.4"/>
    <x v="0"/>
    <m/>
    <s v="OK"/>
    <n v="0"/>
    <s v="Correct Price"/>
    <n v="2983.3399999999997"/>
  </r>
  <r>
    <s v="FB000381"/>
    <x v="2"/>
    <x v="3"/>
    <x v="2"/>
    <m/>
    <s v="Pink"/>
    <n v="23.58"/>
    <x v="0"/>
    <n v="23.58"/>
    <d v="2025-08-06T00:00:00"/>
    <n v="16"/>
    <n v="1.3"/>
    <x v="0"/>
    <m/>
    <s v="OK"/>
    <n v="0"/>
    <s v="Correct Price"/>
    <n v="377.28"/>
  </r>
  <r>
    <s v="FB000382"/>
    <x v="1"/>
    <x v="4"/>
    <x v="0"/>
    <s v="XS"/>
    <s v="Navy"/>
    <n v="119.91"/>
    <x v="136"/>
    <n v="86.58"/>
    <d v="2024-09-28T00:00:00"/>
    <n v="12"/>
    <n v="1.7"/>
    <x v="0"/>
    <m/>
    <s v="OK"/>
    <n v="33.334980000000002"/>
    <s v="Correct Price"/>
    <n v="1038.96"/>
  </r>
  <r>
    <s v="FB000383"/>
    <x v="0"/>
    <x v="4"/>
    <x v="3"/>
    <s v="M"/>
    <s v="Black"/>
    <n v="111.05"/>
    <x v="87"/>
    <n v="109.5"/>
    <d v="2025-08-06T00:00:00"/>
    <n v="7"/>
    <n v="2.8"/>
    <x v="0"/>
    <m/>
    <s v="OK"/>
    <n v="1.5547"/>
    <s v="Correct Price"/>
    <n v="766.5"/>
  </r>
  <r>
    <s v="FB000384"/>
    <x v="2"/>
    <x v="2"/>
    <x v="3"/>
    <m/>
    <s v="Gray"/>
    <n v="60.22"/>
    <x v="0"/>
    <n v="60.22"/>
    <d v="2025-08-06T00:00:00"/>
    <n v="6"/>
    <n v="2.1"/>
    <x v="0"/>
    <m/>
    <s v="OK"/>
    <n v="0"/>
    <s v="Correct Price"/>
    <n v="361.32"/>
  </r>
  <r>
    <s v="FB000385"/>
    <x v="0"/>
    <x v="6"/>
    <x v="1"/>
    <s v="M"/>
    <s v="Navy"/>
    <n v="133.52000000000001"/>
    <x v="0"/>
    <n v="133.52000000000001"/>
    <d v="2025-08-06T00:00:00"/>
    <n v="27"/>
    <n v="3.6"/>
    <x v="0"/>
    <m/>
    <s v="OK"/>
    <n v="0"/>
    <s v="Correct Price"/>
    <n v="3605.0400000000004"/>
  </r>
  <r>
    <s v="FB000386"/>
    <x v="5"/>
    <x v="2"/>
    <x v="0"/>
    <s v="XL"/>
    <s v="Brown"/>
    <n v="54.97"/>
    <x v="137"/>
    <n v="27.7"/>
    <d v="2024-10-08T00:00:00"/>
    <n v="48"/>
    <n v="4.5"/>
    <x v="0"/>
    <m/>
    <s v="OK"/>
    <n v="27.265120000000003"/>
    <s v="Correct Price"/>
    <n v="1329.6"/>
  </r>
  <r>
    <s v="FB000387"/>
    <x v="1"/>
    <x v="1"/>
    <x v="1"/>
    <s v="L"/>
    <s v="White"/>
    <n v="85.94"/>
    <x v="0"/>
    <n v="85.94"/>
    <d v="2025-08-06T00:00:00"/>
    <n v="42"/>
    <n v="4.3"/>
    <x v="0"/>
    <m/>
    <s v="OK"/>
    <n v="0"/>
    <s v="Correct Price"/>
    <n v="3609.48"/>
  </r>
  <r>
    <s v="FB000388"/>
    <x v="2"/>
    <x v="4"/>
    <x v="2"/>
    <m/>
    <s v="Black"/>
    <n v="24.64"/>
    <x v="0"/>
    <n v="24.64"/>
    <d v="2025-08-06T00:00:00"/>
    <n v="6"/>
    <n v="4.4000000000000004"/>
    <x v="0"/>
    <m/>
    <s v="OK"/>
    <n v="0"/>
    <s v="Correct Price"/>
    <n v="147.84"/>
  </r>
  <r>
    <s v="FB000389"/>
    <x v="2"/>
    <x v="2"/>
    <x v="0"/>
    <m/>
    <s v="Blue"/>
    <n v="28.82"/>
    <x v="0"/>
    <n v="28.82"/>
    <d v="2024-10-23T00:00:00"/>
    <n v="30"/>
    <n v="2.8"/>
    <x v="0"/>
    <m/>
    <s v="OK"/>
    <n v="0"/>
    <s v="Correct Price"/>
    <n v="864.6"/>
  </r>
  <r>
    <s v="FB000390"/>
    <x v="3"/>
    <x v="7"/>
    <x v="3"/>
    <s v="L"/>
    <s v="Pink"/>
    <n v="79.59"/>
    <x v="106"/>
    <n v="60.25"/>
    <d v="2025-08-06T00:00:00"/>
    <n v="37"/>
    <n v="1.7"/>
    <x v="0"/>
    <m/>
    <s v="OK"/>
    <n v="19.34037"/>
    <s v="Correct Price"/>
    <n v="2229.25"/>
  </r>
  <r>
    <s v="FB000391"/>
    <x v="5"/>
    <x v="6"/>
    <x v="2"/>
    <s v="XL"/>
    <s v="Blue"/>
    <n v="49.44"/>
    <x v="0"/>
    <n v="49.44"/>
    <d v="2025-08-06T00:00:00"/>
    <n v="19"/>
    <n v="3.4"/>
    <x v="0"/>
    <m/>
    <s v="OK"/>
    <n v="0"/>
    <s v="Correct Price"/>
    <n v="939.3599999999999"/>
  </r>
  <r>
    <s v="FB000392"/>
    <x v="1"/>
    <x v="3"/>
    <x v="1"/>
    <s v="XS"/>
    <s v="Blue"/>
    <n v="41.46"/>
    <x v="0"/>
    <n v="41.46"/>
    <d v="2025-08-06T00:00:00"/>
    <n v="36"/>
    <n v="3.5"/>
    <x v="0"/>
    <m/>
    <s v="OK"/>
    <n v="0"/>
    <s v="Correct Price"/>
    <n v="1492.56"/>
  </r>
  <r>
    <s v="FB000393"/>
    <x v="5"/>
    <x v="1"/>
    <x v="2"/>
    <s v="XS"/>
    <s v="Beige"/>
    <n v="131.76"/>
    <x v="1"/>
    <n v="85.12"/>
    <d v="2025-08-06T00:00:00"/>
    <n v="21"/>
    <n v="4.7"/>
    <x v="0"/>
    <m/>
    <s v="OK"/>
    <n v="46.643039999999992"/>
    <s v="Correct Price"/>
    <n v="1787.52"/>
  </r>
  <r>
    <s v="FB000394"/>
    <x v="4"/>
    <x v="3"/>
    <x v="2"/>
    <s v="M"/>
    <s v="Blue"/>
    <n v="56.53"/>
    <x v="138"/>
    <n v="40.76"/>
    <d v="2025-08-06T00:00:00"/>
    <n v="22"/>
    <m/>
    <x v="0"/>
    <m/>
    <s v="OK"/>
    <n v="15.77187"/>
    <s v="Correct Price"/>
    <n v="896.71999999999991"/>
  </r>
  <r>
    <s v="FB000395"/>
    <x v="1"/>
    <x v="0"/>
    <x v="1"/>
    <m/>
    <s v="Blue"/>
    <n v="111.72"/>
    <x v="79"/>
    <n v="74.52"/>
    <d v="2025-08-06T00:00:00"/>
    <n v="47"/>
    <n v="2"/>
    <x v="1"/>
    <s v="Quality Issue"/>
    <s v="OK"/>
    <n v="37.202759999999998"/>
    <s v="Correct Price"/>
    <n v="3502.4399999999996"/>
  </r>
  <r>
    <s v="FB000396"/>
    <x v="1"/>
    <x v="0"/>
    <x v="1"/>
    <s v="L"/>
    <s v="Beige"/>
    <n v="99.96"/>
    <x v="91"/>
    <n v="52.38"/>
    <d v="2025-08-06T00:00:00"/>
    <n v="18"/>
    <n v="2"/>
    <x v="1"/>
    <s v="Quality Issue"/>
    <s v="OK"/>
    <n v="47.580959999999997"/>
    <s v="Correct Price"/>
    <n v="942.84"/>
  </r>
  <r>
    <s v="FB000397"/>
    <x v="5"/>
    <x v="1"/>
    <x v="2"/>
    <s v="XS"/>
    <s v="Red"/>
    <n v="110.04"/>
    <x v="19"/>
    <n v="47.21"/>
    <d v="2025-08-06T00:00:00"/>
    <n v="0"/>
    <n v="4.7"/>
    <x v="0"/>
    <m/>
    <s v="OK"/>
    <n v="62.832840000000004"/>
    <s v="Correct Price"/>
    <n v="0"/>
  </r>
  <r>
    <s v="FB000398"/>
    <x v="5"/>
    <x v="7"/>
    <x v="1"/>
    <s v="L"/>
    <s v="Blue"/>
    <n v="141.84"/>
    <x v="0"/>
    <n v="141.84"/>
    <d v="2025-08-06T00:00:00"/>
    <n v="39"/>
    <n v="1.7"/>
    <x v="0"/>
    <m/>
    <s v="OK"/>
    <n v="0"/>
    <s v="Correct Price"/>
    <n v="5531.76"/>
  </r>
  <r>
    <s v="FB000399"/>
    <x v="2"/>
    <x v="4"/>
    <x v="1"/>
    <m/>
    <s v="Brown"/>
    <n v="32.630000000000003"/>
    <x v="139"/>
    <n v="18.63"/>
    <d v="2025-08-06T00:00:00"/>
    <n v="5"/>
    <n v="1.1000000000000001"/>
    <x v="0"/>
    <m/>
    <s v="OK"/>
    <n v="13.99827"/>
    <s v="Correct Price"/>
    <n v="93.149999999999991"/>
  </r>
  <r>
    <s v="FB000400"/>
    <x v="0"/>
    <x v="0"/>
    <x v="0"/>
    <s v="L"/>
    <s v="Black"/>
    <n v="189.68"/>
    <x v="140"/>
    <n v="112.29"/>
    <d v="2024-09-21T00:00:00"/>
    <n v="27"/>
    <n v="1.8"/>
    <x v="1"/>
    <s v="Damaged"/>
    <s v="OK"/>
    <n v="77.389439999999993"/>
    <s v="Correct Price"/>
    <n v="3031.8300000000004"/>
  </r>
  <r>
    <s v="FB000401"/>
    <x v="5"/>
    <x v="5"/>
    <x v="2"/>
    <s v="XL"/>
    <s v="Pink"/>
    <n v="150.88999999999999"/>
    <x v="141"/>
    <n v="80.27"/>
    <d v="2025-08-06T00:00:00"/>
    <n v="18"/>
    <n v="4.9000000000000004"/>
    <x v="0"/>
    <m/>
    <s v="OK"/>
    <n v="70.616519999999994"/>
    <s v="Correct Price"/>
    <n v="1444.86"/>
  </r>
  <r>
    <s v="FB000402"/>
    <x v="2"/>
    <x v="6"/>
    <x v="2"/>
    <m/>
    <s v="Navy"/>
    <n v="42.66"/>
    <x v="53"/>
    <n v="33.49"/>
    <d v="2025-08-06T00:00:00"/>
    <n v="16"/>
    <m/>
    <x v="0"/>
    <m/>
    <s v="OK"/>
    <n v="9.1718999999999991"/>
    <s v="Correct Price"/>
    <n v="535.84"/>
  </r>
  <r>
    <s v="FB000403"/>
    <x v="2"/>
    <x v="1"/>
    <x v="2"/>
    <m/>
    <s v="Red"/>
    <n v="62.05"/>
    <x v="0"/>
    <n v="62.05"/>
    <d v="2025-08-06T00:00:00"/>
    <n v="50"/>
    <n v="1.4"/>
    <x v="1"/>
    <s v="Changed Mind"/>
    <s v="OK"/>
    <n v="0"/>
    <s v="Correct Price"/>
    <n v="3102.5"/>
  </r>
  <r>
    <s v="FB000404"/>
    <x v="2"/>
    <x v="2"/>
    <x v="1"/>
    <m/>
    <s v="Green"/>
    <n v="74.319999999999993"/>
    <x v="0"/>
    <n v="74.319999999999993"/>
    <d v="2025-08-06T00:00:00"/>
    <n v="4"/>
    <n v="2.2000000000000002"/>
    <x v="0"/>
    <m/>
    <s v="OK"/>
    <n v="0"/>
    <s v="Correct Price"/>
    <n v="297.27999999999997"/>
  </r>
  <r>
    <s v="FB000405"/>
    <x v="0"/>
    <x v="1"/>
    <x v="1"/>
    <s v="XS"/>
    <s v="Navy"/>
    <n v="217.34"/>
    <x v="0"/>
    <n v="217.34"/>
    <d v="2025-08-06T00:00:00"/>
    <n v="4"/>
    <n v="4.2"/>
    <x v="0"/>
    <m/>
    <s v="OK"/>
    <n v="0"/>
    <s v="Correct Price"/>
    <n v="869.36"/>
  </r>
  <r>
    <s v="FB000406"/>
    <x v="1"/>
    <x v="0"/>
    <x v="3"/>
    <s v="XL"/>
    <s v="White"/>
    <n v="111.14"/>
    <x v="142"/>
    <n v="48.12"/>
    <d v="2025-08-06T00:00:00"/>
    <n v="29"/>
    <n v="1.5"/>
    <x v="0"/>
    <m/>
    <s v="OK"/>
    <n v="63.016379999999998"/>
    <s v="Correct Price"/>
    <n v="1395.48"/>
  </r>
  <r>
    <s v="FB000407"/>
    <x v="3"/>
    <x v="4"/>
    <x v="1"/>
    <s v="XL"/>
    <s v="Navy"/>
    <n v="62.5"/>
    <x v="0"/>
    <n v="62.5"/>
    <d v="2025-08-06T00:00:00"/>
    <n v="0"/>
    <n v="1.9"/>
    <x v="1"/>
    <s v="Changed Mind"/>
    <s v="OK"/>
    <n v="0"/>
    <s v="Correct Price"/>
    <n v="0"/>
  </r>
  <r>
    <s v="FB000408"/>
    <x v="0"/>
    <x v="2"/>
    <x v="1"/>
    <s v="XS"/>
    <s v="Blue"/>
    <n v="165.88"/>
    <x v="143"/>
    <n v="160.24"/>
    <d v="2025-08-06T00:00:00"/>
    <n v="42"/>
    <n v="2.4"/>
    <x v="0"/>
    <m/>
    <s v="OK"/>
    <n v="5.63992"/>
    <s v="Correct Price"/>
    <n v="6730.08"/>
  </r>
  <r>
    <s v="FB000409"/>
    <x v="0"/>
    <x v="6"/>
    <x v="2"/>
    <s v="XS"/>
    <s v="Brown"/>
    <n v="179.8"/>
    <x v="0"/>
    <n v="179.8"/>
    <d v="2025-08-06T00:00:00"/>
    <n v="25"/>
    <n v="1.7"/>
    <x v="0"/>
    <m/>
    <s v="OK"/>
    <n v="0"/>
    <s v="Correct Price"/>
    <n v="4495"/>
  </r>
  <r>
    <s v="FB000410"/>
    <x v="2"/>
    <x v="0"/>
    <x v="3"/>
    <m/>
    <s v="Beige"/>
    <n v="34.15"/>
    <x v="0"/>
    <n v="34.15"/>
    <d v="2025-08-06T00:00:00"/>
    <n v="27"/>
    <n v="4.0999999999999996"/>
    <x v="0"/>
    <m/>
    <s v="OK"/>
    <n v="0"/>
    <s v="Correct Price"/>
    <n v="922.05"/>
  </r>
  <r>
    <s v="FB000411"/>
    <x v="1"/>
    <x v="6"/>
    <x v="0"/>
    <s v="XS"/>
    <s v="Green"/>
    <n v="101.88"/>
    <x v="0"/>
    <n v="101.88"/>
    <d v="2025-03-14T00:00:00"/>
    <n v="46"/>
    <m/>
    <x v="1"/>
    <s v="Size Issue"/>
    <s v="OK"/>
    <n v="0"/>
    <s v="Correct Price"/>
    <n v="4686.4799999999996"/>
  </r>
  <r>
    <s v="FB000412"/>
    <x v="3"/>
    <x v="2"/>
    <x v="3"/>
    <s v="XL"/>
    <s v="Blue"/>
    <n v="187.58"/>
    <x v="0"/>
    <n v="187.58"/>
    <d v="2025-08-06T00:00:00"/>
    <n v="46"/>
    <n v="2.9"/>
    <x v="0"/>
    <m/>
    <s v="OK"/>
    <n v="0"/>
    <s v="Correct Price"/>
    <n v="8628.68"/>
  </r>
  <r>
    <s v="FB000413"/>
    <x v="0"/>
    <x v="5"/>
    <x v="2"/>
    <s v="L"/>
    <s v="Pink"/>
    <n v="145.02000000000001"/>
    <x v="0"/>
    <n v="145.02000000000001"/>
    <d v="2025-08-06T00:00:00"/>
    <n v="36"/>
    <n v="2.6"/>
    <x v="0"/>
    <m/>
    <s v="OK"/>
    <n v="0"/>
    <s v="Correct Price"/>
    <n v="5220.72"/>
  </r>
  <r>
    <s v="FB000414"/>
    <x v="4"/>
    <x v="6"/>
    <x v="3"/>
    <s v="XS"/>
    <s v="Blue"/>
    <n v="101.61"/>
    <x v="144"/>
    <n v="74.28"/>
    <d v="2025-08-06T00:00:00"/>
    <n v="38"/>
    <n v="3.4"/>
    <x v="1"/>
    <s v="Damaged"/>
    <s v="OK"/>
    <n v="27.333089999999999"/>
    <s v="Correct Price"/>
    <n v="2822.64"/>
  </r>
  <r>
    <s v="FB000415"/>
    <x v="5"/>
    <x v="4"/>
    <x v="2"/>
    <s v="XXL"/>
    <s v="Beige"/>
    <n v="71.14"/>
    <x v="0"/>
    <n v="71.14"/>
    <d v="2025-08-06T00:00:00"/>
    <n v="33"/>
    <n v="3.1"/>
    <x v="0"/>
    <m/>
    <s v="OK"/>
    <n v="0"/>
    <s v="Correct Price"/>
    <n v="2347.62"/>
  </r>
  <r>
    <s v="FB000416"/>
    <x v="5"/>
    <x v="5"/>
    <x v="3"/>
    <s v="M"/>
    <s v="Green"/>
    <n v="55.21"/>
    <x v="0"/>
    <n v="55.21"/>
    <d v="2025-08-06T00:00:00"/>
    <n v="2"/>
    <n v="3.8"/>
    <x v="1"/>
    <s v="Wrong Item"/>
    <s v="OK"/>
    <n v="0"/>
    <s v="Correct Price"/>
    <n v="110.42"/>
  </r>
  <r>
    <s v="FB000417"/>
    <x v="1"/>
    <x v="0"/>
    <x v="3"/>
    <s v="XXL"/>
    <s v="Black"/>
    <n v="94.96"/>
    <x v="1"/>
    <n v="61.34"/>
    <d v="2025-08-06T00:00:00"/>
    <n v="34"/>
    <n v="3.9"/>
    <x v="0"/>
    <m/>
    <s v="OK"/>
    <n v="33.615839999999999"/>
    <s v="Correct Price"/>
    <n v="2085.56"/>
  </r>
  <r>
    <s v="FB000418"/>
    <x v="3"/>
    <x v="3"/>
    <x v="0"/>
    <s v="M"/>
    <s v="Purple"/>
    <n v="138.69"/>
    <x v="0"/>
    <n v="138.69"/>
    <d v="2024-12-02T00:00:00"/>
    <n v="0"/>
    <n v="2.9"/>
    <x v="0"/>
    <m/>
    <s v="OK"/>
    <n v="0"/>
    <s v="Correct Price"/>
    <n v="0"/>
  </r>
  <r>
    <s v="FB000419"/>
    <x v="0"/>
    <x v="6"/>
    <x v="0"/>
    <s v="XXL"/>
    <s v="Navy"/>
    <n v="175.7"/>
    <x v="0"/>
    <n v="175.7"/>
    <d v="2025-02-23T00:00:00"/>
    <n v="20"/>
    <n v="3"/>
    <x v="0"/>
    <m/>
    <s v="OK"/>
    <n v="0"/>
    <s v="Correct Price"/>
    <n v="3514"/>
  </r>
  <r>
    <s v="FB000420"/>
    <x v="3"/>
    <x v="1"/>
    <x v="3"/>
    <s v="XS"/>
    <s v="Black"/>
    <n v="145.18"/>
    <x v="145"/>
    <n v="93.35"/>
    <d v="2025-08-06T00:00:00"/>
    <n v="25"/>
    <n v="2.2000000000000002"/>
    <x v="0"/>
    <m/>
    <s v="OK"/>
    <n v="51.829260000000005"/>
    <s v="Correct Price"/>
    <n v="2333.75"/>
  </r>
  <r>
    <s v="FB000421"/>
    <x v="5"/>
    <x v="3"/>
    <x v="3"/>
    <s v="M"/>
    <s v="Black"/>
    <n v="169.34"/>
    <x v="146"/>
    <n v="93.81"/>
    <d v="2025-08-06T00:00:00"/>
    <n v="37"/>
    <n v="2.7"/>
    <x v="0"/>
    <m/>
    <s v="OK"/>
    <n v="75.52564000000001"/>
    <s v="Correct Price"/>
    <n v="3470.9700000000003"/>
  </r>
  <r>
    <s v="FB000422"/>
    <x v="1"/>
    <x v="1"/>
    <x v="3"/>
    <s v="L"/>
    <s v="Red"/>
    <n v="103.14"/>
    <x v="0"/>
    <n v="103.14"/>
    <d v="2025-08-06T00:00:00"/>
    <n v="13"/>
    <n v="4.5"/>
    <x v="0"/>
    <m/>
    <s v="OK"/>
    <n v="0"/>
    <s v="Correct Price"/>
    <n v="1340.82"/>
  </r>
  <r>
    <s v="FB000423"/>
    <x v="1"/>
    <x v="3"/>
    <x v="2"/>
    <s v="M"/>
    <s v="Beige"/>
    <n v="97.47"/>
    <x v="147"/>
    <n v="66.28"/>
    <d v="2025-08-06T00:00:00"/>
    <n v="27"/>
    <n v="3"/>
    <x v="0"/>
    <m/>
    <s v="OK"/>
    <n v="31.1904"/>
    <s v="Correct Price"/>
    <n v="1789.56"/>
  </r>
  <r>
    <s v="FB000424"/>
    <x v="5"/>
    <x v="5"/>
    <x v="0"/>
    <s v="M"/>
    <s v="Navy"/>
    <n v="50.69"/>
    <x v="22"/>
    <n v="37.36"/>
    <d v="2024-10-29T00:00:00"/>
    <n v="37"/>
    <n v="4.0999999999999996"/>
    <x v="0"/>
    <m/>
    <s v="OK"/>
    <n v="13.331469999999999"/>
    <s v="Correct Price"/>
    <n v="1382.32"/>
  </r>
  <r>
    <s v="FB000425"/>
    <x v="0"/>
    <x v="2"/>
    <x v="2"/>
    <s v="XL"/>
    <s v="Black"/>
    <n v="127.75"/>
    <x v="0"/>
    <n v="127.75"/>
    <d v="2025-08-06T00:00:00"/>
    <n v="32"/>
    <n v="3.6"/>
    <x v="0"/>
    <m/>
    <s v="OK"/>
    <n v="0"/>
    <s v="Correct Price"/>
    <n v="4088"/>
  </r>
  <r>
    <s v="FB000426"/>
    <x v="1"/>
    <x v="7"/>
    <x v="1"/>
    <s v="XL"/>
    <s v="Black"/>
    <n v="111.64"/>
    <x v="0"/>
    <n v="111.64"/>
    <d v="2025-08-06T00:00:00"/>
    <n v="13"/>
    <n v="4.8"/>
    <x v="0"/>
    <m/>
    <s v="OK"/>
    <n v="0"/>
    <s v="Correct Price"/>
    <n v="1451.32"/>
  </r>
  <r>
    <s v="FB000427"/>
    <x v="3"/>
    <x v="1"/>
    <x v="2"/>
    <m/>
    <s v="Purple"/>
    <n v="134.6"/>
    <x v="148"/>
    <n v="118.99"/>
    <d v="2025-08-06T00:00:00"/>
    <n v="47"/>
    <n v="3.9"/>
    <x v="0"/>
    <m/>
    <s v="OK"/>
    <n v="15.613599999999998"/>
    <s v="Correct Price"/>
    <n v="5592.53"/>
  </r>
  <r>
    <s v="FB000428"/>
    <x v="4"/>
    <x v="0"/>
    <x v="0"/>
    <s v="XXL"/>
    <s v="Purple"/>
    <n v="56.05"/>
    <x v="0"/>
    <n v="56.05"/>
    <d v="2025-07-16T00:00:00"/>
    <n v="9"/>
    <m/>
    <x v="0"/>
    <m/>
    <s v="OK"/>
    <n v="0"/>
    <s v="Correct Price"/>
    <n v="504.45"/>
  </r>
  <r>
    <s v="FB000429"/>
    <x v="5"/>
    <x v="2"/>
    <x v="2"/>
    <s v="XL"/>
    <s v="Purple"/>
    <n v="106.2"/>
    <x v="0"/>
    <n v="106.2"/>
    <d v="2025-08-06T00:00:00"/>
    <n v="35"/>
    <n v="4.5"/>
    <x v="0"/>
    <m/>
    <s v="OK"/>
    <n v="0"/>
    <s v="Correct Price"/>
    <n v="3717"/>
  </r>
  <r>
    <s v="FB000430"/>
    <x v="3"/>
    <x v="3"/>
    <x v="2"/>
    <m/>
    <s v="Green"/>
    <n v="104.26"/>
    <x v="149"/>
    <n v="82.78"/>
    <d v="2025-08-06T00:00:00"/>
    <n v="31"/>
    <n v="3"/>
    <x v="0"/>
    <m/>
    <s v="OK"/>
    <n v="21.477560000000004"/>
    <s v="Correct Price"/>
    <n v="2566.1799999999998"/>
  </r>
  <r>
    <s v="FB000431"/>
    <x v="2"/>
    <x v="1"/>
    <x v="0"/>
    <m/>
    <s v="Purple"/>
    <n v="24.53"/>
    <x v="0"/>
    <n v="24.53"/>
    <d v="2024-08-20T00:00:00"/>
    <n v="44"/>
    <n v="4.2"/>
    <x v="0"/>
    <m/>
    <s v="OK"/>
    <n v="0"/>
    <s v="Correct Price"/>
    <n v="1079.3200000000002"/>
  </r>
  <r>
    <s v="FB000432"/>
    <x v="3"/>
    <x v="3"/>
    <x v="0"/>
    <s v="L"/>
    <s v="Green"/>
    <n v="131.25"/>
    <x v="0"/>
    <n v="131.25"/>
    <d v="2025-06-18T00:00:00"/>
    <n v="12"/>
    <n v="1.6"/>
    <x v="0"/>
    <m/>
    <s v="OK"/>
    <n v="0"/>
    <s v="Correct Price"/>
    <n v="1575"/>
  </r>
  <r>
    <s v="FB000433"/>
    <x v="4"/>
    <x v="7"/>
    <x v="2"/>
    <s v="M"/>
    <s v="Red"/>
    <n v="72.849999999999994"/>
    <x v="0"/>
    <n v="72.849999999999994"/>
    <d v="2025-08-06T00:00:00"/>
    <n v="25"/>
    <n v="3.8"/>
    <x v="0"/>
    <m/>
    <s v="OK"/>
    <n v="0"/>
    <s v="Correct Price"/>
    <n v="1821.2499999999998"/>
  </r>
  <r>
    <s v="FB000434"/>
    <x v="3"/>
    <x v="0"/>
    <x v="1"/>
    <s v="XS"/>
    <s v="Green"/>
    <n v="135.38999999999999"/>
    <x v="0"/>
    <n v="135.38999999999999"/>
    <d v="2025-08-06T00:00:00"/>
    <n v="26"/>
    <n v="3.9"/>
    <x v="0"/>
    <m/>
    <s v="OK"/>
    <n v="0"/>
    <s v="Correct Price"/>
    <n v="3520.1399999999994"/>
  </r>
  <r>
    <s v="FB000435"/>
    <x v="3"/>
    <x v="0"/>
    <x v="1"/>
    <s v="XL"/>
    <s v="Navy"/>
    <n v="166.94"/>
    <x v="127"/>
    <n v="159.93"/>
    <d v="2025-08-06T00:00:00"/>
    <n v="17"/>
    <n v="2.6"/>
    <x v="1"/>
    <s v="Color Mismatch"/>
    <s v="OK"/>
    <n v="7.0114800000000006"/>
    <s v="Correct Price"/>
    <n v="2718.81"/>
  </r>
  <r>
    <s v="FB000436"/>
    <x v="3"/>
    <x v="2"/>
    <x v="0"/>
    <s v="XL"/>
    <s v="Green"/>
    <n v="135.36000000000001"/>
    <x v="90"/>
    <n v="78.91"/>
    <d v="2024-12-20T00:00:00"/>
    <n v="17"/>
    <n v="4.3"/>
    <x v="0"/>
    <m/>
    <s v="OK"/>
    <n v="56.445120000000003"/>
    <s v="Correct Price"/>
    <n v="1341.47"/>
  </r>
  <r>
    <s v="FB000437"/>
    <x v="4"/>
    <x v="5"/>
    <x v="0"/>
    <s v="L"/>
    <s v="Blue"/>
    <n v="96.05"/>
    <x v="0"/>
    <n v="96.05"/>
    <d v="2024-09-09T00:00:00"/>
    <n v="15"/>
    <n v="4"/>
    <x v="0"/>
    <m/>
    <s v="OK"/>
    <n v="0"/>
    <s v="Correct Price"/>
    <n v="1440.75"/>
  </r>
  <r>
    <s v="FB000438"/>
    <x v="0"/>
    <x v="4"/>
    <x v="3"/>
    <s v="L"/>
    <s v="Red"/>
    <n v="116.1"/>
    <x v="0"/>
    <n v="116.1"/>
    <d v="2025-08-06T00:00:00"/>
    <n v="27"/>
    <n v="3.6"/>
    <x v="1"/>
    <s v="Changed Mind"/>
    <s v="OK"/>
    <n v="0"/>
    <s v="Correct Price"/>
    <n v="3134.7"/>
  </r>
  <r>
    <s v="FB000439"/>
    <x v="3"/>
    <x v="3"/>
    <x v="2"/>
    <s v="L"/>
    <s v="Black"/>
    <n v="91.53"/>
    <x v="0"/>
    <n v="91.53"/>
    <d v="2025-08-06T00:00:00"/>
    <n v="8"/>
    <n v="1.5"/>
    <x v="0"/>
    <m/>
    <s v="OK"/>
    <n v="0"/>
    <s v="Correct Price"/>
    <n v="732.24"/>
  </r>
  <r>
    <s v="FB000440"/>
    <x v="4"/>
    <x v="0"/>
    <x v="1"/>
    <s v="XS"/>
    <s v="Gray"/>
    <n v="102.16"/>
    <x v="0"/>
    <n v="102.16"/>
    <d v="2025-08-06T00:00:00"/>
    <n v="50"/>
    <m/>
    <x v="0"/>
    <m/>
    <s v="OK"/>
    <n v="0"/>
    <s v="Correct Price"/>
    <n v="5108"/>
  </r>
  <r>
    <s v="FB000441"/>
    <x v="3"/>
    <x v="1"/>
    <x v="1"/>
    <s v="L"/>
    <s v="Gray"/>
    <n v="67.739999999999995"/>
    <x v="150"/>
    <n v="65.5"/>
    <d v="2025-08-06T00:00:00"/>
    <n v="23"/>
    <n v="1.5"/>
    <x v="0"/>
    <m/>
    <s v="OK"/>
    <n v="2.2354199999999995"/>
    <s v="Correct Price"/>
    <n v="1506.5"/>
  </r>
  <r>
    <s v="FB000442"/>
    <x v="2"/>
    <x v="2"/>
    <x v="1"/>
    <m/>
    <s v="Green"/>
    <n v="38.340000000000003"/>
    <x v="0"/>
    <n v="38.340000000000003"/>
    <d v="2025-08-06T00:00:00"/>
    <n v="14"/>
    <n v="1.4"/>
    <x v="0"/>
    <m/>
    <s v="OK"/>
    <n v="0"/>
    <s v="Correct Price"/>
    <n v="536.76"/>
  </r>
  <r>
    <s v="FB000443"/>
    <x v="2"/>
    <x v="0"/>
    <x v="1"/>
    <m/>
    <s v="Gray"/>
    <n v="60.49"/>
    <x v="0"/>
    <n v="60.49"/>
    <d v="2025-08-06T00:00:00"/>
    <n v="30"/>
    <n v="2.5"/>
    <x v="0"/>
    <m/>
    <s v="OK"/>
    <n v="0"/>
    <s v="Correct Price"/>
    <n v="1814.7"/>
  </r>
  <r>
    <s v="FB000444"/>
    <x v="0"/>
    <x v="2"/>
    <x v="0"/>
    <s v="L"/>
    <s v="Navy"/>
    <n v="90.27"/>
    <x v="0"/>
    <n v="90.27"/>
    <d v="2025-04-16T00:00:00"/>
    <n v="35"/>
    <n v="4.2"/>
    <x v="0"/>
    <m/>
    <s v="OK"/>
    <n v="0"/>
    <s v="Correct Price"/>
    <n v="3159.45"/>
  </r>
  <r>
    <s v="FB000445"/>
    <x v="2"/>
    <x v="2"/>
    <x v="3"/>
    <m/>
    <s v="Red"/>
    <n v="45.42"/>
    <x v="0"/>
    <n v="45.42"/>
    <d v="2025-08-06T00:00:00"/>
    <n v="36"/>
    <n v="1.3"/>
    <x v="0"/>
    <m/>
    <s v="OK"/>
    <n v="0"/>
    <s v="Correct Price"/>
    <n v="1635.1200000000001"/>
  </r>
  <r>
    <s v="FB000446"/>
    <x v="1"/>
    <x v="5"/>
    <x v="0"/>
    <m/>
    <s v="Purple"/>
    <n v="58.56"/>
    <x v="0"/>
    <n v="58.56"/>
    <d v="2025-01-23T00:00:00"/>
    <n v="21"/>
    <n v="2.2999999999999998"/>
    <x v="0"/>
    <m/>
    <s v="OK"/>
    <n v="0"/>
    <s v="Correct Price"/>
    <n v="1229.76"/>
  </r>
  <r>
    <s v="FB000447"/>
    <x v="5"/>
    <x v="4"/>
    <x v="3"/>
    <s v="L"/>
    <s v="Pink"/>
    <n v="167.64"/>
    <x v="0"/>
    <n v="167.64"/>
    <d v="2025-08-06T00:00:00"/>
    <n v="18"/>
    <n v="4.0999999999999996"/>
    <x v="0"/>
    <m/>
    <s v="OK"/>
    <n v="0"/>
    <s v="Correct Price"/>
    <n v="3017.5199999999995"/>
  </r>
  <r>
    <s v="FB000448"/>
    <x v="0"/>
    <x v="0"/>
    <x v="2"/>
    <s v="XXL"/>
    <s v="Red"/>
    <n v="193.14"/>
    <x v="0"/>
    <n v="193.14"/>
    <d v="2025-08-06T00:00:00"/>
    <n v="7"/>
    <n v="3.5"/>
    <x v="0"/>
    <m/>
    <s v="OK"/>
    <n v="0"/>
    <s v="Correct Price"/>
    <n v="1351.98"/>
  </r>
  <r>
    <s v="FB000449"/>
    <x v="2"/>
    <x v="6"/>
    <x v="1"/>
    <m/>
    <s v="Gray"/>
    <n v="60.06"/>
    <x v="151"/>
    <n v="50.69"/>
    <d v="2025-08-06T00:00:00"/>
    <n v="49"/>
    <n v="2"/>
    <x v="1"/>
    <s v="Color Mismatch"/>
    <s v="OK"/>
    <n v="9.3693600000000004"/>
    <s v="Correct Price"/>
    <n v="2483.81"/>
  </r>
  <r>
    <s v="FB000450"/>
    <x v="4"/>
    <x v="2"/>
    <x v="2"/>
    <s v="M"/>
    <s v="Gray"/>
    <n v="35.369999999999997"/>
    <x v="0"/>
    <n v="35.369999999999997"/>
    <d v="2025-08-06T00:00:00"/>
    <n v="29"/>
    <n v="4.7"/>
    <x v="0"/>
    <m/>
    <s v="OK"/>
    <n v="0"/>
    <s v="Correct Price"/>
    <n v="1025.73"/>
  </r>
  <r>
    <s v="FB000451"/>
    <x v="2"/>
    <x v="3"/>
    <x v="3"/>
    <m/>
    <s v="Purple"/>
    <n v="39.85"/>
    <x v="0"/>
    <n v="39.85"/>
    <d v="2025-08-06T00:00:00"/>
    <n v="28"/>
    <n v="2.4"/>
    <x v="0"/>
    <m/>
    <s v="OK"/>
    <n v="0"/>
    <s v="Correct Price"/>
    <n v="1115.8"/>
  </r>
  <r>
    <s v="FB000452"/>
    <x v="1"/>
    <x v="0"/>
    <x v="1"/>
    <s v="XL"/>
    <s v="Black"/>
    <n v="85.34"/>
    <x v="152"/>
    <n v="34.65"/>
    <d v="2025-08-06T00:00:00"/>
    <n v="5"/>
    <n v="4.9000000000000004"/>
    <x v="0"/>
    <m/>
    <s v="OK"/>
    <n v="50.691960000000002"/>
    <s v="Correct Price"/>
    <n v="173.25"/>
  </r>
  <r>
    <s v="FB000453"/>
    <x v="4"/>
    <x v="7"/>
    <x v="2"/>
    <s v="XXL"/>
    <s v="White"/>
    <n v="81.17"/>
    <x v="0"/>
    <n v="81.17"/>
    <d v="2025-08-06T00:00:00"/>
    <n v="21"/>
    <n v="1.2"/>
    <x v="0"/>
    <m/>
    <s v="OK"/>
    <n v="0"/>
    <s v="Correct Price"/>
    <n v="1704.57"/>
  </r>
  <r>
    <s v="FB000454"/>
    <x v="2"/>
    <x v="5"/>
    <x v="0"/>
    <m/>
    <s v="White"/>
    <n v="16.809999999999999"/>
    <x v="0"/>
    <n v="16.809999999999999"/>
    <d v="2025-07-31T00:00:00"/>
    <n v="16"/>
    <n v="2.8"/>
    <x v="0"/>
    <m/>
    <s v="OK"/>
    <n v="0"/>
    <s v="Correct Price"/>
    <n v="268.95999999999998"/>
  </r>
  <r>
    <s v="FB000455"/>
    <x v="1"/>
    <x v="5"/>
    <x v="1"/>
    <s v="XL"/>
    <s v="Black"/>
    <n v="115.71"/>
    <x v="153"/>
    <n v="52.07"/>
    <d v="2025-08-06T00:00:00"/>
    <n v="6"/>
    <n v="1.6"/>
    <x v="0"/>
    <m/>
    <s v="OK"/>
    <n v="63.640499999999996"/>
    <s v="Correct Price"/>
    <n v="312.42"/>
  </r>
  <r>
    <s v="FB000456"/>
    <x v="4"/>
    <x v="3"/>
    <x v="3"/>
    <s v="XXL"/>
    <s v="Pink"/>
    <n v="49.87"/>
    <x v="0"/>
    <n v="49.87"/>
    <d v="2025-08-06T00:00:00"/>
    <n v="17"/>
    <n v="2.1"/>
    <x v="0"/>
    <m/>
    <s v="OK"/>
    <n v="0"/>
    <s v="Correct Price"/>
    <n v="847.79"/>
  </r>
  <r>
    <s v="FB000457"/>
    <x v="3"/>
    <x v="3"/>
    <x v="2"/>
    <s v="XS"/>
    <s v="Beige"/>
    <n v="107.96"/>
    <x v="154"/>
    <n v="50.85"/>
    <d v="2025-08-06T00:00:00"/>
    <n v="2"/>
    <n v="4.9000000000000004"/>
    <x v="0"/>
    <m/>
    <s v="OK"/>
    <n v="57.110839999999996"/>
    <s v="Correct Price"/>
    <n v="101.7"/>
  </r>
  <r>
    <s v="FB000458"/>
    <x v="3"/>
    <x v="3"/>
    <x v="3"/>
    <s v="M"/>
    <s v="Black"/>
    <n v="138.35"/>
    <x v="155"/>
    <n v="94.49"/>
    <d v="2025-08-06T00:00:00"/>
    <n v="3"/>
    <n v="2.5"/>
    <x v="0"/>
    <m/>
    <s v="OK"/>
    <n v="43.856949999999998"/>
    <s v="Correct Price"/>
    <n v="283.46999999999997"/>
  </r>
  <r>
    <s v="FB000459"/>
    <x v="1"/>
    <x v="6"/>
    <x v="0"/>
    <s v="XS"/>
    <s v="Red"/>
    <n v="32.01"/>
    <x v="0"/>
    <n v="32.01"/>
    <d v="2025-05-09T00:00:00"/>
    <n v="43"/>
    <n v="3.4"/>
    <x v="1"/>
    <s v="Wrong Item"/>
    <s v="OK"/>
    <n v="0"/>
    <s v="Correct Price"/>
    <n v="1376.4299999999998"/>
  </r>
  <r>
    <s v="FB000460"/>
    <x v="5"/>
    <x v="4"/>
    <x v="2"/>
    <s v="XS"/>
    <s v="Black"/>
    <n v="129.08000000000001"/>
    <x v="156"/>
    <n v="63.77"/>
    <d v="2025-08-06T00:00:00"/>
    <n v="10"/>
    <n v="4.4000000000000004"/>
    <x v="0"/>
    <m/>
    <s v="OK"/>
    <n v="65.314480000000017"/>
    <s v="Correct Price"/>
    <n v="637.70000000000005"/>
  </r>
  <r>
    <s v="FB000461"/>
    <x v="5"/>
    <x v="2"/>
    <x v="1"/>
    <s v="M"/>
    <s v="Gray"/>
    <n v="68.569999999999993"/>
    <x v="43"/>
    <n v="29.9"/>
    <d v="2025-08-06T00:00:00"/>
    <n v="30"/>
    <n v="1.8"/>
    <x v="0"/>
    <m/>
    <s v="OK"/>
    <n v="38.673479999999998"/>
    <s v="Correct Price"/>
    <n v="897"/>
  </r>
  <r>
    <s v="FB000462"/>
    <x v="2"/>
    <x v="4"/>
    <x v="1"/>
    <m/>
    <s v="Gray"/>
    <n v="46.46"/>
    <x v="0"/>
    <n v="46.46"/>
    <d v="2025-08-06T00:00:00"/>
    <n v="30"/>
    <m/>
    <x v="0"/>
    <m/>
    <s v="OK"/>
    <n v="0"/>
    <s v="Correct Price"/>
    <n v="1393.8"/>
  </r>
  <r>
    <s v="FB000463"/>
    <x v="0"/>
    <x v="2"/>
    <x v="2"/>
    <s v="XXL"/>
    <s v="White"/>
    <n v="124.68"/>
    <x v="46"/>
    <n v="52.12"/>
    <d v="2025-08-06T00:00:00"/>
    <n v="44"/>
    <n v="3.2"/>
    <x v="0"/>
    <m/>
    <s v="OK"/>
    <n v="72.563760000000016"/>
    <s v="Correct Price"/>
    <n v="2293.2799999999997"/>
  </r>
  <r>
    <s v="FB000464"/>
    <x v="4"/>
    <x v="4"/>
    <x v="0"/>
    <s v="XL"/>
    <s v="Red"/>
    <n v="36.85"/>
    <x v="0"/>
    <n v="36.85"/>
    <d v="2025-07-03T00:00:00"/>
    <n v="0"/>
    <n v="4.4000000000000004"/>
    <x v="0"/>
    <m/>
    <s v="OK"/>
    <n v="0"/>
    <s v="Correct Price"/>
    <n v="0"/>
  </r>
  <r>
    <s v="FB000465"/>
    <x v="0"/>
    <x v="5"/>
    <x v="1"/>
    <s v="XS"/>
    <s v="Black"/>
    <n v="229.63"/>
    <x v="157"/>
    <n v="228.94"/>
    <d v="2025-08-06T00:00:00"/>
    <n v="30"/>
    <n v="3.4"/>
    <x v="0"/>
    <m/>
    <s v="OK"/>
    <n v="0.68889"/>
    <s v="Correct Price"/>
    <n v="6868.2"/>
  </r>
  <r>
    <s v="FB000466"/>
    <x v="1"/>
    <x v="5"/>
    <x v="0"/>
    <s v="S"/>
    <s v="Navy"/>
    <n v="74.09"/>
    <x v="0"/>
    <n v="74.09"/>
    <d v="2024-09-07T00:00:00"/>
    <n v="35"/>
    <n v="3.4"/>
    <x v="0"/>
    <m/>
    <s v="OK"/>
    <n v="0"/>
    <s v="Correct Price"/>
    <n v="2593.15"/>
  </r>
  <r>
    <s v="FB000467"/>
    <x v="4"/>
    <x v="2"/>
    <x v="0"/>
    <s v="XS"/>
    <s v="Brown"/>
    <n v="27.22"/>
    <x v="0"/>
    <n v="27.22"/>
    <d v="2024-09-09T00:00:00"/>
    <n v="14"/>
    <n v="2.4"/>
    <x v="0"/>
    <m/>
    <s v="OK"/>
    <n v="0"/>
    <s v="Correct Price"/>
    <n v="381.08"/>
  </r>
  <r>
    <s v="FB000468"/>
    <x v="1"/>
    <x v="5"/>
    <x v="0"/>
    <s v="L"/>
    <s v="Purple"/>
    <n v="32.64"/>
    <x v="87"/>
    <n v="32.18"/>
    <d v="2025-05-06T00:00:00"/>
    <n v="29"/>
    <n v="1.5"/>
    <x v="1"/>
    <s v="Changed Mind"/>
    <s v="OK"/>
    <n v="0.45695999999999998"/>
    <s v="Correct Price"/>
    <n v="933.22"/>
  </r>
  <r>
    <s v="FB000469"/>
    <x v="2"/>
    <x v="0"/>
    <x v="3"/>
    <m/>
    <s v="Purple"/>
    <n v="30.25"/>
    <x v="158"/>
    <n v="26.68"/>
    <d v="2025-08-06T00:00:00"/>
    <n v="30"/>
    <n v="3.4"/>
    <x v="0"/>
    <m/>
    <s v="OK"/>
    <n v="3.5695000000000006"/>
    <s v="Correct Price"/>
    <n v="800.4"/>
  </r>
  <r>
    <s v="FB000470"/>
    <x v="0"/>
    <x v="1"/>
    <x v="3"/>
    <s v="S"/>
    <s v="Brown"/>
    <n v="180.57"/>
    <x v="0"/>
    <n v="180.57"/>
    <d v="2025-08-06T00:00:00"/>
    <n v="28"/>
    <m/>
    <x v="0"/>
    <m/>
    <s v="OK"/>
    <n v="0"/>
    <s v="Correct Price"/>
    <n v="5055.96"/>
  </r>
  <r>
    <s v="FB000471"/>
    <x v="4"/>
    <x v="1"/>
    <x v="3"/>
    <s v="XS"/>
    <s v="White"/>
    <n v="96.55"/>
    <x v="0"/>
    <n v="96.55"/>
    <d v="2025-08-06T00:00:00"/>
    <n v="17"/>
    <n v="4.4000000000000004"/>
    <x v="0"/>
    <m/>
    <s v="OK"/>
    <n v="0"/>
    <s v="Correct Price"/>
    <n v="1641.35"/>
  </r>
  <r>
    <s v="FB000472"/>
    <x v="4"/>
    <x v="5"/>
    <x v="2"/>
    <m/>
    <s v="Pink"/>
    <n v="68.53"/>
    <x v="159"/>
    <n v="31.32"/>
    <d v="2025-08-06T00:00:00"/>
    <n v="38"/>
    <n v="2.9"/>
    <x v="0"/>
    <m/>
    <s v="OK"/>
    <n v="37.211790000000001"/>
    <s v="Correct Price"/>
    <n v="1190.1600000000001"/>
  </r>
  <r>
    <s v="FB000473"/>
    <x v="3"/>
    <x v="6"/>
    <x v="2"/>
    <s v="XS"/>
    <s v="White"/>
    <n v="71.94"/>
    <x v="0"/>
    <n v="71.94"/>
    <d v="2025-08-06T00:00:00"/>
    <n v="45"/>
    <n v="3.3"/>
    <x v="0"/>
    <m/>
    <s v="OK"/>
    <n v="0"/>
    <s v="Correct Price"/>
    <n v="3237.2999999999997"/>
  </r>
  <r>
    <s v="FB000474"/>
    <x v="3"/>
    <x v="6"/>
    <x v="2"/>
    <s v="L"/>
    <s v="Blue"/>
    <n v="80.72"/>
    <x v="160"/>
    <n v="72.73"/>
    <d v="2025-08-06T00:00:00"/>
    <n v="37"/>
    <n v="2.5"/>
    <x v="0"/>
    <m/>
    <s v="OK"/>
    <n v="7.9912800000000006"/>
    <s v="Correct Price"/>
    <n v="2691.01"/>
  </r>
  <r>
    <s v="FB000475"/>
    <x v="0"/>
    <x v="0"/>
    <x v="1"/>
    <s v="L"/>
    <s v="Green"/>
    <n v="208.8"/>
    <x v="0"/>
    <n v="208.8"/>
    <d v="2025-08-06T00:00:00"/>
    <n v="13"/>
    <n v="1.6"/>
    <x v="0"/>
    <m/>
    <s v="OK"/>
    <n v="0"/>
    <s v="Correct Price"/>
    <n v="2714.4"/>
  </r>
  <r>
    <s v="FB000476"/>
    <x v="3"/>
    <x v="3"/>
    <x v="3"/>
    <s v="M"/>
    <s v="Navy"/>
    <n v="158.15"/>
    <x v="161"/>
    <n v="72.59"/>
    <d v="2025-08-06T00:00:00"/>
    <n v="36"/>
    <n v="4.5"/>
    <x v="0"/>
    <m/>
    <s v="OK"/>
    <n v="85.559150000000002"/>
    <s v="Correct Price"/>
    <n v="2613.2400000000002"/>
  </r>
  <r>
    <s v="FB000477"/>
    <x v="1"/>
    <x v="0"/>
    <x v="2"/>
    <s v="S"/>
    <s v="White"/>
    <n v="85.92"/>
    <x v="0"/>
    <n v="85.92"/>
    <d v="2025-08-06T00:00:00"/>
    <n v="12"/>
    <m/>
    <x v="0"/>
    <m/>
    <s v="OK"/>
    <n v="0"/>
    <s v="Correct Price"/>
    <n v="1031.04"/>
  </r>
  <r>
    <s v="FB000478"/>
    <x v="2"/>
    <x v="6"/>
    <x v="0"/>
    <m/>
    <s v="Pink"/>
    <n v="69.59"/>
    <x v="0"/>
    <n v="69.59"/>
    <d v="2024-09-26T00:00:00"/>
    <n v="38"/>
    <n v="1.5"/>
    <x v="0"/>
    <m/>
    <s v="OK"/>
    <n v="0"/>
    <s v="Correct Price"/>
    <n v="2644.42"/>
  </r>
  <r>
    <s v="FB000479"/>
    <x v="5"/>
    <x v="0"/>
    <x v="1"/>
    <s v="XL"/>
    <s v="Red"/>
    <n v="136.16999999999999"/>
    <x v="35"/>
    <n v="110.16"/>
    <d v="2025-08-06T00:00:00"/>
    <n v="14"/>
    <m/>
    <x v="0"/>
    <m/>
    <s v="OK"/>
    <n v="26.008469999999999"/>
    <s v="Correct Price"/>
    <n v="1542.24"/>
  </r>
  <r>
    <s v="FB000480"/>
    <x v="3"/>
    <x v="3"/>
    <x v="0"/>
    <s v="XS"/>
    <s v="Pink"/>
    <n v="124.26"/>
    <x v="0"/>
    <n v="124.26"/>
    <d v="2024-08-08T00:00:00"/>
    <n v="44"/>
    <n v="4"/>
    <x v="0"/>
    <m/>
    <s v="OK"/>
    <n v="0"/>
    <s v="Correct Price"/>
    <n v="5467.4400000000005"/>
  </r>
  <r>
    <s v="FB000481"/>
    <x v="3"/>
    <x v="2"/>
    <x v="1"/>
    <s v="S"/>
    <s v="Black"/>
    <n v="129.33000000000001"/>
    <x v="0"/>
    <n v="129.33000000000001"/>
    <d v="2025-08-06T00:00:00"/>
    <n v="15"/>
    <n v="3.1"/>
    <x v="0"/>
    <m/>
    <s v="OK"/>
    <n v="0"/>
    <s v="Correct Price"/>
    <n v="1939.9500000000003"/>
  </r>
  <r>
    <s v="FB000482"/>
    <x v="5"/>
    <x v="4"/>
    <x v="0"/>
    <s v="S"/>
    <s v="Navy"/>
    <n v="123.93"/>
    <x v="162"/>
    <n v="86.75"/>
    <d v="2025-07-31T00:00:00"/>
    <n v="39"/>
    <n v="1.9"/>
    <x v="0"/>
    <m/>
    <s v="OK"/>
    <n v="37.179000000000002"/>
    <s v="Correct Price"/>
    <n v="3383.25"/>
  </r>
  <r>
    <s v="FB000483"/>
    <x v="3"/>
    <x v="0"/>
    <x v="3"/>
    <s v="XS"/>
    <s v="Beige"/>
    <n v="62.76"/>
    <x v="0"/>
    <n v="62.76"/>
    <d v="2025-08-06T00:00:00"/>
    <n v="12"/>
    <n v="4.7"/>
    <x v="0"/>
    <m/>
    <s v="OK"/>
    <n v="0"/>
    <s v="Correct Price"/>
    <n v="753.12"/>
  </r>
  <r>
    <s v="FB000484"/>
    <x v="3"/>
    <x v="1"/>
    <x v="0"/>
    <s v="XS"/>
    <s v="Blue"/>
    <n v="74.540000000000006"/>
    <x v="0"/>
    <n v="74.540000000000006"/>
    <d v="2024-11-07T00:00:00"/>
    <n v="4"/>
    <n v="3.5"/>
    <x v="0"/>
    <m/>
    <s v="OK"/>
    <n v="0"/>
    <s v="Correct Price"/>
    <n v="298.16000000000003"/>
  </r>
  <r>
    <s v="FB000485"/>
    <x v="1"/>
    <x v="6"/>
    <x v="3"/>
    <s v="S"/>
    <s v="Pink"/>
    <n v="114.03"/>
    <x v="0"/>
    <n v="114.03"/>
    <d v="2025-08-06T00:00:00"/>
    <n v="2"/>
    <m/>
    <x v="0"/>
    <m/>
    <s v="OK"/>
    <n v="0"/>
    <s v="Correct Price"/>
    <n v="228.06"/>
  </r>
  <r>
    <s v="FB000486"/>
    <x v="2"/>
    <x v="6"/>
    <x v="2"/>
    <m/>
    <s v="White"/>
    <n v="20.59"/>
    <x v="163"/>
    <n v="14.91"/>
    <d v="2025-08-06T00:00:00"/>
    <n v="36"/>
    <m/>
    <x v="0"/>
    <m/>
    <s v="OK"/>
    <n v="5.6828399999999997"/>
    <s v="Correct Price"/>
    <n v="536.76"/>
  </r>
  <r>
    <s v="FB000487"/>
    <x v="3"/>
    <x v="2"/>
    <x v="3"/>
    <s v="XL"/>
    <s v="Blue"/>
    <n v="167.86"/>
    <x v="0"/>
    <n v="167.86"/>
    <d v="2025-08-06T00:00:00"/>
    <n v="17"/>
    <n v="3.2"/>
    <x v="0"/>
    <m/>
    <s v="OK"/>
    <n v="0"/>
    <s v="Correct Price"/>
    <n v="2853.6200000000003"/>
  </r>
  <r>
    <s v="FB000488"/>
    <x v="2"/>
    <x v="1"/>
    <x v="2"/>
    <m/>
    <s v="Gray"/>
    <n v="62.2"/>
    <x v="164"/>
    <n v="38.75"/>
    <d v="2025-08-06T00:00:00"/>
    <n v="16"/>
    <n v="3.1"/>
    <x v="0"/>
    <m/>
    <s v="OK"/>
    <n v="23.449400000000004"/>
    <s v="Correct Price"/>
    <n v="620"/>
  </r>
  <r>
    <s v="FB000489"/>
    <x v="0"/>
    <x v="2"/>
    <x v="2"/>
    <m/>
    <s v="Pink"/>
    <n v="223.69"/>
    <x v="165"/>
    <n v="209.6"/>
    <d v="2025-08-06T00:00:00"/>
    <n v="18"/>
    <n v="1.9"/>
    <x v="0"/>
    <m/>
    <s v="OK"/>
    <n v="14.092469999999999"/>
    <s v="Correct Price"/>
    <n v="3772.7999999999997"/>
  </r>
  <r>
    <s v="FB000490"/>
    <x v="2"/>
    <x v="3"/>
    <x v="3"/>
    <m/>
    <s v="Blue"/>
    <n v="67.13"/>
    <x v="0"/>
    <n v="67.13"/>
    <d v="2025-08-06T00:00:00"/>
    <n v="3"/>
    <n v="1.4"/>
    <x v="0"/>
    <m/>
    <s v="OK"/>
    <n v="0"/>
    <s v="Correct Price"/>
    <n v="201.39"/>
  </r>
  <r>
    <s v="FB000491"/>
    <x v="5"/>
    <x v="0"/>
    <x v="3"/>
    <s v="M"/>
    <s v="Red"/>
    <n v="144.81"/>
    <x v="79"/>
    <n v="96.59"/>
    <d v="2025-08-06T00:00:00"/>
    <n v="33"/>
    <n v="2.8"/>
    <x v="0"/>
    <m/>
    <s v="OK"/>
    <n v="48.221730000000001"/>
    <s v="Correct Price"/>
    <n v="3187.4700000000003"/>
  </r>
  <r>
    <s v="FB000492"/>
    <x v="0"/>
    <x v="6"/>
    <x v="1"/>
    <s v="XS"/>
    <s v="Purple"/>
    <n v="152.93"/>
    <x v="166"/>
    <n v="71.88"/>
    <d v="2025-08-06T00:00:00"/>
    <n v="2"/>
    <n v="4.5999999999999996"/>
    <x v="1"/>
    <s v="Changed Mind"/>
    <s v="OK"/>
    <n v="81.052899999999994"/>
    <s v="Correct Price"/>
    <n v="143.76"/>
  </r>
  <r>
    <s v="FB000493"/>
    <x v="5"/>
    <x v="7"/>
    <x v="3"/>
    <s v="XXL"/>
    <s v="White"/>
    <n v="111.29"/>
    <x v="0"/>
    <n v="111.29"/>
    <d v="2025-08-06T00:00:00"/>
    <n v="48"/>
    <n v="4.9000000000000004"/>
    <x v="0"/>
    <m/>
    <s v="OK"/>
    <n v="0"/>
    <s v="Correct Price"/>
    <n v="5341.92"/>
  </r>
  <r>
    <s v="FB000494"/>
    <x v="0"/>
    <x v="2"/>
    <x v="1"/>
    <s v="XS"/>
    <s v="Pink"/>
    <n v="159.18"/>
    <x v="0"/>
    <n v="159.18"/>
    <d v="2025-08-06T00:00:00"/>
    <n v="38"/>
    <n v="2.4"/>
    <x v="1"/>
    <s v="Quality Issue"/>
    <s v="OK"/>
    <n v="0"/>
    <s v="Correct Price"/>
    <n v="6048.84"/>
  </r>
  <r>
    <s v="FB000495"/>
    <x v="0"/>
    <x v="0"/>
    <x v="1"/>
    <s v="XXL"/>
    <s v="White"/>
    <n v="215.93"/>
    <x v="0"/>
    <n v="215.93"/>
    <d v="2025-08-06T00:00:00"/>
    <n v="43"/>
    <n v="3.5"/>
    <x v="0"/>
    <m/>
    <s v="OK"/>
    <n v="0"/>
    <s v="Correct Price"/>
    <n v="9284.99"/>
  </r>
  <r>
    <s v="FB000496"/>
    <x v="1"/>
    <x v="5"/>
    <x v="0"/>
    <m/>
    <s v="Beige"/>
    <n v="51.69"/>
    <x v="167"/>
    <n v="34.43"/>
    <d v="2024-08-07T00:00:00"/>
    <n v="36"/>
    <n v="3.4"/>
    <x v="0"/>
    <m/>
    <s v="OK"/>
    <n v="17.26446"/>
    <s v="Correct Price"/>
    <n v="1239.48"/>
  </r>
  <r>
    <s v="FB000497"/>
    <x v="0"/>
    <x v="5"/>
    <x v="3"/>
    <s v="L"/>
    <s v="Pink"/>
    <n v="137.38"/>
    <x v="0"/>
    <n v="137.38"/>
    <d v="2025-08-06T00:00:00"/>
    <n v="43"/>
    <n v="3.5"/>
    <x v="0"/>
    <m/>
    <s v="OK"/>
    <n v="0"/>
    <s v="Correct Price"/>
    <n v="5907.34"/>
  </r>
  <r>
    <s v="FB000498"/>
    <x v="4"/>
    <x v="7"/>
    <x v="2"/>
    <s v="XXL"/>
    <s v="Green"/>
    <n v="96.7"/>
    <x v="168"/>
    <n v="59.18"/>
    <d v="2025-08-06T00:00:00"/>
    <n v="46"/>
    <n v="1.7"/>
    <x v="0"/>
    <m/>
    <s v="OK"/>
    <n v="37.519599999999997"/>
    <s v="Correct Price"/>
    <n v="2722.28"/>
  </r>
  <r>
    <s v="FB000499"/>
    <x v="4"/>
    <x v="4"/>
    <x v="0"/>
    <s v="M"/>
    <s v="Purple"/>
    <n v="58.73"/>
    <x v="169"/>
    <n v="36.35"/>
    <d v="2024-12-27T00:00:00"/>
    <n v="50"/>
    <n v="1.2"/>
    <x v="0"/>
    <m/>
    <s v="OK"/>
    <n v="22.37613"/>
    <s v="Correct Price"/>
    <n v="1817.5"/>
  </r>
  <r>
    <s v="FB000500"/>
    <x v="0"/>
    <x v="6"/>
    <x v="1"/>
    <s v="S"/>
    <s v="Green"/>
    <n v="204.68"/>
    <x v="0"/>
    <n v="204.68"/>
    <d v="2025-08-06T00:00:00"/>
    <n v="33"/>
    <n v="3.1"/>
    <x v="0"/>
    <m/>
    <s v="OK"/>
    <n v="0"/>
    <s v="Correct Price"/>
    <n v="6754.4400000000005"/>
  </r>
  <r>
    <s v="FB000501"/>
    <x v="4"/>
    <x v="7"/>
    <x v="0"/>
    <s v="L"/>
    <s v="White"/>
    <n v="117.26"/>
    <x v="0"/>
    <n v="117.26"/>
    <d v="2024-09-25T00:00:00"/>
    <n v="29"/>
    <m/>
    <x v="0"/>
    <m/>
    <s v="OK"/>
    <n v="0"/>
    <s v="Correct Price"/>
    <n v="3400.54"/>
  </r>
  <r>
    <s v="FB000502"/>
    <x v="0"/>
    <x v="6"/>
    <x v="3"/>
    <s v="XXL"/>
    <s v="White"/>
    <n v="91.95"/>
    <x v="0"/>
    <n v="91.95"/>
    <d v="2025-08-06T00:00:00"/>
    <n v="1"/>
    <n v="2.5"/>
    <x v="0"/>
    <m/>
    <s v="OK"/>
    <n v="0"/>
    <s v="Correct Price"/>
    <n v="91.95"/>
  </r>
  <r>
    <s v="FB000503"/>
    <x v="4"/>
    <x v="6"/>
    <x v="2"/>
    <s v="XL"/>
    <s v="Navy"/>
    <n v="94.53"/>
    <x v="0"/>
    <n v="94.53"/>
    <d v="2025-08-06T00:00:00"/>
    <n v="13"/>
    <n v="2.4"/>
    <x v="0"/>
    <m/>
    <s v="OK"/>
    <n v="0"/>
    <s v="Correct Price"/>
    <n v="1228.8900000000001"/>
  </r>
  <r>
    <s v="FB000504"/>
    <x v="5"/>
    <x v="3"/>
    <x v="2"/>
    <s v="XXL"/>
    <s v="White"/>
    <n v="71.94"/>
    <x v="44"/>
    <n v="69.78"/>
    <d v="2025-08-06T00:00:00"/>
    <n v="45"/>
    <n v="1.4"/>
    <x v="0"/>
    <m/>
    <s v="OK"/>
    <n v="2.1581999999999999"/>
    <s v="Correct Price"/>
    <n v="3140.1"/>
  </r>
  <r>
    <s v="FB000505"/>
    <x v="5"/>
    <x v="5"/>
    <x v="1"/>
    <s v="XL"/>
    <s v="Green"/>
    <n v="177.72"/>
    <x v="170"/>
    <n v="167.23"/>
    <d v="2025-08-06T00:00:00"/>
    <n v="47"/>
    <m/>
    <x v="0"/>
    <m/>
    <s v="OK"/>
    <n v="10.485480000000001"/>
    <s v="Correct Price"/>
    <n v="7859.8099999999995"/>
  </r>
  <r>
    <s v="FB000506"/>
    <x v="2"/>
    <x v="0"/>
    <x v="3"/>
    <m/>
    <s v="White"/>
    <n v="34.4"/>
    <x v="0"/>
    <n v="34.4"/>
    <d v="2025-08-06T00:00:00"/>
    <n v="43"/>
    <n v="3"/>
    <x v="1"/>
    <s v="Wrong Item"/>
    <s v="OK"/>
    <n v="0"/>
    <s v="Correct Price"/>
    <n v="1479.2"/>
  </r>
  <r>
    <s v="FB000507"/>
    <x v="4"/>
    <x v="2"/>
    <x v="0"/>
    <s v="M"/>
    <s v="Gray"/>
    <n v="119.72"/>
    <x v="0"/>
    <n v="119.72"/>
    <d v="2025-01-18T00:00:00"/>
    <n v="18"/>
    <n v="3.7"/>
    <x v="0"/>
    <m/>
    <s v="OK"/>
    <n v="0"/>
    <s v="Correct Price"/>
    <n v="2154.96"/>
  </r>
  <r>
    <s v="FB000508"/>
    <x v="2"/>
    <x v="4"/>
    <x v="3"/>
    <m/>
    <s v="Brown"/>
    <n v="44.09"/>
    <x v="0"/>
    <n v="44.09"/>
    <d v="2025-08-06T00:00:00"/>
    <n v="2"/>
    <n v="2"/>
    <x v="0"/>
    <m/>
    <s v="OK"/>
    <n v="0"/>
    <s v="Correct Price"/>
    <n v="88.18"/>
  </r>
  <r>
    <s v="FB000509"/>
    <x v="4"/>
    <x v="3"/>
    <x v="0"/>
    <s v="XL"/>
    <s v="Purple"/>
    <n v="42.47"/>
    <x v="0"/>
    <n v="42.47"/>
    <d v="2024-11-14T00:00:00"/>
    <n v="33"/>
    <n v="4.5"/>
    <x v="1"/>
    <s v="Changed Mind"/>
    <s v="OK"/>
    <n v="0"/>
    <s v="Correct Price"/>
    <n v="1401.51"/>
  </r>
  <r>
    <s v="FB000510"/>
    <x v="5"/>
    <x v="2"/>
    <x v="3"/>
    <s v="XL"/>
    <s v="Purple"/>
    <n v="68.430000000000007"/>
    <x v="0"/>
    <n v="68.430000000000007"/>
    <d v="2025-08-06T00:00:00"/>
    <n v="16"/>
    <m/>
    <x v="0"/>
    <m/>
    <s v="OK"/>
    <n v="0"/>
    <s v="Correct Price"/>
    <n v="1094.8800000000001"/>
  </r>
  <r>
    <s v="FB000511"/>
    <x v="3"/>
    <x v="0"/>
    <x v="2"/>
    <s v="XS"/>
    <s v="Green"/>
    <n v="165.39"/>
    <x v="171"/>
    <n v="112.8"/>
    <d v="2025-08-06T00:00:00"/>
    <n v="9"/>
    <n v="4.5999999999999996"/>
    <x v="0"/>
    <m/>
    <s v="OK"/>
    <n v="52.59402"/>
    <s v="Correct Price"/>
    <n v="1015.1999999999999"/>
  </r>
  <r>
    <s v="FB000512"/>
    <x v="2"/>
    <x v="5"/>
    <x v="1"/>
    <m/>
    <s v="Green"/>
    <n v="35.36"/>
    <x v="0"/>
    <n v="35.36"/>
    <d v="2025-08-06T00:00:00"/>
    <n v="42"/>
    <n v="4.5"/>
    <x v="0"/>
    <m/>
    <s v="OK"/>
    <n v="0"/>
    <s v="Correct Price"/>
    <n v="1485.12"/>
  </r>
  <r>
    <s v="FB000513"/>
    <x v="5"/>
    <x v="4"/>
    <x v="3"/>
    <s v="M"/>
    <s v="Navy"/>
    <n v="95.73"/>
    <x v="0"/>
    <n v="95.73"/>
    <d v="2025-08-06T00:00:00"/>
    <n v="6"/>
    <n v="4.5999999999999996"/>
    <x v="0"/>
    <m/>
    <s v="OK"/>
    <n v="0"/>
    <s v="Correct Price"/>
    <n v="574.38"/>
  </r>
  <r>
    <s v="FB000514"/>
    <x v="2"/>
    <x v="2"/>
    <x v="0"/>
    <m/>
    <s v="Brown"/>
    <n v="72.28"/>
    <x v="172"/>
    <n v="35.200000000000003"/>
    <d v="2025-02-15T00:00:00"/>
    <n v="31"/>
    <n v="1.9"/>
    <x v="0"/>
    <m/>
    <s v="OK"/>
    <n v="37.079639999999998"/>
    <s v="Correct Price"/>
    <n v="1091.2"/>
  </r>
  <r>
    <s v="FB000515"/>
    <x v="0"/>
    <x v="5"/>
    <x v="3"/>
    <m/>
    <s v="White"/>
    <n v="80.349999999999994"/>
    <x v="0"/>
    <n v="80.349999999999994"/>
    <d v="2025-08-06T00:00:00"/>
    <n v="28"/>
    <n v="2.9"/>
    <x v="0"/>
    <m/>
    <s v="OK"/>
    <n v="0"/>
    <s v="Correct Price"/>
    <n v="2249.7999999999997"/>
  </r>
  <r>
    <s v="FB000516"/>
    <x v="4"/>
    <x v="2"/>
    <x v="1"/>
    <s v="XL"/>
    <s v="Gray"/>
    <n v="119.04"/>
    <x v="0"/>
    <n v="119.04"/>
    <d v="2025-08-06T00:00:00"/>
    <n v="35"/>
    <n v="1.4"/>
    <x v="0"/>
    <m/>
    <s v="OK"/>
    <n v="0"/>
    <s v="Correct Price"/>
    <n v="4166.4000000000005"/>
  </r>
  <r>
    <s v="FB000517"/>
    <x v="1"/>
    <x v="6"/>
    <x v="1"/>
    <s v="XS"/>
    <s v="Brown"/>
    <n v="60.53"/>
    <x v="173"/>
    <n v="34.799999999999997"/>
    <d v="2025-08-06T00:00:00"/>
    <n v="8"/>
    <m/>
    <x v="1"/>
    <s v="Color Mismatch"/>
    <s v="OK"/>
    <n v="25.725250000000003"/>
    <s v="Correct Price"/>
    <n v="278.39999999999998"/>
  </r>
  <r>
    <s v="FB000518"/>
    <x v="0"/>
    <x v="4"/>
    <x v="2"/>
    <s v="M"/>
    <s v="Navy"/>
    <n v="92.54"/>
    <x v="174"/>
    <n v="52.01"/>
    <d v="2025-08-06T00:00:00"/>
    <n v="33"/>
    <n v="1.5"/>
    <x v="1"/>
    <s v="Damaged"/>
    <s v="OK"/>
    <n v="40.532519999999998"/>
    <s v="Correct Price"/>
    <n v="1716.33"/>
  </r>
  <r>
    <s v="FB000519"/>
    <x v="2"/>
    <x v="1"/>
    <x v="2"/>
    <m/>
    <s v="Pink"/>
    <n v="28.4"/>
    <x v="0"/>
    <n v="28.4"/>
    <d v="2025-08-06T00:00:00"/>
    <n v="4"/>
    <n v="3.1"/>
    <x v="0"/>
    <m/>
    <s v="OK"/>
    <n v="0"/>
    <s v="Correct Price"/>
    <n v="113.6"/>
  </r>
  <r>
    <s v="FB000520"/>
    <x v="4"/>
    <x v="0"/>
    <x v="3"/>
    <s v="M"/>
    <s v="Gray"/>
    <n v="91.65"/>
    <x v="0"/>
    <n v="91.65"/>
    <d v="2025-08-06T00:00:00"/>
    <n v="40"/>
    <n v="3.8"/>
    <x v="0"/>
    <m/>
    <s v="OK"/>
    <n v="0"/>
    <s v="Correct Price"/>
    <n v="3666"/>
  </r>
  <r>
    <s v="FB000521"/>
    <x v="2"/>
    <x v="3"/>
    <x v="2"/>
    <m/>
    <s v="Navy"/>
    <n v="72.569999999999993"/>
    <x v="0"/>
    <n v="72.569999999999993"/>
    <d v="2025-08-06T00:00:00"/>
    <n v="27"/>
    <n v="2.5"/>
    <x v="0"/>
    <m/>
    <s v="OK"/>
    <n v="0"/>
    <s v="Correct Price"/>
    <n v="1959.3899999999999"/>
  </r>
  <r>
    <s v="FB000522"/>
    <x v="4"/>
    <x v="4"/>
    <x v="2"/>
    <s v="L"/>
    <s v="Blue"/>
    <n v="39.049999999999997"/>
    <x v="0"/>
    <n v="39.049999999999997"/>
    <d v="2025-08-06T00:00:00"/>
    <n v="10"/>
    <n v="3.5"/>
    <x v="0"/>
    <m/>
    <s v="OK"/>
    <n v="0"/>
    <s v="Correct Price"/>
    <n v="390.5"/>
  </r>
  <r>
    <s v="FB000523"/>
    <x v="5"/>
    <x v="0"/>
    <x v="1"/>
    <s v="S"/>
    <s v="Gray"/>
    <n v="113.21"/>
    <x v="0"/>
    <n v="113.21"/>
    <d v="2025-08-06T00:00:00"/>
    <n v="12"/>
    <n v="4.4000000000000004"/>
    <x v="0"/>
    <m/>
    <s v="OK"/>
    <n v="0"/>
    <s v="Correct Price"/>
    <n v="1358.52"/>
  </r>
  <r>
    <s v="FB000524"/>
    <x v="2"/>
    <x v="7"/>
    <x v="0"/>
    <m/>
    <s v="Navy"/>
    <n v="25.34"/>
    <x v="0"/>
    <n v="25.34"/>
    <d v="2025-07-31T00:00:00"/>
    <n v="17"/>
    <n v="3.3"/>
    <x v="0"/>
    <m/>
    <s v="OK"/>
    <n v="0"/>
    <s v="Correct Price"/>
    <n v="430.78"/>
  </r>
  <r>
    <s v="FB000525"/>
    <x v="1"/>
    <x v="3"/>
    <x v="0"/>
    <s v="L"/>
    <s v="Black"/>
    <n v="98.16"/>
    <x v="142"/>
    <n v="42.5"/>
    <d v="2025-02-05T00:00:00"/>
    <n v="44"/>
    <n v="2.6"/>
    <x v="0"/>
    <m/>
    <s v="OK"/>
    <n v="55.656720000000007"/>
    <s v="Correct Price"/>
    <n v="1870"/>
  </r>
  <r>
    <s v="FB000526"/>
    <x v="1"/>
    <x v="2"/>
    <x v="0"/>
    <s v="XS"/>
    <s v="Purple"/>
    <n v="60.54"/>
    <x v="0"/>
    <n v="60.54"/>
    <d v="2025-04-10T00:00:00"/>
    <n v="35"/>
    <n v="1.7"/>
    <x v="0"/>
    <m/>
    <s v="OK"/>
    <n v="0"/>
    <s v="Correct Price"/>
    <n v="2118.9"/>
  </r>
  <r>
    <s v="FB000527"/>
    <x v="5"/>
    <x v="0"/>
    <x v="1"/>
    <s v="S"/>
    <s v="Pink"/>
    <n v="132.61000000000001"/>
    <x v="31"/>
    <n v="122.8"/>
    <d v="2025-08-06T00:00:00"/>
    <n v="0"/>
    <n v="4.2"/>
    <x v="0"/>
    <m/>
    <s v="OK"/>
    <n v="9.8131400000000024"/>
    <s v="Correct Price"/>
    <n v="0"/>
  </r>
  <r>
    <s v="FB000528"/>
    <x v="0"/>
    <x v="5"/>
    <x v="2"/>
    <s v="XL"/>
    <s v="Pink"/>
    <n v="234.14"/>
    <x v="0"/>
    <n v="234.14"/>
    <d v="2025-08-06T00:00:00"/>
    <n v="40"/>
    <n v="1.7"/>
    <x v="0"/>
    <m/>
    <s v="OK"/>
    <n v="0"/>
    <s v="Correct Price"/>
    <n v="9365.5999999999985"/>
  </r>
  <r>
    <s v="FB000529"/>
    <x v="2"/>
    <x v="4"/>
    <x v="2"/>
    <m/>
    <s v="Black"/>
    <n v="31.86"/>
    <x v="175"/>
    <n v="16.5"/>
    <d v="2025-08-06T00:00:00"/>
    <n v="32"/>
    <n v="4.5"/>
    <x v="0"/>
    <m/>
    <s v="OK"/>
    <n v="15.35652"/>
    <s v="Correct Price"/>
    <n v="528"/>
  </r>
  <r>
    <s v="FB000530"/>
    <x v="2"/>
    <x v="1"/>
    <x v="0"/>
    <m/>
    <s v="Gray"/>
    <n v="15.14"/>
    <x v="176"/>
    <n v="9.58"/>
    <d v="2025-07-23T00:00:00"/>
    <n v="41"/>
    <n v="3.8"/>
    <x v="0"/>
    <m/>
    <s v="OK"/>
    <n v="5.5563800000000008"/>
    <s v="Correct Price"/>
    <n v="392.78000000000003"/>
  </r>
  <r>
    <s v="FB000531"/>
    <x v="3"/>
    <x v="4"/>
    <x v="1"/>
    <s v="XS"/>
    <s v="Purple"/>
    <n v="77.72"/>
    <x v="0"/>
    <n v="77.72"/>
    <d v="2025-08-06T00:00:00"/>
    <n v="48"/>
    <n v="1.1000000000000001"/>
    <x v="0"/>
    <m/>
    <s v="OK"/>
    <n v="0"/>
    <s v="Correct Price"/>
    <n v="3730.56"/>
  </r>
  <r>
    <s v="FB000532"/>
    <x v="2"/>
    <x v="0"/>
    <x v="0"/>
    <m/>
    <s v="Gray"/>
    <n v="78.040000000000006"/>
    <x v="0"/>
    <n v="78.040000000000006"/>
    <d v="2025-04-09T00:00:00"/>
    <n v="38"/>
    <n v="4.9000000000000004"/>
    <x v="0"/>
    <m/>
    <s v="OK"/>
    <n v="0"/>
    <s v="Correct Price"/>
    <n v="2965.5200000000004"/>
  </r>
  <r>
    <s v="FB000533"/>
    <x v="0"/>
    <x v="6"/>
    <x v="2"/>
    <s v="M"/>
    <s v="Brown"/>
    <n v="169.82"/>
    <x v="0"/>
    <n v="169.82"/>
    <d v="2025-08-06T00:00:00"/>
    <n v="28"/>
    <n v="4"/>
    <x v="0"/>
    <m/>
    <s v="OK"/>
    <n v="0"/>
    <s v="Correct Price"/>
    <n v="4754.96"/>
  </r>
  <r>
    <s v="FB000534"/>
    <x v="4"/>
    <x v="4"/>
    <x v="0"/>
    <s v="L"/>
    <s v="White"/>
    <n v="94.71"/>
    <x v="177"/>
    <n v="57.87"/>
    <d v="2024-08-16T00:00:00"/>
    <n v="39"/>
    <n v="4.7"/>
    <x v="0"/>
    <m/>
    <s v="OK"/>
    <n v="36.842189999999995"/>
    <s v="Correct Price"/>
    <n v="2256.9299999999998"/>
  </r>
  <r>
    <s v="FB000535"/>
    <x v="3"/>
    <x v="5"/>
    <x v="0"/>
    <s v="XL"/>
    <s v="Red"/>
    <n v="112.6"/>
    <x v="178"/>
    <n v="87.83"/>
    <d v="2025-07-22T00:00:00"/>
    <n v="29"/>
    <n v="2.1"/>
    <x v="1"/>
    <s v="Color Mismatch"/>
    <s v="OK"/>
    <n v="24.771999999999998"/>
    <s v="Correct Price"/>
    <n v="2547.0700000000002"/>
  </r>
  <r>
    <s v="FB000536"/>
    <x v="4"/>
    <x v="0"/>
    <x v="3"/>
    <s v="L"/>
    <s v="Purple"/>
    <n v="104.16"/>
    <x v="0"/>
    <n v="104.16"/>
    <d v="2025-08-06T00:00:00"/>
    <n v="21"/>
    <n v="1.6"/>
    <x v="0"/>
    <m/>
    <s v="OK"/>
    <n v="0"/>
    <s v="Correct Price"/>
    <n v="2187.36"/>
  </r>
  <r>
    <s v="FB000537"/>
    <x v="0"/>
    <x v="6"/>
    <x v="1"/>
    <s v="XXL"/>
    <s v="Gray"/>
    <n v="174.86"/>
    <x v="0"/>
    <n v="174.86"/>
    <d v="2025-08-06T00:00:00"/>
    <n v="15"/>
    <n v="1.7"/>
    <x v="0"/>
    <m/>
    <s v="OK"/>
    <n v="0"/>
    <s v="Correct Price"/>
    <n v="2622.9"/>
  </r>
  <r>
    <s v="FB000538"/>
    <x v="0"/>
    <x v="1"/>
    <x v="0"/>
    <s v="L"/>
    <s v="Purple"/>
    <n v="217.89"/>
    <x v="179"/>
    <n v="110.25"/>
    <d v="2024-11-27T00:00:00"/>
    <n v="42"/>
    <n v="2.9"/>
    <x v="0"/>
    <m/>
    <s v="OK"/>
    <n v="107.63766"/>
    <s v="Correct Price"/>
    <n v="4630.5"/>
  </r>
  <r>
    <s v="FB000539"/>
    <x v="3"/>
    <x v="3"/>
    <x v="1"/>
    <s v="L"/>
    <s v="Black"/>
    <n v="123.14"/>
    <x v="0"/>
    <n v="123.14"/>
    <d v="2025-08-06T00:00:00"/>
    <n v="15"/>
    <n v="1.8"/>
    <x v="1"/>
    <s v="Wrong Item"/>
    <s v="OK"/>
    <n v="0"/>
    <s v="Correct Price"/>
    <n v="1847.1"/>
  </r>
  <r>
    <s v="FB000540"/>
    <x v="1"/>
    <x v="5"/>
    <x v="1"/>
    <s v="XL"/>
    <s v="Navy"/>
    <n v="103.96"/>
    <x v="0"/>
    <n v="103.96"/>
    <d v="2025-08-06T00:00:00"/>
    <n v="23"/>
    <n v="3.3"/>
    <x v="0"/>
    <m/>
    <s v="OK"/>
    <n v="0"/>
    <s v="Correct Price"/>
    <n v="2391.08"/>
  </r>
  <r>
    <s v="FB000541"/>
    <x v="5"/>
    <x v="4"/>
    <x v="0"/>
    <s v="XL"/>
    <s v="Blue"/>
    <n v="138.44999999999999"/>
    <x v="0"/>
    <n v="138.44999999999999"/>
    <d v="2025-03-28T00:00:00"/>
    <n v="18"/>
    <n v="3.3"/>
    <x v="0"/>
    <m/>
    <s v="OK"/>
    <n v="0"/>
    <s v="Correct Price"/>
    <n v="2492.1"/>
  </r>
  <r>
    <s v="FB000542"/>
    <x v="3"/>
    <x v="6"/>
    <x v="3"/>
    <s v="S"/>
    <s v="Black"/>
    <n v="165.1"/>
    <x v="0"/>
    <n v="165.1"/>
    <d v="2025-08-06T00:00:00"/>
    <n v="7"/>
    <m/>
    <x v="0"/>
    <m/>
    <s v="OK"/>
    <n v="0"/>
    <s v="Correct Price"/>
    <n v="1155.7"/>
  </r>
  <r>
    <s v="FB000543"/>
    <x v="3"/>
    <x v="6"/>
    <x v="1"/>
    <s v="XXL"/>
    <s v="Gray"/>
    <n v="147.25"/>
    <x v="0"/>
    <n v="147.25"/>
    <d v="2025-08-06T00:00:00"/>
    <n v="15"/>
    <n v="2.7"/>
    <x v="0"/>
    <m/>
    <s v="OK"/>
    <n v="0"/>
    <s v="Correct Price"/>
    <n v="2208.75"/>
  </r>
  <r>
    <s v="FB000544"/>
    <x v="3"/>
    <x v="1"/>
    <x v="2"/>
    <s v="L"/>
    <s v="Pink"/>
    <n v="126.23"/>
    <x v="0"/>
    <n v="126.23"/>
    <d v="2025-08-06T00:00:00"/>
    <n v="48"/>
    <n v="2.1"/>
    <x v="0"/>
    <m/>
    <s v="OK"/>
    <n v="0"/>
    <s v="Correct Price"/>
    <n v="6059.04"/>
  </r>
  <r>
    <s v="FB000545"/>
    <x v="0"/>
    <x v="5"/>
    <x v="2"/>
    <s v="M"/>
    <s v="Navy"/>
    <n v="229.04"/>
    <x v="0"/>
    <n v="229.04"/>
    <d v="2025-08-06T00:00:00"/>
    <n v="5"/>
    <n v="4.5"/>
    <x v="0"/>
    <m/>
    <s v="OK"/>
    <n v="0"/>
    <s v="Correct Price"/>
    <n v="1145.2"/>
  </r>
  <r>
    <s v="FB000546"/>
    <x v="2"/>
    <x v="5"/>
    <x v="1"/>
    <m/>
    <s v="Gray"/>
    <n v="38.65"/>
    <x v="180"/>
    <n v="26.05"/>
    <d v="2025-08-06T00:00:00"/>
    <n v="46"/>
    <n v="1.1000000000000001"/>
    <x v="0"/>
    <m/>
    <s v="OK"/>
    <n v="12.5999"/>
    <s v="Correct Price"/>
    <n v="1198.3"/>
  </r>
  <r>
    <s v="FB000547"/>
    <x v="4"/>
    <x v="2"/>
    <x v="0"/>
    <s v="XS"/>
    <s v="Pink"/>
    <n v="80.819999999999993"/>
    <x v="0"/>
    <n v="80.819999999999993"/>
    <d v="2025-02-11T00:00:00"/>
    <n v="42"/>
    <m/>
    <x v="0"/>
    <m/>
    <s v="OK"/>
    <n v="0"/>
    <s v="Correct Price"/>
    <n v="3394.4399999999996"/>
  </r>
  <r>
    <s v="FB000548"/>
    <x v="2"/>
    <x v="1"/>
    <x v="0"/>
    <m/>
    <s v="Beige"/>
    <n v="56.44"/>
    <x v="0"/>
    <n v="56.44"/>
    <d v="2025-03-18T00:00:00"/>
    <n v="35"/>
    <n v="4"/>
    <x v="0"/>
    <m/>
    <s v="OK"/>
    <n v="0"/>
    <s v="Correct Price"/>
    <n v="1975.3999999999999"/>
  </r>
  <r>
    <s v="FB000549"/>
    <x v="5"/>
    <x v="0"/>
    <x v="2"/>
    <s v="M"/>
    <s v="Beige"/>
    <n v="121.3"/>
    <x v="0"/>
    <n v="121.3"/>
    <d v="2025-08-06T00:00:00"/>
    <n v="33"/>
    <n v="2.2999999999999998"/>
    <x v="0"/>
    <m/>
    <s v="OK"/>
    <n v="0"/>
    <s v="Correct Price"/>
    <n v="4002.9"/>
  </r>
  <r>
    <s v="FB000550"/>
    <x v="4"/>
    <x v="6"/>
    <x v="2"/>
    <m/>
    <s v="Black"/>
    <n v="101.98"/>
    <x v="181"/>
    <n v="73.02"/>
    <d v="2025-08-06T00:00:00"/>
    <n v="40"/>
    <n v="4.5"/>
    <x v="0"/>
    <m/>
    <s v="OK"/>
    <n v="28.962319999999998"/>
    <s v="Correct Price"/>
    <n v="2920.7999999999997"/>
  </r>
  <r>
    <s v="FB000551"/>
    <x v="4"/>
    <x v="2"/>
    <x v="0"/>
    <s v="L"/>
    <s v="Red"/>
    <n v="89.99"/>
    <x v="0"/>
    <n v="89.99"/>
    <d v="2025-02-28T00:00:00"/>
    <n v="26"/>
    <n v="4.0999999999999996"/>
    <x v="0"/>
    <m/>
    <s v="OK"/>
    <n v="0"/>
    <s v="Correct Price"/>
    <n v="2339.7399999999998"/>
  </r>
  <r>
    <s v="FB000552"/>
    <x v="3"/>
    <x v="7"/>
    <x v="3"/>
    <s v="XXL"/>
    <s v="Green"/>
    <n v="64.31"/>
    <x v="182"/>
    <n v="42.12"/>
    <d v="2025-08-06T00:00:00"/>
    <n v="48"/>
    <n v="4.5"/>
    <x v="0"/>
    <m/>
    <s v="OK"/>
    <n v="22.186950000000003"/>
    <s v="Correct Price"/>
    <n v="2021.7599999999998"/>
  </r>
  <r>
    <s v="FB000553"/>
    <x v="5"/>
    <x v="0"/>
    <x v="0"/>
    <s v="L"/>
    <s v="Beige"/>
    <n v="168.92"/>
    <x v="0"/>
    <n v="168.92"/>
    <d v="2025-07-14T00:00:00"/>
    <n v="11"/>
    <n v="4.4000000000000004"/>
    <x v="0"/>
    <m/>
    <s v="OK"/>
    <n v="0"/>
    <s v="Correct Price"/>
    <n v="1858.12"/>
  </r>
  <r>
    <s v="FB000554"/>
    <x v="4"/>
    <x v="6"/>
    <x v="3"/>
    <s v="XL"/>
    <s v="Navy"/>
    <n v="86.46"/>
    <x v="41"/>
    <n v="43.66"/>
    <d v="2025-08-06T00:00:00"/>
    <n v="19"/>
    <n v="4.3"/>
    <x v="0"/>
    <m/>
    <s v="OK"/>
    <n v="42.797699999999992"/>
    <s v="Correct Price"/>
    <n v="829.54"/>
  </r>
  <r>
    <s v="FB000555"/>
    <x v="1"/>
    <x v="7"/>
    <x v="1"/>
    <s v="XS"/>
    <s v="Red"/>
    <n v="36.840000000000003"/>
    <x v="183"/>
    <n v="29.88"/>
    <d v="2025-08-06T00:00:00"/>
    <n v="39"/>
    <n v="1.2"/>
    <x v="0"/>
    <m/>
    <s v="OK"/>
    <n v="6.9627600000000003"/>
    <s v="Correct Price"/>
    <n v="1165.32"/>
  </r>
  <r>
    <s v="FB000556"/>
    <x v="1"/>
    <x v="5"/>
    <x v="0"/>
    <s v="XS"/>
    <s v="Pink"/>
    <n v="38.5"/>
    <x v="0"/>
    <n v="38.5"/>
    <d v="2025-03-06T00:00:00"/>
    <n v="2"/>
    <n v="3.2"/>
    <x v="0"/>
    <m/>
    <s v="OK"/>
    <n v="0"/>
    <s v="Correct Price"/>
    <n v="77"/>
  </r>
  <r>
    <s v="FB000557"/>
    <x v="4"/>
    <x v="3"/>
    <x v="1"/>
    <m/>
    <s v="Beige"/>
    <n v="68.02"/>
    <x v="164"/>
    <n v="42.38"/>
    <d v="2025-08-06T00:00:00"/>
    <n v="40"/>
    <n v="2.1"/>
    <x v="0"/>
    <m/>
    <s v="OK"/>
    <n v="25.643540000000002"/>
    <s v="Correct Price"/>
    <n v="1695.2"/>
  </r>
  <r>
    <s v="FB000558"/>
    <x v="5"/>
    <x v="1"/>
    <x v="2"/>
    <s v="M"/>
    <s v="Brown"/>
    <n v="117.23"/>
    <x v="0"/>
    <n v="117.23"/>
    <d v="2025-08-06T00:00:00"/>
    <n v="30"/>
    <m/>
    <x v="1"/>
    <s v="Changed Mind"/>
    <s v="OK"/>
    <n v="0"/>
    <s v="Correct Price"/>
    <n v="3516.9"/>
  </r>
  <r>
    <s v="FB000559"/>
    <x v="1"/>
    <x v="5"/>
    <x v="0"/>
    <s v="S"/>
    <s v="Navy"/>
    <n v="79.33"/>
    <x v="0"/>
    <n v="79.33"/>
    <d v="2025-01-30T00:00:00"/>
    <n v="10"/>
    <n v="3.4"/>
    <x v="1"/>
    <s v="Changed Mind"/>
    <s v="OK"/>
    <n v="0"/>
    <s v="Correct Price"/>
    <n v="793.3"/>
  </r>
  <r>
    <s v="FB000560"/>
    <x v="4"/>
    <x v="3"/>
    <x v="3"/>
    <s v="L"/>
    <s v="Green"/>
    <n v="75.819999999999993"/>
    <x v="76"/>
    <n v="43.44"/>
    <d v="2025-08-06T00:00:00"/>
    <n v="11"/>
    <n v="2"/>
    <x v="0"/>
    <m/>
    <s v="OK"/>
    <n v="32.375140000000002"/>
    <s v="Correct Price"/>
    <n v="477.84"/>
  </r>
  <r>
    <s v="FB000561"/>
    <x v="5"/>
    <x v="5"/>
    <x v="0"/>
    <s v="M"/>
    <s v="White"/>
    <n v="141.41999999999999"/>
    <x v="0"/>
    <n v="141.41999999999999"/>
    <d v="2025-03-25T00:00:00"/>
    <n v="10"/>
    <n v="2.5"/>
    <x v="0"/>
    <m/>
    <s v="OK"/>
    <n v="0"/>
    <s v="Correct Price"/>
    <n v="1414.1999999999998"/>
  </r>
  <r>
    <s v="FB000562"/>
    <x v="3"/>
    <x v="1"/>
    <x v="0"/>
    <s v="L"/>
    <s v="Black"/>
    <n v="124.2"/>
    <x v="0"/>
    <n v="124.2"/>
    <d v="2024-08-28T00:00:00"/>
    <n v="24"/>
    <n v="1"/>
    <x v="0"/>
    <m/>
    <s v="OK"/>
    <n v="0"/>
    <s v="Correct Price"/>
    <n v="2980.8"/>
  </r>
  <r>
    <s v="FB000563"/>
    <x v="4"/>
    <x v="7"/>
    <x v="1"/>
    <s v="L"/>
    <s v="Navy"/>
    <n v="48.42"/>
    <x v="0"/>
    <n v="48.42"/>
    <d v="2025-08-06T00:00:00"/>
    <n v="6"/>
    <n v="4.3"/>
    <x v="0"/>
    <m/>
    <s v="OK"/>
    <n v="0"/>
    <s v="Correct Price"/>
    <n v="290.52"/>
  </r>
  <r>
    <s v="FB000564"/>
    <x v="5"/>
    <x v="4"/>
    <x v="2"/>
    <s v="XS"/>
    <s v="Gray"/>
    <n v="119.4"/>
    <x v="0"/>
    <n v="119.4"/>
    <d v="2025-08-06T00:00:00"/>
    <n v="45"/>
    <n v="4.2"/>
    <x v="0"/>
    <m/>
    <s v="OK"/>
    <n v="0"/>
    <s v="Correct Price"/>
    <n v="5373"/>
  </r>
  <r>
    <s v="FB000565"/>
    <x v="3"/>
    <x v="3"/>
    <x v="3"/>
    <s v="M"/>
    <s v="Brown"/>
    <n v="186.07"/>
    <x v="0"/>
    <n v="186.07"/>
    <d v="2025-08-06T00:00:00"/>
    <n v="41"/>
    <n v="2.6"/>
    <x v="0"/>
    <m/>
    <s v="OK"/>
    <n v="0"/>
    <s v="Correct Price"/>
    <n v="7628.87"/>
  </r>
  <r>
    <s v="FB000566"/>
    <x v="3"/>
    <x v="3"/>
    <x v="3"/>
    <s v="XL"/>
    <s v="Brown"/>
    <n v="109.46"/>
    <x v="0"/>
    <n v="109.46"/>
    <d v="2025-08-06T00:00:00"/>
    <n v="38"/>
    <n v="4.0999999999999996"/>
    <x v="0"/>
    <m/>
    <s v="OK"/>
    <n v="0"/>
    <s v="Correct Price"/>
    <n v="4159.4799999999996"/>
  </r>
  <r>
    <s v="FB000567"/>
    <x v="5"/>
    <x v="6"/>
    <x v="1"/>
    <s v="S"/>
    <s v="Gray"/>
    <n v="116.18"/>
    <x v="76"/>
    <n v="66.569999999999993"/>
    <d v="2025-08-06T00:00:00"/>
    <n v="3"/>
    <n v="3.5"/>
    <x v="0"/>
    <m/>
    <s v="OK"/>
    <n v="49.608860000000007"/>
    <s v="Correct Price"/>
    <n v="199.70999999999998"/>
  </r>
  <r>
    <s v="FB000568"/>
    <x v="2"/>
    <x v="0"/>
    <x v="1"/>
    <m/>
    <s v="Green"/>
    <n v="41.29"/>
    <x v="22"/>
    <n v="30.43"/>
    <d v="2025-08-06T00:00:00"/>
    <n v="5"/>
    <n v="4.7"/>
    <x v="0"/>
    <m/>
    <s v="OK"/>
    <n v="10.859269999999999"/>
    <s v="Correct Price"/>
    <n v="152.15"/>
  </r>
  <r>
    <s v="FB000569"/>
    <x v="1"/>
    <x v="1"/>
    <x v="1"/>
    <s v="S"/>
    <s v="Green"/>
    <n v="94.68"/>
    <x v="184"/>
    <n v="52.07"/>
    <d v="2025-08-06T00:00:00"/>
    <n v="47"/>
    <n v="2.6"/>
    <x v="0"/>
    <m/>
    <s v="OK"/>
    <n v="42.606000000000002"/>
    <s v="Correct Price"/>
    <n v="2447.29"/>
  </r>
  <r>
    <s v="FB000570"/>
    <x v="2"/>
    <x v="0"/>
    <x v="0"/>
    <m/>
    <s v="White"/>
    <n v="48.55"/>
    <x v="185"/>
    <n v="32.67"/>
    <d v="2024-10-01T00:00:00"/>
    <n v="39"/>
    <n v="2.8"/>
    <x v="0"/>
    <m/>
    <s v="OK"/>
    <n v="15.87585"/>
    <s v="Correct Price"/>
    <n v="1274.1300000000001"/>
  </r>
  <r>
    <s v="FB000571"/>
    <x v="1"/>
    <x v="6"/>
    <x v="3"/>
    <s v="M"/>
    <s v="Purple"/>
    <n v="75.22"/>
    <x v="0"/>
    <n v="75.22"/>
    <d v="2025-08-06T00:00:00"/>
    <n v="22"/>
    <n v="2.1"/>
    <x v="1"/>
    <s v="Size Issue"/>
    <s v="OK"/>
    <n v="0"/>
    <s v="Correct Price"/>
    <n v="1654.84"/>
  </r>
  <r>
    <s v="FB000572"/>
    <x v="3"/>
    <x v="4"/>
    <x v="3"/>
    <s v="XS"/>
    <s v="White"/>
    <n v="98.95"/>
    <x v="16"/>
    <n v="68.97"/>
    <d v="2025-08-06T00:00:00"/>
    <n v="16"/>
    <m/>
    <x v="0"/>
    <m/>
    <s v="OK"/>
    <n v="29.981849999999998"/>
    <s v="Correct Price"/>
    <n v="1103.52"/>
  </r>
  <r>
    <s v="FB000573"/>
    <x v="1"/>
    <x v="4"/>
    <x v="0"/>
    <s v="XL"/>
    <s v="Brown"/>
    <n v="39.56"/>
    <x v="0"/>
    <n v="39.56"/>
    <d v="2025-01-21T00:00:00"/>
    <n v="15"/>
    <m/>
    <x v="0"/>
    <m/>
    <s v="OK"/>
    <n v="0"/>
    <s v="Correct Price"/>
    <n v="593.40000000000009"/>
  </r>
  <r>
    <s v="FB000574"/>
    <x v="0"/>
    <x v="1"/>
    <x v="1"/>
    <s v="S"/>
    <s v="White"/>
    <n v="153.88"/>
    <x v="0"/>
    <n v="153.88"/>
    <d v="2025-08-06T00:00:00"/>
    <n v="42"/>
    <n v="2.2000000000000002"/>
    <x v="0"/>
    <m/>
    <s v="OK"/>
    <n v="0"/>
    <s v="Correct Price"/>
    <n v="6462.96"/>
  </r>
  <r>
    <s v="FB000575"/>
    <x v="2"/>
    <x v="5"/>
    <x v="3"/>
    <m/>
    <s v="Beige"/>
    <n v="68.87"/>
    <x v="0"/>
    <n v="68.87"/>
    <d v="2025-08-06T00:00:00"/>
    <n v="9"/>
    <n v="1.1000000000000001"/>
    <x v="0"/>
    <m/>
    <s v="OK"/>
    <n v="0"/>
    <s v="Correct Price"/>
    <n v="619.83000000000004"/>
  </r>
  <r>
    <s v="FB000576"/>
    <x v="4"/>
    <x v="5"/>
    <x v="2"/>
    <s v="M"/>
    <s v="Pink"/>
    <n v="25.56"/>
    <x v="177"/>
    <n v="15.62"/>
    <d v="2025-08-06T00:00:00"/>
    <n v="48"/>
    <m/>
    <x v="0"/>
    <m/>
    <s v="OK"/>
    <n v="9.9428399999999986"/>
    <s v="Correct Price"/>
    <n v="749.76"/>
  </r>
  <r>
    <s v="FB000577"/>
    <x v="0"/>
    <x v="4"/>
    <x v="2"/>
    <s v="XXL"/>
    <s v="White"/>
    <n v="246.49"/>
    <x v="0"/>
    <n v="246.49"/>
    <d v="2025-08-06T00:00:00"/>
    <n v="20"/>
    <n v="4.8"/>
    <x v="0"/>
    <m/>
    <s v="OK"/>
    <n v="0"/>
    <s v="Correct Price"/>
    <n v="4929.8"/>
  </r>
  <r>
    <s v="FB000578"/>
    <x v="2"/>
    <x v="4"/>
    <x v="2"/>
    <m/>
    <s v="Green"/>
    <n v="52.41"/>
    <x v="0"/>
    <n v="52.41"/>
    <d v="2025-08-06T00:00:00"/>
    <n v="14"/>
    <m/>
    <x v="0"/>
    <m/>
    <s v="OK"/>
    <n v="0"/>
    <s v="Correct Price"/>
    <n v="733.74"/>
  </r>
  <r>
    <s v="FB000579"/>
    <x v="1"/>
    <x v="0"/>
    <x v="3"/>
    <s v="M"/>
    <s v="Navy"/>
    <n v="33.770000000000003"/>
    <x v="0"/>
    <n v="33.770000000000003"/>
    <d v="2025-08-06T00:00:00"/>
    <n v="12"/>
    <n v="3.8"/>
    <x v="0"/>
    <m/>
    <s v="OK"/>
    <n v="0"/>
    <s v="Correct Price"/>
    <n v="405.24"/>
  </r>
  <r>
    <s v="FB000580"/>
    <x v="3"/>
    <x v="4"/>
    <x v="3"/>
    <s v="M"/>
    <s v="Pink"/>
    <n v="96.7"/>
    <x v="0"/>
    <n v="96.7"/>
    <d v="2025-08-06T00:00:00"/>
    <n v="28"/>
    <n v="3"/>
    <x v="0"/>
    <m/>
    <s v="OK"/>
    <n v="0"/>
    <s v="Correct Price"/>
    <n v="2707.6"/>
  </r>
  <r>
    <s v="FB000581"/>
    <x v="5"/>
    <x v="4"/>
    <x v="0"/>
    <s v="M"/>
    <s v="Red"/>
    <n v="95.81"/>
    <x v="0"/>
    <n v="95.81"/>
    <d v="2025-05-09T00:00:00"/>
    <n v="47"/>
    <n v="4.9000000000000004"/>
    <x v="0"/>
    <m/>
    <s v="OK"/>
    <n v="0"/>
    <s v="Correct Price"/>
    <n v="4503.07"/>
  </r>
  <r>
    <s v="FB000582"/>
    <x v="1"/>
    <x v="6"/>
    <x v="2"/>
    <s v="M"/>
    <s v="Brown"/>
    <n v="41.58"/>
    <x v="0"/>
    <n v="41.58"/>
    <d v="2025-08-06T00:00:00"/>
    <n v="3"/>
    <n v="1.6"/>
    <x v="0"/>
    <m/>
    <s v="OK"/>
    <n v="0"/>
    <s v="Correct Price"/>
    <n v="124.74"/>
  </r>
  <r>
    <s v="FB000583"/>
    <x v="1"/>
    <x v="1"/>
    <x v="3"/>
    <s v="XL"/>
    <s v="Gray"/>
    <n v="46.67"/>
    <x v="24"/>
    <n v="43.59"/>
    <d v="2025-08-06T00:00:00"/>
    <n v="35"/>
    <n v="1.3"/>
    <x v="1"/>
    <s v="Quality Issue"/>
    <s v="OK"/>
    <n v="3.0802199999999997"/>
    <s v="Correct Price"/>
    <n v="1525.65"/>
  </r>
  <r>
    <s v="FB000584"/>
    <x v="4"/>
    <x v="0"/>
    <x v="1"/>
    <s v="L"/>
    <s v="Beige"/>
    <n v="25.98"/>
    <x v="152"/>
    <n v="10.55"/>
    <d v="2025-08-06T00:00:00"/>
    <n v="40"/>
    <m/>
    <x v="0"/>
    <m/>
    <s v="OK"/>
    <n v="15.432119999999999"/>
    <s v="Correct Price"/>
    <n v="422"/>
  </r>
  <r>
    <s v="FB000585"/>
    <x v="0"/>
    <x v="1"/>
    <x v="3"/>
    <s v="L"/>
    <s v="Beige"/>
    <n v="204.82"/>
    <x v="186"/>
    <n v="176.15"/>
    <d v="2025-08-06T00:00:00"/>
    <n v="27"/>
    <n v="3.8"/>
    <x v="0"/>
    <m/>
    <s v="OK"/>
    <n v="28.674800000000001"/>
    <s v="Correct Price"/>
    <n v="4756.05"/>
  </r>
  <r>
    <s v="FB000586"/>
    <x v="1"/>
    <x v="0"/>
    <x v="1"/>
    <s v="XXL"/>
    <s v="Pink"/>
    <n v="43.43"/>
    <x v="187"/>
    <n v="22.97"/>
    <d v="2025-08-06T00:00:00"/>
    <n v="44"/>
    <n v="4.7"/>
    <x v="0"/>
    <m/>
    <s v="OK"/>
    <n v="20.45553"/>
    <s v="Correct Price"/>
    <n v="1010.68"/>
  </r>
  <r>
    <s v="FB000587"/>
    <x v="2"/>
    <x v="4"/>
    <x v="3"/>
    <m/>
    <s v="Blue"/>
    <n v="40.5"/>
    <x v="188"/>
    <n v="24.1"/>
    <d v="2025-08-06T00:00:00"/>
    <n v="25"/>
    <n v="2.9"/>
    <x v="0"/>
    <m/>
    <s v="OK"/>
    <n v="16.4025"/>
    <s v="Correct Price"/>
    <n v="602.5"/>
  </r>
  <r>
    <s v="FB000588"/>
    <x v="4"/>
    <x v="7"/>
    <x v="1"/>
    <s v="M"/>
    <s v="Red"/>
    <n v="73.59"/>
    <x v="189"/>
    <n v="61.37"/>
    <d v="2025-08-06T00:00:00"/>
    <n v="34"/>
    <n v="4"/>
    <x v="0"/>
    <m/>
    <s v="OK"/>
    <n v="12.21594"/>
    <s v="Correct Price"/>
    <n v="2086.58"/>
  </r>
  <r>
    <s v="FB000589"/>
    <x v="2"/>
    <x v="5"/>
    <x v="3"/>
    <m/>
    <s v="Navy"/>
    <n v="17.670000000000002"/>
    <x v="0"/>
    <n v="17.670000000000002"/>
    <d v="2025-08-06T00:00:00"/>
    <n v="29"/>
    <n v="4.3"/>
    <x v="0"/>
    <m/>
    <s v="OK"/>
    <n v="0"/>
    <s v="Correct Price"/>
    <n v="512.43000000000006"/>
  </r>
  <r>
    <s v="FB000590"/>
    <x v="5"/>
    <x v="6"/>
    <x v="1"/>
    <s v="S"/>
    <s v="Green"/>
    <n v="70.010000000000005"/>
    <x v="190"/>
    <n v="50.41"/>
    <d v="2025-08-06T00:00:00"/>
    <n v="23"/>
    <m/>
    <x v="0"/>
    <m/>
    <s v="OK"/>
    <n v="19.602800000000002"/>
    <s v="Correct Price"/>
    <n v="1159.4299999999998"/>
  </r>
  <r>
    <s v="FB000591"/>
    <x v="3"/>
    <x v="3"/>
    <x v="2"/>
    <s v="XS"/>
    <s v="Red"/>
    <n v="79.319999999999993"/>
    <x v="191"/>
    <n v="52.59"/>
    <d v="2025-08-06T00:00:00"/>
    <n v="38"/>
    <n v="3"/>
    <x v="1"/>
    <s v="Size Issue"/>
    <s v="OK"/>
    <n v="26.730839999999997"/>
    <s v="Correct Price"/>
    <n v="1998.42"/>
  </r>
  <r>
    <s v="FB000592"/>
    <x v="2"/>
    <x v="0"/>
    <x v="3"/>
    <m/>
    <s v="Beige"/>
    <n v="45.24"/>
    <x v="0"/>
    <n v="45.24"/>
    <d v="2025-08-06T00:00:00"/>
    <n v="20"/>
    <n v="3"/>
    <x v="1"/>
    <s v="Quality Issue"/>
    <s v="OK"/>
    <n v="0"/>
    <s v="Correct Price"/>
    <n v="904.80000000000007"/>
  </r>
  <r>
    <s v="FB000593"/>
    <x v="1"/>
    <x v="4"/>
    <x v="3"/>
    <s v="XXL"/>
    <s v="Red"/>
    <n v="63.51"/>
    <x v="192"/>
    <n v="54.87"/>
    <d v="2025-08-06T00:00:00"/>
    <n v="19"/>
    <m/>
    <x v="0"/>
    <m/>
    <s v="OK"/>
    <n v="8.6373599999999993"/>
    <s v="Correct Price"/>
    <n v="1042.53"/>
  </r>
  <r>
    <s v="FB000594"/>
    <x v="4"/>
    <x v="5"/>
    <x v="1"/>
    <s v="XXL"/>
    <s v="White"/>
    <n v="55.23"/>
    <x v="193"/>
    <n v="36.67"/>
    <d v="2025-08-06T00:00:00"/>
    <n v="9"/>
    <m/>
    <x v="0"/>
    <m/>
    <s v="OK"/>
    <n v="18.557280000000002"/>
    <s v="Correct Price"/>
    <n v="330.03000000000003"/>
  </r>
  <r>
    <s v="FB000595"/>
    <x v="5"/>
    <x v="2"/>
    <x v="2"/>
    <s v="M"/>
    <s v="Navy"/>
    <n v="137.59"/>
    <x v="0"/>
    <n v="137.59"/>
    <d v="2025-08-06T00:00:00"/>
    <n v="18"/>
    <m/>
    <x v="0"/>
    <m/>
    <s v="OK"/>
    <n v="0"/>
    <s v="Correct Price"/>
    <n v="2476.62"/>
  </r>
  <r>
    <s v="FB000596"/>
    <x v="3"/>
    <x v="4"/>
    <x v="2"/>
    <m/>
    <s v="White"/>
    <n v="65.8"/>
    <x v="0"/>
    <n v="65.8"/>
    <d v="2025-08-06T00:00:00"/>
    <n v="46"/>
    <n v="3.2"/>
    <x v="0"/>
    <m/>
    <s v="OK"/>
    <n v="0"/>
    <s v="Correct Price"/>
    <n v="3026.7999999999997"/>
  </r>
  <r>
    <s v="FB000597"/>
    <x v="3"/>
    <x v="1"/>
    <x v="1"/>
    <s v="XL"/>
    <s v="Blue"/>
    <n v="88.42"/>
    <x v="0"/>
    <n v="88.42"/>
    <d v="2025-08-06T00:00:00"/>
    <n v="44"/>
    <n v="3.4"/>
    <x v="1"/>
    <s v="Damaged"/>
    <s v="OK"/>
    <n v="0"/>
    <s v="Correct Price"/>
    <n v="3890.48"/>
  </r>
  <r>
    <s v="FB000598"/>
    <x v="5"/>
    <x v="3"/>
    <x v="2"/>
    <s v="M"/>
    <s v="Red"/>
    <n v="75.540000000000006"/>
    <x v="0"/>
    <n v="75.540000000000006"/>
    <d v="2025-08-06T00:00:00"/>
    <n v="6"/>
    <n v="4.5999999999999996"/>
    <x v="0"/>
    <m/>
    <s v="OK"/>
    <n v="0"/>
    <s v="Correct Price"/>
    <n v="453.24"/>
  </r>
  <r>
    <s v="FB000599"/>
    <x v="3"/>
    <x v="4"/>
    <x v="0"/>
    <s v="L"/>
    <s v="White"/>
    <n v="185.13"/>
    <x v="0"/>
    <n v="185.13"/>
    <d v="2025-05-09T00:00:00"/>
    <n v="49"/>
    <n v="4.9000000000000004"/>
    <x v="0"/>
    <m/>
    <s v="OK"/>
    <n v="0"/>
    <s v="Correct Price"/>
    <n v="9071.369999999999"/>
  </r>
  <r>
    <s v="FB000600"/>
    <x v="0"/>
    <x v="3"/>
    <x v="2"/>
    <s v="L"/>
    <s v="Black"/>
    <n v="132.58000000000001"/>
    <x v="0"/>
    <n v="132.58000000000001"/>
    <d v="2025-08-06T00:00:00"/>
    <n v="45"/>
    <n v="1.6"/>
    <x v="0"/>
    <m/>
    <s v="OK"/>
    <n v="0"/>
    <s v="Correct Price"/>
    <n v="5966.1"/>
  </r>
  <r>
    <s v="FB000601"/>
    <x v="4"/>
    <x v="0"/>
    <x v="2"/>
    <s v="M"/>
    <s v="White"/>
    <n v="93.38"/>
    <x v="0"/>
    <n v="93.38"/>
    <d v="2025-08-06T00:00:00"/>
    <n v="7"/>
    <n v="3.5"/>
    <x v="0"/>
    <m/>
    <s v="OK"/>
    <n v="0"/>
    <s v="Correct Price"/>
    <n v="653.66"/>
  </r>
  <r>
    <s v="FB000602"/>
    <x v="2"/>
    <x v="5"/>
    <x v="2"/>
    <m/>
    <s v="Black"/>
    <n v="47.28"/>
    <x v="0"/>
    <n v="47.28"/>
    <d v="2025-08-06T00:00:00"/>
    <n v="38"/>
    <n v="4.2"/>
    <x v="0"/>
    <m/>
    <s v="OK"/>
    <n v="0"/>
    <s v="Correct Price"/>
    <n v="1796.64"/>
  </r>
  <r>
    <s v="FB000603"/>
    <x v="4"/>
    <x v="2"/>
    <x v="0"/>
    <s v="L"/>
    <s v="Green"/>
    <n v="59.88"/>
    <x v="0"/>
    <n v="59.88"/>
    <d v="2024-10-12T00:00:00"/>
    <n v="33"/>
    <n v="2.9"/>
    <x v="0"/>
    <m/>
    <s v="OK"/>
    <n v="0"/>
    <s v="Correct Price"/>
    <n v="1976.0400000000002"/>
  </r>
  <r>
    <s v="FB000604"/>
    <x v="5"/>
    <x v="4"/>
    <x v="1"/>
    <s v="XXL"/>
    <s v="Black"/>
    <n v="140.07"/>
    <x v="0"/>
    <n v="140.07"/>
    <d v="2025-08-06T00:00:00"/>
    <n v="15"/>
    <n v="2.7"/>
    <x v="0"/>
    <m/>
    <s v="OK"/>
    <n v="0"/>
    <s v="Correct Price"/>
    <n v="2101.0499999999997"/>
  </r>
  <r>
    <s v="FB000605"/>
    <x v="2"/>
    <x v="1"/>
    <x v="1"/>
    <m/>
    <s v="Black"/>
    <n v="66.599999999999994"/>
    <x v="0"/>
    <n v="66.599999999999994"/>
    <d v="2025-08-06T00:00:00"/>
    <n v="47"/>
    <n v="4"/>
    <x v="0"/>
    <m/>
    <s v="OK"/>
    <n v="0"/>
    <s v="Correct Price"/>
    <n v="3130.2"/>
  </r>
  <r>
    <s v="FB000606"/>
    <x v="2"/>
    <x v="6"/>
    <x v="3"/>
    <m/>
    <s v="Purple"/>
    <n v="39.82"/>
    <x v="1"/>
    <n v="25.72"/>
    <d v="2025-08-06T00:00:00"/>
    <n v="9"/>
    <n v="4.5999999999999996"/>
    <x v="0"/>
    <m/>
    <s v="OK"/>
    <n v="14.09628"/>
    <s v="Correct Price"/>
    <n v="231.48"/>
  </r>
  <r>
    <s v="FB000607"/>
    <x v="2"/>
    <x v="0"/>
    <x v="2"/>
    <m/>
    <s v="Red"/>
    <n v="70.739999999999995"/>
    <x v="0"/>
    <n v="70.739999999999995"/>
    <d v="2025-08-06T00:00:00"/>
    <n v="49"/>
    <n v="1.8"/>
    <x v="0"/>
    <m/>
    <s v="OK"/>
    <n v="0"/>
    <s v="Correct Price"/>
    <n v="3466.2599999999998"/>
  </r>
  <r>
    <s v="FB000608"/>
    <x v="5"/>
    <x v="0"/>
    <x v="0"/>
    <s v="M"/>
    <s v="Red"/>
    <n v="95.33"/>
    <x v="0"/>
    <n v="95.33"/>
    <d v="2025-06-07T00:00:00"/>
    <n v="36"/>
    <m/>
    <x v="1"/>
    <s v="Quality Issue"/>
    <s v="OK"/>
    <n v="0"/>
    <s v="Correct Price"/>
    <n v="3431.88"/>
  </r>
  <r>
    <s v="FB000609"/>
    <x v="2"/>
    <x v="7"/>
    <x v="0"/>
    <m/>
    <s v="Red"/>
    <n v="32.619999999999997"/>
    <x v="8"/>
    <n v="23.13"/>
    <d v="2025-07-27T00:00:00"/>
    <n v="9"/>
    <n v="1.4"/>
    <x v="0"/>
    <m/>
    <s v="OK"/>
    <n v="9.4924199999999992"/>
    <s v="Correct Price"/>
    <n v="208.17"/>
  </r>
  <r>
    <s v="FB000610"/>
    <x v="4"/>
    <x v="3"/>
    <x v="3"/>
    <s v="XL"/>
    <s v="Purple"/>
    <n v="41.07"/>
    <x v="0"/>
    <n v="41.07"/>
    <d v="2025-08-06T00:00:00"/>
    <n v="10"/>
    <n v="4.8"/>
    <x v="0"/>
    <m/>
    <s v="OK"/>
    <n v="0"/>
    <s v="Correct Price"/>
    <n v="410.7"/>
  </r>
  <r>
    <s v="FB000611"/>
    <x v="4"/>
    <x v="0"/>
    <x v="1"/>
    <s v="XL"/>
    <s v="Gray"/>
    <n v="43.1"/>
    <x v="0"/>
    <n v="43.1"/>
    <d v="2025-08-06T00:00:00"/>
    <n v="34"/>
    <n v="4.9000000000000004"/>
    <x v="0"/>
    <m/>
    <s v="OK"/>
    <n v="0"/>
    <s v="Correct Price"/>
    <n v="1465.4"/>
  </r>
  <r>
    <s v="FB000612"/>
    <x v="0"/>
    <x v="5"/>
    <x v="1"/>
    <s v="XXL"/>
    <s v="Navy"/>
    <n v="102.03"/>
    <x v="138"/>
    <n v="73.56"/>
    <d v="2025-08-06T00:00:00"/>
    <n v="21"/>
    <n v="2.2000000000000002"/>
    <x v="1"/>
    <s v="Size Issue"/>
    <s v="OK"/>
    <n v="28.466369999999998"/>
    <s v="Correct Price"/>
    <n v="1544.76"/>
  </r>
  <r>
    <s v="FB000613"/>
    <x v="2"/>
    <x v="3"/>
    <x v="1"/>
    <m/>
    <s v="Red"/>
    <n v="54.11"/>
    <x v="0"/>
    <n v="54.11"/>
    <d v="2025-08-06T00:00:00"/>
    <n v="15"/>
    <n v="2.6"/>
    <x v="0"/>
    <m/>
    <s v="OK"/>
    <n v="0"/>
    <s v="Correct Price"/>
    <n v="811.65"/>
  </r>
  <r>
    <s v="FB000614"/>
    <x v="2"/>
    <x v="3"/>
    <x v="1"/>
    <m/>
    <s v="Purple"/>
    <n v="43.5"/>
    <x v="0"/>
    <n v="43.5"/>
    <d v="2025-08-06T00:00:00"/>
    <n v="35"/>
    <n v="2.8"/>
    <x v="0"/>
    <m/>
    <s v="OK"/>
    <n v="0"/>
    <s v="Correct Price"/>
    <n v="1522.5"/>
  </r>
  <r>
    <s v="FB000615"/>
    <x v="2"/>
    <x v="2"/>
    <x v="1"/>
    <m/>
    <s v="Pink"/>
    <n v="66"/>
    <x v="0"/>
    <n v="66"/>
    <d v="2025-08-06T00:00:00"/>
    <n v="19"/>
    <n v="2.6"/>
    <x v="0"/>
    <m/>
    <s v="OK"/>
    <n v="0"/>
    <s v="Correct Price"/>
    <n v="1254"/>
  </r>
  <r>
    <s v="FB000616"/>
    <x v="4"/>
    <x v="2"/>
    <x v="3"/>
    <s v="M"/>
    <s v="White"/>
    <n v="38.85"/>
    <x v="0"/>
    <n v="38.85"/>
    <d v="2025-08-06T00:00:00"/>
    <n v="10"/>
    <n v="3.8"/>
    <x v="0"/>
    <m/>
    <s v="OK"/>
    <n v="0"/>
    <s v="Correct Price"/>
    <n v="388.5"/>
  </r>
  <r>
    <s v="FB000617"/>
    <x v="2"/>
    <x v="0"/>
    <x v="3"/>
    <m/>
    <s v="Beige"/>
    <n v="61.29"/>
    <x v="0"/>
    <n v="61.29"/>
    <d v="2025-08-06T00:00:00"/>
    <n v="15"/>
    <n v="4"/>
    <x v="0"/>
    <m/>
    <s v="OK"/>
    <n v="0"/>
    <s v="Correct Price"/>
    <n v="919.35"/>
  </r>
  <r>
    <s v="FB000618"/>
    <x v="4"/>
    <x v="4"/>
    <x v="0"/>
    <s v="XS"/>
    <s v="Beige"/>
    <n v="90.66"/>
    <x v="0"/>
    <n v="90.66"/>
    <d v="2025-03-20T00:00:00"/>
    <n v="49"/>
    <n v="2.4"/>
    <x v="1"/>
    <s v="Color Mismatch"/>
    <s v="OK"/>
    <n v="0"/>
    <s v="Correct Price"/>
    <n v="4442.34"/>
  </r>
  <r>
    <s v="FB000619"/>
    <x v="5"/>
    <x v="3"/>
    <x v="2"/>
    <s v="XL"/>
    <s v="Green"/>
    <n v="119.96"/>
    <x v="0"/>
    <n v="119.96"/>
    <d v="2025-08-06T00:00:00"/>
    <n v="5"/>
    <n v="5"/>
    <x v="0"/>
    <m/>
    <s v="OK"/>
    <n v="0"/>
    <s v="Correct Price"/>
    <n v="599.79999999999995"/>
  </r>
  <r>
    <s v="FB000620"/>
    <x v="3"/>
    <x v="7"/>
    <x v="2"/>
    <s v="XXL"/>
    <s v="Red"/>
    <n v="130.21"/>
    <x v="0"/>
    <n v="130.21"/>
    <d v="2025-08-06T00:00:00"/>
    <n v="50"/>
    <n v="4.7"/>
    <x v="0"/>
    <m/>
    <s v="OK"/>
    <n v="0"/>
    <s v="Correct Price"/>
    <n v="6510.5"/>
  </r>
  <r>
    <s v="FB000621"/>
    <x v="1"/>
    <x v="2"/>
    <x v="1"/>
    <s v="XS"/>
    <s v="Red"/>
    <n v="49.68"/>
    <x v="0"/>
    <n v="49.68"/>
    <d v="2025-08-06T00:00:00"/>
    <n v="15"/>
    <n v="2.8"/>
    <x v="0"/>
    <m/>
    <s v="OK"/>
    <n v="0"/>
    <s v="Correct Price"/>
    <n v="745.2"/>
  </r>
  <r>
    <s v="FB000622"/>
    <x v="2"/>
    <x v="0"/>
    <x v="0"/>
    <m/>
    <s v="Purple"/>
    <n v="46.58"/>
    <x v="0"/>
    <n v="46.58"/>
    <d v="2024-09-25T00:00:00"/>
    <n v="42"/>
    <n v="1.7"/>
    <x v="0"/>
    <m/>
    <s v="OK"/>
    <n v="0"/>
    <s v="Correct Price"/>
    <n v="1956.36"/>
  </r>
  <r>
    <s v="FB000623"/>
    <x v="2"/>
    <x v="3"/>
    <x v="3"/>
    <m/>
    <s v="Brown"/>
    <n v="69.88"/>
    <x v="0"/>
    <n v="69.88"/>
    <d v="2025-08-06T00:00:00"/>
    <n v="8"/>
    <n v="2.8"/>
    <x v="0"/>
    <m/>
    <s v="OK"/>
    <n v="0"/>
    <s v="Correct Price"/>
    <n v="559.04"/>
  </r>
  <r>
    <s v="FB000624"/>
    <x v="2"/>
    <x v="7"/>
    <x v="2"/>
    <m/>
    <s v="Green"/>
    <n v="32.15"/>
    <x v="0"/>
    <n v="32.15"/>
    <d v="2025-08-06T00:00:00"/>
    <n v="17"/>
    <n v="1.9"/>
    <x v="1"/>
    <s v="Quality Issue"/>
    <s v="OK"/>
    <n v="0"/>
    <s v="Correct Price"/>
    <n v="546.54999999999995"/>
  </r>
  <r>
    <s v="FB000625"/>
    <x v="4"/>
    <x v="7"/>
    <x v="3"/>
    <s v="S"/>
    <s v="Black"/>
    <n v="36.340000000000003"/>
    <x v="0"/>
    <n v="36.340000000000003"/>
    <d v="2025-08-06T00:00:00"/>
    <n v="6"/>
    <n v="4.5"/>
    <x v="1"/>
    <s v="Damaged"/>
    <s v="OK"/>
    <n v="0"/>
    <s v="Correct Price"/>
    <n v="218.04000000000002"/>
  </r>
  <r>
    <s v="FB000626"/>
    <x v="4"/>
    <x v="3"/>
    <x v="2"/>
    <s v="M"/>
    <s v="Beige"/>
    <n v="93.01"/>
    <x v="0"/>
    <n v="93.01"/>
    <d v="2025-08-06T00:00:00"/>
    <n v="34"/>
    <n v="1.4"/>
    <x v="0"/>
    <m/>
    <s v="OK"/>
    <n v="0"/>
    <s v="Correct Price"/>
    <n v="3162.34"/>
  </r>
  <r>
    <s v="FB000627"/>
    <x v="1"/>
    <x v="6"/>
    <x v="1"/>
    <s v="S"/>
    <s v="Brown"/>
    <n v="75"/>
    <x v="0"/>
    <n v="75"/>
    <d v="2025-08-06T00:00:00"/>
    <n v="19"/>
    <n v="1.6"/>
    <x v="0"/>
    <m/>
    <s v="OK"/>
    <n v="0"/>
    <s v="Correct Price"/>
    <n v="1425"/>
  </r>
  <r>
    <s v="FB000628"/>
    <x v="0"/>
    <x v="0"/>
    <x v="2"/>
    <s v="M"/>
    <s v="Blue"/>
    <n v="81.63"/>
    <x v="194"/>
    <n v="71.510000000000005"/>
    <d v="2025-08-06T00:00:00"/>
    <n v="3"/>
    <m/>
    <x v="0"/>
    <m/>
    <s v="OK"/>
    <n v="10.122120000000001"/>
    <s v="Correct Price"/>
    <n v="214.53000000000003"/>
  </r>
  <r>
    <s v="FB000629"/>
    <x v="4"/>
    <x v="1"/>
    <x v="0"/>
    <s v="XL"/>
    <s v="Gray"/>
    <n v="109.81"/>
    <x v="0"/>
    <n v="109.81"/>
    <d v="2025-07-24T00:00:00"/>
    <n v="17"/>
    <n v="1.9"/>
    <x v="0"/>
    <m/>
    <s v="OK"/>
    <n v="0"/>
    <s v="Correct Price"/>
    <n v="1866.77"/>
  </r>
  <r>
    <s v="FB000630"/>
    <x v="4"/>
    <x v="5"/>
    <x v="2"/>
    <m/>
    <s v="Black"/>
    <n v="47.7"/>
    <x v="0"/>
    <n v="47.7"/>
    <d v="2025-08-06T00:00:00"/>
    <n v="14"/>
    <n v="2.2999999999999998"/>
    <x v="0"/>
    <m/>
    <s v="OK"/>
    <n v="0"/>
    <s v="Correct Price"/>
    <n v="667.80000000000007"/>
  </r>
  <r>
    <s v="FB000631"/>
    <x v="1"/>
    <x v="2"/>
    <x v="1"/>
    <s v="S"/>
    <s v="Red"/>
    <n v="96.08"/>
    <x v="0"/>
    <n v="96.08"/>
    <d v="2025-08-06T00:00:00"/>
    <n v="7"/>
    <n v="2.5"/>
    <x v="0"/>
    <m/>
    <s v="OK"/>
    <n v="0"/>
    <s v="Correct Price"/>
    <n v="672.56"/>
  </r>
  <r>
    <s v="FB000632"/>
    <x v="1"/>
    <x v="4"/>
    <x v="1"/>
    <s v="XS"/>
    <s v="Brown"/>
    <n v="28"/>
    <x v="23"/>
    <n v="27.27"/>
    <d v="2025-08-06T00:00:00"/>
    <n v="2"/>
    <m/>
    <x v="0"/>
    <m/>
    <s v="OK"/>
    <n v="0.72799999999999998"/>
    <s v="Correct Price"/>
    <n v="54.54"/>
  </r>
  <r>
    <s v="FB000633"/>
    <x v="4"/>
    <x v="0"/>
    <x v="1"/>
    <s v="S"/>
    <s v="Brown"/>
    <n v="52.43"/>
    <x v="40"/>
    <n v="49.07"/>
    <d v="2025-08-06T00:00:00"/>
    <n v="42"/>
    <n v="2.6"/>
    <x v="0"/>
    <m/>
    <s v="OK"/>
    <n v="3.3555200000000003"/>
    <s v="Correct Price"/>
    <n v="2060.94"/>
  </r>
  <r>
    <s v="FB000634"/>
    <x v="2"/>
    <x v="6"/>
    <x v="3"/>
    <m/>
    <s v="Pink"/>
    <n v="67.95"/>
    <x v="195"/>
    <n v="55.52"/>
    <d v="2025-08-06T00:00:00"/>
    <n v="37"/>
    <m/>
    <x v="0"/>
    <m/>
    <s v="OK"/>
    <n v="12.434850000000001"/>
    <s v="Correct Price"/>
    <n v="2054.2400000000002"/>
  </r>
  <r>
    <s v="FB000635"/>
    <x v="5"/>
    <x v="5"/>
    <x v="2"/>
    <m/>
    <s v="Red"/>
    <n v="131.91999999999999"/>
    <x v="0"/>
    <n v="131.91999999999999"/>
    <d v="2025-08-06T00:00:00"/>
    <n v="10"/>
    <n v="2.5"/>
    <x v="0"/>
    <m/>
    <s v="OK"/>
    <n v="0"/>
    <s v="Correct Price"/>
    <n v="1319.1999999999998"/>
  </r>
  <r>
    <s v="FB000636"/>
    <x v="0"/>
    <x v="5"/>
    <x v="0"/>
    <s v="XS"/>
    <s v="White"/>
    <n v="205.77"/>
    <x v="0"/>
    <n v="205.77"/>
    <d v="2025-01-31T00:00:00"/>
    <n v="38"/>
    <n v="1"/>
    <x v="0"/>
    <m/>
    <s v="OK"/>
    <n v="0"/>
    <s v="Correct Price"/>
    <n v="7819.26"/>
  </r>
  <r>
    <s v="FB000637"/>
    <x v="1"/>
    <x v="1"/>
    <x v="1"/>
    <s v="XL"/>
    <s v="White"/>
    <n v="97.88"/>
    <x v="196"/>
    <n v="86.82"/>
    <d v="2025-08-06T00:00:00"/>
    <n v="27"/>
    <n v="1.3"/>
    <x v="0"/>
    <m/>
    <s v="OK"/>
    <n v="11.060440000000002"/>
    <s v="Correct Price"/>
    <n v="2344.14"/>
  </r>
  <r>
    <s v="FB000638"/>
    <x v="3"/>
    <x v="0"/>
    <x v="3"/>
    <s v="L"/>
    <s v="Gray"/>
    <n v="109.55"/>
    <x v="0"/>
    <n v="109.55"/>
    <d v="2025-08-06T00:00:00"/>
    <n v="32"/>
    <n v="1.4"/>
    <x v="0"/>
    <m/>
    <s v="OK"/>
    <n v="0"/>
    <s v="Correct Price"/>
    <n v="3505.6"/>
  </r>
  <r>
    <s v="FB000639"/>
    <x v="4"/>
    <x v="0"/>
    <x v="2"/>
    <s v="L"/>
    <s v="Gray"/>
    <n v="52.94"/>
    <x v="197"/>
    <n v="47.33"/>
    <d v="2025-08-06T00:00:00"/>
    <n v="50"/>
    <n v="2.7"/>
    <x v="0"/>
    <m/>
    <s v="OK"/>
    <n v="5.6116399999999995"/>
    <s v="Correct Price"/>
    <n v="2366.5"/>
  </r>
  <r>
    <s v="FB000640"/>
    <x v="4"/>
    <x v="2"/>
    <x v="1"/>
    <s v="XS"/>
    <s v="Pink"/>
    <n v="70.83"/>
    <x v="26"/>
    <n v="58.08"/>
    <d v="2025-08-06T00:00:00"/>
    <n v="21"/>
    <n v="2.9"/>
    <x v="0"/>
    <m/>
    <s v="OK"/>
    <n v="12.749400000000001"/>
    <s v="Correct Price"/>
    <n v="1219.68"/>
  </r>
  <r>
    <s v="FB000641"/>
    <x v="5"/>
    <x v="3"/>
    <x v="2"/>
    <s v="L"/>
    <s v="Navy"/>
    <n v="53.17"/>
    <x v="0"/>
    <n v="53.17"/>
    <d v="2025-08-06T00:00:00"/>
    <n v="14"/>
    <n v="4.5"/>
    <x v="1"/>
    <s v="Changed Mind"/>
    <s v="OK"/>
    <n v="0"/>
    <s v="Correct Price"/>
    <n v="744.38"/>
  </r>
  <r>
    <s v="FB000642"/>
    <x v="4"/>
    <x v="2"/>
    <x v="3"/>
    <s v="XS"/>
    <s v="Beige"/>
    <n v="119.56"/>
    <x v="198"/>
    <n v="64.319999999999993"/>
    <d v="2025-08-06T00:00:00"/>
    <n v="14"/>
    <m/>
    <x v="0"/>
    <m/>
    <s v="OK"/>
    <n v="55.236720000000005"/>
    <s v="Correct Price"/>
    <n v="900.4799999999999"/>
  </r>
  <r>
    <s v="FB000643"/>
    <x v="5"/>
    <x v="3"/>
    <x v="1"/>
    <s v="S"/>
    <s v="Blue"/>
    <n v="144.43"/>
    <x v="0"/>
    <n v="144.43"/>
    <d v="2025-08-06T00:00:00"/>
    <n v="41"/>
    <n v="3.6"/>
    <x v="0"/>
    <m/>
    <s v="OK"/>
    <n v="0"/>
    <s v="Correct Price"/>
    <n v="5921.63"/>
  </r>
  <r>
    <s v="FB000644"/>
    <x v="0"/>
    <x v="3"/>
    <x v="0"/>
    <s v="S"/>
    <s v="Purple"/>
    <n v="172.93"/>
    <x v="0"/>
    <n v="172.93"/>
    <d v="2025-04-12T00:00:00"/>
    <n v="43"/>
    <n v="4.7"/>
    <x v="1"/>
    <s v="Quality Issue"/>
    <s v="OK"/>
    <n v="0"/>
    <s v="Correct Price"/>
    <n v="7435.9900000000007"/>
  </r>
  <r>
    <s v="FB000645"/>
    <x v="0"/>
    <x v="6"/>
    <x v="1"/>
    <s v="XL"/>
    <s v="Beige"/>
    <n v="191.95"/>
    <x v="199"/>
    <n v="114.4"/>
    <d v="2025-08-06T00:00:00"/>
    <n v="21"/>
    <n v="2.9"/>
    <x v="0"/>
    <m/>
    <s v="OK"/>
    <n v="77.547799999999995"/>
    <s v="Correct Price"/>
    <n v="2402.4"/>
  </r>
  <r>
    <s v="FB000646"/>
    <x v="5"/>
    <x v="4"/>
    <x v="1"/>
    <s v="M"/>
    <s v="Black"/>
    <n v="128.56"/>
    <x v="0"/>
    <n v="128.56"/>
    <d v="2025-08-06T00:00:00"/>
    <n v="45"/>
    <n v="2.4"/>
    <x v="0"/>
    <m/>
    <s v="OK"/>
    <n v="0"/>
    <s v="Correct Price"/>
    <n v="5785.2"/>
  </r>
  <r>
    <s v="FB000647"/>
    <x v="5"/>
    <x v="4"/>
    <x v="3"/>
    <s v="L"/>
    <s v="White"/>
    <n v="123.08"/>
    <x v="166"/>
    <n v="57.85"/>
    <d v="2025-08-06T00:00:00"/>
    <n v="38"/>
    <n v="2.5"/>
    <x v="0"/>
    <m/>
    <s v="OK"/>
    <n v="65.232399999999998"/>
    <s v="Correct Price"/>
    <n v="2198.3000000000002"/>
  </r>
  <r>
    <s v="FB000648"/>
    <x v="0"/>
    <x v="5"/>
    <x v="0"/>
    <s v="S"/>
    <s v="Purple"/>
    <n v="119.78"/>
    <x v="0"/>
    <n v="119.78"/>
    <d v="2025-04-04T00:00:00"/>
    <n v="22"/>
    <n v="1.5"/>
    <x v="1"/>
    <s v="Color Mismatch"/>
    <s v="OK"/>
    <n v="0"/>
    <s v="Correct Price"/>
    <n v="2635.16"/>
  </r>
  <r>
    <s v="FB000649"/>
    <x v="4"/>
    <x v="2"/>
    <x v="3"/>
    <s v="XS"/>
    <s v="White"/>
    <n v="110.6"/>
    <x v="0"/>
    <n v="110.6"/>
    <d v="2025-08-06T00:00:00"/>
    <n v="19"/>
    <m/>
    <x v="1"/>
    <s v="Color Mismatch"/>
    <s v="OK"/>
    <n v="0"/>
    <s v="Correct Price"/>
    <n v="2101.4"/>
  </r>
  <r>
    <s v="FB000650"/>
    <x v="1"/>
    <x v="0"/>
    <x v="0"/>
    <s v="S"/>
    <s v="Purple"/>
    <n v="58.16"/>
    <x v="0"/>
    <n v="58.16"/>
    <d v="2025-07-02T00:00:00"/>
    <n v="29"/>
    <n v="4.0999999999999996"/>
    <x v="0"/>
    <m/>
    <s v="OK"/>
    <n v="0"/>
    <s v="Correct Price"/>
    <n v="1686.6399999999999"/>
  </r>
  <r>
    <s v="FB000651"/>
    <x v="0"/>
    <x v="3"/>
    <x v="2"/>
    <s v="S"/>
    <s v="Green"/>
    <n v="208.82"/>
    <x v="0"/>
    <n v="208.82"/>
    <d v="2025-08-06T00:00:00"/>
    <n v="45"/>
    <n v="1.8"/>
    <x v="0"/>
    <m/>
    <s v="OK"/>
    <n v="0"/>
    <s v="Correct Price"/>
    <n v="9396.9"/>
  </r>
  <r>
    <s v="FB000652"/>
    <x v="3"/>
    <x v="5"/>
    <x v="1"/>
    <s v="M"/>
    <s v="Black"/>
    <n v="192.74"/>
    <x v="0"/>
    <n v="192.74"/>
    <d v="2025-08-06T00:00:00"/>
    <n v="43"/>
    <n v="4.3"/>
    <x v="0"/>
    <m/>
    <s v="OK"/>
    <n v="0"/>
    <s v="Correct Price"/>
    <n v="8287.82"/>
  </r>
  <r>
    <s v="FB000653"/>
    <x v="2"/>
    <x v="6"/>
    <x v="2"/>
    <m/>
    <s v="Red"/>
    <n v="71.819999999999993"/>
    <x v="85"/>
    <n v="58.61"/>
    <d v="2025-08-06T00:00:00"/>
    <n v="50"/>
    <n v="1.9"/>
    <x v="0"/>
    <m/>
    <s v="OK"/>
    <n v="13.214879999999999"/>
    <s v="Correct Price"/>
    <n v="2930.5"/>
  </r>
  <r>
    <s v="FB000654"/>
    <x v="3"/>
    <x v="0"/>
    <x v="3"/>
    <s v="XS"/>
    <s v="Red"/>
    <n v="145.4"/>
    <x v="0"/>
    <n v="145.4"/>
    <d v="2025-08-06T00:00:00"/>
    <n v="14"/>
    <n v="2"/>
    <x v="0"/>
    <m/>
    <s v="OK"/>
    <n v="0"/>
    <s v="Correct Price"/>
    <n v="2035.6000000000001"/>
  </r>
  <r>
    <s v="FB000655"/>
    <x v="4"/>
    <x v="3"/>
    <x v="3"/>
    <s v="XXL"/>
    <s v="Brown"/>
    <n v="51.94"/>
    <x v="0"/>
    <n v="51.94"/>
    <d v="2025-08-06T00:00:00"/>
    <n v="9"/>
    <n v="3.2"/>
    <x v="0"/>
    <m/>
    <s v="OK"/>
    <n v="0"/>
    <s v="Correct Price"/>
    <n v="467.46"/>
  </r>
  <r>
    <s v="FB000656"/>
    <x v="2"/>
    <x v="5"/>
    <x v="0"/>
    <m/>
    <s v="Black"/>
    <n v="77.48"/>
    <x v="0"/>
    <n v="77.48"/>
    <d v="2024-10-07T00:00:00"/>
    <n v="49"/>
    <n v="3.3"/>
    <x v="1"/>
    <s v="Quality Issue"/>
    <s v="OK"/>
    <n v="0"/>
    <s v="Correct Price"/>
    <n v="3796.52"/>
  </r>
  <r>
    <s v="FB000657"/>
    <x v="5"/>
    <x v="3"/>
    <x v="3"/>
    <s v="L"/>
    <s v="Black"/>
    <n v="59.66"/>
    <x v="200"/>
    <n v="32.69"/>
    <d v="2025-08-06T00:00:00"/>
    <n v="14"/>
    <n v="2.6"/>
    <x v="0"/>
    <m/>
    <s v="OK"/>
    <n v="26.96632"/>
    <s v="Correct Price"/>
    <n v="457.65999999999997"/>
  </r>
  <r>
    <s v="FB000658"/>
    <x v="4"/>
    <x v="1"/>
    <x v="3"/>
    <s v="S"/>
    <s v="Red"/>
    <n v="102.07"/>
    <x v="0"/>
    <n v="102.07"/>
    <d v="2025-08-06T00:00:00"/>
    <n v="26"/>
    <m/>
    <x v="1"/>
    <s v="Color Mismatch"/>
    <s v="OK"/>
    <n v="0"/>
    <s v="Correct Price"/>
    <n v="2653.8199999999997"/>
  </r>
  <r>
    <s v="FB000659"/>
    <x v="2"/>
    <x v="2"/>
    <x v="0"/>
    <m/>
    <s v="Gray"/>
    <n v="48.57"/>
    <x v="0"/>
    <n v="48.57"/>
    <d v="2024-12-06T00:00:00"/>
    <n v="12"/>
    <n v="4.7"/>
    <x v="0"/>
    <m/>
    <s v="OK"/>
    <n v="0"/>
    <s v="Correct Price"/>
    <n v="582.84"/>
  </r>
  <r>
    <s v="FB000660"/>
    <x v="3"/>
    <x v="6"/>
    <x v="3"/>
    <s v="M"/>
    <s v="Navy"/>
    <n v="121.55"/>
    <x v="0"/>
    <n v="121.55"/>
    <d v="2025-08-06T00:00:00"/>
    <n v="16"/>
    <m/>
    <x v="1"/>
    <s v="Damaged"/>
    <s v="OK"/>
    <n v="0"/>
    <s v="Correct Price"/>
    <n v="1944.8"/>
  </r>
  <r>
    <s v="FB000661"/>
    <x v="2"/>
    <x v="5"/>
    <x v="1"/>
    <m/>
    <s v="Navy"/>
    <n v="59.22"/>
    <x v="201"/>
    <n v="32.69"/>
    <d v="2025-08-06T00:00:00"/>
    <n v="21"/>
    <n v="2"/>
    <x v="0"/>
    <m/>
    <s v="OK"/>
    <n v="26.530559999999994"/>
    <s v="Correct Price"/>
    <n v="686.49"/>
  </r>
  <r>
    <s v="FB000662"/>
    <x v="1"/>
    <x v="5"/>
    <x v="0"/>
    <s v="XS"/>
    <s v="Beige"/>
    <n v="58.5"/>
    <x v="202"/>
    <n v="57.27"/>
    <d v="2025-05-23T00:00:00"/>
    <n v="24"/>
    <n v="3.9"/>
    <x v="0"/>
    <m/>
    <s v="OK"/>
    <n v="1.2285000000000001"/>
    <s v="Correct Price"/>
    <n v="1374.48"/>
  </r>
  <r>
    <s v="FB000663"/>
    <x v="2"/>
    <x v="7"/>
    <x v="2"/>
    <m/>
    <s v="Green"/>
    <n v="73.849999999999994"/>
    <x v="0"/>
    <n v="73.849999999999994"/>
    <d v="2025-08-06T00:00:00"/>
    <n v="46"/>
    <n v="2"/>
    <x v="0"/>
    <m/>
    <s v="OK"/>
    <n v="0"/>
    <s v="Correct Price"/>
    <n v="3397.1"/>
  </r>
  <r>
    <s v="FB000664"/>
    <x v="4"/>
    <x v="4"/>
    <x v="3"/>
    <s v="XXL"/>
    <s v="Red"/>
    <n v="114.32"/>
    <x v="203"/>
    <n v="72.59"/>
    <d v="2025-08-06T00:00:00"/>
    <n v="41"/>
    <n v="4.0999999999999996"/>
    <x v="0"/>
    <m/>
    <s v="OK"/>
    <n v="41.726799999999997"/>
    <s v="Correct Price"/>
    <n v="2976.19"/>
  </r>
  <r>
    <s v="FB000665"/>
    <x v="4"/>
    <x v="7"/>
    <x v="3"/>
    <s v="XS"/>
    <s v="Gray"/>
    <n v="91.4"/>
    <x v="204"/>
    <n v="81.349999999999994"/>
    <d v="2025-08-06T00:00:00"/>
    <n v="18"/>
    <n v="1.6"/>
    <x v="0"/>
    <m/>
    <s v="OK"/>
    <n v="10.054"/>
    <s v="Correct Price"/>
    <n v="1464.3"/>
  </r>
  <r>
    <s v="FB000666"/>
    <x v="2"/>
    <x v="7"/>
    <x v="1"/>
    <m/>
    <s v="Navy"/>
    <n v="69.77"/>
    <x v="0"/>
    <n v="69.77"/>
    <d v="2025-08-06T00:00:00"/>
    <n v="30"/>
    <m/>
    <x v="1"/>
    <s v="Color Mismatch"/>
    <s v="OK"/>
    <n v="0"/>
    <s v="Correct Price"/>
    <n v="2093.1"/>
  </r>
  <r>
    <s v="FB000667"/>
    <x v="1"/>
    <x v="4"/>
    <x v="3"/>
    <s v="L"/>
    <s v="Black"/>
    <n v="72.95"/>
    <x v="0"/>
    <n v="72.95"/>
    <d v="2025-08-06T00:00:00"/>
    <n v="27"/>
    <n v="4.8"/>
    <x v="0"/>
    <m/>
    <s v="OK"/>
    <n v="0"/>
    <s v="Correct Price"/>
    <n v="1969.65"/>
  </r>
  <r>
    <s v="FB000668"/>
    <x v="4"/>
    <x v="5"/>
    <x v="3"/>
    <s v="XL"/>
    <s v="Beige"/>
    <n v="63.99"/>
    <x v="109"/>
    <n v="36.99"/>
    <d v="2025-08-06T00:00:00"/>
    <n v="35"/>
    <n v="3.2"/>
    <x v="0"/>
    <m/>
    <s v="OK"/>
    <n v="27.003780000000003"/>
    <s v="Correct Price"/>
    <n v="1294.6500000000001"/>
  </r>
  <r>
    <s v="FB000669"/>
    <x v="5"/>
    <x v="2"/>
    <x v="3"/>
    <s v="XL"/>
    <s v="Blue"/>
    <n v="74.84"/>
    <x v="205"/>
    <n v="36"/>
    <d v="2025-08-06T00:00:00"/>
    <n v="35"/>
    <n v="2.5"/>
    <x v="0"/>
    <m/>
    <s v="OK"/>
    <n v="38.84196"/>
    <s v="Correct Price"/>
    <n v="1260"/>
  </r>
  <r>
    <s v="FB000670"/>
    <x v="0"/>
    <x v="4"/>
    <x v="0"/>
    <s v="XS"/>
    <s v="Black"/>
    <n v="158.84"/>
    <x v="0"/>
    <n v="158.84"/>
    <d v="2025-04-16T00:00:00"/>
    <n v="30"/>
    <n v="4.5999999999999996"/>
    <x v="0"/>
    <m/>
    <s v="OK"/>
    <n v="0"/>
    <s v="Correct Price"/>
    <n v="4765.2"/>
  </r>
  <r>
    <s v="FB000671"/>
    <x v="3"/>
    <x v="3"/>
    <x v="0"/>
    <s v="M"/>
    <s v="Brown"/>
    <n v="96.36"/>
    <x v="206"/>
    <n v="39.89"/>
    <d v="2025-02-10T00:00:00"/>
    <n v="16"/>
    <n v="3.9"/>
    <x v="0"/>
    <m/>
    <s v="OK"/>
    <n v="56.46696"/>
    <s v="Correct Price"/>
    <n v="638.24"/>
  </r>
  <r>
    <s v="FB000672"/>
    <x v="4"/>
    <x v="4"/>
    <x v="0"/>
    <s v="XS"/>
    <s v="Purple"/>
    <n v="51.06"/>
    <x v="207"/>
    <n v="43.96"/>
    <d v="2024-08-16T00:00:00"/>
    <n v="16"/>
    <n v="1.3"/>
    <x v="0"/>
    <m/>
    <s v="OK"/>
    <n v="7.09734"/>
    <s v="Correct Price"/>
    <n v="703.36"/>
  </r>
  <r>
    <s v="FB000673"/>
    <x v="4"/>
    <x v="2"/>
    <x v="3"/>
    <s v="L"/>
    <s v="Navy"/>
    <n v="49.75"/>
    <x v="208"/>
    <n v="36.619999999999997"/>
    <d v="2025-08-06T00:00:00"/>
    <n v="24"/>
    <n v="3.8"/>
    <x v="0"/>
    <m/>
    <s v="OK"/>
    <n v="13.133999999999999"/>
    <s v="Correct Price"/>
    <n v="878.87999999999988"/>
  </r>
  <r>
    <s v="FB000674"/>
    <x v="5"/>
    <x v="3"/>
    <x v="0"/>
    <s v="XS"/>
    <s v="Pink"/>
    <n v="148.97999999999999"/>
    <x v="0"/>
    <n v="148.97999999999999"/>
    <d v="2024-10-26T00:00:00"/>
    <n v="11"/>
    <n v="2.2000000000000002"/>
    <x v="1"/>
    <s v="Wrong Item"/>
    <s v="OK"/>
    <n v="0"/>
    <s v="Correct Price"/>
    <n v="1638.78"/>
  </r>
  <r>
    <s v="FB000675"/>
    <x v="2"/>
    <x v="6"/>
    <x v="1"/>
    <m/>
    <s v="Gray"/>
    <n v="72.239999999999995"/>
    <x v="0"/>
    <n v="72.239999999999995"/>
    <d v="2025-08-06T00:00:00"/>
    <n v="35"/>
    <n v="4.0999999999999996"/>
    <x v="0"/>
    <m/>
    <s v="OK"/>
    <n v="0"/>
    <s v="Correct Price"/>
    <n v="2528.3999999999996"/>
  </r>
  <r>
    <s v="FB000676"/>
    <x v="1"/>
    <x v="3"/>
    <x v="1"/>
    <s v="XS"/>
    <s v="Blue"/>
    <n v="94.92"/>
    <x v="0"/>
    <n v="94.92"/>
    <d v="2025-08-06T00:00:00"/>
    <n v="5"/>
    <n v="3.3"/>
    <x v="0"/>
    <m/>
    <s v="OK"/>
    <n v="0"/>
    <s v="Correct Price"/>
    <n v="474.6"/>
  </r>
  <r>
    <s v="FB000677"/>
    <x v="0"/>
    <x v="2"/>
    <x v="2"/>
    <s v="XXL"/>
    <s v="Brown"/>
    <n v="91.08"/>
    <x v="0"/>
    <n v="91.08"/>
    <d v="2025-08-06T00:00:00"/>
    <n v="47"/>
    <n v="4.9000000000000004"/>
    <x v="0"/>
    <m/>
    <s v="OK"/>
    <n v="0"/>
    <s v="Correct Price"/>
    <n v="4280.76"/>
  </r>
  <r>
    <s v="FB000678"/>
    <x v="2"/>
    <x v="2"/>
    <x v="2"/>
    <m/>
    <s v="Brown"/>
    <n v="49.72"/>
    <x v="209"/>
    <n v="20.73"/>
    <d v="2025-08-06T00:00:00"/>
    <n v="4"/>
    <n v="1.6"/>
    <x v="0"/>
    <m/>
    <s v="OK"/>
    <n v="28.98676"/>
    <s v="Correct Price"/>
    <n v="82.92"/>
  </r>
  <r>
    <s v="FB000679"/>
    <x v="2"/>
    <x v="6"/>
    <x v="1"/>
    <m/>
    <s v="Purple"/>
    <n v="23.09"/>
    <x v="72"/>
    <n v="21.45"/>
    <d v="2025-08-06T00:00:00"/>
    <n v="11"/>
    <n v="1.2"/>
    <x v="0"/>
    <m/>
    <s v="OK"/>
    <n v="1.6393899999999999"/>
    <s v="Correct Price"/>
    <n v="235.95"/>
  </r>
  <r>
    <s v="FB000680"/>
    <x v="2"/>
    <x v="0"/>
    <x v="0"/>
    <m/>
    <s v="Red"/>
    <n v="49.95"/>
    <x v="0"/>
    <n v="49.95"/>
    <d v="2024-09-17T00:00:00"/>
    <n v="29"/>
    <n v="4.3"/>
    <x v="0"/>
    <m/>
    <s v="OK"/>
    <n v="0"/>
    <s v="Correct Price"/>
    <n v="1448.5500000000002"/>
  </r>
  <r>
    <s v="FB000681"/>
    <x v="2"/>
    <x v="7"/>
    <x v="1"/>
    <m/>
    <s v="Green"/>
    <n v="25.7"/>
    <x v="0"/>
    <n v="25.7"/>
    <d v="2025-08-06T00:00:00"/>
    <n v="38"/>
    <n v="3.2"/>
    <x v="1"/>
    <s v="Quality Issue"/>
    <s v="OK"/>
    <n v="0"/>
    <s v="Correct Price"/>
    <n v="976.6"/>
  </r>
  <r>
    <s v="FB000682"/>
    <x v="3"/>
    <x v="3"/>
    <x v="3"/>
    <s v="XS"/>
    <s v="Green"/>
    <n v="175.22"/>
    <x v="0"/>
    <n v="175.22"/>
    <d v="2025-08-06T00:00:00"/>
    <n v="8"/>
    <n v="4.9000000000000004"/>
    <x v="0"/>
    <m/>
    <s v="OK"/>
    <n v="0"/>
    <s v="Correct Price"/>
    <n v="1401.76"/>
  </r>
  <r>
    <s v="FB000683"/>
    <x v="4"/>
    <x v="5"/>
    <x v="3"/>
    <s v="XS"/>
    <s v="Gray"/>
    <n v="37.57"/>
    <x v="0"/>
    <n v="37.57"/>
    <d v="2025-08-06T00:00:00"/>
    <n v="18"/>
    <n v="1.9"/>
    <x v="0"/>
    <m/>
    <s v="OK"/>
    <n v="0"/>
    <s v="Correct Price"/>
    <n v="676.26"/>
  </r>
  <r>
    <s v="FB000684"/>
    <x v="0"/>
    <x v="0"/>
    <x v="0"/>
    <s v="M"/>
    <s v="Green"/>
    <n v="245.87"/>
    <x v="0"/>
    <n v="245.87"/>
    <d v="2025-06-24T00:00:00"/>
    <n v="27"/>
    <n v="2.6"/>
    <x v="0"/>
    <m/>
    <s v="OK"/>
    <n v="0"/>
    <s v="Correct Price"/>
    <n v="6638.49"/>
  </r>
  <r>
    <s v="FB000685"/>
    <x v="4"/>
    <x v="2"/>
    <x v="1"/>
    <s v="XS"/>
    <s v="Red"/>
    <n v="116.92"/>
    <x v="0"/>
    <n v="116.92"/>
    <d v="2025-08-06T00:00:00"/>
    <n v="13"/>
    <n v="3.2"/>
    <x v="0"/>
    <m/>
    <s v="OK"/>
    <n v="0"/>
    <s v="Correct Price"/>
    <n v="1519.96"/>
  </r>
  <r>
    <s v="FB000686"/>
    <x v="5"/>
    <x v="5"/>
    <x v="1"/>
    <s v="L"/>
    <s v="Pink"/>
    <n v="103.11"/>
    <x v="0"/>
    <n v="103.11"/>
    <d v="2025-08-06T00:00:00"/>
    <n v="17"/>
    <m/>
    <x v="0"/>
    <m/>
    <s v="OK"/>
    <n v="0"/>
    <s v="Correct Price"/>
    <n v="1752.87"/>
  </r>
  <r>
    <s v="FB000687"/>
    <x v="0"/>
    <x v="1"/>
    <x v="2"/>
    <s v="M"/>
    <s v="Purple"/>
    <n v="238.89"/>
    <x v="210"/>
    <n v="237.7"/>
    <d v="2025-08-06T00:00:00"/>
    <n v="28"/>
    <n v="2.7"/>
    <x v="0"/>
    <m/>
    <s v="OK"/>
    <n v="1.19445"/>
    <s v="Correct Price"/>
    <n v="6655.5999999999995"/>
  </r>
  <r>
    <s v="FB000688"/>
    <x v="3"/>
    <x v="1"/>
    <x v="3"/>
    <s v="XS"/>
    <s v="Pink"/>
    <n v="86.81"/>
    <x v="211"/>
    <n v="75.87"/>
    <d v="2025-08-06T00:00:00"/>
    <n v="6"/>
    <n v="1.7"/>
    <x v="0"/>
    <m/>
    <s v="OK"/>
    <n v="10.93806"/>
    <s v="Correct Price"/>
    <n v="455.22"/>
  </r>
  <r>
    <s v="FB000689"/>
    <x v="4"/>
    <x v="3"/>
    <x v="3"/>
    <s v="XS"/>
    <s v="Blue"/>
    <n v="58.8"/>
    <x v="158"/>
    <n v="51.86"/>
    <d v="2025-08-06T00:00:00"/>
    <n v="8"/>
    <m/>
    <x v="0"/>
    <m/>
    <s v="OK"/>
    <n v="6.9384000000000006"/>
    <s v="Correct Price"/>
    <n v="414.88"/>
  </r>
  <r>
    <s v="FB000690"/>
    <x v="4"/>
    <x v="5"/>
    <x v="0"/>
    <s v="XL"/>
    <s v="Beige"/>
    <n v="41.65"/>
    <x v="212"/>
    <n v="19.989999999999998"/>
    <d v="2025-05-16T00:00:00"/>
    <n v="20"/>
    <n v="1.2"/>
    <x v="0"/>
    <m/>
    <s v="OK"/>
    <n v="21.657999999999998"/>
    <s v="Correct Price"/>
    <n v="399.79999999999995"/>
  </r>
  <r>
    <s v="FB000691"/>
    <x v="1"/>
    <x v="4"/>
    <x v="0"/>
    <s v="XL"/>
    <s v="Black"/>
    <n v="61.67"/>
    <x v="213"/>
    <n v="33.06"/>
    <d v="2025-07-15T00:00:00"/>
    <n v="50"/>
    <n v="2.7"/>
    <x v="0"/>
    <m/>
    <s v="OK"/>
    <n v="28.614879999999999"/>
    <s v="Correct Price"/>
    <n v="1653"/>
  </r>
  <r>
    <s v="FB000692"/>
    <x v="4"/>
    <x v="4"/>
    <x v="2"/>
    <s v="XS"/>
    <s v="Black"/>
    <n v="40.39"/>
    <x v="0"/>
    <n v="40.39"/>
    <d v="2025-08-06T00:00:00"/>
    <n v="16"/>
    <m/>
    <x v="0"/>
    <m/>
    <s v="OK"/>
    <n v="0"/>
    <s v="Correct Price"/>
    <n v="646.24"/>
  </r>
  <r>
    <s v="FB000693"/>
    <x v="1"/>
    <x v="5"/>
    <x v="2"/>
    <s v="XXL"/>
    <s v="Purple"/>
    <n v="95.13"/>
    <x v="214"/>
    <n v="51.94"/>
    <d v="2025-08-06T00:00:00"/>
    <n v="46"/>
    <n v="2.5"/>
    <x v="0"/>
    <m/>
    <s v="OK"/>
    <n v="43.189019999999999"/>
    <s v="Correct Price"/>
    <n v="2389.2399999999998"/>
  </r>
  <r>
    <s v="FB000694"/>
    <x v="4"/>
    <x v="0"/>
    <x v="2"/>
    <s v="S"/>
    <s v="Green"/>
    <n v="115.14"/>
    <x v="0"/>
    <n v="115.14"/>
    <d v="2025-08-06T00:00:00"/>
    <n v="43"/>
    <n v="2.5"/>
    <x v="0"/>
    <m/>
    <s v="OK"/>
    <n v="0"/>
    <s v="Correct Price"/>
    <n v="4951.0200000000004"/>
  </r>
  <r>
    <s v="FB000695"/>
    <x v="1"/>
    <x v="4"/>
    <x v="3"/>
    <m/>
    <s v="Beige"/>
    <n v="59.58"/>
    <x v="0"/>
    <n v="59.58"/>
    <d v="2025-08-06T00:00:00"/>
    <n v="27"/>
    <n v="3.3"/>
    <x v="0"/>
    <m/>
    <s v="OK"/>
    <n v="0"/>
    <s v="Correct Price"/>
    <n v="1608.6599999999999"/>
  </r>
  <r>
    <s v="FB000696"/>
    <x v="3"/>
    <x v="1"/>
    <x v="0"/>
    <s v="M"/>
    <s v="Purple"/>
    <n v="169.89"/>
    <x v="0"/>
    <n v="169.89"/>
    <d v="2025-07-14T00:00:00"/>
    <n v="12"/>
    <n v="1.2"/>
    <x v="0"/>
    <m/>
    <s v="OK"/>
    <n v="0"/>
    <s v="Correct Price"/>
    <n v="2038.6799999999998"/>
  </r>
  <r>
    <s v="FB000697"/>
    <x v="3"/>
    <x v="3"/>
    <x v="1"/>
    <s v="S"/>
    <s v="Black"/>
    <n v="117.38"/>
    <x v="34"/>
    <n v="90.97"/>
    <d v="2025-08-06T00:00:00"/>
    <n v="42"/>
    <n v="2.8"/>
    <x v="1"/>
    <s v="Color Mismatch"/>
    <s v="OK"/>
    <n v="26.410499999999999"/>
    <s v="Correct Price"/>
    <n v="3820.74"/>
  </r>
  <r>
    <s v="FB000698"/>
    <x v="1"/>
    <x v="3"/>
    <x v="1"/>
    <s v="S"/>
    <s v="Pink"/>
    <n v="118.95"/>
    <x v="0"/>
    <n v="118.95"/>
    <d v="2025-08-06T00:00:00"/>
    <n v="18"/>
    <n v="1.9"/>
    <x v="1"/>
    <s v="Quality Issue"/>
    <s v="OK"/>
    <n v="0"/>
    <s v="Correct Price"/>
    <n v="2141.1"/>
  </r>
  <r>
    <s v="FB000699"/>
    <x v="2"/>
    <x v="1"/>
    <x v="2"/>
    <m/>
    <s v="Red"/>
    <n v="39.299999999999997"/>
    <x v="0"/>
    <n v="39.299999999999997"/>
    <d v="2025-08-06T00:00:00"/>
    <n v="39"/>
    <m/>
    <x v="0"/>
    <m/>
    <s v="OK"/>
    <n v="0"/>
    <s v="Correct Price"/>
    <n v="1532.6999999999998"/>
  </r>
  <r>
    <s v="FB000700"/>
    <x v="1"/>
    <x v="4"/>
    <x v="1"/>
    <s v="L"/>
    <s v="Beige"/>
    <n v="74.3"/>
    <x v="0"/>
    <n v="74.3"/>
    <d v="2025-08-06T00:00:00"/>
    <n v="31"/>
    <n v="3.8"/>
    <x v="1"/>
    <s v="Wrong Item"/>
    <s v="OK"/>
    <n v="0"/>
    <s v="Correct Price"/>
    <n v="2303.2999999999997"/>
  </r>
  <r>
    <s v="FB000701"/>
    <x v="4"/>
    <x v="4"/>
    <x v="0"/>
    <s v="XS"/>
    <s v="Brown"/>
    <n v="62.97"/>
    <x v="0"/>
    <n v="62.97"/>
    <d v="2025-05-26T00:00:00"/>
    <n v="5"/>
    <n v="3.5"/>
    <x v="0"/>
    <m/>
    <s v="OK"/>
    <n v="0"/>
    <s v="Correct Price"/>
    <n v="314.85000000000002"/>
  </r>
  <r>
    <s v="FB000702"/>
    <x v="2"/>
    <x v="4"/>
    <x v="3"/>
    <m/>
    <s v="Gray"/>
    <n v="73.599999999999994"/>
    <x v="0"/>
    <n v="73.599999999999994"/>
    <d v="2025-08-06T00:00:00"/>
    <n v="1"/>
    <n v="1.8"/>
    <x v="0"/>
    <m/>
    <s v="OK"/>
    <n v="0"/>
    <s v="Correct Price"/>
    <n v="73.599999999999994"/>
  </r>
  <r>
    <s v="FB000703"/>
    <x v="2"/>
    <x v="3"/>
    <x v="0"/>
    <m/>
    <s v="Black"/>
    <n v="77.849999999999994"/>
    <x v="215"/>
    <n v="50.68"/>
    <d v="2025-08-05T00:00:00"/>
    <n v="11"/>
    <m/>
    <x v="0"/>
    <m/>
    <s v="OK"/>
    <n v="27.169649999999997"/>
    <s v="Correct Price"/>
    <n v="557.48"/>
  </r>
  <r>
    <s v="FB000704"/>
    <x v="1"/>
    <x v="7"/>
    <x v="3"/>
    <m/>
    <s v="Red"/>
    <n v="94.31"/>
    <x v="0"/>
    <n v="94.31"/>
    <d v="2025-08-06T00:00:00"/>
    <n v="20"/>
    <n v="3"/>
    <x v="0"/>
    <m/>
    <s v="OK"/>
    <n v="0"/>
    <s v="Correct Price"/>
    <n v="1886.2"/>
  </r>
  <r>
    <s v="FB000705"/>
    <x v="4"/>
    <x v="5"/>
    <x v="0"/>
    <m/>
    <s v="Navy"/>
    <n v="60.36"/>
    <x v="0"/>
    <n v="60.36"/>
    <d v="2024-09-01T00:00:00"/>
    <n v="35"/>
    <n v="3.3"/>
    <x v="0"/>
    <m/>
    <s v="OK"/>
    <n v="0"/>
    <s v="Correct Price"/>
    <n v="2112.6"/>
  </r>
  <r>
    <s v="FB000706"/>
    <x v="4"/>
    <x v="3"/>
    <x v="3"/>
    <s v="XXL"/>
    <s v="Brown"/>
    <n v="94.85"/>
    <x v="0"/>
    <n v="94.85"/>
    <d v="2025-08-06T00:00:00"/>
    <n v="28"/>
    <n v="1.5"/>
    <x v="0"/>
    <m/>
    <s v="OK"/>
    <n v="0"/>
    <s v="Correct Price"/>
    <n v="2655.7999999999997"/>
  </r>
  <r>
    <s v="FB000707"/>
    <x v="2"/>
    <x v="1"/>
    <x v="1"/>
    <m/>
    <s v="Blue"/>
    <n v="30.52"/>
    <x v="216"/>
    <n v="28.11"/>
    <d v="2025-08-06T00:00:00"/>
    <n v="43"/>
    <n v="4.7"/>
    <x v="0"/>
    <m/>
    <s v="OK"/>
    <n v="2.4110800000000001"/>
    <s v="Correct Price"/>
    <n v="1208.73"/>
  </r>
  <r>
    <s v="FB000708"/>
    <x v="5"/>
    <x v="3"/>
    <x v="3"/>
    <s v="XS"/>
    <s v="Navy"/>
    <n v="97.06"/>
    <x v="0"/>
    <n v="97.06"/>
    <d v="2025-08-06T00:00:00"/>
    <n v="24"/>
    <n v="3.9"/>
    <x v="0"/>
    <m/>
    <s v="OK"/>
    <n v="0"/>
    <s v="Correct Price"/>
    <n v="2329.44"/>
  </r>
  <r>
    <s v="FB000709"/>
    <x v="4"/>
    <x v="7"/>
    <x v="3"/>
    <s v="M"/>
    <s v="Purple"/>
    <n v="57.85"/>
    <x v="1"/>
    <n v="37.369999999999997"/>
    <d v="2025-08-06T00:00:00"/>
    <n v="17"/>
    <m/>
    <x v="0"/>
    <m/>
    <s v="OK"/>
    <n v="20.478899999999999"/>
    <s v="Correct Price"/>
    <n v="635.29"/>
  </r>
  <r>
    <s v="FB000710"/>
    <x v="1"/>
    <x v="0"/>
    <x v="2"/>
    <s v="M"/>
    <s v="White"/>
    <n v="51.35"/>
    <x v="217"/>
    <n v="41.23"/>
    <d v="2025-08-06T00:00:00"/>
    <n v="39"/>
    <n v="1.3"/>
    <x v="0"/>
    <m/>
    <s v="OK"/>
    <n v="10.11595"/>
    <s v="Correct Price"/>
    <n v="1607.9699999999998"/>
  </r>
  <r>
    <s v="FB000711"/>
    <x v="2"/>
    <x v="5"/>
    <x v="0"/>
    <m/>
    <s v="Black"/>
    <n v="61.34"/>
    <x v="214"/>
    <n v="33.49"/>
    <d v="2025-02-03T00:00:00"/>
    <n v="46"/>
    <m/>
    <x v="0"/>
    <m/>
    <s v="OK"/>
    <n v="27.848360000000003"/>
    <s v="Correct Price"/>
    <n v="1540.5400000000002"/>
  </r>
  <r>
    <s v="FB000712"/>
    <x v="0"/>
    <x v="2"/>
    <x v="3"/>
    <s v="L"/>
    <s v="Purple"/>
    <n v="189.28"/>
    <x v="0"/>
    <n v="189.28"/>
    <d v="2025-08-06T00:00:00"/>
    <n v="41"/>
    <n v="2.7"/>
    <x v="1"/>
    <s v="Wrong Item"/>
    <s v="OK"/>
    <n v="0"/>
    <s v="Correct Price"/>
    <n v="7760.4800000000005"/>
  </r>
  <r>
    <s v="FB000713"/>
    <x v="1"/>
    <x v="2"/>
    <x v="3"/>
    <s v="XXL"/>
    <s v="Purple"/>
    <n v="86.67"/>
    <x v="218"/>
    <n v="55.64"/>
    <d v="2025-08-06T00:00:00"/>
    <n v="2"/>
    <n v="4.9000000000000004"/>
    <x v="0"/>
    <m/>
    <s v="OK"/>
    <n v="31.027859999999997"/>
    <s v="Correct Price"/>
    <n v="111.28"/>
  </r>
  <r>
    <s v="FB000714"/>
    <x v="4"/>
    <x v="5"/>
    <x v="0"/>
    <s v="S"/>
    <s v="Navy"/>
    <n v="102.84"/>
    <x v="0"/>
    <n v="102.84"/>
    <d v="2024-09-10T00:00:00"/>
    <n v="27"/>
    <n v="1.8"/>
    <x v="0"/>
    <m/>
    <s v="OK"/>
    <n v="0"/>
    <s v="Correct Price"/>
    <n v="2776.6800000000003"/>
  </r>
  <r>
    <s v="FB000715"/>
    <x v="0"/>
    <x v="0"/>
    <x v="2"/>
    <s v="XXL"/>
    <s v="Green"/>
    <n v="225.21"/>
    <x v="0"/>
    <n v="225.21"/>
    <d v="2025-08-06T00:00:00"/>
    <n v="27"/>
    <n v="3.1"/>
    <x v="1"/>
    <s v="Changed Mind"/>
    <s v="OK"/>
    <n v="0"/>
    <s v="Correct Price"/>
    <n v="6080.67"/>
  </r>
  <r>
    <s v="FB000716"/>
    <x v="5"/>
    <x v="1"/>
    <x v="1"/>
    <s v="XL"/>
    <s v="Gray"/>
    <n v="48.91"/>
    <x v="136"/>
    <n v="35.31"/>
    <d v="2025-08-06T00:00:00"/>
    <n v="0"/>
    <n v="4.0999999999999996"/>
    <x v="0"/>
    <m/>
    <s v="OK"/>
    <n v="13.596979999999999"/>
    <s v="Correct Price"/>
    <n v="0"/>
  </r>
  <r>
    <s v="FB000717"/>
    <x v="0"/>
    <x v="7"/>
    <x v="2"/>
    <s v="L"/>
    <s v="Pink"/>
    <n v="145.93"/>
    <x v="0"/>
    <n v="145.93"/>
    <d v="2025-08-06T00:00:00"/>
    <n v="19"/>
    <n v="1.5"/>
    <x v="0"/>
    <m/>
    <s v="OK"/>
    <n v="0"/>
    <s v="Correct Price"/>
    <n v="2772.67"/>
  </r>
  <r>
    <s v="FB000718"/>
    <x v="0"/>
    <x v="2"/>
    <x v="1"/>
    <m/>
    <s v="Green"/>
    <n v="225.92"/>
    <x v="219"/>
    <n v="127.19"/>
    <d v="2025-08-06T00:00:00"/>
    <n v="30"/>
    <n v="3.2"/>
    <x v="0"/>
    <m/>
    <s v="OK"/>
    <n v="98.727040000000002"/>
    <s v="Correct Price"/>
    <n v="3815.7"/>
  </r>
  <r>
    <s v="FB000719"/>
    <x v="0"/>
    <x v="1"/>
    <x v="3"/>
    <s v="XL"/>
    <s v="Green"/>
    <n v="202.18"/>
    <x v="220"/>
    <n v="121.91"/>
    <d v="2025-08-06T00:00:00"/>
    <n v="20"/>
    <n v="4.0999999999999996"/>
    <x v="0"/>
    <m/>
    <s v="OK"/>
    <n v="80.265460000000019"/>
    <s v="Correct Price"/>
    <n v="2438.1999999999998"/>
  </r>
  <r>
    <s v="FB000720"/>
    <x v="1"/>
    <x v="1"/>
    <x v="2"/>
    <s v="XL"/>
    <s v="Blue"/>
    <n v="51.85"/>
    <x v="0"/>
    <n v="51.85"/>
    <d v="2025-08-06T00:00:00"/>
    <n v="28"/>
    <m/>
    <x v="0"/>
    <m/>
    <s v="OK"/>
    <n v="0"/>
    <s v="Correct Price"/>
    <n v="1451.8"/>
  </r>
  <r>
    <s v="FB000721"/>
    <x v="1"/>
    <x v="1"/>
    <x v="3"/>
    <s v="L"/>
    <s v="Gray"/>
    <n v="75.34"/>
    <x v="0"/>
    <n v="75.34"/>
    <d v="2025-08-06T00:00:00"/>
    <n v="21"/>
    <m/>
    <x v="0"/>
    <m/>
    <s v="OK"/>
    <n v="0"/>
    <s v="Correct Price"/>
    <n v="1582.14"/>
  </r>
  <r>
    <s v="FB000722"/>
    <x v="3"/>
    <x v="6"/>
    <x v="0"/>
    <s v="S"/>
    <s v="Pink"/>
    <n v="92.09"/>
    <x v="221"/>
    <n v="41.53"/>
    <d v="2025-01-19T00:00:00"/>
    <n v="44"/>
    <n v="2.2000000000000002"/>
    <x v="0"/>
    <m/>
    <s v="OK"/>
    <n v="50.557409999999997"/>
    <s v="Correct Price"/>
    <n v="1827.3200000000002"/>
  </r>
  <r>
    <s v="FB000723"/>
    <x v="2"/>
    <x v="0"/>
    <x v="2"/>
    <m/>
    <s v="Blue"/>
    <n v="56.39"/>
    <x v="0"/>
    <n v="56.39"/>
    <d v="2025-08-06T00:00:00"/>
    <n v="49"/>
    <n v="4.2"/>
    <x v="0"/>
    <m/>
    <s v="OK"/>
    <n v="0"/>
    <s v="Correct Price"/>
    <n v="2763.11"/>
  </r>
  <r>
    <s v="FB000724"/>
    <x v="1"/>
    <x v="3"/>
    <x v="2"/>
    <s v="L"/>
    <s v="Pink"/>
    <n v="108.75"/>
    <x v="0"/>
    <n v="108.75"/>
    <d v="2025-08-06T00:00:00"/>
    <n v="38"/>
    <n v="3.8"/>
    <x v="0"/>
    <m/>
    <s v="OK"/>
    <n v="0"/>
    <s v="Correct Price"/>
    <n v="4132.5"/>
  </r>
  <r>
    <s v="FB000725"/>
    <x v="5"/>
    <x v="1"/>
    <x v="0"/>
    <s v="S"/>
    <s v="Red"/>
    <n v="156.85"/>
    <x v="0"/>
    <n v="156.85"/>
    <d v="2025-04-01T00:00:00"/>
    <n v="48"/>
    <n v="3.4"/>
    <x v="0"/>
    <m/>
    <s v="OK"/>
    <n v="0"/>
    <s v="Correct Price"/>
    <n v="7528.7999999999993"/>
  </r>
  <r>
    <s v="FB000726"/>
    <x v="0"/>
    <x v="1"/>
    <x v="0"/>
    <s v="XS"/>
    <s v="Brown"/>
    <n v="168.13"/>
    <x v="0"/>
    <n v="168.13"/>
    <d v="2025-04-18T00:00:00"/>
    <n v="42"/>
    <n v="2.5"/>
    <x v="0"/>
    <m/>
    <s v="OK"/>
    <n v="0"/>
    <s v="Correct Price"/>
    <n v="7061.46"/>
  </r>
  <r>
    <s v="FB000727"/>
    <x v="3"/>
    <x v="7"/>
    <x v="3"/>
    <s v="S"/>
    <s v="Green"/>
    <n v="145.79"/>
    <x v="222"/>
    <n v="62.69"/>
    <d v="2025-08-06T00:00:00"/>
    <n v="46"/>
    <m/>
    <x v="0"/>
    <m/>
    <s v="OK"/>
    <n v="83.10029999999999"/>
    <s v="Correct Price"/>
    <n v="2883.74"/>
  </r>
  <r>
    <s v="FB000728"/>
    <x v="4"/>
    <x v="6"/>
    <x v="1"/>
    <s v="S"/>
    <s v="White"/>
    <n v="54.14"/>
    <x v="0"/>
    <n v="54.14"/>
    <d v="2025-08-06T00:00:00"/>
    <n v="32"/>
    <m/>
    <x v="0"/>
    <m/>
    <s v="OK"/>
    <n v="0"/>
    <s v="Correct Price"/>
    <n v="1732.48"/>
  </r>
  <r>
    <s v="FB000729"/>
    <x v="2"/>
    <x v="0"/>
    <x v="2"/>
    <m/>
    <s v="Navy"/>
    <n v="45.64"/>
    <x v="0"/>
    <n v="45.64"/>
    <d v="2025-08-06T00:00:00"/>
    <n v="36"/>
    <n v="3.6"/>
    <x v="1"/>
    <s v="Size Issue"/>
    <s v="OK"/>
    <n v="0"/>
    <s v="Correct Price"/>
    <n v="1643.04"/>
  </r>
  <r>
    <s v="FB000730"/>
    <x v="4"/>
    <x v="3"/>
    <x v="2"/>
    <s v="S"/>
    <s v="Red"/>
    <n v="46.76"/>
    <x v="0"/>
    <n v="46.76"/>
    <d v="2025-08-06T00:00:00"/>
    <n v="38"/>
    <n v="2.7"/>
    <x v="0"/>
    <m/>
    <s v="OK"/>
    <n v="0"/>
    <s v="Correct Price"/>
    <n v="1776.8799999999999"/>
  </r>
  <r>
    <s v="FB000731"/>
    <x v="5"/>
    <x v="2"/>
    <x v="1"/>
    <m/>
    <s v="Gray"/>
    <n v="75.23"/>
    <x v="0"/>
    <n v="75.23"/>
    <d v="2025-08-06T00:00:00"/>
    <n v="42"/>
    <n v="1.7"/>
    <x v="1"/>
    <s v="Quality Issue"/>
    <s v="OK"/>
    <n v="0"/>
    <s v="Correct Price"/>
    <n v="3159.6600000000003"/>
  </r>
  <r>
    <s v="FB000732"/>
    <x v="5"/>
    <x v="3"/>
    <x v="3"/>
    <s v="XL"/>
    <s v="White"/>
    <n v="70.38"/>
    <x v="0"/>
    <n v="70.38"/>
    <d v="2025-08-06T00:00:00"/>
    <n v="37"/>
    <n v="2"/>
    <x v="0"/>
    <m/>
    <s v="OK"/>
    <n v="0"/>
    <s v="Correct Price"/>
    <n v="2604.06"/>
  </r>
  <r>
    <s v="FB000733"/>
    <x v="4"/>
    <x v="4"/>
    <x v="3"/>
    <s v="M"/>
    <s v="Pink"/>
    <n v="76.040000000000006"/>
    <x v="0"/>
    <n v="76.040000000000006"/>
    <d v="2025-08-06T00:00:00"/>
    <n v="13"/>
    <n v="4.4000000000000004"/>
    <x v="0"/>
    <m/>
    <s v="OK"/>
    <n v="0"/>
    <s v="Correct Price"/>
    <n v="988.5200000000001"/>
  </r>
  <r>
    <s v="FB000734"/>
    <x v="3"/>
    <x v="1"/>
    <x v="3"/>
    <s v="XS"/>
    <s v="Black"/>
    <n v="110.82"/>
    <x v="223"/>
    <n v="93.42"/>
    <d v="2025-08-06T00:00:00"/>
    <n v="43"/>
    <m/>
    <x v="1"/>
    <s v="Size Issue"/>
    <s v="OK"/>
    <n v="17.398739999999997"/>
    <s v="Correct Price"/>
    <n v="4017.06"/>
  </r>
  <r>
    <s v="FB000735"/>
    <x v="2"/>
    <x v="7"/>
    <x v="2"/>
    <m/>
    <s v="Navy"/>
    <n v="47.47"/>
    <x v="0"/>
    <n v="47.47"/>
    <d v="2025-08-06T00:00:00"/>
    <n v="42"/>
    <n v="4.7"/>
    <x v="0"/>
    <m/>
    <s v="OK"/>
    <n v="0"/>
    <s v="Correct Price"/>
    <n v="1993.74"/>
  </r>
  <r>
    <s v="FB000736"/>
    <x v="2"/>
    <x v="6"/>
    <x v="0"/>
    <m/>
    <s v="Red"/>
    <n v="79.94"/>
    <x v="0"/>
    <n v="79.94"/>
    <d v="2025-07-31T00:00:00"/>
    <n v="26"/>
    <n v="3.8"/>
    <x v="0"/>
    <m/>
    <s v="OK"/>
    <n v="0"/>
    <s v="Correct Price"/>
    <n v="2078.44"/>
  </r>
  <r>
    <s v="FB000737"/>
    <x v="4"/>
    <x v="2"/>
    <x v="2"/>
    <s v="XXL"/>
    <s v="Navy"/>
    <n v="74.67"/>
    <x v="0"/>
    <n v="74.67"/>
    <d v="2025-08-06T00:00:00"/>
    <n v="15"/>
    <n v="4.5999999999999996"/>
    <x v="0"/>
    <m/>
    <s v="OK"/>
    <n v="0"/>
    <s v="Correct Price"/>
    <n v="1120.05"/>
  </r>
  <r>
    <s v="FB000738"/>
    <x v="5"/>
    <x v="7"/>
    <x v="2"/>
    <s v="XXL"/>
    <s v="Brown"/>
    <n v="63.79"/>
    <x v="224"/>
    <n v="41.14"/>
    <d v="2025-08-06T00:00:00"/>
    <n v="15"/>
    <n v="3.1"/>
    <x v="1"/>
    <s v="Quality Issue"/>
    <s v="OK"/>
    <n v="22.64545"/>
    <s v="Correct Price"/>
    <n v="617.1"/>
  </r>
  <r>
    <s v="FB000739"/>
    <x v="4"/>
    <x v="5"/>
    <x v="2"/>
    <s v="XXL"/>
    <s v="Brown"/>
    <n v="49.6"/>
    <x v="0"/>
    <n v="49.6"/>
    <d v="2025-08-06T00:00:00"/>
    <n v="32"/>
    <n v="4.7"/>
    <x v="0"/>
    <m/>
    <s v="OK"/>
    <n v="0"/>
    <s v="Correct Price"/>
    <n v="1587.2"/>
  </r>
  <r>
    <s v="FB000740"/>
    <x v="1"/>
    <x v="0"/>
    <x v="0"/>
    <s v="XL"/>
    <s v="Red"/>
    <n v="57.91"/>
    <x v="0"/>
    <n v="57.91"/>
    <d v="2025-03-13T00:00:00"/>
    <n v="33"/>
    <n v="3.9"/>
    <x v="0"/>
    <m/>
    <s v="OK"/>
    <n v="0"/>
    <s v="Correct Price"/>
    <n v="1911.03"/>
  </r>
  <r>
    <s v="FB000741"/>
    <x v="5"/>
    <x v="1"/>
    <x v="3"/>
    <s v="XL"/>
    <s v="Pink"/>
    <n v="135.99"/>
    <x v="0"/>
    <n v="135.99"/>
    <d v="2025-08-06T00:00:00"/>
    <n v="34"/>
    <n v="3"/>
    <x v="0"/>
    <m/>
    <s v="OK"/>
    <n v="0"/>
    <s v="Correct Price"/>
    <n v="4623.66"/>
  </r>
  <r>
    <s v="FB000742"/>
    <x v="5"/>
    <x v="3"/>
    <x v="1"/>
    <s v="S"/>
    <s v="Purple"/>
    <n v="53.49"/>
    <x v="7"/>
    <n v="41.83"/>
    <d v="2025-08-06T00:00:00"/>
    <n v="41"/>
    <n v="2.1"/>
    <x v="0"/>
    <m/>
    <s v="OK"/>
    <n v="11.660820000000001"/>
    <s v="Correct Price"/>
    <n v="1715.03"/>
  </r>
  <r>
    <s v="FB000743"/>
    <x v="1"/>
    <x v="7"/>
    <x v="3"/>
    <s v="S"/>
    <s v="Pink"/>
    <n v="113.29"/>
    <x v="9"/>
    <n v="74.77"/>
    <d v="2025-08-06T00:00:00"/>
    <n v="10"/>
    <m/>
    <x v="0"/>
    <m/>
    <s v="OK"/>
    <n v="38.518599999999999"/>
    <s v="Correct Price"/>
    <n v="747.69999999999993"/>
  </r>
  <r>
    <s v="FB000744"/>
    <x v="1"/>
    <x v="4"/>
    <x v="1"/>
    <s v="L"/>
    <s v="White"/>
    <n v="110.87"/>
    <x v="225"/>
    <n v="104.22"/>
    <d v="2025-08-06T00:00:00"/>
    <n v="15"/>
    <m/>
    <x v="0"/>
    <m/>
    <s v="OK"/>
    <n v="6.6522000000000006"/>
    <s v="Correct Price"/>
    <n v="1563.3"/>
  </r>
  <r>
    <s v="FB000745"/>
    <x v="1"/>
    <x v="5"/>
    <x v="2"/>
    <m/>
    <s v="Navy"/>
    <n v="94.3"/>
    <x v="0"/>
    <n v="94.3"/>
    <d v="2025-08-06T00:00:00"/>
    <n v="16"/>
    <m/>
    <x v="0"/>
    <m/>
    <s v="OK"/>
    <n v="0"/>
    <s v="Correct Price"/>
    <n v="1508.8"/>
  </r>
  <r>
    <s v="FB000746"/>
    <x v="2"/>
    <x v="7"/>
    <x v="0"/>
    <m/>
    <s v="Red"/>
    <n v="37.94"/>
    <x v="0"/>
    <n v="37.94"/>
    <d v="2024-10-08T00:00:00"/>
    <n v="9"/>
    <n v="4.5999999999999996"/>
    <x v="0"/>
    <m/>
    <s v="OK"/>
    <n v="0"/>
    <s v="Correct Price"/>
    <n v="341.46"/>
  </r>
  <r>
    <s v="FB000747"/>
    <x v="0"/>
    <x v="5"/>
    <x v="1"/>
    <s v="XXL"/>
    <s v="Gray"/>
    <n v="200.24"/>
    <x v="103"/>
    <n v="154.18"/>
    <d v="2025-08-06T00:00:00"/>
    <n v="38"/>
    <m/>
    <x v="0"/>
    <m/>
    <s v="OK"/>
    <n v="46.055200000000006"/>
    <s v="Correct Price"/>
    <n v="5858.84"/>
  </r>
  <r>
    <s v="FB000748"/>
    <x v="2"/>
    <x v="7"/>
    <x v="1"/>
    <m/>
    <s v="Purple"/>
    <n v="43.45"/>
    <x v="0"/>
    <n v="43.45"/>
    <d v="2025-08-06T00:00:00"/>
    <n v="50"/>
    <n v="4"/>
    <x v="0"/>
    <m/>
    <s v="OK"/>
    <n v="0"/>
    <s v="Correct Price"/>
    <n v="2172.5"/>
  </r>
  <r>
    <s v="FB000749"/>
    <x v="4"/>
    <x v="7"/>
    <x v="3"/>
    <s v="L"/>
    <s v="Red"/>
    <n v="76.92"/>
    <x v="226"/>
    <n v="69.540000000000006"/>
    <d v="2025-08-06T00:00:00"/>
    <n v="20"/>
    <n v="2"/>
    <x v="0"/>
    <m/>
    <s v="OK"/>
    <n v="7.3843199999999998"/>
    <s v="Correct Price"/>
    <n v="1390.8000000000002"/>
  </r>
  <r>
    <s v="FB000750"/>
    <x v="2"/>
    <x v="7"/>
    <x v="2"/>
    <m/>
    <s v="White"/>
    <n v="21.09"/>
    <x v="0"/>
    <n v="21.09"/>
    <d v="2025-08-06T00:00:00"/>
    <n v="33"/>
    <n v="4.0999999999999996"/>
    <x v="1"/>
    <s v="Size Issue"/>
    <s v="OK"/>
    <n v="0"/>
    <s v="Correct Price"/>
    <n v="695.97"/>
  </r>
  <r>
    <s v="FB000751"/>
    <x v="5"/>
    <x v="2"/>
    <x v="1"/>
    <s v="XL"/>
    <s v="Green"/>
    <n v="55.47"/>
    <x v="0"/>
    <n v="55.47"/>
    <d v="2025-08-06T00:00:00"/>
    <n v="18"/>
    <m/>
    <x v="0"/>
    <m/>
    <s v="OK"/>
    <n v="0"/>
    <s v="Correct Price"/>
    <n v="998.46"/>
  </r>
  <r>
    <s v="FB000752"/>
    <x v="0"/>
    <x v="4"/>
    <x v="0"/>
    <s v="XXL"/>
    <s v="White"/>
    <n v="122.53"/>
    <x v="0"/>
    <n v="122.53"/>
    <d v="2024-09-21T00:00:00"/>
    <n v="25"/>
    <m/>
    <x v="0"/>
    <m/>
    <s v="OK"/>
    <n v="0"/>
    <s v="Correct Price"/>
    <n v="3063.25"/>
  </r>
  <r>
    <s v="FB000753"/>
    <x v="2"/>
    <x v="1"/>
    <x v="3"/>
    <m/>
    <s v="Beige"/>
    <n v="61.13"/>
    <x v="0"/>
    <n v="61.13"/>
    <d v="2025-08-06T00:00:00"/>
    <n v="34"/>
    <n v="2.6"/>
    <x v="0"/>
    <m/>
    <s v="OK"/>
    <n v="0"/>
    <s v="Correct Price"/>
    <n v="2078.42"/>
  </r>
  <r>
    <s v="FB000754"/>
    <x v="0"/>
    <x v="1"/>
    <x v="0"/>
    <s v="XS"/>
    <s v="Brown"/>
    <n v="127.59"/>
    <x v="0"/>
    <n v="127.59"/>
    <d v="2025-05-08T00:00:00"/>
    <n v="1"/>
    <n v="4.9000000000000004"/>
    <x v="0"/>
    <m/>
    <s v="OK"/>
    <n v="0"/>
    <s v="Correct Price"/>
    <n v="127.59"/>
  </r>
  <r>
    <s v="FB000755"/>
    <x v="2"/>
    <x v="5"/>
    <x v="3"/>
    <m/>
    <s v="Navy"/>
    <n v="73.040000000000006"/>
    <x v="0"/>
    <n v="73.040000000000006"/>
    <d v="2025-08-06T00:00:00"/>
    <n v="44"/>
    <n v="4.2"/>
    <x v="0"/>
    <m/>
    <s v="OK"/>
    <n v="0"/>
    <s v="Correct Price"/>
    <n v="3213.76"/>
  </r>
  <r>
    <s v="FB000756"/>
    <x v="0"/>
    <x v="1"/>
    <x v="1"/>
    <s v="XL"/>
    <s v="Beige"/>
    <n v="129.46"/>
    <x v="0"/>
    <n v="129.46"/>
    <d v="2025-08-06T00:00:00"/>
    <n v="32"/>
    <n v="4"/>
    <x v="0"/>
    <m/>
    <s v="OK"/>
    <n v="0"/>
    <s v="Correct Price"/>
    <n v="4142.72"/>
  </r>
  <r>
    <s v="FB000757"/>
    <x v="2"/>
    <x v="2"/>
    <x v="1"/>
    <m/>
    <s v="White"/>
    <n v="51.3"/>
    <x v="0"/>
    <n v="51.3"/>
    <d v="2025-08-06T00:00:00"/>
    <n v="33"/>
    <m/>
    <x v="0"/>
    <m/>
    <s v="OK"/>
    <n v="0"/>
    <s v="Correct Price"/>
    <n v="1692.8999999999999"/>
  </r>
  <r>
    <s v="FB000758"/>
    <x v="5"/>
    <x v="4"/>
    <x v="0"/>
    <s v="L"/>
    <s v="Gray"/>
    <n v="173"/>
    <x v="0"/>
    <n v="173"/>
    <d v="2025-04-12T00:00:00"/>
    <n v="13"/>
    <n v="3.9"/>
    <x v="0"/>
    <m/>
    <s v="OK"/>
    <n v="0"/>
    <s v="Correct Price"/>
    <n v="2249"/>
  </r>
  <r>
    <s v="FB000759"/>
    <x v="2"/>
    <x v="1"/>
    <x v="3"/>
    <m/>
    <s v="Green"/>
    <n v="70.72"/>
    <x v="0"/>
    <n v="70.72"/>
    <d v="2025-08-06T00:00:00"/>
    <n v="18"/>
    <n v="2.8"/>
    <x v="0"/>
    <m/>
    <s v="OK"/>
    <n v="0"/>
    <s v="Correct Price"/>
    <n v="1272.96"/>
  </r>
  <r>
    <s v="FB000760"/>
    <x v="5"/>
    <x v="7"/>
    <x v="3"/>
    <s v="S"/>
    <s v="Black"/>
    <n v="126.37"/>
    <x v="0"/>
    <n v="126.37"/>
    <d v="2025-08-06T00:00:00"/>
    <n v="42"/>
    <n v="2"/>
    <x v="0"/>
    <m/>
    <s v="OK"/>
    <n v="0"/>
    <s v="Correct Price"/>
    <n v="5307.54"/>
  </r>
  <r>
    <s v="FB000761"/>
    <x v="4"/>
    <x v="0"/>
    <x v="1"/>
    <s v="XXL"/>
    <s v="Blue"/>
    <n v="84.19"/>
    <x v="226"/>
    <n v="76.11"/>
    <d v="2025-08-06T00:00:00"/>
    <n v="45"/>
    <n v="2.1"/>
    <x v="0"/>
    <m/>
    <s v="OK"/>
    <n v="8.0822399999999988"/>
    <s v="Correct Price"/>
    <n v="3424.95"/>
  </r>
  <r>
    <s v="FB000762"/>
    <x v="2"/>
    <x v="7"/>
    <x v="3"/>
    <m/>
    <s v="Pink"/>
    <n v="59.39"/>
    <x v="146"/>
    <n v="32.9"/>
    <d v="2025-08-06T00:00:00"/>
    <n v="41"/>
    <n v="2.2999999999999998"/>
    <x v="1"/>
    <s v="Color Mismatch"/>
    <s v="OK"/>
    <n v="26.487940000000002"/>
    <s v="Correct Price"/>
    <n v="1348.8999999999999"/>
  </r>
  <r>
    <s v="FB000763"/>
    <x v="0"/>
    <x v="3"/>
    <x v="2"/>
    <s v="M"/>
    <s v="Green"/>
    <n v="195.38"/>
    <x v="157"/>
    <n v="194.79"/>
    <d v="2025-08-06T00:00:00"/>
    <n v="30"/>
    <n v="2.9"/>
    <x v="0"/>
    <m/>
    <s v="OK"/>
    <n v="0.58613999999999999"/>
    <s v="Correct Price"/>
    <n v="5843.7"/>
  </r>
  <r>
    <s v="FB000764"/>
    <x v="5"/>
    <x v="6"/>
    <x v="0"/>
    <s v="S"/>
    <s v="White"/>
    <n v="107.64"/>
    <x v="113"/>
    <n v="99.57"/>
    <d v="2024-09-10T00:00:00"/>
    <n v="21"/>
    <n v="4.5999999999999996"/>
    <x v="0"/>
    <m/>
    <s v="OK"/>
    <n v="8.0730000000000004"/>
    <s v="Correct Price"/>
    <n v="2090.9699999999998"/>
  </r>
  <r>
    <s v="FB000765"/>
    <x v="3"/>
    <x v="4"/>
    <x v="0"/>
    <s v="L"/>
    <s v="Blue"/>
    <n v="63.12"/>
    <x v="0"/>
    <n v="63.12"/>
    <d v="2024-11-08T00:00:00"/>
    <n v="35"/>
    <n v="2.9"/>
    <x v="0"/>
    <m/>
    <s v="OK"/>
    <n v="0"/>
    <s v="Correct Price"/>
    <n v="2209.1999999999998"/>
  </r>
  <r>
    <s v="FB000766"/>
    <x v="4"/>
    <x v="6"/>
    <x v="2"/>
    <s v="L"/>
    <s v="Blue"/>
    <n v="58.91"/>
    <x v="0"/>
    <n v="58.91"/>
    <d v="2025-08-06T00:00:00"/>
    <n v="17"/>
    <n v="2"/>
    <x v="0"/>
    <m/>
    <s v="OK"/>
    <n v="0"/>
    <s v="Correct Price"/>
    <n v="1001.4699999999999"/>
  </r>
  <r>
    <s v="FB000767"/>
    <x v="4"/>
    <x v="4"/>
    <x v="3"/>
    <s v="L"/>
    <s v="Green"/>
    <n v="93.27"/>
    <x v="0"/>
    <n v="93.27"/>
    <d v="2025-08-06T00:00:00"/>
    <n v="18"/>
    <n v="3.7"/>
    <x v="0"/>
    <m/>
    <s v="OK"/>
    <n v="0"/>
    <s v="Correct Price"/>
    <n v="1678.86"/>
  </r>
  <r>
    <s v="FB000768"/>
    <x v="5"/>
    <x v="7"/>
    <x v="0"/>
    <s v="XL"/>
    <s v="Green"/>
    <n v="147.88"/>
    <x v="117"/>
    <n v="93.46"/>
    <d v="2024-09-08T00:00:00"/>
    <n v="37"/>
    <n v="3.3"/>
    <x v="0"/>
    <m/>
    <s v="OK"/>
    <n v="54.419839999999994"/>
    <s v="Correct Price"/>
    <n v="3458.02"/>
  </r>
  <r>
    <s v="FB000769"/>
    <x v="1"/>
    <x v="1"/>
    <x v="2"/>
    <s v="L"/>
    <s v="Gray"/>
    <n v="30.53"/>
    <x v="0"/>
    <n v="30.53"/>
    <d v="2025-08-06T00:00:00"/>
    <n v="25"/>
    <n v="2.5"/>
    <x v="0"/>
    <m/>
    <s v="OK"/>
    <n v="0"/>
    <s v="Correct Price"/>
    <n v="763.25"/>
  </r>
  <r>
    <s v="FB000770"/>
    <x v="1"/>
    <x v="0"/>
    <x v="2"/>
    <s v="S"/>
    <s v="White"/>
    <n v="104.96"/>
    <x v="227"/>
    <n v="103.28"/>
    <d v="2025-08-06T00:00:00"/>
    <n v="33"/>
    <n v="2"/>
    <x v="0"/>
    <m/>
    <s v="OK"/>
    <n v="1.67936"/>
    <s v="Correct Price"/>
    <n v="3408.2400000000002"/>
  </r>
  <r>
    <s v="FB000771"/>
    <x v="5"/>
    <x v="4"/>
    <x v="1"/>
    <s v="XS"/>
    <s v="Blue"/>
    <n v="75.52"/>
    <x v="0"/>
    <n v="75.52"/>
    <d v="2025-08-06T00:00:00"/>
    <n v="2"/>
    <n v="2.8"/>
    <x v="0"/>
    <m/>
    <s v="OK"/>
    <n v="0"/>
    <s v="Correct Price"/>
    <n v="151.04"/>
  </r>
  <r>
    <s v="FB000772"/>
    <x v="4"/>
    <x v="6"/>
    <x v="1"/>
    <s v="M"/>
    <s v="Red"/>
    <n v="54.7"/>
    <x v="0"/>
    <n v="54.7"/>
    <d v="2025-08-06T00:00:00"/>
    <n v="18"/>
    <n v="4.2"/>
    <x v="0"/>
    <m/>
    <s v="OK"/>
    <n v="0"/>
    <s v="Correct Price"/>
    <n v="984.6"/>
  </r>
  <r>
    <s v="FB000773"/>
    <x v="3"/>
    <x v="5"/>
    <x v="3"/>
    <s v="XS"/>
    <s v="Black"/>
    <n v="126.25"/>
    <x v="228"/>
    <n v="93.55"/>
    <d v="2025-08-06T00:00:00"/>
    <n v="40"/>
    <n v="1.5"/>
    <x v="1"/>
    <s v="Size Issue"/>
    <s v="OK"/>
    <n v="32.698749999999997"/>
    <s v="Correct Price"/>
    <n v="3742"/>
  </r>
  <r>
    <s v="FB000774"/>
    <x v="3"/>
    <x v="2"/>
    <x v="3"/>
    <s v="XS"/>
    <s v="Blue"/>
    <n v="63.86"/>
    <x v="229"/>
    <n v="30.14"/>
    <d v="2025-08-06T00:00:00"/>
    <n v="23"/>
    <m/>
    <x v="0"/>
    <m/>
    <s v="OK"/>
    <n v="33.71808"/>
    <s v="Correct Price"/>
    <n v="693.22"/>
  </r>
  <r>
    <s v="FB000775"/>
    <x v="2"/>
    <x v="1"/>
    <x v="1"/>
    <m/>
    <s v="Red"/>
    <n v="75.930000000000007"/>
    <x v="0"/>
    <n v="75.930000000000007"/>
    <d v="2025-08-06T00:00:00"/>
    <n v="32"/>
    <n v="3.1"/>
    <x v="0"/>
    <m/>
    <s v="OK"/>
    <n v="0"/>
    <s v="Correct Price"/>
    <n v="2429.7600000000002"/>
  </r>
  <r>
    <s v="FB000776"/>
    <x v="1"/>
    <x v="0"/>
    <x v="2"/>
    <s v="M"/>
    <s v="Brown"/>
    <n v="82.51"/>
    <x v="230"/>
    <n v="59.98"/>
    <d v="2025-08-06T00:00:00"/>
    <n v="9"/>
    <n v="3.8"/>
    <x v="0"/>
    <m/>
    <s v="OK"/>
    <n v="22.525230000000001"/>
    <s v="Correct Price"/>
    <n v="539.81999999999994"/>
  </r>
  <r>
    <s v="FB000777"/>
    <x v="4"/>
    <x v="2"/>
    <x v="2"/>
    <s v="XXL"/>
    <s v="Green"/>
    <n v="46.02"/>
    <x v="0"/>
    <n v="46.02"/>
    <d v="2025-08-06T00:00:00"/>
    <n v="21"/>
    <n v="1.1000000000000001"/>
    <x v="0"/>
    <m/>
    <s v="OK"/>
    <n v="0"/>
    <s v="Correct Price"/>
    <n v="966.42000000000007"/>
  </r>
  <r>
    <s v="FB000778"/>
    <x v="5"/>
    <x v="3"/>
    <x v="1"/>
    <s v="XXL"/>
    <s v="Brown"/>
    <n v="125.67"/>
    <x v="231"/>
    <n v="68.489999999999995"/>
    <d v="2025-08-06T00:00:00"/>
    <n v="27"/>
    <n v="1.6"/>
    <x v="0"/>
    <m/>
    <s v="OK"/>
    <n v="57.179849999999995"/>
    <s v="Correct Price"/>
    <n v="1849.2299999999998"/>
  </r>
  <r>
    <s v="FB000779"/>
    <x v="3"/>
    <x v="3"/>
    <x v="1"/>
    <s v="S"/>
    <s v="Red"/>
    <n v="65.61"/>
    <x v="232"/>
    <n v="32.35"/>
    <d v="2025-08-06T00:00:00"/>
    <n v="23"/>
    <n v="1.1000000000000001"/>
    <x v="0"/>
    <m/>
    <s v="OK"/>
    <n v="33.264270000000003"/>
    <s v="Correct Price"/>
    <n v="744.05000000000007"/>
  </r>
  <r>
    <s v="FB000780"/>
    <x v="5"/>
    <x v="2"/>
    <x v="3"/>
    <s v="XS"/>
    <s v="Beige"/>
    <n v="91.61"/>
    <x v="0"/>
    <n v="91.61"/>
    <d v="2025-08-06T00:00:00"/>
    <n v="31"/>
    <n v="1.4"/>
    <x v="0"/>
    <m/>
    <s v="OK"/>
    <n v="0"/>
    <s v="Correct Price"/>
    <n v="2839.91"/>
  </r>
  <r>
    <s v="FB000781"/>
    <x v="0"/>
    <x v="4"/>
    <x v="3"/>
    <s v="XS"/>
    <s v="Pink"/>
    <n v="162.78"/>
    <x v="0"/>
    <n v="162.78"/>
    <d v="2025-08-06T00:00:00"/>
    <n v="0"/>
    <m/>
    <x v="0"/>
    <m/>
    <s v="OK"/>
    <n v="0"/>
    <s v="Correct Price"/>
    <n v="0"/>
  </r>
  <r>
    <s v="FB000782"/>
    <x v="0"/>
    <x v="3"/>
    <x v="1"/>
    <s v="M"/>
    <s v="Gray"/>
    <n v="134.35"/>
    <x v="233"/>
    <n v="86.92"/>
    <d v="2025-08-06T00:00:00"/>
    <n v="36"/>
    <m/>
    <x v="0"/>
    <m/>
    <s v="OK"/>
    <n v="47.425549999999994"/>
    <s v="Correct Price"/>
    <n v="3129.12"/>
  </r>
  <r>
    <s v="FB000783"/>
    <x v="4"/>
    <x v="3"/>
    <x v="0"/>
    <m/>
    <s v="Gray"/>
    <n v="77.739999999999995"/>
    <x v="168"/>
    <n v="47.58"/>
    <d v="2025-07-11T00:00:00"/>
    <n v="23"/>
    <n v="4.3"/>
    <x v="0"/>
    <m/>
    <s v="OK"/>
    <n v="30.163119999999996"/>
    <s v="Correct Price"/>
    <n v="1094.3399999999999"/>
  </r>
  <r>
    <s v="FB000784"/>
    <x v="2"/>
    <x v="6"/>
    <x v="3"/>
    <m/>
    <s v="Brown"/>
    <n v="49.33"/>
    <x v="234"/>
    <n v="19.78"/>
    <d v="2025-08-06T00:00:00"/>
    <n v="47"/>
    <m/>
    <x v="0"/>
    <m/>
    <s v="OK"/>
    <n v="29.548669999999998"/>
    <s v="Correct Price"/>
    <n v="929.66000000000008"/>
  </r>
  <r>
    <s v="FB000785"/>
    <x v="0"/>
    <x v="7"/>
    <x v="3"/>
    <s v="S"/>
    <s v="Gray"/>
    <n v="231.52"/>
    <x v="235"/>
    <n v="191.47"/>
    <d v="2025-08-06T00:00:00"/>
    <n v="49"/>
    <n v="2.1"/>
    <x v="0"/>
    <m/>
    <s v="OK"/>
    <n v="40.052960000000006"/>
    <s v="Correct Price"/>
    <n v="9382.0300000000007"/>
  </r>
  <r>
    <s v="FB000786"/>
    <x v="0"/>
    <x v="6"/>
    <x v="1"/>
    <s v="XL"/>
    <s v="White"/>
    <n v="140.1"/>
    <x v="0"/>
    <n v="140.1"/>
    <d v="2025-08-06T00:00:00"/>
    <n v="14"/>
    <n v="3.9"/>
    <x v="0"/>
    <m/>
    <s v="OK"/>
    <n v="0"/>
    <s v="Correct Price"/>
    <n v="1961.3999999999999"/>
  </r>
  <r>
    <s v="FB000787"/>
    <x v="5"/>
    <x v="5"/>
    <x v="3"/>
    <s v="S"/>
    <s v="Pink"/>
    <n v="117.38"/>
    <x v="136"/>
    <n v="84.75"/>
    <d v="2025-08-06T00:00:00"/>
    <n v="34"/>
    <n v="2.8"/>
    <x v="1"/>
    <s v="Quality Issue"/>
    <s v="OK"/>
    <n v="32.631639999999997"/>
    <s v="Correct Price"/>
    <n v="2881.5"/>
  </r>
  <r>
    <s v="FB000788"/>
    <x v="1"/>
    <x v="5"/>
    <x v="0"/>
    <s v="S"/>
    <s v="Purple"/>
    <n v="83.98"/>
    <x v="0"/>
    <n v="83.98"/>
    <d v="2024-08-29T00:00:00"/>
    <n v="23"/>
    <n v="1.9"/>
    <x v="0"/>
    <m/>
    <s v="OK"/>
    <n v="0"/>
    <s v="Correct Price"/>
    <n v="1931.5400000000002"/>
  </r>
  <r>
    <s v="FB000789"/>
    <x v="5"/>
    <x v="4"/>
    <x v="0"/>
    <s v="XL"/>
    <s v="Navy"/>
    <n v="111.67"/>
    <x v="236"/>
    <n v="51.93"/>
    <d v="2025-02-05T00:00:00"/>
    <n v="19"/>
    <m/>
    <x v="0"/>
    <m/>
    <s v="OK"/>
    <n v="59.743450000000003"/>
    <s v="Correct Price"/>
    <n v="986.67"/>
  </r>
  <r>
    <s v="FB000790"/>
    <x v="4"/>
    <x v="4"/>
    <x v="3"/>
    <s v="S"/>
    <s v="White"/>
    <n v="25.16"/>
    <x v="0"/>
    <n v="25.16"/>
    <d v="2025-08-06T00:00:00"/>
    <n v="37"/>
    <n v="2.8"/>
    <x v="0"/>
    <m/>
    <s v="OK"/>
    <n v="0"/>
    <s v="Correct Price"/>
    <n v="930.92"/>
  </r>
  <r>
    <s v="FB000791"/>
    <x v="0"/>
    <x v="2"/>
    <x v="2"/>
    <s v="XL"/>
    <s v="Blue"/>
    <n v="175.82"/>
    <x v="103"/>
    <n v="135.38"/>
    <d v="2025-08-06T00:00:00"/>
    <n v="1"/>
    <n v="3.7"/>
    <x v="0"/>
    <m/>
    <s v="OK"/>
    <n v="40.438599999999994"/>
    <s v="Correct Price"/>
    <n v="135.38"/>
  </r>
  <r>
    <s v="FB000792"/>
    <x v="1"/>
    <x v="3"/>
    <x v="3"/>
    <s v="XS"/>
    <s v="Green"/>
    <n v="53.25"/>
    <x v="237"/>
    <n v="33.28"/>
    <d v="2025-08-06T00:00:00"/>
    <n v="33"/>
    <n v="4.3"/>
    <x v="0"/>
    <m/>
    <s v="OK"/>
    <n v="19.96875"/>
    <s v="Correct Price"/>
    <n v="1098.24"/>
  </r>
  <r>
    <s v="FB000793"/>
    <x v="0"/>
    <x v="2"/>
    <x v="2"/>
    <s v="M"/>
    <s v="Purple"/>
    <n v="215.19"/>
    <x v="238"/>
    <n v="122.66"/>
    <d v="2025-08-06T00:00:00"/>
    <n v="48"/>
    <n v="2.5"/>
    <x v="0"/>
    <m/>
    <s v="OK"/>
    <n v="92.531700000000001"/>
    <s v="Correct Price"/>
    <n v="5887.68"/>
  </r>
  <r>
    <s v="FB000794"/>
    <x v="4"/>
    <x v="0"/>
    <x v="3"/>
    <s v="S"/>
    <s v="Pink"/>
    <n v="78.41"/>
    <x v="239"/>
    <n v="62.18"/>
    <d v="2025-08-06T00:00:00"/>
    <n v="9"/>
    <n v="4.4000000000000004"/>
    <x v="0"/>
    <m/>
    <s v="OK"/>
    <n v="16.230869999999996"/>
    <s v="Correct Price"/>
    <n v="559.62"/>
  </r>
  <r>
    <s v="FB000795"/>
    <x v="3"/>
    <x v="0"/>
    <x v="3"/>
    <s v="XXL"/>
    <s v="Pink"/>
    <n v="173.15"/>
    <x v="0"/>
    <n v="173.15"/>
    <d v="2025-08-06T00:00:00"/>
    <n v="45"/>
    <n v="2.2000000000000002"/>
    <x v="0"/>
    <m/>
    <s v="OK"/>
    <n v="0"/>
    <s v="Correct Price"/>
    <n v="7791.75"/>
  </r>
  <r>
    <s v="FB000796"/>
    <x v="2"/>
    <x v="0"/>
    <x v="2"/>
    <m/>
    <s v="Blue"/>
    <n v="16.84"/>
    <x v="240"/>
    <n v="10.68"/>
    <d v="2025-08-06T00:00:00"/>
    <n v="34"/>
    <n v="1.7"/>
    <x v="0"/>
    <m/>
    <s v="OK"/>
    <n v="6.1634400000000005"/>
    <s v="Correct Price"/>
    <n v="363.12"/>
  </r>
  <r>
    <s v="FB000797"/>
    <x v="0"/>
    <x v="7"/>
    <x v="3"/>
    <s v="S"/>
    <s v="Purple"/>
    <n v="128.6"/>
    <x v="0"/>
    <n v="128.6"/>
    <d v="2025-08-06T00:00:00"/>
    <n v="11"/>
    <n v="2.2999999999999998"/>
    <x v="0"/>
    <m/>
    <s v="OK"/>
    <n v="0"/>
    <s v="Correct Price"/>
    <n v="1414.6"/>
  </r>
  <r>
    <s v="FB000798"/>
    <x v="0"/>
    <x v="5"/>
    <x v="0"/>
    <s v="XXL"/>
    <s v="Green"/>
    <n v="131.74"/>
    <x v="0"/>
    <n v="131.74"/>
    <d v="2024-09-13T00:00:00"/>
    <n v="46"/>
    <n v="4.5999999999999996"/>
    <x v="0"/>
    <m/>
    <s v="OK"/>
    <n v="0"/>
    <s v="Correct Price"/>
    <n v="6060.0400000000009"/>
  </r>
  <r>
    <s v="FB000799"/>
    <x v="4"/>
    <x v="7"/>
    <x v="3"/>
    <s v="XXL"/>
    <s v="White"/>
    <n v="28.15"/>
    <x v="241"/>
    <n v="24.57"/>
    <d v="2025-08-06T00:00:00"/>
    <n v="13"/>
    <n v="3.9"/>
    <x v="0"/>
    <m/>
    <s v="OK"/>
    <n v="3.5750499999999992"/>
    <s v="Correct Price"/>
    <n v="319.41000000000003"/>
  </r>
  <r>
    <s v="FB000800"/>
    <x v="0"/>
    <x v="7"/>
    <x v="1"/>
    <s v="XL"/>
    <s v="Red"/>
    <n v="165.1"/>
    <x v="242"/>
    <n v="68.680000000000007"/>
    <d v="2025-08-06T00:00:00"/>
    <n v="29"/>
    <n v="1.2"/>
    <x v="0"/>
    <m/>
    <s v="OK"/>
    <n v="96.418400000000005"/>
    <s v="Correct Price"/>
    <n v="1991.7200000000003"/>
  </r>
  <r>
    <s v="FB000801"/>
    <x v="1"/>
    <x v="3"/>
    <x v="0"/>
    <s v="XL"/>
    <s v="Gray"/>
    <n v="49.62"/>
    <x v="243"/>
    <n v="49.22"/>
    <d v="2024-11-17T00:00:00"/>
    <n v="22"/>
    <n v="2.2999999999999998"/>
    <x v="0"/>
    <m/>
    <s v="OK"/>
    <n v="0.39695999999999998"/>
    <s v="Correct Price"/>
    <n v="1082.8399999999999"/>
  </r>
  <r>
    <s v="FB000802"/>
    <x v="1"/>
    <x v="2"/>
    <x v="2"/>
    <s v="XL"/>
    <s v="Black"/>
    <n v="98.52"/>
    <x v="183"/>
    <n v="79.900000000000006"/>
    <d v="2025-08-06T00:00:00"/>
    <n v="37"/>
    <n v="4.0999999999999996"/>
    <x v="1"/>
    <s v="Wrong Item"/>
    <s v="OK"/>
    <n v="18.620279999999998"/>
    <s v="Correct Price"/>
    <n v="2956.3"/>
  </r>
  <r>
    <s v="FB000803"/>
    <x v="3"/>
    <x v="3"/>
    <x v="2"/>
    <s v="S"/>
    <s v="Green"/>
    <n v="94.19"/>
    <x v="244"/>
    <n v="65.180000000000007"/>
    <d v="2025-08-06T00:00:00"/>
    <n v="31"/>
    <n v="1.4"/>
    <x v="0"/>
    <m/>
    <s v="OK"/>
    <n v="29.01052"/>
    <s v="Correct Price"/>
    <n v="2020.5800000000002"/>
  </r>
  <r>
    <s v="FB000804"/>
    <x v="2"/>
    <x v="7"/>
    <x v="1"/>
    <m/>
    <s v="Gray"/>
    <n v="23.5"/>
    <x v="0"/>
    <n v="23.5"/>
    <d v="2025-08-06T00:00:00"/>
    <n v="14"/>
    <n v="3.9"/>
    <x v="1"/>
    <s v="Quality Issue"/>
    <s v="OK"/>
    <n v="0"/>
    <s v="Correct Price"/>
    <n v="329"/>
  </r>
  <r>
    <s v="FB000805"/>
    <x v="4"/>
    <x v="0"/>
    <x v="2"/>
    <s v="S"/>
    <s v="Beige"/>
    <n v="109.36"/>
    <x v="0"/>
    <n v="109.36"/>
    <d v="2025-08-06T00:00:00"/>
    <n v="0"/>
    <n v="1.1000000000000001"/>
    <x v="0"/>
    <m/>
    <s v="OK"/>
    <n v="0"/>
    <s v="Correct Price"/>
    <n v="0"/>
  </r>
  <r>
    <s v="FB000806"/>
    <x v="2"/>
    <x v="4"/>
    <x v="2"/>
    <m/>
    <s v="Blue"/>
    <n v="69.73"/>
    <x v="0"/>
    <n v="69.73"/>
    <d v="2025-08-06T00:00:00"/>
    <n v="7"/>
    <n v="1.1000000000000001"/>
    <x v="1"/>
    <s v="Color Mismatch"/>
    <s v="OK"/>
    <n v="0"/>
    <s v="Correct Price"/>
    <n v="488.11"/>
  </r>
  <r>
    <s v="FB000807"/>
    <x v="3"/>
    <x v="4"/>
    <x v="3"/>
    <s v="XS"/>
    <s v="Green"/>
    <n v="199.03"/>
    <x v="59"/>
    <n v="84.99"/>
    <d v="2025-08-06T00:00:00"/>
    <n v="37"/>
    <n v="3.4"/>
    <x v="0"/>
    <m/>
    <s v="OK"/>
    <n v="114.04419"/>
    <s v="Correct Price"/>
    <n v="3144.6299999999997"/>
  </r>
  <r>
    <s v="FB000808"/>
    <x v="4"/>
    <x v="6"/>
    <x v="0"/>
    <s v="M"/>
    <s v="White"/>
    <n v="82.32"/>
    <x v="142"/>
    <n v="35.64"/>
    <d v="2024-12-23T00:00:00"/>
    <n v="41"/>
    <m/>
    <x v="0"/>
    <m/>
    <s v="OK"/>
    <n v="46.675440000000002"/>
    <s v="Correct Price"/>
    <n v="1461.24"/>
  </r>
  <r>
    <s v="FB000809"/>
    <x v="4"/>
    <x v="1"/>
    <x v="0"/>
    <s v="M"/>
    <s v="Navy"/>
    <n v="52.42"/>
    <x v="160"/>
    <n v="47.23"/>
    <d v="2024-10-16T00:00:00"/>
    <n v="42"/>
    <n v="3.5"/>
    <x v="0"/>
    <m/>
    <s v="OK"/>
    <n v="5.1895800000000012"/>
    <s v="Correct Price"/>
    <n v="1983.6599999999999"/>
  </r>
  <r>
    <s v="FB000810"/>
    <x v="0"/>
    <x v="5"/>
    <x v="2"/>
    <s v="S"/>
    <s v="White"/>
    <n v="180.49"/>
    <x v="0"/>
    <n v="180.49"/>
    <d v="2025-08-06T00:00:00"/>
    <n v="18"/>
    <n v="2.5"/>
    <x v="1"/>
    <s v="Wrong Item"/>
    <s v="OK"/>
    <n v="0"/>
    <s v="Correct Price"/>
    <n v="3248.82"/>
  </r>
  <r>
    <s v="FB000811"/>
    <x v="5"/>
    <x v="5"/>
    <x v="2"/>
    <s v="XL"/>
    <s v="White"/>
    <n v="63.02"/>
    <x v="0"/>
    <n v="63.02"/>
    <d v="2025-08-06T00:00:00"/>
    <n v="37"/>
    <n v="2.5"/>
    <x v="0"/>
    <m/>
    <s v="OK"/>
    <n v="0"/>
    <s v="Correct Price"/>
    <n v="2331.7400000000002"/>
  </r>
  <r>
    <s v="FB000812"/>
    <x v="1"/>
    <x v="3"/>
    <x v="0"/>
    <s v="XL"/>
    <s v="Red"/>
    <n v="97.05"/>
    <x v="0"/>
    <n v="97.05"/>
    <d v="2024-12-25T00:00:00"/>
    <n v="9"/>
    <m/>
    <x v="0"/>
    <m/>
    <s v="OK"/>
    <n v="0"/>
    <s v="Correct Price"/>
    <n v="873.44999999999993"/>
  </r>
  <r>
    <s v="FB000813"/>
    <x v="4"/>
    <x v="0"/>
    <x v="1"/>
    <s v="XXL"/>
    <s v="Pink"/>
    <n v="79.62"/>
    <x v="0"/>
    <n v="79.62"/>
    <d v="2025-08-06T00:00:00"/>
    <n v="37"/>
    <n v="4.0999999999999996"/>
    <x v="0"/>
    <m/>
    <s v="OK"/>
    <n v="0"/>
    <s v="Correct Price"/>
    <n v="2945.94"/>
  </r>
  <r>
    <s v="FB000814"/>
    <x v="5"/>
    <x v="0"/>
    <x v="1"/>
    <s v="M"/>
    <s v="Red"/>
    <n v="82.5"/>
    <x v="0"/>
    <n v="82.5"/>
    <d v="2025-08-06T00:00:00"/>
    <n v="0"/>
    <m/>
    <x v="0"/>
    <m/>
    <s v="OK"/>
    <n v="0"/>
    <s v="Correct Price"/>
    <n v="0"/>
  </r>
  <r>
    <s v="FB000815"/>
    <x v="4"/>
    <x v="5"/>
    <x v="0"/>
    <s v="L"/>
    <s v="Purple"/>
    <n v="117.18"/>
    <x v="245"/>
    <n v="101.13"/>
    <d v="2025-08-02T00:00:00"/>
    <n v="5"/>
    <n v="4.8"/>
    <x v="0"/>
    <m/>
    <s v="OK"/>
    <n v="16.053660000000001"/>
    <s v="Correct Price"/>
    <n v="505.65"/>
  </r>
  <r>
    <s v="FB000816"/>
    <x v="0"/>
    <x v="5"/>
    <x v="0"/>
    <s v="XS"/>
    <s v="Brown"/>
    <n v="174.05"/>
    <x v="0"/>
    <n v="174.05"/>
    <d v="2025-04-13T00:00:00"/>
    <n v="9"/>
    <m/>
    <x v="0"/>
    <m/>
    <s v="OK"/>
    <n v="0"/>
    <s v="Correct Price"/>
    <n v="1566.45"/>
  </r>
  <r>
    <s v="FB000817"/>
    <x v="4"/>
    <x v="7"/>
    <x v="0"/>
    <s v="XS"/>
    <s v="Brown"/>
    <n v="58.29"/>
    <x v="0"/>
    <n v="58.29"/>
    <d v="2025-01-07T00:00:00"/>
    <n v="22"/>
    <n v="2.2999999999999998"/>
    <x v="0"/>
    <m/>
    <s v="OK"/>
    <n v="0"/>
    <s v="Correct Price"/>
    <n v="1282.3799999999999"/>
  </r>
  <r>
    <s v="FB000818"/>
    <x v="4"/>
    <x v="4"/>
    <x v="3"/>
    <s v="M"/>
    <s v="White"/>
    <n v="61.42"/>
    <x v="77"/>
    <n v="26.1"/>
    <d v="2025-08-06T00:00:00"/>
    <n v="3"/>
    <n v="4.8"/>
    <x v="0"/>
    <m/>
    <s v="OK"/>
    <n v="35.316499999999998"/>
    <s v="Correct Price"/>
    <n v="78.300000000000011"/>
  </r>
  <r>
    <s v="FB000819"/>
    <x v="2"/>
    <x v="0"/>
    <x v="1"/>
    <m/>
    <s v="Pink"/>
    <n v="20.239999999999998"/>
    <x v="0"/>
    <n v="20.239999999999998"/>
    <d v="2025-08-06T00:00:00"/>
    <n v="20"/>
    <n v="4.0999999999999996"/>
    <x v="0"/>
    <m/>
    <s v="OK"/>
    <n v="0"/>
    <s v="Correct Price"/>
    <n v="404.79999999999995"/>
  </r>
  <r>
    <s v="FB000820"/>
    <x v="4"/>
    <x v="0"/>
    <x v="2"/>
    <s v="L"/>
    <s v="Red"/>
    <n v="88.58"/>
    <x v="0"/>
    <n v="88.58"/>
    <d v="2025-08-06T00:00:00"/>
    <n v="50"/>
    <m/>
    <x v="0"/>
    <m/>
    <s v="OK"/>
    <n v="0"/>
    <s v="Correct Price"/>
    <n v="4429"/>
  </r>
  <r>
    <s v="FB000821"/>
    <x v="4"/>
    <x v="5"/>
    <x v="1"/>
    <s v="XXL"/>
    <s v="Purple"/>
    <n v="67.92"/>
    <x v="0"/>
    <n v="67.92"/>
    <d v="2025-08-06T00:00:00"/>
    <n v="23"/>
    <n v="1.8"/>
    <x v="1"/>
    <s v="Size Issue"/>
    <s v="OK"/>
    <n v="0"/>
    <s v="Correct Price"/>
    <n v="1562.16"/>
  </r>
  <r>
    <s v="FB000822"/>
    <x v="2"/>
    <x v="5"/>
    <x v="2"/>
    <m/>
    <s v="White"/>
    <n v="25.39"/>
    <x v="0"/>
    <n v="25.39"/>
    <d v="2025-08-06T00:00:00"/>
    <n v="42"/>
    <n v="1.8"/>
    <x v="0"/>
    <m/>
    <s v="OK"/>
    <n v="0"/>
    <s v="Correct Price"/>
    <n v="1066.3800000000001"/>
  </r>
  <r>
    <s v="FB000823"/>
    <x v="5"/>
    <x v="7"/>
    <x v="1"/>
    <s v="S"/>
    <s v="Black"/>
    <n v="115.89"/>
    <x v="104"/>
    <n v="70.23"/>
    <d v="2025-08-06T00:00:00"/>
    <n v="14"/>
    <n v="3.8"/>
    <x v="1"/>
    <s v="Damaged"/>
    <s v="OK"/>
    <n v="45.66066"/>
    <s v="Correct Price"/>
    <n v="983.22"/>
  </r>
  <r>
    <s v="FB000824"/>
    <x v="4"/>
    <x v="7"/>
    <x v="3"/>
    <s v="XL"/>
    <s v="Blue"/>
    <n v="103.94"/>
    <x v="246"/>
    <n v="87.21"/>
    <d v="2025-08-06T00:00:00"/>
    <n v="6"/>
    <n v="4.9000000000000004"/>
    <x v="1"/>
    <s v="Changed Mind"/>
    <s v="OK"/>
    <n v="16.734340000000003"/>
    <s v="Correct Price"/>
    <n v="523.26"/>
  </r>
  <r>
    <s v="FB000825"/>
    <x v="3"/>
    <x v="6"/>
    <x v="1"/>
    <s v="L"/>
    <s v="Red"/>
    <n v="94.72"/>
    <x v="247"/>
    <n v="75.3"/>
    <d v="2025-08-06T00:00:00"/>
    <n v="24"/>
    <n v="3.6"/>
    <x v="0"/>
    <m/>
    <s v="OK"/>
    <n v="19.4176"/>
    <s v="Correct Price"/>
    <n v="1807.1999999999998"/>
  </r>
  <r>
    <s v="FB000826"/>
    <x v="2"/>
    <x v="5"/>
    <x v="2"/>
    <m/>
    <s v="Pink"/>
    <n v="23.28"/>
    <x v="0"/>
    <n v="23.28"/>
    <d v="2025-08-06T00:00:00"/>
    <n v="44"/>
    <n v="3.1"/>
    <x v="1"/>
    <s v="Quality Issue"/>
    <s v="OK"/>
    <n v="0"/>
    <s v="Correct Price"/>
    <n v="1024.3200000000002"/>
  </r>
  <r>
    <s v="FB000827"/>
    <x v="1"/>
    <x v="6"/>
    <x v="3"/>
    <s v="S"/>
    <s v="Pink"/>
    <n v="90.73"/>
    <x v="0"/>
    <n v="90.73"/>
    <d v="2025-08-06T00:00:00"/>
    <n v="14"/>
    <n v="1.1000000000000001"/>
    <x v="0"/>
    <m/>
    <s v="OK"/>
    <n v="0"/>
    <s v="Correct Price"/>
    <n v="1270.22"/>
  </r>
  <r>
    <s v="FB000828"/>
    <x v="4"/>
    <x v="4"/>
    <x v="2"/>
    <s v="XXL"/>
    <s v="Green"/>
    <n v="25.74"/>
    <x v="0"/>
    <n v="25.74"/>
    <d v="2025-08-06T00:00:00"/>
    <n v="33"/>
    <n v="1.1000000000000001"/>
    <x v="1"/>
    <s v="Color Mismatch"/>
    <s v="OK"/>
    <n v="0"/>
    <s v="Correct Price"/>
    <n v="849.42"/>
  </r>
  <r>
    <s v="FB000829"/>
    <x v="3"/>
    <x v="5"/>
    <x v="0"/>
    <s v="XL"/>
    <s v="Gray"/>
    <n v="162.97"/>
    <x v="0"/>
    <n v="162.97"/>
    <d v="2024-11-22T00:00:00"/>
    <n v="47"/>
    <n v="2.2000000000000002"/>
    <x v="1"/>
    <s v="Wrong Item"/>
    <s v="OK"/>
    <n v="0"/>
    <s v="Correct Price"/>
    <n v="7659.59"/>
  </r>
  <r>
    <s v="FB000830"/>
    <x v="2"/>
    <x v="4"/>
    <x v="1"/>
    <m/>
    <s v="Black"/>
    <n v="50.33"/>
    <x v="248"/>
    <n v="45.95"/>
    <d v="2025-08-06T00:00:00"/>
    <n v="14"/>
    <n v="1.3"/>
    <x v="0"/>
    <m/>
    <s v="OK"/>
    <n v="4.378709999999999"/>
    <s v="Correct Price"/>
    <n v="643.30000000000007"/>
  </r>
  <r>
    <s v="FB000831"/>
    <x v="3"/>
    <x v="1"/>
    <x v="0"/>
    <m/>
    <s v="Pink"/>
    <n v="60.38"/>
    <x v="0"/>
    <n v="60.38"/>
    <d v="2025-04-29T00:00:00"/>
    <n v="0"/>
    <m/>
    <x v="0"/>
    <m/>
    <s v="OK"/>
    <n v="0"/>
    <s v="Correct Price"/>
    <n v="0"/>
  </r>
  <r>
    <s v="FB000832"/>
    <x v="1"/>
    <x v="1"/>
    <x v="3"/>
    <s v="XXL"/>
    <s v="Black"/>
    <n v="103.65"/>
    <x v="0"/>
    <n v="103.65"/>
    <d v="2025-08-06T00:00:00"/>
    <n v="29"/>
    <n v="3.7"/>
    <x v="0"/>
    <m/>
    <s v="OK"/>
    <n v="0"/>
    <s v="Correct Price"/>
    <n v="3005.8500000000004"/>
  </r>
  <r>
    <s v="FB000833"/>
    <x v="4"/>
    <x v="6"/>
    <x v="0"/>
    <s v="L"/>
    <s v="Beige"/>
    <n v="75.14"/>
    <x v="0"/>
    <n v="75.14"/>
    <d v="2025-01-27T00:00:00"/>
    <n v="41"/>
    <m/>
    <x v="1"/>
    <s v="Changed Mind"/>
    <s v="OK"/>
    <n v="0"/>
    <s v="Correct Price"/>
    <n v="3080.7400000000002"/>
  </r>
  <r>
    <s v="FB000834"/>
    <x v="3"/>
    <x v="4"/>
    <x v="1"/>
    <s v="S"/>
    <s v="Pink"/>
    <n v="88"/>
    <x v="0"/>
    <n v="88"/>
    <d v="2025-08-06T00:00:00"/>
    <n v="2"/>
    <n v="1.9"/>
    <x v="0"/>
    <m/>
    <s v="OK"/>
    <n v="0"/>
    <s v="Correct Price"/>
    <n v="176"/>
  </r>
  <r>
    <s v="FB000835"/>
    <x v="5"/>
    <x v="5"/>
    <x v="1"/>
    <s v="XS"/>
    <s v="Red"/>
    <n v="69.540000000000006"/>
    <x v="0"/>
    <n v="69.540000000000006"/>
    <d v="2025-08-06T00:00:00"/>
    <n v="21"/>
    <m/>
    <x v="0"/>
    <m/>
    <s v="OK"/>
    <n v="0"/>
    <s v="Correct Price"/>
    <n v="1460.3400000000001"/>
  </r>
  <r>
    <s v="FB000836"/>
    <x v="0"/>
    <x v="3"/>
    <x v="1"/>
    <s v="XS"/>
    <s v="Pink"/>
    <n v="209.52"/>
    <x v="0"/>
    <n v="209.52"/>
    <d v="2025-08-06T00:00:00"/>
    <n v="48"/>
    <n v="2.6"/>
    <x v="0"/>
    <m/>
    <s v="OK"/>
    <n v="0"/>
    <s v="Correct Price"/>
    <n v="10056.960000000001"/>
  </r>
  <r>
    <s v="FB000837"/>
    <x v="3"/>
    <x v="4"/>
    <x v="2"/>
    <s v="XXL"/>
    <s v="Beige"/>
    <n v="97.42"/>
    <x v="0"/>
    <n v="97.42"/>
    <d v="2025-08-06T00:00:00"/>
    <n v="35"/>
    <n v="2"/>
    <x v="0"/>
    <m/>
    <s v="OK"/>
    <n v="0"/>
    <s v="Correct Price"/>
    <n v="3409.7000000000003"/>
  </r>
  <r>
    <s v="FB000838"/>
    <x v="5"/>
    <x v="1"/>
    <x v="1"/>
    <s v="XS"/>
    <s v="White"/>
    <n v="154.6"/>
    <x v="0"/>
    <n v="154.6"/>
    <d v="2025-08-06T00:00:00"/>
    <n v="38"/>
    <n v="4.5"/>
    <x v="1"/>
    <s v="Changed Mind"/>
    <s v="OK"/>
    <n v="0"/>
    <s v="Correct Price"/>
    <n v="5874.8"/>
  </r>
  <r>
    <s v="FB000839"/>
    <x v="4"/>
    <x v="0"/>
    <x v="3"/>
    <s v="XL"/>
    <s v="White"/>
    <n v="81.59"/>
    <x v="249"/>
    <n v="50.59"/>
    <d v="2025-08-06T00:00:00"/>
    <n v="31"/>
    <n v="1.2"/>
    <x v="0"/>
    <m/>
    <s v="OK"/>
    <n v="31.004200000000001"/>
    <s v="Correct Price"/>
    <n v="1568.2900000000002"/>
  </r>
  <r>
    <s v="FB000840"/>
    <x v="2"/>
    <x v="3"/>
    <x v="1"/>
    <m/>
    <s v="Brown"/>
    <n v="48.04"/>
    <x v="0"/>
    <n v="48.04"/>
    <d v="2025-08-06T00:00:00"/>
    <n v="46"/>
    <n v="4.8"/>
    <x v="0"/>
    <m/>
    <s v="OK"/>
    <n v="0"/>
    <s v="Correct Price"/>
    <n v="2209.84"/>
  </r>
  <r>
    <s v="FB000841"/>
    <x v="1"/>
    <x v="2"/>
    <x v="2"/>
    <s v="S"/>
    <s v="Green"/>
    <n v="70.77"/>
    <x v="0"/>
    <n v="70.77"/>
    <d v="2025-08-06T00:00:00"/>
    <n v="5"/>
    <n v="3.7"/>
    <x v="0"/>
    <m/>
    <s v="OK"/>
    <n v="0"/>
    <s v="Correct Price"/>
    <n v="353.84999999999997"/>
  </r>
  <r>
    <s v="FB000842"/>
    <x v="0"/>
    <x v="7"/>
    <x v="2"/>
    <s v="S"/>
    <s v="Gray"/>
    <n v="103.49"/>
    <x v="0"/>
    <n v="103.49"/>
    <d v="2025-08-06T00:00:00"/>
    <n v="12"/>
    <n v="1.8"/>
    <x v="0"/>
    <m/>
    <s v="OK"/>
    <n v="0"/>
    <s v="Correct Price"/>
    <n v="1241.8799999999999"/>
  </r>
  <r>
    <s v="FB000843"/>
    <x v="0"/>
    <x v="1"/>
    <x v="0"/>
    <s v="L"/>
    <s v="Purple"/>
    <n v="138.88999999999999"/>
    <x v="0"/>
    <n v="138.88999999999999"/>
    <d v="2025-01-30T00:00:00"/>
    <n v="10"/>
    <m/>
    <x v="0"/>
    <m/>
    <s v="OK"/>
    <n v="0"/>
    <s v="Correct Price"/>
    <n v="1388.8999999999999"/>
  </r>
  <r>
    <s v="FB000844"/>
    <x v="2"/>
    <x v="4"/>
    <x v="1"/>
    <m/>
    <s v="Green"/>
    <n v="73.510000000000005"/>
    <x v="250"/>
    <n v="49.84"/>
    <d v="2025-08-06T00:00:00"/>
    <n v="17"/>
    <m/>
    <x v="1"/>
    <s v="Wrong Item"/>
    <s v="OK"/>
    <n v="23.670220000000004"/>
    <s v="Correct Price"/>
    <n v="847.28000000000009"/>
  </r>
  <r>
    <s v="FB000845"/>
    <x v="4"/>
    <x v="0"/>
    <x v="0"/>
    <s v="M"/>
    <s v="Purple"/>
    <n v="82.37"/>
    <x v="0"/>
    <n v="82.37"/>
    <d v="2025-06-04T00:00:00"/>
    <n v="49"/>
    <n v="3.3"/>
    <x v="0"/>
    <m/>
    <s v="OK"/>
    <n v="0"/>
    <s v="Correct Price"/>
    <n v="4036.13"/>
  </r>
  <r>
    <s v="FB000846"/>
    <x v="5"/>
    <x v="5"/>
    <x v="3"/>
    <s v="XS"/>
    <s v="Navy"/>
    <n v="81.709999999999994"/>
    <x v="26"/>
    <n v="67"/>
    <d v="2025-08-06T00:00:00"/>
    <n v="28"/>
    <n v="4.7"/>
    <x v="0"/>
    <m/>
    <s v="OK"/>
    <n v="14.707799999999999"/>
    <s v="Correct Price"/>
    <n v="1876"/>
  </r>
  <r>
    <s v="FB000847"/>
    <x v="5"/>
    <x v="2"/>
    <x v="1"/>
    <s v="XXL"/>
    <s v="Navy"/>
    <n v="107.02"/>
    <x v="197"/>
    <n v="95.68"/>
    <d v="2025-08-06T00:00:00"/>
    <n v="6"/>
    <m/>
    <x v="0"/>
    <m/>
    <s v="OK"/>
    <n v="11.344119999999998"/>
    <s v="Correct Price"/>
    <n v="574.08000000000004"/>
  </r>
  <r>
    <s v="FB000848"/>
    <x v="4"/>
    <x v="4"/>
    <x v="3"/>
    <s v="XL"/>
    <s v="Pink"/>
    <n v="103.23"/>
    <x v="251"/>
    <n v="83.93"/>
    <d v="2025-08-06T00:00:00"/>
    <n v="6"/>
    <n v="4"/>
    <x v="0"/>
    <m/>
    <s v="OK"/>
    <n v="19.304010000000002"/>
    <s v="Correct Price"/>
    <n v="503.58000000000004"/>
  </r>
  <r>
    <s v="FB000849"/>
    <x v="1"/>
    <x v="6"/>
    <x v="2"/>
    <s v="L"/>
    <s v="Blue"/>
    <n v="100.48"/>
    <x v="252"/>
    <n v="82.8"/>
    <d v="2025-08-06T00:00:00"/>
    <n v="19"/>
    <m/>
    <x v="0"/>
    <m/>
    <s v="OK"/>
    <n v="17.684480000000004"/>
    <s v="Correct Price"/>
    <n v="1573.2"/>
  </r>
  <r>
    <s v="FB000850"/>
    <x v="3"/>
    <x v="5"/>
    <x v="1"/>
    <s v="XL"/>
    <s v="White"/>
    <n v="160.87"/>
    <x v="253"/>
    <n v="74.48"/>
    <d v="2025-08-06T00:00:00"/>
    <n v="18"/>
    <m/>
    <x v="0"/>
    <m/>
    <s v="OK"/>
    <n v="86.387190000000004"/>
    <s v="Correct Price"/>
    <n v="1340.64"/>
  </r>
  <r>
    <s v="FB000851"/>
    <x v="2"/>
    <x v="3"/>
    <x v="2"/>
    <m/>
    <s v="White"/>
    <n v="78.39"/>
    <x v="0"/>
    <n v="78.39"/>
    <d v="2025-08-06T00:00:00"/>
    <n v="7"/>
    <n v="4.2"/>
    <x v="0"/>
    <m/>
    <s v="OK"/>
    <n v="0"/>
    <s v="Correct Price"/>
    <n v="548.73"/>
  </r>
  <r>
    <s v="FB000852"/>
    <x v="0"/>
    <x v="0"/>
    <x v="0"/>
    <s v="S"/>
    <s v="Beige"/>
    <n v="168.38"/>
    <x v="254"/>
    <n v="129.47999999999999"/>
    <d v="2025-06-04T00:00:00"/>
    <n v="3"/>
    <n v="2"/>
    <x v="0"/>
    <m/>
    <s v="OK"/>
    <n v="38.895780000000002"/>
    <s v="Correct Price"/>
    <n v="388.43999999999994"/>
  </r>
  <r>
    <s v="FB000853"/>
    <x v="3"/>
    <x v="2"/>
    <x v="1"/>
    <s v="S"/>
    <s v="Navy"/>
    <n v="128.35"/>
    <x v="0"/>
    <n v="128.35"/>
    <d v="2025-08-06T00:00:00"/>
    <n v="20"/>
    <n v="2.5"/>
    <x v="0"/>
    <m/>
    <s v="OK"/>
    <n v="0"/>
    <s v="Correct Price"/>
    <n v="2567"/>
  </r>
  <r>
    <s v="FB000854"/>
    <x v="5"/>
    <x v="1"/>
    <x v="0"/>
    <s v="XL"/>
    <s v="Gray"/>
    <n v="138.16999999999999"/>
    <x v="44"/>
    <n v="134.02000000000001"/>
    <d v="2025-04-04T00:00:00"/>
    <n v="34"/>
    <n v="4.0999999999999996"/>
    <x v="0"/>
    <m/>
    <s v="OK"/>
    <n v="4.1451000000000002"/>
    <s v="Correct Price"/>
    <n v="4556.68"/>
  </r>
  <r>
    <s v="FB000855"/>
    <x v="5"/>
    <x v="1"/>
    <x v="2"/>
    <s v="M"/>
    <s v="Navy"/>
    <n v="52.45"/>
    <x v="0"/>
    <n v="52.45"/>
    <d v="2025-08-06T00:00:00"/>
    <n v="16"/>
    <n v="1.7"/>
    <x v="0"/>
    <m/>
    <s v="OK"/>
    <n v="0"/>
    <s v="Correct Price"/>
    <n v="839.2"/>
  </r>
  <r>
    <s v="FB000856"/>
    <x v="3"/>
    <x v="4"/>
    <x v="1"/>
    <s v="XS"/>
    <s v="White"/>
    <n v="171.53"/>
    <x v="0"/>
    <n v="171.53"/>
    <d v="2025-08-06T00:00:00"/>
    <n v="12"/>
    <n v="4.8"/>
    <x v="0"/>
    <m/>
    <s v="OK"/>
    <n v="0"/>
    <s v="Correct Price"/>
    <n v="2058.36"/>
  </r>
  <r>
    <s v="FB000857"/>
    <x v="1"/>
    <x v="3"/>
    <x v="2"/>
    <s v="XXL"/>
    <s v="Brown"/>
    <n v="81.23"/>
    <x v="255"/>
    <n v="80.260000000000005"/>
    <d v="2025-08-06T00:00:00"/>
    <n v="10"/>
    <n v="4.9000000000000004"/>
    <x v="0"/>
    <m/>
    <s v="OK"/>
    <n v="0.97475999999999996"/>
    <s v="Correct Price"/>
    <n v="802.6"/>
  </r>
  <r>
    <s v="FB000858"/>
    <x v="2"/>
    <x v="2"/>
    <x v="0"/>
    <m/>
    <s v="Blue"/>
    <n v="31.37"/>
    <x v="256"/>
    <n v="17.54"/>
    <d v="2024-09-13T00:00:00"/>
    <n v="11"/>
    <n v="3.4"/>
    <x v="0"/>
    <m/>
    <s v="OK"/>
    <n v="13.834170000000002"/>
    <s v="Correct Price"/>
    <n v="192.94"/>
  </r>
  <r>
    <s v="FB000859"/>
    <x v="4"/>
    <x v="6"/>
    <x v="0"/>
    <s v="S"/>
    <s v="Red"/>
    <n v="93.89"/>
    <x v="0"/>
    <n v="93.89"/>
    <d v="2025-02-03T00:00:00"/>
    <n v="3"/>
    <n v="1.8"/>
    <x v="0"/>
    <m/>
    <s v="OK"/>
    <n v="0"/>
    <s v="Correct Price"/>
    <n v="281.67"/>
  </r>
  <r>
    <s v="FB000860"/>
    <x v="4"/>
    <x v="1"/>
    <x v="0"/>
    <s v="XL"/>
    <s v="Gray"/>
    <n v="54.84"/>
    <x v="0"/>
    <n v="54.84"/>
    <d v="2024-09-22T00:00:00"/>
    <n v="12"/>
    <n v="3.2"/>
    <x v="0"/>
    <m/>
    <s v="OK"/>
    <n v="0"/>
    <s v="Correct Price"/>
    <n v="658.08"/>
  </r>
  <r>
    <s v="FB000861"/>
    <x v="5"/>
    <x v="0"/>
    <x v="1"/>
    <s v="L"/>
    <s v="Red"/>
    <n v="140.34"/>
    <x v="0"/>
    <n v="140.34"/>
    <d v="2025-08-06T00:00:00"/>
    <n v="23"/>
    <n v="2.8"/>
    <x v="1"/>
    <s v="Changed Mind"/>
    <s v="OK"/>
    <n v="0"/>
    <s v="Correct Price"/>
    <n v="3227.82"/>
  </r>
  <r>
    <s v="FB000862"/>
    <x v="1"/>
    <x v="2"/>
    <x v="2"/>
    <s v="M"/>
    <s v="Red"/>
    <n v="51.88"/>
    <x v="257"/>
    <n v="43.16"/>
    <d v="2025-08-06T00:00:00"/>
    <n v="30"/>
    <n v="1.5"/>
    <x v="0"/>
    <m/>
    <s v="OK"/>
    <n v="8.71584"/>
    <s v="Correct Price"/>
    <n v="1294.8"/>
  </r>
  <r>
    <s v="FB000863"/>
    <x v="5"/>
    <x v="3"/>
    <x v="0"/>
    <s v="S"/>
    <s v="Purple"/>
    <n v="136.19999999999999"/>
    <x v="258"/>
    <n v="75.86"/>
    <d v="2024-11-21T00:00:00"/>
    <n v="49"/>
    <m/>
    <x v="0"/>
    <m/>
    <s v="OK"/>
    <n v="60.33659999999999"/>
    <s v="Correct Price"/>
    <n v="3717.14"/>
  </r>
  <r>
    <s v="FB000864"/>
    <x v="2"/>
    <x v="4"/>
    <x v="3"/>
    <m/>
    <s v="Brown"/>
    <n v="71.19"/>
    <x v="0"/>
    <n v="71.19"/>
    <d v="2025-08-06T00:00:00"/>
    <n v="14"/>
    <n v="2.8"/>
    <x v="0"/>
    <m/>
    <s v="OK"/>
    <n v="0"/>
    <s v="Correct Price"/>
    <n v="996.66"/>
  </r>
  <r>
    <s v="FB000865"/>
    <x v="0"/>
    <x v="7"/>
    <x v="0"/>
    <s v="S"/>
    <s v="Navy"/>
    <n v="241.37"/>
    <x v="259"/>
    <n v="132.99"/>
    <d v="2025-05-15T00:00:00"/>
    <n v="23"/>
    <n v="2.1"/>
    <x v="0"/>
    <m/>
    <s v="OK"/>
    <n v="108.37512999999998"/>
    <s v="Correct Price"/>
    <n v="3058.7700000000004"/>
  </r>
  <r>
    <s v="FB000866"/>
    <x v="0"/>
    <x v="6"/>
    <x v="2"/>
    <s v="XXL"/>
    <s v="Blue"/>
    <n v="198.26"/>
    <x v="172"/>
    <n v="96.55"/>
    <d v="2025-08-06T00:00:00"/>
    <n v="38"/>
    <m/>
    <x v="0"/>
    <m/>
    <s v="OK"/>
    <n v="101.70738"/>
    <s v="Correct Price"/>
    <n v="3668.9"/>
  </r>
  <r>
    <s v="FB000867"/>
    <x v="4"/>
    <x v="5"/>
    <x v="1"/>
    <s v="XXL"/>
    <s v="Beige"/>
    <n v="64.069999999999993"/>
    <x v="0"/>
    <n v="64.069999999999993"/>
    <d v="2025-08-06T00:00:00"/>
    <n v="34"/>
    <m/>
    <x v="0"/>
    <m/>
    <s v="OK"/>
    <n v="0"/>
    <s v="Correct Price"/>
    <n v="2178.3799999999997"/>
  </r>
  <r>
    <s v="FB000868"/>
    <x v="4"/>
    <x v="0"/>
    <x v="2"/>
    <s v="XL"/>
    <s v="Gray"/>
    <n v="110.15"/>
    <x v="260"/>
    <n v="98.69"/>
    <d v="2025-08-06T00:00:00"/>
    <n v="36"/>
    <n v="1.6"/>
    <x v="0"/>
    <m/>
    <s v="OK"/>
    <n v="11.455600000000002"/>
    <s v="Correct Price"/>
    <n v="3552.84"/>
  </r>
  <r>
    <s v="FB000869"/>
    <x v="0"/>
    <x v="7"/>
    <x v="0"/>
    <s v="XS"/>
    <s v="Blue"/>
    <n v="120.68"/>
    <x v="0"/>
    <n v="120.68"/>
    <d v="2024-12-21T00:00:00"/>
    <n v="6"/>
    <n v="1.9"/>
    <x v="0"/>
    <m/>
    <s v="OK"/>
    <n v="0"/>
    <s v="Correct Price"/>
    <n v="724.08"/>
  </r>
  <r>
    <s v="FB000870"/>
    <x v="2"/>
    <x v="0"/>
    <x v="2"/>
    <m/>
    <s v="Black"/>
    <n v="69.180000000000007"/>
    <x v="261"/>
    <n v="47.73"/>
    <d v="2025-08-06T00:00:00"/>
    <n v="9"/>
    <n v="2.7"/>
    <x v="1"/>
    <s v="Size Issue"/>
    <s v="OK"/>
    <n v="21.445800000000006"/>
    <s v="Correct Price"/>
    <n v="429.57"/>
  </r>
  <r>
    <s v="FB000871"/>
    <x v="5"/>
    <x v="5"/>
    <x v="2"/>
    <s v="L"/>
    <s v="Red"/>
    <n v="134.77000000000001"/>
    <x v="0"/>
    <n v="134.77000000000001"/>
    <d v="2025-08-06T00:00:00"/>
    <n v="36"/>
    <n v="4.8"/>
    <x v="0"/>
    <m/>
    <s v="OK"/>
    <n v="0"/>
    <s v="Correct Price"/>
    <n v="4851.72"/>
  </r>
  <r>
    <s v="FB000872"/>
    <x v="1"/>
    <x v="1"/>
    <x v="0"/>
    <s v="S"/>
    <s v="Black"/>
    <n v="29.93"/>
    <x v="0"/>
    <n v="29.93"/>
    <d v="2024-10-10T00:00:00"/>
    <n v="13"/>
    <m/>
    <x v="0"/>
    <m/>
    <s v="OK"/>
    <n v="0"/>
    <s v="Correct Price"/>
    <n v="389.09"/>
  </r>
  <r>
    <s v="FB000873"/>
    <x v="2"/>
    <x v="6"/>
    <x v="1"/>
    <m/>
    <s v="White"/>
    <n v="56.09"/>
    <x v="0"/>
    <n v="56.09"/>
    <d v="2025-08-06T00:00:00"/>
    <n v="21"/>
    <n v="4.9000000000000004"/>
    <x v="0"/>
    <m/>
    <s v="OK"/>
    <n v="0"/>
    <s v="Correct Price"/>
    <n v="1177.8900000000001"/>
  </r>
  <r>
    <s v="FB000874"/>
    <x v="3"/>
    <x v="6"/>
    <x v="2"/>
    <s v="XS"/>
    <s v="Green"/>
    <n v="124.81"/>
    <x v="262"/>
    <n v="83.5"/>
    <d v="2025-08-06T00:00:00"/>
    <n v="45"/>
    <n v="2.4"/>
    <x v="0"/>
    <m/>
    <s v="OK"/>
    <n v="41.312110000000004"/>
    <s v="Correct Price"/>
    <n v="3757.5"/>
  </r>
  <r>
    <s v="FB000875"/>
    <x v="5"/>
    <x v="0"/>
    <x v="0"/>
    <s v="M"/>
    <s v="White"/>
    <n v="94.03"/>
    <x v="78"/>
    <n v="41.28"/>
    <d v="2024-12-16T00:00:00"/>
    <n v="16"/>
    <n v="1.2"/>
    <x v="0"/>
    <m/>
    <s v="OK"/>
    <n v="52.750830000000008"/>
    <s v="Correct Price"/>
    <n v="660.48"/>
  </r>
  <r>
    <s v="FB000876"/>
    <x v="3"/>
    <x v="0"/>
    <x v="2"/>
    <s v="XS"/>
    <s v="Red"/>
    <n v="109.51"/>
    <x v="263"/>
    <n v="100.53"/>
    <d v="2025-08-06T00:00:00"/>
    <n v="12"/>
    <m/>
    <x v="0"/>
    <m/>
    <s v="OK"/>
    <n v="8.9798200000000001"/>
    <s v="Correct Price"/>
    <n v="1206.3600000000001"/>
  </r>
  <r>
    <s v="FB000877"/>
    <x v="2"/>
    <x v="3"/>
    <x v="1"/>
    <m/>
    <s v="Navy"/>
    <n v="31.13"/>
    <x v="0"/>
    <n v="31.13"/>
    <d v="2025-08-06T00:00:00"/>
    <n v="29"/>
    <n v="4.7"/>
    <x v="0"/>
    <m/>
    <s v="OK"/>
    <n v="0"/>
    <s v="Correct Price"/>
    <n v="902.77"/>
  </r>
  <r>
    <s v="FB000878"/>
    <x v="2"/>
    <x v="2"/>
    <x v="2"/>
    <m/>
    <s v="Blue"/>
    <n v="66.3"/>
    <x v="66"/>
    <n v="65.17"/>
    <d v="2025-08-06T00:00:00"/>
    <n v="28"/>
    <n v="1.6"/>
    <x v="0"/>
    <m/>
    <s v="OK"/>
    <n v="1.1271"/>
    <s v="Correct Price"/>
    <n v="1824.76"/>
  </r>
  <r>
    <s v="FB000879"/>
    <x v="4"/>
    <x v="4"/>
    <x v="1"/>
    <s v="M"/>
    <s v="Red"/>
    <n v="66.63"/>
    <x v="181"/>
    <n v="47.71"/>
    <d v="2025-08-06T00:00:00"/>
    <n v="32"/>
    <n v="2"/>
    <x v="0"/>
    <m/>
    <s v="OK"/>
    <n v="18.922919999999998"/>
    <s v="Correct Price"/>
    <n v="1526.72"/>
  </r>
  <r>
    <s v="FB000880"/>
    <x v="4"/>
    <x v="3"/>
    <x v="0"/>
    <s v="L"/>
    <s v="Green"/>
    <n v="117.63"/>
    <x v="0"/>
    <n v="117.63"/>
    <d v="2024-09-28T00:00:00"/>
    <n v="18"/>
    <n v="1.2"/>
    <x v="0"/>
    <m/>
    <s v="OK"/>
    <n v="0"/>
    <s v="Correct Price"/>
    <n v="2117.34"/>
  </r>
  <r>
    <s v="FB000881"/>
    <x v="3"/>
    <x v="2"/>
    <x v="1"/>
    <s v="M"/>
    <s v="Purple"/>
    <n v="174.53"/>
    <x v="0"/>
    <n v="174.53"/>
    <d v="2025-08-06T00:00:00"/>
    <n v="45"/>
    <m/>
    <x v="0"/>
    <m/>
    <s v="OK"/>
    <n v="0"/>
    <s v="Correct Price"/>
    <n v="7853.85"/>
  </r>
  <r>
    <s v="FB000882"/>
    <x v="5"/>
    <x v="0"/>
    <x v="1"/>
    <s v="S"/>
    <s v="Green"/>
    <n v="152.65"/>
    <x v="0"/>
    <n v="152.65"/>
    <d v="2025-08-06T00:00:00"/>
    <n v="27"/>
    <n v="3.7"/>
    <x v="0"/>
    <m/>
    <s v="OK"/>
    <n v="0"/>
    <s v="Correct Price"/>
    <n v="4121.55"/>
  </r>
  <r>
    <s v="FB000883"/>
    <x v="0"/>
    <x v="5"/>
    <x v="3"/>
    <s v="XL"/>
    <s v="Blue"/>
    <n v="83.24"/>
    <x v="0"/>
    <n v="83.24"/>
    <d v="2025-08-06T00:00:00"/>
    <n v="16"/>
    <m/>
    <x v="0"/>
    <m/>
    <s v="OK"/>
    <n v="0"/>
    <s v="Correct Price"/>
    <n v="1331.84"/>
  </r>
  <r>
    <s v="FB000884"/>
    <x v="2"/>
    <x v="0"/>
    <x v="1"/>
    <m/>
    <s v="Brown"/>
    <n v="40.18"/>
    <x v="0"/>
    <n v="40.18"/>
    <d v="2025-08-06T00:00:00"/>
    <n v="27"/>
    <n v="4.7"/>
    <x v="0"/>
    <m/>
    <s v="OK"/>
    <n v="0"/>
    <s v="Correct Price"/>
    <n v="1084.8599999999999"/>
  </r>
  <r>
    <s v="FB000885"/>
    <x v="4"/>
    <x v="3"/>
    <x v="0"/>
    <s v="XL"/>
    <s v="Red"/>
    <n v="73.77"/>
    <x v="264"/>
    <n v="56.95"/>
    <d v="2024-08-18T00:00:00"/>
    <n v="0"/>
    <m/>
    <x v="0"/>
    <m/>
    <s v="OK"/>
    <n v="16.819559999999999"/>
    <s v="Correct Price"/>
    <n v="0"/>
  </r>
  <r>
    <s v="FB000886"/>
    <x v="2"/>
    <x v="7"/>
    <x v="1"/>
    <m/>
    <s v="Red"/>
    <n v="71.3"/>
    <x v="0"/>
    <n v="71.3"/>
    <d v="2025-08-06T00:00:00"/>
    <n v="29"/>
    <m/>
    <x v="0"/>
    <m/>
    <s v="OK"/>
    <n v="0"/>
    <s v="Correct Price"/>
    <n v="2067.6999999999998"/>
  </r>
  <r>
    <s v="FB000887"/>
    <x v="2"/>
    <x v="7"/>
    <x v="3"/>
    <m/>
    <s v="Beige"/>
    <n v="50.3"/>
    <x v="229"/>
    <n v="23.74"/>
    <d v="2025-08-06T00:00:00"/>
    <n v="11"/>
    <m/>
    <x v="0"/>
    <m/>
    <s v="OK"/>
    <n v="26.558399999999995"/>
    <s v="Correct Price"/>
    <n v="261.14"/>
  </r>
  <r>
    <s v="FB000888"/>
    <x v="2"/>
    <x v="4"/>
    <x v="0"/>
    <m/>
    <s v="Green"/>
    <n v="46.97"/>
    <x v="0"/>
    <n v="46.97"/>
    <d v="2025-02-24T00:00:00"/>
    <n v="33"/>
    <n v="2.6"/>
    <x v="0"/>
    <m/>
    <s v="OK"/>
    <n v="0"/>
    <s v="Correct Price"/>
    <n v="1550.01"/>
  </r>
  <r>
    <s v="FB000889"/>
    <x v="3"/>
    <x v="0"/>
    <x v="2"/>
    <m/>
    <s v="Brown"/>
    <n v="162.9"/>
    <x v="0"/>
    <n v="162.9"/>
    <d v="2025-08-06T00:00:00"/>
    <n v="30"/>
    <n v="1.9"/>
    <x v="0"/>
    <m/>
    <s v="OK"/>
    <n v="0"/>
    <s v="Correct Price"/>
    <n v="4887"/>
  </r>
  <r>
    <s v="FB000890"/>
    <x v="4"/>
    <x v="7"/>
    <x v="1"/>
    <s v="XL"/>
    <s v="White"/>
    <n v="57.14"/>
    <x v="0"/>
    <n v="57.14"/>
    <d v="2025-08-06T00:00:00"/>
    <n v="39"/>
    <n v="1.4"/>
    <x v="0"/>
    <m/>
    <s v="OK"/>
    <n v="0"/>
    <s v="Correct Price"/>
    <n v="2228.46"/>
  </r>
  <r>
    <s v="FB000891"/>
    <x v="3"/>
    <x v="5"/>
    <x v="0"/>
    <s v="L"/>
    <s v="Purple"/>
    <n v="93.6"/>
    <x v="0"/>
    <n v="93.6"/>
    <d v="2024-09-09T00:00:00"/>
    <n v="49"/>
    <n v="4.3"/>
    <x v="0"/>
    <m/>
    <s v="OK"/>
    <n v="0"/>
    <s v="Correct Price"/>
    <n v="4586.3999999999996"/>
  </r>
  <r>
    <s v="FB000892"/>
    <x v="2"/>
    <x v="7"/>
    <x v="0"/>
    <m/>
    <s v="Brown"/>
    <n v="64.56"/>
    <x v="238"/>
    <n v="36.799999999999997"/>
    <d v="2024-08-06T00:00:00"/>
    <n v="36"/>
    <n v="3.9"/>
    <x v="0"/>
    <m/>
    <s v="OK"/>
    <n v="27.7608"/>
    <s v="Correct Price"/>
    <n v="1324.8"/>
  </r>
  <r>
    <s v="FB000893"/>
    <x v="0"/>
    <x v="5"/>
    <x v="1"/>
    <s v="S"/>
    <s v="Navy"/>
    <n v="142.34"/>
    <x v="0"/>
    <n v="142.34"/>
    <d v="2025-08-06T00:00:00"/>
    <n v="43"/>
    <m/>
    <x v="0"/>
    <m/>
    <s v="OK"/>
    <n v="0"/>
    <s v="Correct Price"/>
    <n v="6120.62"/>
  </r>
  <r>
    <s v="FB000894"/>
    <x v="3"/>
    <x v="6"/>
    <x v="0"/>
    <s v="XS"/>
    <s v="White"/>
    <n v="111.02"/>
    <x v="265"/>
    <n v="46.85"/>
    <d v="2025-05-19T00:00:00"/>
    <n v="11"/>
    <n v="2.2000000000000002"/>
    <x v="0"/>
    <m/>
    <s v="OK"/>
    <n v="64.16955999999999"/>
    <s v="Correct Price"/>
    <n v="515.35"/>
  </r>
  <r>
    <s v="FB000895"/>
    <x v="1"/>
    <x v="2"/>
    <x v="1"/>
    <m/>
    <s v="Black"/>
    <n v="29.16"/>
    <x v="266"/>
    <n v="14.87"/>
    <d v="2025-08-06T00:00:00"/>
    <n v="31"/>
    <m/>
    <x v="0"/>
    <m/>
    <s v="OK"/>
    <n v="14.288399999999999"/>
    <s v="Correct Price"/>
    <n v="460.96999999999997"/>
  </r>
  <r>
    <s v="FB000896"/>
    <x v="1"/>
    <x v="5"/>
    <x v="3"/>
    <s v="XS"/>
    <s v="Black"/>
    <n v="30.46"/>
    <x v="0"/>
    <n v="30.46"/>
    <d v="2025-08-06T00:00:00"/>
    <n v="19"/>
    <n v="1.2"/>
    <x v="0"/>
    <m/>
    <s v="OK"/>
    <n v="0"/>
    <s v="Correct Price"/>
    <n v="578.74"/>
  </r>
  <r>
    <s v="FB000897"/>
    <x v="2"/>
    <x v="7"/>
    <x v="1"/>
    <m/>
    <s v="Blue"/>
    <n v="31.32"/>
    <x v="0"/>
    <n v="31.32"/>
    <d v="2025-08-06T00:00:00"/>
    <n v="28"/>
    <n v="2.7"/>
    <x v="0"/>
    <m/>
    <s v="OK"/>
    <n v="0"/>
    <s v="Correct Price"/>
    <n v="876.96"/>
  </r>
  <r>
    <s v="FB000898"/>
    <x v="4"/>
    <x v="1"/>
    <x v="0"/>
    <s v="M"/>
    <s v="Pink"/>
    <n v="61.78"/>
    <x v="0"/>
    <n v="61.78"/>
    <d v="2025-07-30T00:00:00"/>
    <n v="24"/>
    <n v="3.5"/>
    <x v="0"/>
    <m/>
    <s v="OK"/>
    <n v="0"/>
    <s v="Correct Price"/>
    <n v="1482.72"/>
  </r>
  <r>
    <s v="FB000899"/>
    <x v="0"/>
    <x v="0"/>
    <x v="3"/>
    <s v="M"/>
    <s v="Green"/>
    <n v="126.27"/>
    <x v="0"/>
    <n v="126.27"/>
    <d v="2025-08-06T00:00:00"/>
    <n v="1"/>
    <n v="4.7"/>
    <x v="0"/>
    <m/>
    <s v="OK"/>
    <n v="0"/>
    <s v="Correct Price"/>
    <n v="126.27"/>
  </r>
  <r>
    <s v="FB000900"/>
    <x v="0"/>
    <x v="1"/>
    <x v="1"/>
    <s v="L"/>
    <s v="White"/>
    <n v="147.53"/>
    <x v="0"/>
    <n v="147.53"/>
    <d v="2025-08-06T00:00:00"/>
    <n v="33"/>
    <n v="4.7"/>
    <x v="1"/>
    <s v="Quality Issue"/>
    <s v="OK"/>
    <n v="0"/>
    <s v="Correct Price"/>
    <n v="4868.49"/>
  </r>
  <r>
    <s v="FB000901"/>
    <x v="2"/>
    <x v="2"/>
    <x v="3"/>
    <m/>
    <s v="Red"/>
    <n v="36.979999999999997"/>
    <x v="267"/>
    <n v="32.47"/>
    <d v="2025-08-06T00:00:00"/>
    <n v="14"/>
    <n v="4.8"/>
    <x v="0"/>
    <m/>
    <s v="OK"/>
    <n v="4.5115599999999993"/>
    <s v="Correct Price"/>
    <n v="454.58"/>
  </r>
  <r>
    <s v="FB000902"/>
    <x v="3"/>
    <x v="4"/>
    <x v="2"/>
    <s v="M"/>
    <s v="Pink"/>
    <n v="172.41"/>
    <x v="0"/>
    <n v="172.41"/>
    <d v="2025-08-06T00:00:00"/>
    <n v="33"/>
    <n v="2.2999999999999998"/>
    <x v="0"/>
    <m/>
    <s v="OK"/>
    <n v="0"/>
    <s v="Correct Price"/>
    <n v="5689.53"/>
  </r>
  <r>
    <s v="FB000903"/>
    <x v="2"/>
    <x v="4"/>
    <x v="0"/>
    <m/>
    <s v="Pink"/>
    <n v="53.79"/>
    <x v="268"/>
    <n v="45.18"/>
    <d v="2024-10-01T00:00:00"/>
    <n v="32"/>
    <m/>
    <x v="0"/>
    <m/>
    <s v="OK"/>
    <n v="8.6064000000000007"/>
    <s v="Correct Price"/>
    <n v="1445.76"/>
  </r>
  <r>
    <s v="FB000904"/>
    <x v="3"/>
    <x v="3"/>
    <x v="3"/>
    <s v="XS"/>
    <s v="Beige"/>
    <n v="80.56"/>
    <x v="0"/>
    <n v="80.56"/>
    <d v="2025-08-06T00:00:00"/>
    <n v="7"/>
    <n v="1.9"/>
    <x v="0"/>
    <m/>
    <s v="OK"/>
    <n v="0"/>
    <s v="Correct Price"/>
    <n v="563.92000000000007"/>
  </r>
  <r>
    <s v="FB000905"/>
    <x v="2"/>
    <x v="3"/>
    <x v="2"/>
    <m/>
    <s v="Pink"/>
    <n v="51.72"/>
    <x v="0"/>
    <n v="51.72"/>
    <d v="2025-08-06T00:00:00"/>
    <n v="35"/>
    <n v="3.7"/>
    <x v="1"/>
    <s v="Damaged"/>
    <s v="OK"/>
    <n v="0"/>
    <s v="Correct Price"/>
    <n v="1810.2"/>
  </r>
  <r>
    <s v="FB000906"/>
    <x v="4"/>
    <x v="3"/>
    <x v="0"/>
    <s v="XL"/>
    <s v="Pink"/>
    <n v="107.22"/>
    <x v="269"/>
    <n v="66.69"/>
    <d v="2025-07-11T00:00:00"/>
    <n v="21"/>
    <n v="2.9"/>
    <x v="0"/>
    <m/>
    <s v="OK"/>
    <n v="40.529159999999997"/>
    <s v="Correct Price"/>
    <n v="1400.49"/>
  </r>
  <r>
    <s v="FB000907"/>
    <x v="3"/>
    <x v="4"/>
    <x v="2"/>
    <s v="XXL"/>
    <s v="Green"/>
    <n v="174.99"/>
    <x v="270"/>
    <n v="87.32"/>
    <d v="2025-08-06T00:00:00"/>
    <n v="7"/>
    <n v="4.9000000000000004"/>
    <x v="0"/>
    <m/>
    <s v="OK"/>
    <n v="87.669989999999999"/>
    <s v="Correct Price"/>
    <n v="611.24"/>
  </r>
  <r>
    <s v="FB000908"/>
    <x v="5"/>
    <x v="7"/>
    <x v="0"/>
    <s v="S"/>
    <s v="Blue"/>
    <n v="90.52"/>
    <x v="271"/>
    <n v="42.36"/>
    <d v="2025-07-28T00:00:00"/>
    <n v="37"/>
    <n v="2.2000000000000002"/>
    <x v="0"/>
    <m/>
    <s v="OK"/>
    <n v="48.156639999999996"/>
    <s v="Correct Price"/>
    <n v="1567.32"/>
  </r>
  <r>
    <s v="FB000909"/>
    <x v="3"/>
    <x v="7"/>
    <x v="3"/>
    <s v="XXL"/>
    <s v="Green"/>
    <n v="94.93"/>
    <x v="189"/>
    <n v="79.17"/>
    <d v="2025-08-06T00:00:00"/>
    <n v="39"/>
    <n v="4.8"/>
    <x v="0"/>
    <m/>
    <s v="OK"/>
    <n v="15.758380000000002"/>
    <s v="Correct Price"/>
    <n v="3087.63"/>
  </r>
  <r>
    <s v="FB000910"/>
    <x v="3"/>
    <x v="2"/>
    <x v="1"/>
    <s v="XS"/>
    <s v="Gray"/>
    <n v="179.82"/>
    <x v="0"/>
    <n v="179.82"/>
    <d v="2025-08-06T00:00:00"/>
    <n v="28"/>
    <n v="2.4"/>
    <x v="1"/>
    <s v="Damaged"/>
    <s v="OK"/>
    <n v="0"/>
    <s v="Correct Price"/>
    <n v="5034.96"/>
  </r>
  <r>
    <s v="FB000911"/>
    <x v="1"/>
    <x v="1"/>
    <x v="0"/>
    <m/>
    <s v="Brown"/>
    <n v="101.96"/>
    <x v="272"/>
    <n v="77.8"/>
    <d v="2025-05-21T00:00:00"/>
    <n v="29"/>
    <n v="3.6"/>
    <x v="0"/>
    <m/>
    <s v="OK"/>
    <n v="24.164519999999996"/>
    <s v="Correct Price"/>
    <n v="2256.1999999999998"/>
  </r>
  <r>
    <s v="FB000912"/>
    <x v="4"/>
    <x v="2"/>
    <x v="0"/>
    <s v="S"/>
    <s v="Green"/>
    <n v="27.11"/>
    <x v="115"/>
    <n v="22.72"/>
    <d v="2024-12-08T00:00:00"/>
    <n v="10"/>
    <n v="2.4"/>
    <x v="1"/>
    <s v="Changed Mind"/>
    <s v="OK"/>
    <n v="4.3918199999999992"/>
    <s v="Correct Price"/>
    <n v="227.2"/>
  </r>
  <r>
    <s v="FB000913"/>
    <x v="0"/>
    <x v="6"/>
    <x v="3"/>
    <s v="S"/>
    <s v="Black"/>
    <n v="141.83000000000001"/>
    <x v="0"/>
    <n v="141.83000000000001"/>
    <d v="2025-08-06T00:00:00"/>
    <n v="2"/>
    <n v="2.4"/>
    <x v="1"/>
    <s v="Color Mismatch"/>
    <s v="OK"/>
    <n v="0"/>
    <s v="Correct Price"/>
    <n v="283.66000000000003"/>
  </r>
  <r>
    <s v="FB000914"/>
    <x v="3"/>
    <x v="6"/>
    <x v="0"/>
    <m/>
    <s v="Beige"/>
    <n v="156.34"/>
    <x v="273"/>
    <n v="98.49"/>
    <d v="2025-04-13T00:00:00"/>
    <n v="45"/>
    <n v="2.9"/>
    <x v="1"/>
    <s v="Size Issue"/>
    <s v="OK"/>
    <n v="57.845799999999997"/>
    <s v="Correct Price"/>
    <n v="4432.05"/>
  </r>
  <r>
    <s v="FB000915"/>
    <x v="1"/>
    <x v="7"/>
    <x v="3"/>
    <s v="XS"/>
    <s v="Brown"/>
    <n v="81.84"/>
    <x v="0"/>
    <n v="81.84"/>
    <d v="2025-08-06T00:00:00"/>
    <n v="41"/>
    <n v="2.4"/>
    <x v="0"/>
    <m/>
    <s v="OK"/>
    <n v="0"/>
    <s v="Correct Price"/>
    <n v="3355.44"/>
  </r>
  <r>
    <s v="FB000916"/>
    <x v="4"/>
    <x v="4"/>
    <x v="2"/>
    <s v="L"/>
    <s v="Black"/>
    <n v="36.44"/>
    <x v="274"/>
    <n v="29.19"/>
    <d v="2025-08-06T00:00:00"/>
    <n v="39"/>
    <n v="1.8"/>
    <x v="0"/>
    <m/>
    <s v="OK"/>
    <n v="7.2515599999999996"/>
    <s v="Correct Price"/>
    <n v="1138.4100000000001"/>
  </r>
  <r>
    <s v="FB000917"/>
    <x v="0"/>
    <x v="5"/>
    <x v="2"/>
    <s v="S"/>
    <s v="Pink"/>
    <n v="155.30000000000001"/>
    <x v="0"/>
    <n v="155.30000000000001"/>
    <d v="2025-08-06T00:00:00"/>
    <n v="9"/>
    <n v="3"/>
    <x v="0"/>
    <m/>
    <s v="OK"/>
    <n v="0"/>
    <s v="Correct Price"/>
    <n v="1397.7"/>
  </r>
  <r>
    <s v="FB000918"/>
    <x v="4"/>
    <x v="1"/>
    <x v="2"/>
    <s v="XL"/>
    <s v="Red"/>
    <n v="84.04"/>
    <x v="275"/>
    <n v="60.09"/>
    <d v="2025-08-06T00:00:00"/>
    <n v="3"/>
    <n v="1"/>
    <x v="0"/>
    <m/>
    <s v="OK"/>
    <n v="23.951400000000003"/>
    <s v="Correct Price"/>
    <n v="180.27"/>
  </r>
  <r>
    <s v="FB000919"/>
    <x v="3"/>
    <x v="6"/>
    <x v="2"/>
    <s v="XS"/>
    <s v="Brown"/>
    <n v="98.76"/>
    <x v="43"/>
    <n v="43.06"/>
    <d v="2025-08-06T00:00:00"/>
    <n v="22"/>
    <n v="4.5"/>
    <x v="0"/>
    <m/>
    <s v="OK"/>
    <n v="55.70064"/>
    <s v="Correct Price"/>
    <n v="947.32"/>
  </r>
  <r>
    <s v="FB000920"/>
    <x v="2"/>
    <x v="5"/>
    <x v="3"/>
    <m/>
    <s v="White"/>
    <n v="52.99"/>
    <x v="276"/>
    <n v="21.67"/>
    <d v="2025-08-06T00:00:00"/>
    <n v="50"/>
    <n v="3.4"/>
    <x v="1"/>
    <s v="Size Issue"/>
    <s v="OK"/>
    <n v="31.317090000000004"/>
    <s v="Correct Price"/>
    <n v="1083.5"/>
  </r>
  <r>
    <s v="FB000921"/>
    <x v="4"/>
    <x v="1"/>
    <x v="0"/>
    <s v="L"/>
    <s v="Red"/>
    <n v="39.840000000000003"/>
    <x v="0"/>
    <n v="39.840000000000003"/>
    <d v="2025-04-18T00:00:00"/>
    <n v="24"/>
    <n v="2.4"/>
    <x v="0"/>
    <m/>
    <s v="OK"/>
    <n v="0"/>
    <s v="Correct Price"/>
    <n v="956.16000000000008"/>
  </r>
  <r>
    <s v="FB000922"/>
    <x v="2"/>
    <x v="5"/>
    <x v="0"/>
    <m/>
    <s v="Green"/>
    <n v="40.01"/>
    <x v="0"/>
    <n v="40.01"/>
    <d v="2025-06-05T00:00:00"/>
    <n v="22"/>
    <n v="4.5"/>
    <x v="0"/>
    <m/>
    <s v="OK"/>
    <n v="0"/>
    <s v="Correct Price"/>
    <n v="880.21999999999991"/>
  </r>
  <r>
    <s v="FB000923"/>
    <x v="0"/>
    <x v="5"/>
    <x v="3"/>
    <s v="L"/>
    <s v="Navy"/>
    <n v="245.75"/>
    <x v="0"/>
    <n v="245.75"/>
    <d v="2025-08-06T00:00:00"/>
    <n v="12"/>
    <m/>
    <x v="1"/>
    <s v="Changed Mind"/>
    <s v="OK"/>
    <n v="0"/>
    <s v="Correct Price"/>
    <n v="2949"/>
  </r>
  <r>
    <s v="FB000924"/>
    <x v="4"/>
    <x v="0"/>
    <x v="1"/>
    <s v="XL"/>
    <s v="Gray"/>
    <n v="102.25"/>
    <x v="0"/>
    <n v="102.25"/>
    <d v="2025-08-06T00:00:00"/>
    <n v="6"/>
    <n v="3.8"/>
    <x v="0"/>
    <m/>
    <s v="OK"/>
    <n v="0"/>
    <s v="Correct Price"/>
    <n v="613.5"/>
  </r>
  <r>
    <s v="FB000925"/>
    <x v="1"/>
    <x v="5"/>
    <x v="3"/>
    <s v="M"/>
    <s v="Gray"/>
    <n v="76.33"/>
    <x v="0"/>
    <n v="76.33"/>
    <d v="2025-08-06T00:00:00"/>
    <n v="15"/>
    <n v="2"/>
    <x v="1"/>
    <s v="Wrong Item"/>
    <s v="OK"/>
    <n v="0"/>
    <s v="Correct Price"/>
    <n v="1144.95"/>
  </r>
  <r>
    <s v="FB000926"/>
    <x v="2"/>
    <x v="0"/>
    <x v="0"/>
    <m/>
    <s v="Gray"/>
    <n v="51.79"/>
    <x v="277"/>
    <n v="31.59"/>
    <d v="2025-03-17T00:00:00"/>
    <n v="37"/>
    <n v="2.5"/>
    <x v="0"/>
    <m/>
    <s v="OK"/>
    <n v="20.1981"/>
    <s v="Correct Price"/>
    <n v="1168.83"/>
  </r>
  <r>
    <s v="FB000927"/>
    <x v="0"/>
    <x v="0"/>
    <x v="0"/>
    <s v="XXL"/>
    <s v="Pink"/>
    <n v="141.24"/>
    <x v="278"/>
    <n v="123.02"/>
    <d v="2024-10-02T00:00:00"/>
    <n v="23"/>
    <n v="1.7"/>
    <x v="0"/>
    <m/>
    <s v="OK"/>
    <n v="18.21996"/>
    <s v="Correct Price"/>
    <n v="2829.46"/>
  </r>
  <r>
    <s v="FB000928"/>
    <x v="2"/>
    <x v="1"/>
    <x v="0"/>
    <m/>
    <s v="Black"/>
    <n v="66.180000000000007"/>
    <x v="0"/>
    <n v="66.180000000000007"/>
    <d v="2025-05-23T00:00:00"/>
    <n v="20"/>
    <n v="1.7"/>
    <x v="0"/>
    <m/>
    <s v="OK"/>
    <n v="0"/>
    <s v="Correct Price"/>
    <n v="1323.6000000000001"/>
  </r>
  <r>
    <s v="FB000929"/>
    <x v="1"/>
    <x v="2"/>
    <x v="3"/>
    <s v="M"/>
    <s v="Navy"/>
    <n v="35.15"/>
    <x v="0"/>
    <n v="35.15"/>
    <d v="2025-08-06T00:00:00"/>
    <n v="38"/>
    <n v="2.2000000000000002"/>
    <x v="0"/>
    <m/>
    <s v="OK"/>
    <n v="0"/>
    <s v="Correct Price"/>
    <n v="1335.7"/>
  </r>
  <r>
    <s v="FB000930"/>
    <x v="2"/>
    <x v="4"/>
    <x v="0"/>
    <m/>
    <s v="Pink"/>
    <n v="35.619999999999997"/>
    <x v="279"/>
    <n v="20.94"/>
    <d v="2025-03-20T00:00:00"/>
    <n v="4"/>
    <n v="3.7"/>
    <x v="0"/>
    <m/>
    <s v="OK"/>
    <n v="14.675440000000002"/>
    <s v="Correct Price"/>
    <n v="83.76"/>
  </r>
  <r>
    <s v="FB000931"/>
    <x v="2"/>
    <x v="7"/>
    <x v="3"/>
    <m/>
    <s v="Green"/>
    <n v="35.64"/>
    <x v="0"/>
    <n v="35.64"/>
    <d v="2025-08-06T00:00:00"/>
    <n v="48"/>
    <n v="5"/>
    <x v="1"/>
    <s v="Color Mismatch"/>
    <s v="OK"/>
    <n v="0"/>
    <s v="Correct Price"/>
    <n v="1710.72"/>
  </r>
  <r>
    <s v="FB000932"/>
    <x v="4"/>
    <x v="5"/>
    <x v="3"/>
    <s v="L"/>
    <s v="Red"/>
    <n v="86.68"/>
    <x v="0"/>
    <n v="86.68"/>
    <d v="2025-08-06T00:00:00"/>
    <n v="2"/>
    <m/>
    <x v="0"/>
    <m/>
    <s v="OK"/>
    <n v="0"/>
    <s v="Correct Price"/>
    <n v="173.36"/>
  </r>
  <r>
    <s v="FB000933"/>
    <x v="2"/>
    <x v="4"/>
    <x v="2"/>
    <m/>
    <s v="Pink"/>
    <n v="17.72"/>
    <x v="0"/>
    <n v="17.72"/>
    <d v="2025-08-06T00:00:00"/>
    <n v="9"/>
    <n v="1.2"/>
    <x v="0"/>
    <m/>
    <s v="OK"/>
    <n v="0"/>
    <s v="Correct Price"/>
    <n v="159.47999999999999"/>
  </r>
  <r>
    <s v="FB000934"/>
    <x v="0"/>
    <x v="1"/>
    <x v="2"/>
    <s v="XXL"/>
    <s v="Pink"/>
    <n v="87.95"/>
    <x v="280"/>
    <n v="76.25"/>
    <d v="2025-08-06T00:00:00"/>
    <n v="4"/>
    <n v="4.5"/>
    <x v="0"/>
    <m/>
    <s v="OK"/>
    <n v="11.697350000000002"/>
    <s v="Correct Price"/>
    <n v="305"/>
  </r>
  <r>
    <s v="FB000935"/>
    <x v="0"/>
    <x v="3"/>
    <x v="0"/>
    <s v="XS"/>
    <s v="Gray"/>
    <n v="216.26"/>
    <x v="0"/>
    <n v="216.26"/>
    <d v="2025-04-16T00:00:00"/>
    <n v="26"/>
    <n v="1.1000000000000001"/>
    <x v="0"/>
    <m/>
    <s v="OK"/>
    <n v="0"/>
    <s v="Correct Price"/>
    <n v="5622.76"/>
  </r>
  <r>
    <s v="FB000936"/>
    <x v="0"/>
    <x v="3"/>
    <x v="3"/>
    <s v="S"/>
    <s v="Black"/>
    <n v="238.11"/>
    <x v="0"/>
    <n v="238.11"/>
    <d v="2025-08-06T00:00:00"/>
    <n v="49"/>
    <m/>
    <x v="0"/>
    <m/>
    <s v="OK"/>
    <n v="0"/>
    <s v="Correct Price"/>
    <n v="11667.390000000001"/>
  </r>
  <r>
    <s v="FB000937"/>
    <x v="3"/>
    <x v="1"/>
    <x v="1"/>
    <s v="XXL"/>
    <s v="Pink"/>
    <n v="112.77"/>
    <x v="0"/>
    <n v="112.77"/>
    <d v="2025-08-06T00:00:00"/>
    <n v="11"/>
    <n v="4.0999999999999996"/>
    <x v="0"/>
    <m/>
    <s v="OK"/>
    <n v="0"/>
    <s v="Correct Price"/>
    <n v="1240.47"/>
  </r>
  <r>
    <s v="FB000938"/>
    <x v="2"/>
    <x v="6"/>
    <x v="1"/>
    <m/>
    <s v="Navy"/>
    <n v="39.020000000000003"/>
    <x v="201"/>
    <n v="21.54"/>
    <d v="2025-08-06T00:00:00"/>
    <n v="29"/>
    <n v="3.4"/>
    <x v="0"/>
    <m/>
    <s v="OK"/>
    <n v="17.48096"/>
    <s v="Correct Price"/>
    <n v="624.66"/>
  </r>
  <r>
    <s v="FB000939"/>
    <x v="1"/>
    <x v="5"/>
    <x v="0"/>
    <s v="XXL"/>
    <s v="Purple"/>
    <n v="69.77"/>
    <x v="0"/>
    <n v="69.77"/>
    <d v="2024-11-09T00:00:00"/>
    <n v="29"/>
    <n v="5"/>
    <x v="0"/>
    <m/>
    <s v="OK"/>
    <n v="0"/>
    <s v="Correct Price"/>
    <n v="2023.33"/>
  </r>
  <r>
    <s v="FB000940"/>
    <x v="5"/>
    <x v="4"/>
    <x v="0"/>
    <s v="M"/>
    <s v="Purple"/>
    <n v="124.92"/>
    <x v="281"/>
    <n v="64.459999999999994"/>
    <d v="2025-05-03T00:00:00"/>
    <n v="22"/>
    <n v="3.2"/>
    <x v="0"/>
    <m/>
    <s v="OK"/>
    <n v="60.461279999999995"/>
    <s v="Correct Price"/>
    <n v="1418.12"/>
  </r>
  <r>
    <s v="FB000941"/>
    <x v="5"/>
    <x v="2"/>
    <x v="3"/>
    <m/>
    <s v="Purple"/>
    <n v="83.92"/>
    <x v="62"/>
    <n v="59.25"/>
    <d v="2025-08-06T00:00:00"/>
    <n v="20"/>
    <n v="2.1"/>
    <x v="1"/>
    <s v="Quality Issue"/>
    <s v="OK"/>
    <n v="24.67248"/>
    <s v="Correct Price"/>
    <n v="1185"/>
  </r>
  <r>
    <s v="FB000942"/>
    <x v="0"/>
    <x v="7"/>
    <x v="2"/>
    <s v="XS"/>
    <s v="Beige"/>
    <n v="180.91"/>
    <x v="0"/>
    <n v="180.91"/>
    <d v="2025-08-06T00:00:00"/>
    <n v="10"/>
    <n v="3.8"/>
    <x v="0"/>
    <m/>
    <s v="OK"/>
    <n v="0"/>
    <s v="Correct Price"/>
    <n v="1809.1"/>
  </r>
  <r>
    <s v="FB000943"/>
    <x v="3"/>
    <x v="7"/>
    <x v="0"/>
    <s v="XXL"/>
    <s v="Brown"/>
    <n v="120.11"/>
    <x v="0"/>
    <n v="120.11"/>
    <d v="2024-12-24T00:00:00"/>
    <n v="27"/>
    <n v="4.0999999999999996"/>
    <x v="0"/>
    <m/>
    <s v="OK"/>
    <n v="0"/>
    <s v="Correct Price"/>
    <n v="3242.97"/>
  </r>
  <r>
    <s v="FB000944"/>
    <x v="0"/>
    <x v="7"/>
    <x v="3"/>
    <s v="XL"/>
    <s v="Red"/>
    <n v="225.01"/>
    <x v="0"/>
    <n v="225.01"/>
    <d v="2025-08-06T00:00:00"/>
    <n v="50"/>
    <n v="1.9"/>
    <x v="1"/>
    <s v="Size Issue"/>
    <s v="OK"/>
    <n v="0"/>
    <s v="Correct Price"/>
    <n v="11250.5"/>
  </r>
  <r>
    <s v="FB000945"/>
    <x v="5"/>
    <x v="3"/>
    <x v="3"/>
    <s v="L"/>
    <s v="Green"/>
    <n v="115.57"/>
    <x v="0"/>
    <n v="115.57"/>
    <d v="2025-08-06T00:00:00"/>
    <n v="32"/>
    <n v="3"/>
    <x v="0"/>
    <m/>
    <s v="OK"/>
    <n v="0"/>
    <s v="Correct Price"/>
    <n v="3698.24"/>
  </r>
  <r>
    <s v="FB000946"/>
    <x v="2"/>
    <x v="6"/>
    <x v="2"/>
    <m/>
    <s v="Blue"/>
    <n v="21.2"/>
    <x v="282"/>
    <n v="17.170000000000002"/>
    <d v="2025-08-06T00:00:00"/>
    <n v="22"/>
    <n v="1.3"/>
    <x v="0"/>
    <m/>
    <s v="OK"/>
    <n v="4.0280000000000005"/>
    <s v="Correct Price"/>
    <n v="377.74"/>
  </r>
  <r>
    <s v="FB000947"/>
    <x v="4"/>
    <x v="0"/>
    <x v="0"/>
    <s v="XXL"/>
    <s v="Black"/>
    <n v="52.36"/>
    <x v="0"/>
    <n v="52.36"/>
    <d v="2025-04-22T00:00:00"/>
    <n v="35"/>
    <m/>
    <x v="0"/>
    <m/>
    <s v="OK"/>
    <n v="0"/>
    <s v="Correct Price"/>
    <n v="1832.6"/>
  </r>
  <r>
    <s v="FB000948"/>
    <x v="2"/>
    <x v="5"/>
    <x v="2"/>
    <m/>
    <s v="Gray"/>
    <n v="73.430000000000007"/>
    <x v="0"/>
    <n v="73.430000000000007"/>
    <d v="2025-08-06T00:00:00"/>
    <n v="22"/>
    <n v="2.2999999999999998"/>
    <x v="0"/>
    <m/>
    <s v="OK"/>
    <n v="0"/>
    <s v="Correct Price"/>
    <n v="1615.46"/>
  </r>
  <r>
    <s v="FB000949"/>
    <x v="2"/>
    <x v="5"/>
    <x v="0"/>
    <m/>
    <s v="Purple"/>
    <n v="70.75"/>
    <x v="0"/>
    <n v="70.75"/>
    <d v="2025-05-12T00:00:00"/>
    <n v="0"/>
    <n v="1.4"/>
    <x v="0"/>
    <m/>
    <s v="OK"/>
    <n v="0"/>
    <s v="Correct Price"/>
    <n v="0"/>
  </r>
  <r>
    <s v="FB000950"/>
    <x v="2"/>
    <x v="6"/>
    <x v="2"/>
    <m/>
    <s v="White"/>
    <n v="58.9"/>
    <x v="0"/>
    <n v="58.9"/>
    <d v="2025-08-06T00:00:00"/>
    <n v="39"/>
    <n v="4"/>
    <x v="0"/>
    <m/>
    <s v="OK"/>
    <n v="0"/>
    <s v="Correct Price"/>
    <n v="2297.1"/>
  </r>
  <r>
    <s v="FB000951"/>
    <x v="0"/>
    <x v="7"/>
    <x v="1"/>
    <s v="L"/>
    <s v="Purple"/>
    <n v="104.78"/>
    <x v="283"/>
    <n v="87.07"/>
    <d v="2025-08-06T00:00:00"/>
    <n v="43"/>
    <n v="4.3"/>
    <x v="0"/>
    <m/>
    <s v="OK"/>
    <n v="17.707819999999998"/>
    <s v="Correct Price"/>
    <n v="3744.0099999999998"/>
  </r>
  <r>
    <s v="FB000952"/>
    <x v="2"/>
    <x v="7"/>
    <x v="2"/>
    <m/>
    <s v="Blue"/>
    <n v="55.3"/>
    <x v="0"/>
    <n v="55.3"/>
    <d v="2025-08-06T00:00:00"/>
    <n v="17"/>
    <n v="2.5"/>
    <x v="0"/>
    <m/>
    <s v="OK"/>
    <n v="0"/>
    <s v="Correct Price"/>
    <n v="940.09999999999991"/>
  </r>
  <r>
    <s v="FB000953"/>
    <x v="4"/>
    <x v="6"/>
    <x v="3"/>
    <s v="XS"/>
    <s v="Black"/>
    <n v="56.65"/>
    <x v="9"/>
    <n v="37.39"/>
    <d v="2025-08-06T00:00:00"/>
    <n v="23"/>
    <n v="4.3"/>
    <x v="0"/>
    <m/>
    <s v="OK"/>
    <n v="19.260999999999999"/>
    <s v="Correct Price"/>
    <n v="859.97"/>
  </r>
  <r>
    <s v="FB000954"/>
    <x v="3"/>
    <x v="1"/>
    <x v="2"/>
    <s v="XS"/>
    <s v="Pink"/>
    <n v="199.14"/>
    <x v="0"/>
    <n v="199.14"/>
    <d v="2025-08-06T00:00:00"/>
    <n v="18"/>
    <m/>
    <x v="0"/>
    <m/>
    <s v="OK"/>
    <n v="0"/>
    <s v="Correct Price"/>
    <n v="3584.5199999999995"/>
  </r>
  <r>
    <s v="FB000955"/>
    <x v="3"/>
    <x v="0"/>
    <x v="2"/>
    <s v="M"/>
    <s v="Pink"/>
    <n v="128.68"/>
    <x v="0"/>
    <n v="128.68"/>
    <d v="2025-08-06T00:00:00"/>
    <n v="8"/>
    <n v="2.2000000000000002"/>
    <x v="0"/>
    <m/>
    <s v="OK"/>
    <n v="0"/>
    <s v="Correct Price"/>
    <n v="1029.44"/>
  </r>
  <r>
    <s v="FB000956"/>
    <x v="0"/>
    <x v="1"/>
    <x v="2"/>
    <s v="XL"/>
    <s v="Beige"/>
    <n v="150.37"/>
    <x v="205"/>
    <n v="72.33"/>
    <d v="2025-08-06T00:00:00"/>
    <n v="15"/>
    <n v="5"/>
    <x v="0"/>
    <m/>
    <s v="OK"/>
    <n v="78.042030000000011"/>
    <s v="Correct Price"/>
    <n v="1084.95"/>
  </r>
  <r>
    <s v="FB000957"/>
    <x v="5"/>
    <x v="7"/>
    <x v="1"/>
    <s v="M"/>
    <s v="Pink"/>
    <n v="162.65"/>
    <x v="0"/>
    <n v="162.65"/>
    <d v="2025-08-06T00:00:00"/>
    <n v="36"/>
    <n v="1.4"/>
    <x v="0"/>
    <m/>
    <s v="OK"/>
    <n v="0"/>
    <s v="Correct Price"/>
    <n v="5855.4000000000005"/>
  </r>
  <r>
    <s v="FB000958"/>
    <x v="4"/>
    <x v="3"/>
    <x v="3"/>
    <s v="XXL"/>
    <s v="White"/>
    <n v="28.9"/>
    <x v="0"/>
    <n v="28.9"/>
    <d v="2025-08-06T00:00:00"/>
    <n v="5"/>
    <n v="4.5999999999999996"/>
    <x v="0"/>
    <m/>
    <s v="OK"/>
    <n v="0"/>
    <s v="Correct Price"/>
    <n v="144.5"/>
  </r>
  <r>
    <s v="FB000959"/>
    <x v="2"/>
    <x v="7"/>
    <x v="0"/>
    <m/>
    <s v="Pink"/>
    <n v="75.59"/>
    <x v="168"/>
    <n v="46.26"/>
    <d v="2025-03-29T00:00:00"/>
    <n v="43"/>
    <n v="1.1000000000000001"/>
    <x v="0"/>
    <m/>
    <s v="OK"/>
    <n v="29.328919999999997"/>
    <s v="Correct Price"/>
    <n v="1989.1799999999998"/>
  </r>
  <r>
    <s v="FB000960"/>
    <x v="1"/>
    <x v="0"/>
    <x v="0"/>
    <s v="S"/>
    <s v="Brown"/>
    <n v="30.9"/>
    <x v="284"/>
    <n v="29.2"/>
    <d v="2024-11-06T00:00:00"/>
    <n v="25"/>
    <n v="1.4"/>
    <x v="0"/>
    <m/>
    <s v="OK"/>
    <n v="1.6994999999999998"/>
    <s v="Correct Price"/>
    <n v="730"/>
  </r>
  <r>
    <s v="FB000961"/>
    <x v="0"/>
    <x v="3"/>
    <x v="3"/>
    <s v="S"/>
    <s v="Blue"/>
    <n v="101.04"/>
    <x v="0"/>
    <n v="101.04"/>
    <d v="2025-08-06T00:00:00"/>
    <n v="35"/>
    <n v="3.5"/>
    <x v="0"/>
    <m/>
    <s v="OK"/>
    <n v="0"/>
    <s v="Correct Price"/>
    <n v="3536.4"/>
  </r>
  <r>
    <s v="FB000962"/>
    <x v="5"/>
    <x v="7"/>
    <x v="2"/>
    <s v="S"/>
    <s v="White"/>
    <n v="54.81"/>
    <x v="0"/>
    <n v="54.81"/>
    <d v="2025-08-06T00:00:00"/>
    <n v="41"/>
    <n v="1.2"/>
    <x v="1"/>
    <s v="Wrong Item"/>
    <s v="OK"/>
    <n v="0"/>
    <s v="Correct Price"/>
    <n v="2247.21"/>
  </r>
  <r>
    <s v="FB000963"/>
    <x v="3"/>
    <x v="4"/>
    <x v="3"/>
    <s v="M"/>
    <s v="Navy"/>
    <n v="191.61"/>
    <x v="285"/>
    <n v="110.94"/>
    <d v="2025-08-06T00:00:00"/>
    <n v="28"/>
    <n v="4"/>
    <x v="0"/>
    <m/>
    <s v="OK"/>
    <n v="80.667810000000003"/>
    <s v="Correct Price"/>
    <n v="3106.3199999999997"/>
  </r>
  <r>
    <s v="FB000964"/>
    <x v="1"/>
    <x v="3"/>
    <x v="3"/>
    <s v="XXL"/>
    <s v="Pink"/>
    <n v="100.5"/>
    <x v="0"/>
    <n v="100.5"/>
    <d v="2025-08-06T00:00:00"/>
    <n v="12"/>
    <n v="2.7"/>
    <x v="1"/>
    <s v="Damaged"/>
    <s v="OK"/>
    <n v="0"/>
    <s v="Correct Price"/>
    <n v="1206"/>
  </r>
  <r>
    <s v="FB000965"/>
    <x v="3"/>
    <x v="3"/>
    <x v="0"/>
    <s v="XXL"/>
    <s v="Green"/>
    <n v="92.35"/>
    <x v="286"/>
    <n v="70.56"/>
    <d v="2024-11-28T00:00:00"/>
    <n v="32"/>
    <n v="2.2000000000000002"/>
    <x v="0"/>
    <m/>
    <s v="OK"/>
    <n v="21.794599999999999"/>
    <s v="Correct Price"/>
    <n v="2257.92"/>
  </r>
  <r>
    <s v="FB000966"/>
    <x v="3"/>
    <x v="5"/>
    <x v="3"/>
    <s v="M"/>
    <s v="Gray"/>
    <n v="161.24"/>
    <x v="287"/>
    <n v="69.98"/>
    <d v="2025-08-06T00:00:00"/>
    <n v="8"/>
    <n v="2.1"/>
    <x v="0"/>
    <m/>
    <s v="OK"/>
    <n v="91.261840000000007"/>
    <s v="Correct Price"/>
    <n v="559.84"/>
  </r>
  <r>
    <s v="FB000967"/>
    <x v="5"/>
    <x v="3"/>
    <x v="1"/>
    <s v="XS"/>
    <s v="Gray"/>
    <n v="68.03"/>
    <x v="165"/>
    <n v="63.74"/>
    <d v="2025-08-06T00:00:00"/>
    <n v="43"/>
    <n v="3.4"/>
    <x v="0"/>
    <m/>
    <s v="OK"/>
    <n v="4.2858900000000002"/>
    <s v="Correct Price"/>
    <n v="2740.82"/>
  </r>
  <r>
    <s v="FB000968"/>
    <x v="3"/>
    <x v="5"/>
    <x v="2"/>
    <s v="XS"/>
    <s v="Purple"/>
    <n v="121.21"/>
    <x v="288"/>
    <n v="63.76"/>
    <d v="2025-08-06T00:00:00"/>
    <n v="45"/>
    <n v="3"/>
    <x v="1"/>
    <s v="Changed Mind"/>
    <s v="OK"/>
    <n v="57.453539999999997"/>
    <s v="Correct Price"/>
    <n v="2869.2"/>
  </r>
  <r>
    <s v="FB000969"/>
    <x v="1"/>
    <x v="0"/>
    <x v="1"/>
    <s v="L"/>
    <s v="Blue"/>
    <n v="69.599999999999994"/>
    <x v="289"/>
    <n v="49.56"/>
    <d v="2025-08-06T00:00:00"/>
    <n v="42"/>
    <n v="3.7"/>
    <x v="0"/>
    <m/>
    <s v="OK"/>
    <n v="20.044799999999999"/>
    <s v="Correct Price"/>
    <n v="2081.52"/>
  </r>
  <r>
    <s v="FB000970"/>
    <x v="0"/>
    <x v="2"/>
    <x v="1"/>
    <s v="XS"/>
    <s v="White"/>
    <n v="222.5"/>
    <x v="251"/>
    <n v="180.89"/>
    <d v="2025-08-06T00:00:00"/>
    <n v="47"/>
    <m/>
    <x v="0"/>
    <m/>
    <s v="OK"/>
    <n v="41.607500000000002"/>
    <s v="Correct Price"/>
    <n v="8501.83"/>
  </r>
  <r>
    <s v="FB000971"/>
    <x v="4"/>
    <x v="7"/>
    <x v="2"/>
    <s v="XXL"/>
    <s v="Pink"/>
    <n v="25.58"/>
    <x v="2"/>
    <n v="11.64"/>
    <d v="2025-08-06T00:00:00"/>
    <n v="34"/>
    <n v="2.4"/>
    <x v="0"/>
    <m/>
    <s v="OK"/>
    <n v="13.941099999999999"/>
    <s v="Correct Price"/>
    <n v="395.76"/>
  </r>
  <r>
    <s v="FB000972"/>
    <x v="5"/>
    <x v="3"/>
    <x v="3"/>
    <s v="XL"/>
    <s v="Blue"/>
    <n v="54.46"/>
    <x v="24"/>
    <n v="50.87"/>
    <d v="2025-08-06T00:00:00"/>
    <n v="17"/>
    <n v="1.7"/>
    <x v="0"/>
    <m/>
    <s v="OK"/>
    <n v="3.59436"/>
    <s v="Correct Price"/>
    <n v="864.79"/>
  </r>
  <r>
    <s v="FB000973"/>
    <x v="4"/>
    <x v="7"/>
    <x v="1"/>
    <s v="S"/>
    <s v="Pink"/>
    <n v="43.32"/>
    <x v="0"/>
    <n v="43.32"/>
    <d v="2025-08-06T00:00:00"/>
    <n v="0"/>
    <n v="2.6"/>
    <x v="0"/>
    <m/>
    <s v="OK"/>
    <n v="0"/>
    <s v="Correct Price"/>
    <n v="0"/>
  </r>
  <r>
    <s v="FB000974"/>
    <x v="2"/>
    <x v="7"/>
    <x v="1"/>
    <m/>
    <s v="Red"/>
    <n v="75.09"/>
    <x v="0"/>
    <n v="75.09"/>
    <d v="2025-08-06T00:00:00"/>
    <n v="41"/>
    <n v="3.5"/>
    <x v="0"/>
    <m/>
    <s v="OK"/>
    <n v="0"/>
    <s v="Correct Price"/>
    <n v="3078.69"/>
  </r>
  <r>
    <s v="FB000975"/>
    <x v="5"/>
    <x v="1"/>
    <x v="0"/>
    <s v="XS"/>
    <s v="Red"/>
    <n v="167.46"/>
    <x v="0"/>
    <n v="167.46"/>
    <d v="2024-08-18T00:00:00"/>
    <n v="4"/>
    <n v="1.3"/>
    <x v="0"/>
    <m/>
    <s v="OK"/>
    <n v="0"/>
    <s v="Correct Price"/>
    <n v="669.84"/>
  </r>
  <r>
    <s v="FB000976"/>
    <x v="3"/>
    <x v="2"/>
    <x v="2"/>
    <s v="L"/>
    <s v="Blue"/>
    <n v="111.24"/>
    <x v="290"/>
    <n v="73.08"/>
    <d v="2025-08-06T00:00:00"/>
    <n v="3"/>
    <n v="2.2000000000000002"/>
    <x v="0"/>
    <m/>
    <s v="OK"/>
    <n v="38.155319999999996"/>
    <s v="Correct Price"/>
    <n v="219.24"/>
  </r>
  <r>
    <s v="FB000977"/>
    <x v="4"/>
    <x v="1"/>
    <x v="2"/>
    <s v="XXL"/>
    <s v="Navy"/>
    <n v="59.36"/>
    <x v="0"/>
    <n v="59.36"/>
    <d v="2025-08-06T00:00:00"/>
    <n v="16"/>
    <m/>
    <x v="0"/>
    <m/>
    <s v="OK"/>
    <n v="0"/>
    <s v="Correct Price"/>
    <n v="949.76"/>
  </r>
  <r>
    <s v="FB000978"/>
    <x v="3"/>
    <x v="2"/>
    <x v="2"/>
    <s v="S"/>
    <s v="Navy"/>
    <n v="199.46"/>
    <x v="0"/>
    <n v="199.46"/>
    <d v="2025-08-06T00:00:00"/>
    <n v="15"/>
    <n v="1.4"/>
    <x v="0"/>
    <m/>
    <s v="OK"/>
    <n v="0"/>
    <s v="Correct Price"/>
    <n v="2991.9"/>
  </r>
  <r>
    <s v="FB000979"/>
    <x v="3"/>
    <x v="7"/>
    <x v="2"/>
    <s v="M"/>
    <s v="White"/>
    <n v="72.75"/>
    <x v="118"/>
    <n v="36.229999999999997"/>
    <d v="2025-08-06T00:00:00"/>
    <n v="28"/>
    <n v="3.6"/>
    <x v="0"/>
    <m/>
    <s v="OK"/>
    <n v="36.520499999999998"/>
    <s v="Correct Price"/>
    <n v="1014.4399999999999"/>
  </r>
  <r>
    <s v="FB000980"/>
    <x v="4"/>
    <x v="3"/>
    <x v="2"/>
    <s v="XS"/>
    <s v="Pink"/>
    <n v="86.52"/>
    <x v="163"/>
    <n v="62.64"/>
    <d v="2025-08-06T00:00:00"/>
    <n v="47"/>
    <n v="1.1000000000000001"/>
    <x v="0"/>
    <m/>
    <s v="OK"/>
    <n v="23.879520000000003"/>
    <s v="Correct Price"/>
    <n v="2944.08"/>
  </r>
  <r>
    <s v="FB000981"/>
    <x v="2"/>
    <x v="7"/>
    <x v="0"/>
    <m/>
    <s v="Blue"/>
    <n v="52.69"/>
    <x v="291"/>
    <n v="31.51"/>
    <d v="2024-11-15T00:00:00"/>
    <n v="7"/>
    <n v="2.7"/>
    <x v="0"/>
    <m/>
    <s v="OK"/>
    <n v="21.181380000000001"/>
    <s v="Correct Price"/>
    <n v="220.57000000000002"/>
  </r>
  <r>
    <s v="FB000982"/>
    <x v="0"/>
    <x v="2"/>
    <x v="2"/>
    <s v="L"/>
    <s v="Black"/>
    <n v="104.18"/>
    <x v="0"/>
    <n v="104.18"/>
    <d v="2025-08-06T00:00:00"/>
    <n v="12"/>
    <n v="5"/>
    <x v="0"/>
    <m/>
    <s v="OK"/>
    <n v="0"/>
    <s v="Correct Price"/>
    <n v="1250.1600000000001"/>
  </r>
  <r>
    <s v="FB000983"/>
    <x v="0"/>
    <x v="4"/>
    <x v="1"/>
    <s v="L"/>
    <s v="Red"/>
    <n v="132.38"/>
    <x v="46"/>
    <n v="55.33"/>
    <d v="2025-08-06T00:00:00"/>
    <n v="24"/>
    <m/>
    <x v="0"/>
    <m/>
    <s v="OK"/>
    <n v="77.04516000000001"/>
    <s v="Correct Price"/>
    <n v="1327.92"/>
  </r>
  <r>
    <s v="FB000984"/>
    <x v="3"/>
    <x v="4"/>
    <x v="2"/>
    <s v="XL"/>
    <s v="Pink"/>
    <n v="64.400000000000006"/>
    <x v="0"/>
    <n v="64.400000000000006"/>
    <d v="2025-08-06T00:00:00"/>
    <n v="40"/>
    <n v="4.9000000000000004"/>
    <x v="0"/>
    <m/>
    <s v="OK"/>
    <n v="0"/>
    <s v="Correct Price"/>
    <n v="2576"/>
  </r>
  <r>
    <s v="FB000985"/>
    <x v="4"/>
    <x v="0"/>
    <x v="3"/>
    <s v="XL"/>
    <s v="Gray"/>
    <n v="34.07"/>
    <x v="0"/>
    <n v="34.07"/>
    <d v="2025-08-06T00:00:00"/>
    <n v="25"/>
    <n v="4.2"/>
    <x v="1"/>
    <s v="Wrong Item"/>
    <s v="OK"/>
    <n v="0"/>
    <s v="Correct Price"/>
    <n v="851.75"/>
  </r>
  <r>
    <s v="FB000986"/>
    <x v="4"/>
    <x v="0"/>
    <x v="1"/>
    <s v="XXL"/>
    <s v="Red"/>
    <n v="43.33"/>
    <x v="56"/>
    <n v="23.7"/>
    <d v="2025-08-06T00:00:00"/>
    <n v="1"/>
    <n v="3.4"/>
    <x v="0"/>
    <m/>
    <s v="OK"/>
    <n v="19.628489999999996"/>
    <s v="Correct Price"/>
    <n v="23.7"/>
  </r>
  <r>
    <s v="FB000987"/>
    <x v="0"/>
    <x v="1"/>
    <x v="0"/>
    <s v="XL"/>
    <s v="White"/>
    <n v="122.92"/>
    <x v="0"/>
    <n v="122.92"/>
    <d v="2024-11-06T00:00:00"/>
    <n v="41"/>
    <n v="2.9"/>
    <x v="0"/>
    <m/>
    <s v="OK"/>
    <n v="0"/>
    <s v="Correct Price"/>
    <n v="5039.72"/>
  </r>
  <r>
    <s v="FB000988"/>
    <x v="3"/>
    <x v="0"/>
    <x v="0"/>
    <s v="S"/>
    <s v="Gray"/>
    <n v="142.84"/>
    <x v="0"/>
    <n v="142.84"/>
    <d v="2025-02-14T00:00:00"/>
    <n v="36"/>
    <m/>
    <x v="0"/>
    <m/>
    <s v="OK"/>
    <n v="0"/>
    <s v="Correct Price"/>
    <n v="5142.24"/>
  </r>
  <r>
    <s v="FB000989"/>
    <x v="3"/>
    <x v="6"/>
    <x v="3"/>
    <s v="XXL"/>
    <s v="Black"/>
    <n v="131.55000000000001"/>
    <x v="0"/>
    <n v="131.55000000000001"/>
    <d v="2025-08-06T00:00:00"/>
    <n v="45"/>
    <n v="1.8"/>
    <x v="0"/>
    <m/>
    <s v="OK"/>
    <n v="0"/>
    <s v="Correct Price"/>
    <n v="5919.7500000000009"/>
  </r>
  <r>
    <s v="FB000990"/>
    <x v="0"/>
    <x v="0"/>
    <x v="0"/>
    <s v="S"/>
    <s v="Red"/>
    <n v="192.58"/>
    <x v="0"/>
    <n v="192.58"/>
    <d v="2025-04-17T00:00:00"/>
    <n v="16"/>
    <n v="1.2"/>
    <x v="0"/>
    <m/>
    <s v="OK"/>
    <n v="0"/>
    <s v="Correct Price"/>
    <n v="3081.28"/>
  </r>
  <r>
    <s v="FB000991"/>
    <x v="2"/>
    <x v="5"/>
    <x v="0"/>
    <m/>
    <s v="Purple"/>
    <n v="33.56"/>
    <x v="0"/>
    <n v="33.56"/>
    <d v="2025-03-27T00:00:00"/>
    <n v="24"/>
    <n v="3"/>
    <x v="0"/>
    <m/>
    <s v="OK"/>
    <n v="0"/>
    <s v="Correct Price"/>
    <n v="805.44"/>
  </r>
  <r>
    <s v="FB000992"/>
    <x v="2"/>
    <x v="1"/>
    <x v="3"/>
    <m/>
    <s v="Blue"/>
    <n v="59.1"/>
    <x v="0"/>
    <n v="59.1"/>
    <d v="2025-08-06T00:00:00"/>
    <n v="29"/>
    <n v="1.3"/>
    <x v="0"/>
    <m/>
    <s v="OK"/>
    <n v="0"/>
    <s v="Correct Price"/>
    <n v="1713.9"/>
  </r>
  <r>
    <s v="FB000993"/>
    <x v="3"/>
    <x v="6"/>
    <x v="2"/>
    <s v="S"/>
    <s v="Gray"/>
    <n v="109.15"/>
    <x v="239"/>
    <n v="86.56"/>
    <d v="2025-08-06T00:00:00"/>
    <n v="28"/>
    <n v="2"/>
    <x v="1"/>
    <s v="Changed Mind"/>
    <s v="OK"/>
    <n v="22.594050000000003"/>
    <s v="Correct Price"/>
    <n v="2423.6800000000003"/>
  </r>
  <r>
    <s v="FB000994"/>
    <x v="4"/>
    <x v="5"/>
    <x v="2"/>
    <m/>
    <s v="Beige"/>
    <n v="59.1"/>
    <x v="0"/>
    <n v="59.1"/>
    <d v="2025-08-06T00:00:00"/>
    <n v="47"/>
    <n v="4.5999999999999996"/>
    <x v="0"/>
    <m/>
    <s v="OK"/>
    <n v="0"/>
    <s v="Correct Price"/>
    <n v="2777.7000000000003"/>
  </r>
  <r>
    <s v="FB000995"/>
    <x v="3"/>
    <x v="6"/>
    <x v="0"/>
    <s v="M"/>
    <s v="Purple"/>
    <n v="99.33"/>
    <x v="0"/>
    <n v="99.33"/>
    <d v="2025-05-21T00:00:00"/>
    <n v="16"/>
    <n v="3.9"/>
    <x v="0"/>
    <m/>
    <s v="OK"/>
    <n v="0"/>
    <s v="Correct Price"/>
    <n v="1589.28"/>
  </r>
  <r>
    <s v="FB000996"/>
    <x v="5"/>
    <x v="5"/>
    <x v="1"/>
    <s v="XL"/>
    <s v="Navy"/>
    <n v="92.75"/>
    <x v="0"/>
    <n v="92.75"/>
    <d v="2025-08-06T00:00:00"/>
    <n v="29"/>
    <m/>
    <x v="1"/>
    <s v="Changed Mind"/>
    <s v="OK"/>
    <n v="0"/>
    <s v="Correct Price"/>
    <n v="2689.75"/>
  </r>
  <r>
    <s v="FB000997"/>
    <x v="1"/>
    <x v="0"/>
    <x v="3"/>
    <s v="S"/>
    <s v="Beige"/>
    <n v="116.82"/>
    <x v="0"/>
    <n v="116.82"/>
    <d v="2025-08-06T00:00:00"/>
    <n v="34"/>
    <m/>
    <x v="0"/>
    <m/>
    <s v="OK"/>
    <n v="0"/>
    <s v="Correct Price"/>
    <n v="3971.8799999999997"/>
  </r>
  <r>
    <s v="FB000998"/>
    <x v="0"/>
    <x v="5"/>
    <x v="3"/>
    <s v="XL"/>
    <s v="Green"/>
    <n v="129.78"/>
    <x v="29"/>
    <n v="117.45"/>
    <d v="2025-08-06T00:00:00"/>
    <n v="17"/>
    <n v="4"/>
    <x v="0"/>
    <m/>
    <s v="OK"/>
    <n v="12.3291"/>
    <s v="Correct Price"/>
    <n v="1996.65"/>
  </r>
  <r>
    <s v="FB000999"/>
    <x v="5"/>
    <x v="2"/>
    <x v="0"/>
    <s v="XS"/>
    <s v="Brown"/>
    <n v="135.69"/>
    <x v="44"/>
    <n v="131.62"/>
    <d v="2024-08-29T00:00:00"/>
    <n v="16"/>
    <m/>
    <x v="0"/>
    <m/>
    <s v="OK"/>
    <n v="4.0706999999999995"/>
    <s v="Correct Price"/>
    <n v="2105.92"/>
  </r>
  <r>
    <s v="FB001000"/>
    <x v="5"/>
    <x v="6"/>
    <x v="2"/>
    <m/>
    <s v="Red"/>
    <n v="48.14"/>
    <x v="63"/>
    <n v="34.520000000000003"/>
    <d v="2025-08-06T00:00:00"/>
    <n v="41"/>
    <m/>
    <x v="0"/>
    <m/>
    <s v="OK"/>
    <n v="13.623620000000001"/>
    <s v="Correct Price"/>
    <n v="1415.3200000000002"/>
  </r>
  <r>
    <s v="FB001001"/>
    <x v="5"/>
    <x v="3"/>
    <x v="2"/>
    <s v="XS"/>
    <s v="Blue"/>
    <n v="142.96"/>
    <x v="292"/>
    <n v="74.77"/>
    <d v="2025-08-06T00:00:00"/>
    <n v="7"/>
    <m/>
    <x v="0"/>
    <m/>
    <s v="OK"/>
    <n v="68.19192000000001"/>
    <s v="Correct Price"/>
    <n v="523.39"/>
  </r>
  <r>
    <s v="FB001002"/>
    <x v="1"/>
    <x v="7"/>
    <x v="0"/>
    <s v="L"/>
    <s v="Beige"/>
    <n v="51.72"/>
    <x v="0"/>
    <n v="51.72"/>
    <d v="2025-02-14T00:00:00"/>
    <n v="50"/>
    <m/>
    <x v="0"/>
    <m/>
    <s v="OK"/>
    <n v="0"/>
    <s v="Correct Price"/>
    <n v="2586"/>
  </r>
  <r>
    <s v="FB001003"/>
    <x v="2"/>
    <x v="0"/>
    <x v="2"/>
    <m/>
    <s v="Brown"/>
    <n v="18.3"/>
    <x v="293"/>
    <n v="11.29"/>
    <d v="2025-08-06T00:00:00"/>
    <n v="14"/>
    <n v="1.1000000000000001"/>
    <x v="0"/>
    <m/>
    <s v="OK"/>
    <n v="7.0088999999999997"/>
    <s v="Correct Price"/>
    <n v="158.06"/>
  </r>
  <r>
    <s v="FB001004"/>
    <x v="0"/>
    <x v="3"/>
    <x v="0"/>
    <s v="L"/>
    <s v="Navy"/>
    <n v="214.99"/>
    <x v="294"/>
    <n v="152.63999999999999"/>
    <d v="2024-09-06T00:00:00"/>
    <n v="32"/>
    <n v="2.8"/>
    <x v="1"/>
    <s v="Wrong Item"/>
    <s v="OK"/>
    <n v="62.347099999999998"/>
    <s v="Correct Price"/>
    <n v="4884.4799999999996"/>
  </r>
  <r>
    <s v="FB001005"/>
    <x v="2"/>
    <x v="6"/>
    <x v="0"/>
    <m/>
    <s v="Red"/>
    <n v="20.77"/>
    <x v="0"/>
    <n v="20.77"/>
    <d v="2024-08-17T00:00:00"/>
    <n v="31"/>
    <n v="2"/>
    <x v="0"/>
    <m/>
    <s v="OK"/>
    <n v="0"/>
    <s v="Correct Price"/>
    <n v="643.87"/>
  </r>
  <r>
    <s v="FB001006"/>
    <x v="2"/>
    <x v="6"/>
    <x v="3"/>
    <m/>
    <s v="Pink"/>
    <n v="77.959999999999994"/>
    <x v="0"/>
    <n v="77.959999999999994"/>
    <d v="2025-08-06T00:00:00"/>
    <n v="39"/>
    <n v="4.8"/>
    <x v="0"/>
    <m/>
    <s v="OK"/>
    <n v="0"/>
    <s v="Correct Price"/>
    <n v="3040.4399999999996"/>
  </r>
  <r>
    <s v="FB001007"/>
    <x v="2"/>
    <x v="0"/>
    <x v="2"/>
    <m/>
    <s v="Purple"/>
    <n v="73.33"/>
    <x v="295"/>
    <n v="47.96"/>
    <d v="2025-08-06T00:00:00"/>
    <n v="45"/>
    <n v="2.1"/>
    <x v="0"/>
    <m/>
    <s v="OK"/>
    <n v="25.37218"/>
    <s v="Correct Price"/>
    <n v="2158.1999999999998"/>
  </r>
  <r>
    <s v="FB001008"/>
    <x v="2"/>
    <x v="7"/>
    <x v="2"/>
    <m/>
    <s v="Purple"/>
    <n v="75.22"/>
    <x v="228"/>
    <n v="55.74"/>
    <d v="2025-08-06T00:00:00"/>
    <n v="31"/>
    <n v="1.9"/>
    <x v="1"/>
    <s v="Color Mismatch"/>
    <s v="OK"/>
    <n v="19.48198"/>
    <s v="Correct Price"/>
    <n v="1727.94"/>
  </r>
  <r>
    <s v="FB001009"/>
    <x v="4"/>
    <x v="6"/>
    <x v="2"/>
    <s v="XS"/>
    <s v="Black"/>
    <n v="46.65"/>
    <x v="296"/>
    <n v="35.36"/>
    <d v="2025-08-06T00:00:00"/>
    <n v="8"/>
    <n v="3.2"/>
    <x v="0"/>
    <m/>
    <s v="OK"/>
    <n v="11.289299999999999"/>
    <s v="Correct Price"/>
    <n v="282.88"/>
  </r>
  <r>
    <s v="FB001010"/>
    <x v="5"/>
    <x v="3"/>
    <x v="2"/>
    <s v="XXL"/>
    <s v="Pink"/>
    <n v="108.19"/>
    <x v="0"/>
    <n v="108.19"/>
    <d v="2025-08-06T00:00:00"/>
    <n v="21"/>
    <m/>
    <x v="0"/>
    <m/>
    <s v="OK"/>
    <n v="0"/>
    <s v="Correct Price"/>
    <n v="2271.9899999999998"/>
  </r>
  <r>
    <s v="FB001011"/>
    <x v="5"/>
    <x v="0"/>
    <x v="0"/>
    <s v="L"/>
    <s v="Red"/>
    <n v="62.82"/>
    <x v="0"/>
    <n v="62.82"/>
    <d v="2024-10-08T00:00:00"/>
    <n v="36"/>
    <n v="2.1"/>
    <x v="0"/>
    <m/>
    <s v="OK"/>
    <n v="0"/>
    <s v="Correct Price"/>
    <n v="2261.52"/>
  </r>
  <r>
    <s v="FB001012"/>
    <x v="1"/>
    <x v="0"/>
    <x v="3"/>
    <s v="S"/>
    <s v="Pink"/>
    <n v="57.32"/>
    <x v="112"/>
    <n v="24.42"/>
    <d v="2025-08-06T00:00:00"/>
    <n v="46"/>
    <n v="3.1"/>
    <x v="0"/>
    <m/>
    <s v="OK"/>
    <n v="32.901679999999999"/>
    <s v="Correct Price"/>
    <n v="1123.3200000000002"/>
  </r>
  <r>
    <s v="FB001013"/>
    <x v="0"/>
    <x v="4"/>
    <x v="1"/>
    <s v="XXL"/>
    <s v="Green"/>
    <n v="153.59"/>
    <x v="0"/>
    <n v="153.59"/>
    <d v="2025-08-06T00:00:00"/>
    <n v="31"/>
    <n v="2.9"/>
    <x v="1"/>
    <s v="Damaged"/>
    <s v="OK"/>
    <n v="0"/>
    <s v="Correct Price"/>
    <n v="4761.29"/>
  </r>
  <r>
    <s v="FB001014"/>
    <x v="3"/>
    <x v="3"/>
    <x v="1"/>
    <s v="XL"/>
    <s v="Purple"/>
    <n v="101.14"/>
    <x v="0"/>
    <n v="101.14"/>
    <d v="2025-08-06T00:00:00"/>
    <n v="43"/>
    <n v="2.8"/>
    <x v="0"/>
    <m/>
    <s v="OK"/>
    <n v="0"/>
    <s v="Correct Price"/>
    <n v="4349.0200000000004"/>
  </r>
  <r>
    <s v="FB001015"/>
    <x v="4"/>
    <x v="5"/>
    <x v="0"/>
    <s v="XXL"/>
    <s v="Brown"/>
    <n v="43.89"/>
    <x v="151"/>
    <n v="37.04"/>
    <d v="2025-04-30T00:00:00"/>
    <n v="31"/>
    <n v="1.7"/>
    <x v="1"/>
    <s v="Wrong Item"/>
    <s v="OK"/>
    <n v="6.8468399999999994"/>
    <s v="Correct Price"/>
    <n v="1148.24"/>
  </r>
  <r>
    <s v="FB001016"/>
    <x v="0"/>
    <x v="0"/>
    <x v="1"/>
    <s v="S"/>
    <s v="Gray"/>
    <n v="130.16"/>
    <x v="297"/>
    <n v="68.33"/>
    <d v="2025-08-06T00:00:00"/>
    <n v="21"/>
    <m/>
    <x v="0"/>
    <m/>
    <s v="OK"/>
    <n v="61.825999999999993"/>
    <s v="Correct Price"/>
    <n v="1434.93"/>
  </r>
  <r>
    <s v="FB001017"/>
    <x v="5"/>
    <x v="6"/>
    <x v="1"/>
    <s v="L"/>
    <s v="Black"/>
    <n v="153.12"/>
    <x v="0"/>
    <n v="153.12"/>
    <d v="2025-08-06T00:00:00"/>
    <n v="27"/>
    <n v="3.3"/>
    <x v="0"/>
    <m/>
    <s v="OK"/>
    <n v="0"/>
    <s v="Correct Price"/>
    <n v="4134.24"/>
  </r>
  <r>
    <s v="FB001018"/>
    <x v="1"/>
    <x v="7"/>
    <x v="3"/>
    <s v="XXL"/>
    <s v="Blue"/>
    <n v="37.119999999999997"/>
    <x v="298"/>
    <n v="32.630000000000003"/>
    <d v="2025-08-06T00:00:00"/>
    <n v="43"/>
    <n v="3.2"/>
    <x v="0"/>
    <m/>
    <s v="OK"/>
    <n v="4.4915199999999995"/>
    <s v="Correct Price"/>
    <n v="1403.0900000000001"/>
  </r>
  <r>
    <s v="FB001019"/>
    <x v="1"/>
    <x v="3"/>
    <x v="3"/>
    <s v="XXL"/>
    <s v="Purple"/>
    <n v="41.05"/>
    <x v="0"/>
    <n v="41.05"/>
    <d v="2025-08-06T00:00:00"/>
    <n v="24"/>
    <m/>
    <x v="0"/>
    <m/>
    <s v="OK"/>
    <n v="0"/>
    <s v="Correct Price"/>
    <n v="985.19999999999993"/>
  </r>
  <r>
    <s v="FB001020"/>
    <x v="3"/>
    <x v="7"/>
    <x v="2"/>
    <s v="M"/>
    <s v="Navy"/>
    <n v="61.04"/>
    <x v="0"/>
    <n v="61.04"/>
    <d v="2025-08-06T00:00:00"/>
    <n v="43"/>
    <n v="1.9"/>
    <x v="0"/>
    <m/>
    <s v="OK"/>
    <n v="0"/>
    <s v="Correct Price"/>
    <n v="2624.72"/>
  </r>
  <r>
    <s v="FB001021"/>
    <x v="1"/>
    <x v="5"/>
    <x v="3"/>
    <s v="S"/>
    <s v="Black"/>
    <n v="97.17"/>
    <x v="0"/>
    <n v="97.17"/>
    <d v="2025-08-06T00:00:00"/>
    <n v="35"/>
    <n v="3"/>
    <x v="0"/>
    <m/>
    <s v="OK"/>
    <n v="0"/>
    <s v="Correct Price"/>
    <n v="3400.9500000000003"/>
  </r>
  <r>
    <s v="FB001022"/>
    <x v="2"/>
    <x v="1"/>
    <x v="3"/>
    <m/>
    <s v="Red"/>
    <n v="63.45"/>
    <x v="0"/>
    <n v="63.45"/>
    <d v="2025-08-06T00:00:00"/>
    <n v="4"/>
    <n v="3.9"/>
    <x v="0"/>
    <m/>
    <s v="OK"/>
    <n v="0"/>
    <s v="Correct Price"/>
    <n v="253.8"/>
  </r>
  <r>
    <s v="FB001023"/>
    <x v="1"/>
    <x v="3"/>
    <x v="2"/>
    <m/>
    <s v="Gray"/>
    <n v="117.39"/>
    <x v="0"/>
    <n v="117.39"/>
    <d v="2025-08-06T00:00:00"/>
    <n v="14"/>
    <n v="3.2"/>
    <x v="0"/>
    <m/>
    <s v="OK"/>
    <n v="0"/>
    <s v="Correct Price"/>
    <n v="1643.46"/>
  </r>
  <r>
    <s v="FB001024"/>
    <x v="1"/>
    <x v="2"/>
    <x v="0"/>
    <s v="S"/>
    <s v="Brown"/>
    <n v="32.89"/>
    <x v="0"/>
    <n v="32.89"/>
    <d v="2025-07-08T00:00:00"/>
    <n v="6"/>
    <n v="4.5999999999999996"/>
    <x v="0"/>
    <m/>
    <s v="OK"/>
    <n v="0"/>
    <s v="Correct Price"/>
    <n v="197.34"/>
  </r>
  <r>
    <s v="FB001025"/>
    <x v="4"/>
    <x v="5"/>
    <x v="0"/>
    <s v="L"/>
    <s v="Blue"/>
    <n v="102.6"/>
    <x v="299"/>
    <n v="63"/>
    <d v="2025-05-10T00:00:00"/>
    <n v="14"/>
    <n v="4"/>
    <x v="0"/>
    <m/>
    <s v="OK"/>
    <n v="39.6036"/>
    <s v="Correct Price"/>
    <n v="882"/>
  </r>
  <r>
    <s v="FB001026"/>
    <x v="3"/>
    <x v="6"/>
    <x v="0"/>
    <s v="XXL"/>
    <s v="Navy"/>
    <n v="155.91999999999999"/>
    <x v="250"/>
    <n v="105.71"/>
    <d v="2024-10-02T00:00:00"/>
    <n v="5"/>
    <n v="2"/>
    <x v="0"/>
    <m/>
    <s v="OK"/>
    <n v="50.206240000000001"/>
    <s v="Correct Price"/>
    <n v="528.54999999999995"/>
  </r>
  <r>
    <s v="FB001027"/>
    <x v="0"/>
    <x v="6"/>
    <x v="2"/>
    <s v="L"/>
    <s v="Purple"/>
    <n v="178.39"/>
    <x v="0"/>
    <n v="178.39"/>
    <d v="2025-08-06T00:00:00"/>
    <n v="29"/>
    <n v="4.2"/>
    <x v="0"/>
    <m/>
    <s v="OK"/>
    <n v="0"/>
    <s v="Correct Price"/>
    <n v="5173.3099999999995"/>
  </r>
  <r>
    <s v="FB001028"/>
    <x v="0"/>
    <x v="4"/>
    <x v="0"/>
    <s v="XL"/>
    <s v="Gray"/>
    <n v="151.1"/>
    <x v="0"/>
    <n v="151.1"/>
    <d v="2025-03-22T00:00:00"/>
    <n v="24"/>
    <n v="2.4"/>
    <x v="0"/>
    <m/>
    <s v="OK"/>
    <n v="0"/>
    <s v="Correct Price"/>
    <n v="3626.3999999999996"/>
  </r>
  <r>
    <s v="FB001029"/>
    <x v="1"/>
    <x v="7"/>
    <x v="3"/>
    <s v="XXL"/>
    <s v="Beige"/>
    <n v="91.03"/>
    <x v="300"/>
    <n v="40.6"/>
    <d v="2025-08-06T00:00:00"/>
    <n v="2"/>
    <n v="2.5"/>
    <x v="0"/>
    <m/>
    <s v="OK"/>
    <n v="50.430619999999998"/>
    <s v="Correct Price"/>
    <n v="81.2"/>
  </r>
  <r>
    <s v="FB001030"/>
    <x v="1"/>
    <x v="4"/>
    <x v="2"/>
    <s v="M"/>
    <s v="Gray"/>
    <n v="89.03"/>
    <x v="301"/>
    <n v="52.26"/>
    <d v="2025-08-06T00:00:00"/>
    <n v="50"/>
    <m/>
    <x v="0"/>
    <m/>
    <s v="OK"/>
    <n v="36.769390000000001"/>
    <s v="Correct Price"/>
    <n v="2613"/>
  </r>
  <r>
    <s v="FB001031"/>
    <x v="5"/>
    <x v="5"/>
    <x v="3"/>
    <s v="S"/>
    <s v="Green"/>
    <n v="147.58000000000001"/>
    <x v="0"/>
    <n v="147.58000000000001"/>
    <d v="2025-08-06T00:00:00"/>
    <n v="10"/>
    <n v="4.3"/>
    <x v="0"/>
    <m/>
    <s v="OK"/>
    <n v="0"/>
    <s v="Correct Price"/>
    <n v="1475.8000000000002"/>
  </r>
  <r>
    <s v="FB001032"/>
    <x v="5"/>
    <x v="2"/>
    <x v="3"/>
    <s v="XL"/>
    <s v="Blue"/>
    <n v="79.98"/>
    <x v="0"/>
    <n v="79.98"/>
    <d v="2025-08-06T00:00:00"/>
    <n v="25"/>
    <n v="1.5"/>
    <x v="0"/>
    <m/>
    <s v="OK"/>
    <n v="0"/>
    <s v="Correct Price"/>
    <n v="1999.5"/>
  </r>
  <r>
    <s v="FB001033"/>
    <x v="5"/>
    <x v="4"/>
    <x v="2"/>
    <s v="XS"/>
    <s v="Beige"/>
    <n v="86.38"/>
    <x v="0"/>
    <n v="86.38"/>
    <d v="2025-08-06T00:00:00"/>
    <n v="40"/>
    <n v="2.7"/>
    <x v="0"/>
    <m/>
    <s v="OK"/>
    <n v="0"/>
    <s v="Correct Price"/>
    <n v="3455.2"/>
  </r>
  <r>
    <s v="FB001034"/>
    <x v="1"/>
    <x v="2"/>
    <x v="3"/>
    <s v="XXL"/>
    <s v="Brown"/>
    <n v="47.29"/>
    <x v="199"/>
    <n v="28.18"/>
    <d v="2025-08-06T00:00:00"/>
    <n v="26"/>
    <n v="4.4000000000000004"/>
    <x v="0"/>
    <m/>
    <s v="OK"/>
    <n v="19.105159999999998"/>
    <s v="Correct Price"/>
    <n v="732.68"/>
  </r>
  <r>
    <s v="FB001035"/>
    <x v="0"/>
    <x v="7"/>
    <x v="0"/>
    <s v="L"/>
    <s v="Navy"/>
    <n v="196.54"/>
    <x v="36"/>
    <n v="152.12"/>
    <d v="2025-05-12T00:00:00"/>
    <n v="33"/>
    <n v="1.4"/>
    <x v="0"/>
    <m/>
    <s v="OK"/>
    <n v="44.418039999999998"/>
    <s v="Correct Price"/>
    <n v="5019.96"/>
  </r>
  <r>
    <s v="FB001036"/>
    <x v="1"/>
    <x v="0"/>
    <x v="0"/>
    <s v="XXL"/>
    <s v="Gray"/>
    <n v="72.72"/>
    <x v="0"/>
    <n v="72.72"/>
    <d v="2025-01-31T00:00:00"/>
    <n v="23"/>
    <n v="1.6"/>
    <x v="0"/>
    <m/>
    <s v="OK"/>
    <n v="0"/>
    <s v="Correct Price"/>
    <n v="1672.56"/>
  </r>
  <r>
    <s v="FB001037"/>
    <x v="1"/>
    <x v="6"/>
    <x v="3"/>
    <s v="XXL"/>
    <s v="Beige"/>
    <n v="115.5"/>
    <x v="0"/>
    <n v="115.5"/>
    <d v="2025-08-06T00:00:00"/>
    <n v="36"/>
    <m/>
    <x v="1"/>
    <s v="Quality Issue"/>
    <s v="OK"/>
    <n v="0"/>
    <s v="Correct Price"/>
    <n v="4158"/>
  </r>
  <r>
    <s v="FB001038"/>
    <x v="2"/>
    <x v="4"/>
    <x v="3"/>
    <m/>
    <s v="Gray"/>
    <n v="68.22"/>
    <x v="302"/>
    <n v="62.69"/>
    <d v="2025-08-06T00:00:00"/>
    <n v="28"/>
    <n v="4"/>
    <x v="0"/>
    <m/>
    <s v="OK"/>
    <n v="5.5258199999999995"/>
    <s v="Correct Price"/>
    <n v="1755.32"/>
  </r>
  <r>
    <s v="FB001039"/>
    <x v="1"/>
    <x v="3"/>
    <x v="2"/>
    <s v="XXL"/>
    <s v="Black"/>
    <n v="91.03"/>
    <x v="0"/>
    <n v="91.03"/>
    <d v="2025-08-06T00:00:00"/>
    <n v="20"/>
    <n v="2.1"/>
    <x v="0"/>
    <m/>
    <s v="OK"/>
    <n v="0"/>
    <s v="Correct Price"/>
    <n v="1820.6"/>
  </r>
  <r>
    <s v="FB001040"/>
    <x v="0"/>
    <x v="7"/>
    <x v="2"/>
    <s v="XXL"/>
    <s v="Purple"/>
    <n v="100.39"/>
    <x v="303"/>
    <n v="83.83"/>
    <d v="2025-08-06T00:00:00"/>
    <n v="17"/>
    <n v="4.5999999999999996"/>
    <x v="0"/>
    <m/>
    <s v="OK"/>
    <n v="16.564350000000001"/>
    <s v="Correct Price"/>
    <n v="1425.11"/>
  </r>
  <r>
    <s v="FB001041"/>
    <x v="1"/>
    <x v="6"/>
    <x v="2"/>
    <s v="XS"/>
    <s v="Navy"/>
    <n v="100.03"/>
    <x v="0"/>
    <n v="100.03"/>
    <d v="2025-08-06T00:00:00"/>
    <n v="39"/>
    <n v="1.2"/>
    <x v="0"/>
    <m/>
    <s v="OK"/>
    <n v="0"/>
    <s v="Correct Price"/>
    <n v="3901.17"/>
  </r>
  <r>
    <s v="FB001042"/>
    <x v="2"/>
    <x v="6"/>
    <x v="0"/>
    <m/>
    <s v="White"/>
    <n v="50.14"/>
    <x v="128"/>
    <n v="35.5"/>
    <d v="2025-02-04T00:00:00"/>
    <n v="33"/>
    <n v="4.4000000000000004"/>
    <x v="0"/>
    <m/>
    <s v="OK"/>
    <n v="14.640879999999999"/>
    <s v="Correct Price"/>
    <n v="1171.5"/>
  </r>
  <r>
    <s v="FB001043"/>
    <x v="4"/>
    <x v="0"/>
    <x v="3"/>
    <s v="XL"/>
    <s v="Black"/>
    <n v="33.130000000000003"/>
    <x v="0"/>
    <n v="33.130000000000003"/>
    <d v="2025-08-06T00:00:00"/>
    <n v="41"/>
    <n v="3.3"/>
    <x v="0"/>
    <m/>
    <s v="OK"/>
    <n v="0"/>
    <s v="Correct Price"/>
    <n v="1358.3300000000002"/>
  </r>
  <r>
    <s v="FB001044"/>
    <x v="2"/>
    <x v="4"/>
    <x v="0"/>
    <m/>
    <s v="Navy"/>
    <n v="67.67"/>
    <x v="0"/>
    <n v="67.67"/>
    <d v="2024-09-25T00:00:00"/>
    <n v="7"/>
    <n v="3.3"/>
    <x v="0"/>
    <m/>
    <s v="OK"/>
    <n v="0"/>
    <s v="Correct Price"/>
    <n v="473.69"/>
  </r>
  <r>
    <s v="FB001045"/>
    <x v="4"/>
    <x v="2"/>
    <x v="3"/>
    <s v="S"/>
    <s v="Black"/>
    <n v="93.94"/>
    <x v="304"/>
    <n v="41.05"/>
    <d v="2025-08-06T00:00:00"/>
    <n v="36"/>
    <n v="1.1000000000000001"/>
    <x v="0"/>
    <m/>
    <s v="OK"/>
    <n v="52.88821999999999"/>
    <s v="Correct Price"/>
    <n v="1477.8"/>
  </r>
  <r>
    <s v="FB001046"/>
    <x v="1"/>
    <x v="2"/>
    <x v="2"/>
    <s v="XS"/>
    <s v="Black"/>
    <n v="34.56"/>
    <x v="305"/>
    <n v="30.69"/>
    <d v="2025-08-06T00:00:00"/>
    <n v="46"/>
    <n v="3.4"/>
    <x v="0"/>
    <m/>
    <s v="OK"/>
    <n v="3.8707199999999999"/>
    <s v="Correct Price"/>
    <n v="1411.74"/>
  </r>
  <r>
    <s v="FB001047"/>
    <x v="0"/>
    <x v="5"/>
    <x v="3"/>
    <s v="M"/>
    <s v="Black"/>
    <n v="235.33"/>
    <x v="0"/>
    <n v="235.33"/>
    <d v="2025-08-06T00:00:00"/>
    <n v="11"/>
    <n v="4.7"/>
    <x v="1"/>
    <s v="Size Issue"/>
    <s v="OK"/>
    <n v="0"/>
    <s v="Correct Price"/>
    <n v="2588.63"/>
  </r>
  <r>
    <s v="FB001048"/>
    <x v="1"/>
    <x v="1"/>
    <x v="0"/>
    <s v="XS"/>
    <s v="Red"/>
    <n v="25.45"/>
    <x v="0"/>
    <n v="25.45"/>
    <d v="2024-08-10T00:00:00"/>
    <n v="29"/>
    <n v="3.7"/>
    <x v="0"/>
    <m/>
    <s v="OK"/>
    <n v="0"/>
    <s v="Correct Price"/>
    <n v="738.05"/>
  </r>
  <r>
    <s v="FB001049"/>
    <x v="1"/>
    <x v="6"/>
    <x v="1"/>
    <s v="XL"/>
    <s v="Gray"/>
    <n v="71.44"/>
    <x v="0"/>
    <n v="71.44"/>
    <d v="2025-08-06T00:00:00"/>
    <n v="18"/>
    <n v="4.3"/>
    <x v="0"/>
    <m/>
    <s v="OK"/>
    <n v="0"/>
    <s v="Correct Price"/>
    <n v="1285.92"/>
  </r>
  <r>
    <s v="FB001050"/>
    <x v="5"/>
    <x v="2"/>
    <x v="3"/>
    <s v="XL"/>
    <s v="White"/>
    <n v="98.33"/>
    <x v="0"/>
    <n v="98.33"/>
    <d v="2025-08-06T00:00:00"/>
    <n v="46"/>
    <n v="3.7"/>
    <x v="0"/>
    <m/>
    <s v="OK"/>
    <n v="0"/>
    <s v="Correct Price"/>
    <n v="4523.18"/>
  </r>
  <r>
    <s v="FB001051"/>
    <x v="5"/>
    <x v="7"/>
    <x v="0"/>
    <s v="S"/>
    <s v="Blue"/>
    <n v="171.1"/>
    <x v="0"/>
    <n v="171.1"/>
    <d v="2025-07-23T00:00:00"/>
    <n v="34"/>
    <m/>
    <x v="0"/>
    <m/>
    <s v="OK"/>
    <n v="0"/>
    <s v="Correct Price"/>
    <n v="5817.4"/>
  </r>
  <r>
    <s v="FB001052"/>
    <x v="5"/>
    <x v="7"/>
    <x v="1"/>
    <s v="XS"/>
    <s v="White"/>
    <n v="155.57"/>
    <x v="0"/>
    <n v="155.57"/>
    <d v="2025-08-06T00:00:00"/>
    <n v="48"/>
    <n v="3.8"/>
    <x v="0"/>
    <m/>
    <s v="OK"/>
    <n v="0"/>
    <s v="Correct Price"/>
    <n v="7467.36"/>
  </r>
  <r>
    <s v="FB001053"/>
    <x v="0"/>
    <x v="3"/>
    <x v="2"/>
    <s v="L"/>
    <s v="Green"/>
    <n v="198.44"/>
    <x v="0"/>
    <n v="198.44"/>
    <d v="2025-08-06T00:00:00"/>
    <n v="40"/>
    <n v="2.2000000000000002"/>
    <x v="0"/>
    <m/>
    <s v="OK"/>
    <n v="0"/>
    <s v="Correct Price"/>
    <n v="7937.6"/>
  </r>
  <r>
    <s v="FB001054"/>
    <x v="3"/>
    <x v="5"/>
    <x v="0"/>
    <s v="M"/>
    <s v="Black"/>
    <n v="175.85"/>
    <x v="306"/>
    <n v="144.02000000000001"/>
    <d v="2025-01-29T00:00:00"/>
    <n v="4"/>
    <n v="4"/>
    <x v="0"/>
    <m/>
    <s v="OK"/>
    <n v="31.828850000000003"/>
    <s v="Correct Price"/>
    <n v="576.08000000000004"/>
  </r>
  <r>
    <s v="FB001055"/>
    <x v="0"/>
    <x v="7"/>
    <x v="3"/>
    <s v="M"/>
    <s v="Pink"/>
    <n v="100.23"/>
    <x v="0"/>
    <n v="100.23"/>
    <d v="2025-08-06T00:00:00"/>
    <n v="12"/>
    <n v="3.5"/>
    <x v="0"/>
    <m/>
    <s v="OK"/>
    <n v="0"/>
    <s v="Correct Price"/>
    <n v="1202.76"/>
  </r>
  <r>
    <s v="FB001056"/>
    <x v="0"/>
    <x v="0"/>
    <x v="1"/>
    <s v="XXL"/>
    <s v="Beige"/>
    <n v="88.94"/>
    <x v="0"/>
    <n v="88.94"/>
    <d v="2025-08-06T00:00:00"/>
    <n v="36"/>
    <m/>
    <x v="0"/>
    <m/>
    <s v="OK"/>
    <n v="0"/>
    <s v="Correct Price"/>
    <n v="3201.84"/>
  </r>
  <r>
    <s v="FB001057"/>
    <x v="0"/>
    <x v="4"/>
    <x v="2"/>
    <s v="XXL"/>
    <s v="Navy"/>
    <n v="205.91"/>
    <x v="0"/>
    <n v="205.91"/>
    <d v="2025-08-06T00:00:00"/>
    <n v="3"/>
    <n v="4.8"/>
    <x v="0"/>
    <m/>
    <s v="OK"/>
    <n v="0"/>
    <s v="Correct Price"/>
    <n v="617.73"/>
  </r>
  <r>
    <s v="FB001058"/>
    <x v="2"/>
    <x v="1"/>
    <x v="2"/>
    <m/>
    <s v="Pink"/>
    <n v="29.06"/>
    <x v="25"/>
    <n v="28.74"/>
    <d v="2025-08-06T00:00:00"/>
    <n v="12"/>
    <n v="1.1000000000000001"/>
    <x v="1"/>
    <s v="Color Mismatch"/>
    <s v="OK"/>
    <n v="0.31966"/>
    <s v="Correct Price"/>
    <n v="344.88"/>
  </r>
  <r>
    <s v="FB001059"/>
    <x v="2"/>
    <x v="6"/>
    <x v="3"/>
    <m/>
    <s v="Brown"/>
    <n v="68.56"/>
    <x v="0"/>
    <n v="68.56"/>
    <d v="2025-08-06T00:00:00"/>
    <n v="2"/>
    <n v="2.4"/>
    <x v="0"/>
    <m/>
    <s v="OK"/>
    <n v="0"/>
    <s v="Correct Price"/>
    <n v="137.12"/>
  </r>
  <r>
    <s v="FB001060"/>
    <x v="1"/>
    <x v="7"/>
    <x v="3"/>
    <s v="L"/>
    <s v="Purple"/>
    <n v="91.6"/>
    <x v="47"/>
    <n v="37.1"/>
    <d v="2025-08-06T00:00:00"/>
    <n v="2"/>
    <n v="4.3"/>
    <x v="0"/>
    <m/>
    <s v="OK"/>
    <n v="54.501999999999995"/>
    <s v="Correct Price"/>
    <n v="74.2"/>
  </r>
  <r>
    <s v="FB001061"/>
    <x v="5"/>
    <x v="4"/>
    <x v="3"/>
    <s v="XS"/>
    <s v="Black"/>
    <n v="96.57"/>
    <x v="0"/>
    <n v="96.57"/>
    <d v="2025-08-06T00:00:00"/>
    <n v="6"/>
    <n v="1.9"/>
    <x v="0"/>
    <m/>
    <s v="OK"/>
    <n v="0"/>
    <s v="Correct Price"/>
    <n v="579.41999999999996"/>
  </r>
  <r>
    <s v="FB001062"/>
    <x v="4"/>
    <x v="4"/>
    <x v="1"/>
    <s v="S"/>
    <s v="Pink"/>
    <n v="35.630000000000003"/>
    <x v="307"/>
    <n v="15"/>
    <d v="2025-08-06T00:00:00"/>
    <n v="11"/>
    <n v="1.8"/>
    <x v="0"/>
    <m/>
    <s v="OK"/>
    <n v="20.629770000000004"/>
    <s v="Correct Price"/>
    <n v="165"/>
  </r>
  <r>
    <s v="FB001063"/>
    <x v="3"/>
    <x v="1"/>
    <x v="1"/>
    <s v="XS"/>
    <s v="Green"/>
    <n v="118.98"/>
    <x v="169"/>
    <n v="73.650000000000006"/>
    <d v="2025-08-06T00:00:00"/>
    <n v="36"/>
    <n v="1.1000000000000001"/>
    <x v="1"/>
    <s v="Color Mismatch"/>
    <s v="OK"/>
    <n v="45.331379999999996"/>
    <s v="Correct Price"/>
    <n v="2651.4"/>
  </r>
  <r>
    <s v="FB001064"/>
    <x v="3"/>
    <x v="4"/>
    <x v="0"/>
    <s v="XL"/>
    <s v="Red"/>
    <n v="62.62"/>
    <x v="308"/>
    <n v="56.3"/>
    <d v="2025-04-15T00:00:00"/>
    <n v="32"/>
    <n v="2.9"/>
    <x v="0"/>
    <m/>
    <s v="OK"/>
    <n v="6.3246199999999995"/>
    <s v="Correct Price"/>
    <n v="1801.6"/>
  </r>
  <r>
    <s v="FB001065"/>
    <x v="3"/>
    <x v="7"/>
    <x v="3"/>
    <s v="M"/>
    <s v="Brown"/>
    <n v="153.34"/>
    <x v="309"/>
    <n v="68.239999999999995"/>
    <d v="2025-08-06T00:00:00"/>
    <n v="46"/>
    <n v="4.2"/>
    <x v="1"/>
    <s v="Wrong Item"/>
    <s v="OK"/>
    <n v="85.103700000000003"/>
    <s v="Correct Price"/>
    <n v="3139.04"/>
  </r>
  <r>
    <s v="FB001066"/>
    <x v="1"/>
    <x v="5"/>
    <x v="3"/>
    <s v="L"/>
    <s v="Green"/>
    <n v="71.66"/>
    <x v="310"/>
    <n v="36.04"/>
    <d v="2025-08-06T00:00:00"/>
    <n v="33"/>
    <m/>
    <x v="1"/>
    <s v="Color Mismatch"/>
    <s v="OK"/>
    <n v="35.615020000000001"/>
    <s v="Correct Price"/>
    <n v="1189.32"/>
  </r>
  <r>
    <s v="FB001067"/>
    <x v="5"/>
    <x v="5"/>
    <x v="0"/>
    <s v="S"/>
    <s v="Black"/>
    <n v="107.58"/>
    <x v="18"/>
    <n v="47.44"/>
    <d v="2025-02-15T00:00:00"/>
    <n v="19"/>
    <n v="4.4000000000000004"/>
    <x v="0"/>
    <m/>
    <s v="OK"/>
    <n v="60.137219999999999"/>
    <s v="Correct Price"/>
    <n v="901.3599999999999"/>
  </r>
  <r>
    <s v="FB001068"/>
    <x v="3"/>
    <x v="0"/>
    <x v="0"/>
    <s v="XL"/>
    <s v="Blue"/>
    <n v="137.16"/>
    <x v="0"/>
    <n v="137.16"/>
    <d v="2025-04-02T00:00:00"/>
    <n v="34"/>
    <n v="4"/>
    <x v="0"/>
    <m/>
    <s v="OK"/>
    <n v="0"/>
    <s v="Correct Price"/>
    <n v="4663.4399999999996"/>
  </r>
  <r>
    <s v="FB001069"/>
    <x v="1"/>
    <x v="2"/>
    <x v="1"/>
    <s v="M"/>
    <s v="White"/>
    <n v="119.29"/>
    <x v="0"/>
    <n v="119.29"/>
    <d v="2025-08-06T00:00:00"/>
    <n v="3"/>
    <m/>
    <x v="0"/>
    <m/>
    <s v="OK"/>
    <n v="0"/>
    <s v="Correct Price"/>
    <n v="357.87"/>
  </r>
  <r>
    <s v="FB001070"/>
    <x v="1"/>
    <x v="3"/>
    <x v="0"/>
    <s v="M"/>
    <s v="Navy"/>
    <n v="104.09"/>
    <x v="0"/>
    <n v="104.09"/>
    <d v="2024-12-21T00:00:00"/>
    <n v="29"/>
    <m/>
    <x v="0"/>
    <m/>
    <s v="OK"/>
    <n v="0"/>
    <s v="Correct Price"/>
    <n v="3018.61"/>
  </r>
  <r>
    <s v="FB001071"/>
    <x v="5"/>
    <x v="2"/>
    <x v="2"/>
    <m/>
    <s v="Pink"/>
    <n v="73.069999999999993"/>
    <x v="0"/>
    <n v="73.069999999999993"/>
    <d v="2025-08-06T00:00:00"/>
    <n v="5"/>
    <n v="4.2"/>
    <x v="0"/>
    <m/>
    <s v="OK"/>
    <n v="0"/>
    <s v="Correct Price"/>
    <n v="365.34999999999997"/>
  </r>
  <r>
    <s v="FB001072"/>
    <x v="4"/>
    <x v="0"/>
    <x v="2"/>
    <s v="XXL"/>
    <s v="Green"/>
    <n v="76.94"/>
    <x v="311"/>
    <n v="71.09"/>
    <d v="2025-08-06T00:00:00"/>
    <n v="20"/>
    <n v="3.7"/>
    <x v="0"/>
    <m/>
    <s v="OK"/>
    <n v="5.8474399999999989"/>
    <s v="Correct Price"/>
    <n v="1421.8000000000002"/>
  </r>
  <r>
    <s v="FB001073"/>
    <x v="4"/>
    <x v="7"/>
    <x v="1"/>
    <s v="XL"/>
    <s v="Beige"/>
    <n v="119.92"/>
    <x v="0"/>
    <n v="119.92"/>
    <d v="2025-08-06T00:00:00"/>
    <n v="37"/>
    <n v="5"/>
    <x v="0"/>
    <m/>
    <s v="OK"/>
    <n v="0"/>
    <s v="Correct Price"/>
    <n v="4437.04"/>
  </r>
  <r>
    <s v="FB001074"/>
    <x v="0"/>
    <x v="5"/>
    <x v="1"/>
    <s v="XS"/>
    <s v="White"/>
    <n v="116.49"/>
    <x v="0"/>
    <n v="116.49"/>
    <d v="2025-08-06T00:00:00"/>
    <n v="17"/>
    <n v="3.3"/>
    <x v="1"/>
    <s v="Damaged"/>
    <s v="OK"/>
    <n v="0"/>
    <s v="Correct Price"/>
    <n v="1980.33"/>
  </r>
  <r>
    <s v="FB001075"/>
    <x v="3"/>
    <x v="6"/>
    <x v="2"/>
    <s v="XL"/>
    <s v="Pink"/>
    <n v="179.59"/>
    <x v="312"/>
    <n v="153.19"/>
    <d v="2025-08-06T00:00:00"/>
    <n v="47"/>
    <n v="2.9"/>
    <x v="0"/>
    <m/>
    <s v="OK"/>
    <n v="26.399729999999998"/>
    <s v="Correct Price"/>
    <n v="7199.93"/>
  </r>
  <r>
    <s v="FB001076"/>
    <x v="2"/>
    <x v="1"/>
    <x v="1"/>
    <m/>
    <s v="Black"/>
    <n v="33.799999999999997"/>
    <x v="0"/>
    <n v="33.799999999999997"/>
    <d v="2025-08-06T00:00:00"/>
    <n v="34"/>
    <n v="4.8"/>
    <x v="0"/>
    <m/>
    <s v="OK"/>
    <n v="0"/>
    <s v="Correct Price"/>
    <n v="1149.1999999999998"/>
  </r>
  <r>
    <s v="FB001077"/>
    <x v="1"/>
    <x v="1"/>
    <x v="2"/>
    <s v="L"/>
    <s v="Beige"/>
    <n v="41.57"/>
    <x v="150"/>
    <n v="40.200000000000003"/>
    <d v="2025-08-06T00:00:00"/>
    <n v="5"/>
    <n v="2.9"/>
    <x v="0"/>
    <m/>
    <s v="OK"/>
    <n v="1.3718099999999998"/>
    <s v="Correct Price"/>
    <n v="201"/>
  </r>
  <r>
    <s v="FB001078"/>
    <x v="3"/>
    <x v="7"/>
    <x v="0"/>
    <s v="XL"/>
    <s v="Purple"/>
    <n v="139.1"/>
    <x v="313"/>
    <n v="73.72"/>
    <d v="2025-01-04T00:00:00"/>
    <n v="6"/>
    <n v="3.4"/>
    <x v="0"/>
    <m/>
    <s v="OK"/>
    <n v="65.376999999999995"/>
    <s v="Correct Price"/>
    <n v="442.32"/>
  </r>
  <r>
    <s v="FB001079"/>
    <x v="5"/>
    <x v="3"/>
    <x v="2"/>
    <s v="L"/>
    <s v="Pink"/>
    <n v="102.04"/>
    <x v="0"/>
    <n v="102.04"/>
    <d v="2025-08-06T00:00:00"/>
    <n v="34"/>
    <n v="3.4"/>
    <x v="0"/>
    <m/>
    <s v="OK"/>
    <n v="0"/>
    <s v="Correct Price"/>
    <n v="3469.36"/>
  </r>
  <r>
    <s v="FB001080"/>
    <x v="4"/>
    <x v="6"/>
    <x v="2"/>
    <s v="XXL"/>
    <s v="Navy"/>
    <n v="47.25"/>
    <x v="314"/>
    <n v="21.64"/>
    <d v="2025-08-06T00:00:00"/>
    <n v="4"/>
    <n v="4.9000000000000004"/>
    <x v="0"/>
    <m/>
    <s v="OK"/>
    <n v="25.609500000000004"/>
    <s v="Correct Price"/>
    <n v="86.56"/>
  </r>
  <r>
    <s v="FB001081"/>
    <x v="5"/>
    <x v="1"/>
    <x v="3"/>
    <s v="XS"/>
    <s v="White"/>
    <n v="55.08"/>
    <x v="0"/>
    <n v="55.08"/>
    <d v="2025-08-06T00:00:00"/>
    <n v="48"/>
    <n v="4.0999999999999996"/>
    <x v="0"/>
    <m/>
    <s v="OK"/>
    <n v="0"/>
    <s v="Correct Price"/>
    <n v="2643.84"/>
  </r>
  <r>
    <s v="FB001082"/>
    <x v="0"/>
    <x v="7"/>
    <x v="1"/>
    <s v="L"/>
    <s v="Green"/>
    <n v="88.32"/>
    <x v="86"/>
    <n v="39.92"/>
    <d v="2025-08-06T00:00:00"/>
    <n v="36"/>
    <n v="3.1"/>
    <x v="0"/>
    <m/>
    <s v="OK"/>
    <n v="48.399359999999994"/>
    <s v="Correct Price"/>
    <n v="1437.1200000000001"/>
  </r>
  <r>
    <s v="FB001083"/>
    <x v="4"/>
    <x v="3"/>
    <x v="2"/>
    <s v="M"/>
    <s v="Red"/>
    <n v="74.900000000000006"/>
    <x v="257"/>
    <n v="62.32"/>
    <d v="2025-08-06T00:00:00"/>
    <n v="13"/>
    <m/>
    <x v="1"/>
    <s v="Color Mismatch"/>
    <s v="OK"/>
    <n v="12.583200000000001"/>
    <s v="Correct Price"/>
    <n v="810.16"/>
  </r>
  <r>
    <s v="FB001084"/>
    <x v="4"/>
    <x v="3"/>
    <x v="1"/>
    <s v="M"/>
    <s v="White"/>
    <n v="69.88"/>
    <x v="112"/>
    <n v="29.77"/>
    <d v="2025-08-06T00:00:00"/>
    <n v="30"/>
    <n v="4.2"/>
    <x v="0"/>
    <m/>
    <s v="OK"/>
    <n v="40.11112"/>
    <s v="Correct Price"/>
    <n v="893.1"/>
  </r>
  <r>
    <s v="FB001085"/>
    <x v="3"/>
    <x v="1"/>
    <x v="2"/>
    <s v="S"/>
    <s v="Gray"/>
    <n v="142.83000000000001"/>
    <x v="0"/>
    <n v="142.83000000000001"/>
    <d v="2025-08-06T00:00:00"/>
    <n v="25"/>
    <n v="3.5"/>
    <x v="0"/>
    <m/>
    <s v="OK"/>
    <n v="0"/>
    <s v="Correct Price"/>
    <n v="3570.7500000000005"/>
  </r>
  <r>
    <s v="FB001086"/>
    <x v="3"/>
    <x v="0"/>
    <x v="2"/>
    <m/>
    <s v="Purple"/>
    <n v="140.16999999999999"/>
    <x v="0"/>
    <n v="140.16999999999999"/>
    <d v="2025-08-06T00:00:00"/>
    <n v="43"/>
    <n v="3.1"/>
    <x v="0"/>
    <m/>
    <s v="OK"/>
    <n v="0"/>
    <s v="Correct Price"/>
    <n v="6027.3099999999995"/>
  </r>
  <r>
    <s v="FB001087"/>
    <x v="1"/>
    <x v="6"/>
    <x v="1"/>
    <s v="M"/>
    <s v="Brown"/>
    <n v="106.11"/>
    <x v="49"/>
    <n v="70.239999999999995"/>
    <d v="2025-08-06T00:00:00"/>
    <n v="15"/>
    <n v="4.5"/>
    <x v="0"/>
    <m/>
    <s v="OK"/>
    <n v="35.865179999999995"/>
    <s v="Correct Price"/>
    <n v="1053.5999999999999"/>
  </r>
  <r>
    <s v="FB001088"/>
    <x v="5"/>
    <x v="4"/>
    <x v="3"/>
    <s v="XS"/>
    <s v="Pink"/>
    <n v="53.23"/>
    <x v="0"/>
    <n v="53.23"/>
    <d v="2025-08-06T00:00:00"/>
    <n v="41"/>
    <n v="2.8"/>
    <x v="1"/>
    <s v="Color Mismatch"/>
    <s v="OK"/>
    <n v="0"/>
    <s v="Correct Price"/>
    <n v="2182.4299999999998"/>
  </r>
  <r>
    <s v="FB001089"/>
    <x v="0"/>
    <x v="2"/>
    <x v="0"/>
    <s v="XXL"/>
    <s v="Black"/>
    <n v="92.25"/>
    <x v="0"/>
    <n v="92.25"/>
    <d v="2025-05-28T00:00:00"/>
    <n v="22"/>
    <n v="3.3"/>
    <x v="1"/>
    <s v="Wrong Item"/>
    <s v="OK"/>
    <n v="0"/>
    <s v="Correct Price"/>
    <n v="2029.5"/>
  </r>
  <r>
    <s v="FB001090"/>
    <x v="2"/>
    <x v="5"/>
    <x v="3"/>
    <m/>
    <s v="Brown"/>
    <n v="39.17"/>
    <x v="0"/>
    <n v="39.17"/>
    <d v="2025-08-06T00:00:00"/>
    <n v="4"/>
    <n v="3.5"/>
    <x v="1"/>
    <s v="Color Mismatch"/>
    <s v="OK"/>
    <n v="0"/>
    <s v="Correct Price"/>
    <n v="156.68"/>
  </r>
  <r>
    <s v="FB001091"/>
    <x v="2"/>
    <x v="6"/>
    <x v="0"/>
    <m/>
    <s v="White"/>
    <n v="72.83"/>
    <x v="0"/>
    <n v="72.83"/>
    <d v="2024-11-26T00:00:00"/>
    <n v="6"/>
    <n v="2"/>
    <x v="0"/>
    <m/>
    <s v="OK"/>
    <n v="0"/>
    <s v="Correct Price"/>
    <n v="436.98"/>
  </r>
  <r>
    <s v="FB001092"/>
    <x v="4"/>
    <x v="7"/>
    <x v="1"/>
    <s v="S"/>
    <s v="Brown"/>
    <n v="29.73"/>
    <x v="132"/>
    <n v="21.2"/>
    <d v="2025-08-06T00:00:00"/>
    <n v="37"/>
    <n v="2.5"/>
    <x v="0"/>
    <m/>
    <s v="OK"/>
    <n v="8.5325100000000003"/>
    <s v="Correct Price"/>
    <n v="784.4"/>
  </r>
  <r>
    <s v="FB001093"/>
    <x v="5"/>
    <x v="3"/>
    <x v="1"/>
    <s v="XL"/>
    <s v="Black"/>
    <n v="144.1"/>
    <x v="0"/>
    <n v="144.1"/>
    <d v="2025-08-06T00:00:00"/>
    <n v="36"/>
    <n v="2.5"/>
    <x v="0"/>
    <m/>
    <s v="OK"/>
    <n v="0"/>
    <s v="Correct Price"/>
    <n v="5187.5999999999995"/>
  </r>
  <r>
    <s v="FB001094"/>
    <x v="5"/>
    <x v="4"/>
    <x v="3"/>
    <s v="XL"/>
    <s v="Brown"/>
    <n v="109.23"/>
    <x v="116"/>
    <n v="97.43"/>
    <d v="2025-08-06T00:00:00"/>
    <n v="38"/>
    <n v="3.3"/>
    <x v="0"/>
    <m/>
    <s v="OK"/>
    <n v="11.796840000000001"/>
    <s v="Correct Price"/>
    <n v="3702.34"/>
  </r>
  <r>
    <s v="FB001095"/>
    <x v="0"/>
    <x v="3"/>
    <x v="1"/>
    <s v="XL"/>
    <s v="Pink"/>
    <n v="180.65"/>
    <x v="315"/>
    <n v="149.04"/>
    <d v="2025-08-06T00:00:00"/>
    <n v="41"/>
    <n v="1.4"/>
    <x v="0"/>
    <m/>
    <s v="OK"/>
    <n v="31.61375"/>
    <s v="Correct Price"/>
    <n v="6110.6399999999994"/>
  </r>
  <r>
    <s v="FB001096"/>
    <x v="0"/>
    <x v="2"/>
    <x v="0"/>
    <s v="M"/>
    <s v="Green"/>
    <n v="129.24"/>
    <x v="198"/>
    <n v="69.53"/>
    <d v="2025-03-27T00:00:00"/>
    <n v="28"/>
    <n v="3.2"/>
    <x v="0"/>
    <m/>
    <s v="OK"/>
    <n v="59.708880000000008"/>
    <s v="Correct Price"/>
    <n v="1946.8400000000001"/>
  </r>
  <r>
    <s v="FB001097"/>
    <x v="3"/>
    <x v="6"/>
    <x v="3"/>
    <s v="XS"/>
    <s v="Blue"/>
    <n v="195.67"/>
    <x v="187"/>
    <n v="103.51"/>
    <d v="2025-08-06T00:00:00"/>
    <n v="36"/>
    <n v="4"/>
    <x v="0"/>
    <m/>
    <s v="OK"/>
    <n v="92.160569999999993"/>
    <s v="Correct Price"/>
    <n v="3726.36"/>
  </r>
  <r>
    <s v="FB001098"/>
    <x v="2"/>
    <x v="2"/>
    <x v="1"/>
    <m/>
    <s v="Navy"/>
    <n v="65.64"/>
    <x v="239"/>
    <n v="52.05"/>
    <d v="2025-08-06T00:00:00"/>
    <n v="20"/>
    <n v="2.6"/>
    <x v="0"/>
    <m/>
    <s v="OK"/>
    <n v="13.587480000000001"/>
    <s v="Correct Price"/>
    <n v="1041"/>
  </r>
  <r>
    <s v="FB001099"/>
    <x v="4"/>
    <x v="4"/>
    <x v="0"/>
    <s v="XS"/>
    <s v="Purple"/>
    <n v="113.18"/>
    <x v="0"/>
    <n v="113.18"/>
    <d v="2025-04-02T00:00:00"/>
    <n v="3"/>
    <n v="4.9000000000000004"/>
    <x v="0"/>
    <m/>
    <s v="OK"/>
    <n v="0"/>
    <s v="Correct Price"/>
    <n v="339.54"/>
  </r>
  <r>
    <s v="FB001100"/>
    <x v="3"/>
    <x v="5"/>
    <x v="2"/>
    <s v="XL"/>
    <s v="Beige"/>
    <n v="173.69"/>
    <x v="0"/>
    <n v="173.69"/>
    <d v="2025-08-06T00:00:00"/>
    <n v="25"/>
    <n v="3.6"/>
    <x v="0"/>
    <m/>
    <s v="OK"/>
    <n v="0"/>
    <s v="Correct Price"/>
    <n v="4342.25"/>
  </r>
  <r>
    <s v="FB001101"/>
    <x v="0"/>
    <x v="0"/>
    <x v="2"/>
    <s v="S"/>
    <s v="Gray"/>
    <n v="156.54"/>
    <x v="0"/>
    <n v="156.54"/>
    <d v="2025-08-06T00:00:00"/>
    <n v="23"/>
    <n v="1.8"/>
    <x v="0"/>
    <m/>
    <s v="OK"/>
    <n v="0"/>
    <s v="Correct Price"/>
    <n v="3600.4199999999996"/>
  </r>
  <r>
    <s v="FB001102"/>
    <x v="5"/>
    <x v="4"/>
    <x v="0"/>
    <s v="XL"/>
    <s v="Brown"/>
    <n v="103.78"/>
    <x v="277"/>
    <n v="63.31"/>
    <d v="2024-10-12T00:00:00"/>
    <n v="5"/>
    <m/>
    <x v="0"/>
    <m/>
    <s v="OK"/>
    <n v="40.474200000000003"/>
    <s v="Correct Price"/>
    <n v="316.55"/>
  </r>
  <r>
    <s v="FB001103"/>
    <x v="2"/>
    <x v="6"/>
    <x v="2"/>
    <m/>
    <s v="Black"/>
    <n v="79.599999999999994"/>
    <x v="0"/>
    <n v="79.599999999999994"/>
    <d v="2025-08-06T00:00:00"/>
    <n v="22"/>
    <m/>
    <x v="0"/>
    <m/>
    <s v="OK"/>
    <n v="0"/>
    <s v="Correct Price"/>
    <n v="1751.1999999999998"/>
  </r>
  <r>
    <s v="FB001104"/>
    <x v="2"/>
    <x v="5"/>
    <x v="2"/>
    <m/>
    <s v="Beige"/>
    <n v="34.18"/>
    <x v="183"/>
    <n v="27.72"/>
    <d v="2025-08-06T00:00:00"/>
    <n v="50"/>
    <n v="3.6"/>
    <x v="0"/>
    <m/>
    <s v="OK"/>
    <n v="6.4600199999999992"/>
    <s v="Correct Price"/>
    <n v="1386"/>
  </r>
  <r>
    <s v="FB001105"/>
    <x v="4"/>
    <x v="6"/>
    <x v="1"/>
    <s v="XXL"/>
    <s v="Blue"/>
    <n v="58.44"/>
    <x v="0"/>
    <n v="58.44"/>
    <d v="2025-08-06T00:00:00"/>
    <n v="3"/>
    <n v="2.6"/>
    <x v="1"/>
    <s v="Wrong Item"/>
    <s v="OK"/>
    <n v="0"/>
    <s v="Correct Price"/>
    <n v="175.32"/>
  </r>
  <r>
    <s v="FB001106"/>
    <x v="2"/>
    <x v="0"/>
    <x v="3"/>
    <m/>
    <s v="Navy"/>
    <n v="30.62"/>
    <x v="0"/>
    <n v="30.62"/>
    <d v="2025-08-06T00:00:00"/>
    <n v="31"/>
    <n v="3"/>
    <x v="1"/>
    <s v="Damaged"/>
    <s v="OK"/>
    <n v="0"/>
    <s v="Correct Price"/>
    <n v="949.22"/>
  </r>
  <r>
    <s v="FB001107"/>
    <x v="0"/>
    <x v="1"/>
    <x v="2"/>
    <s v="XXL"/>
    <s v="Purple"/>
    <n v="213.94"/>
    <x v="0"/>
    <n v="213.94"/>
    <d v="2025-08-06T00:00:00"/>
    <n v="16"/>
    <n v="4.7"/>
    <x v="0"/>
    <m/>
    <s v="OK"/>
    <n v="0"/>
    <s v="Correct Price"/>
    <n v="3423.04"/>
  </r>
  <r>
    <s v="FB001108"/>
    <x v="4"/>
    <x v="7"/>
    <x v="2"/>
    <s v="XL"/>
    <s v="Pink"/>
    <n v="29.31"/>
    <x v="0"/>
    <n v="29.31"/>
    <d v="2025-08-06T00:00:00"/>
    <n v="25"/>
    <n v="4.5999999999999996"/>
    <x v="1"/>
    <s v="Changed Mind"/>
    <s v="OK"/>
    <n v="0"/>
    <s v="Correct Price"/>
    <n v="732.75"/>
  </r>
  <r>
    <s v="FB001109"/>
    <x v="1"/>
    <x v="7"/>
    <x v="0"/>
    <s v="M"/>
    <s v="Red"/>
    <n v="49.12"/>
    <x v="0"/>
    <n v="49.12"/>
    <d v="2025-06-28T00:00:00"/>
    <n v="47"/>
    <m/>
    <x v="0"/>
    <m/>
    <s v="OK"/>
    <n v="0"/>
    <s v="Correct Price"/>
    <n v="2308.64"/>
  </r>
  <r>
    <s v="FB001110"/>
    <x v="4"/>
    <x v="2"/>
    <x v="2"/>
    <m/>
    <s v="Purple"/>
    <n v="113.23"/>
    <x v="0"/>
    <n v="113.23"/>
    <d v="2025-08-06T00:00:00"/>
    <n v="13"/>
    <n v="3.7"/>
    <x v="0"/>
    <m/>
    <s v="OK"/>
    <n v="0"/>
    <s v="Correct Price"/>
    <n v="1471.99"/>
  </r>
  <r>
    <s v="FB001111"/>
    <x v="0"/>
    <x v="2"/>
    <x v="0"/>
    <s v="XXL"/>
    <s v="Brown"/>
    <n v="103.65"/>
    <x v="0"/>
    <n v="103.65"/>
    <d v="2024-11-16T00:00:00"/>
    <n v="4"/>
    <n v="1"/>
    <x v="0"/>
    <m/>
    <s v="OK"/>
    <n v="0"/>
    <s v="Correct Price"/>
    <n v="414.6"/>
  </r>
  <r>
    <s v="FB001112"/>
    <x v="5"/>
    <x v="5"/>
    <x v="2"/>
    <m/>
    <s v="Gray"/>
    <n v="71.84"/>
    <x v="179"/>
    <n v="36.35"/>
    <d v="2025-08-06T00:00:00"/>
    <n v="25"/>
    <m/>
    <x v="0"/>
    <m/>
    <s v="OK"/>
    <n v="35.488959999999999"/>
    <s v="Correct Price"/>
    <n v="908.75"/>
  </r>
  <r>
    <s v="FB001113"/>
    <x v="3"/>
    <x v="0"/>
    <x v="1"/>
    <s v="L"/>
    <s v="Gray"/>
    <n v="128.31"/>
    <x v="0"/>
    <n v="128.31"/>
    <d v="2025-08-06T00:00:00"/>
    <n v="36"/>
    <n v="4"/>
    <x v="1"/>
    <s v="Changed Mind"/>
    <s v="OK"/>
    <n v="0"/>
    <s v="Correct Price"/>
    <n v="4619.16"/>
  </r>
  <r>
    <s v="FB001114"/>
    <x v="3"/>
    <x v="7"/>
    <x v="1"/>
    <s v="L"/>
    <s v="Blue"/>
    <n v="118.97"/>
    <x v="0"/>
    <n v="118.97"/>
    <d v="2025-08-06T00:00:00"/>
    <n v="45"/>
    <n v="3.8"/>
    <x v="0"/>
    <m/>
    <s v="OK"/>
    <n v="0"/>
    <s v="Correct Price"/>
    <n v="5353.65"/>
  </r>
  <r>
    <s v="FB001115"/>
    <x v="4"/>
    <x v="0"/>
    <x v="1"/>
    <s v="S"/>
    <s v="Red"/>
    <n v="31.98"/>
    <x v="303"/>
    <n v="26.7"/>
    <d v="2025-08-06T00:00:00"/>
    <n v="48"/>
    <n v="1.8"/>
    <x v="0"/>
    <m/>
    <s v="OK"/>
    <n v="5.2766999999999999"/>
    <s v="Correct Price"/>
    <n v="1281.5999999999999"/>
  </r>
  <r>
    <s v="FB001116"/>
    <x v="1"/>
    <x v="2"/>
    <x v="1"/>
    <s v="XXL"/>
    <s v="Purple"/>
    <n v="115.89"/>
    <x v="316"/>
    <n v="84.83"/>
    <d v="2025-08-06T00:00:00"/>
    <n v="26"/>
    <n v="4.5999999999999996"/>
    <x v="0"/>
    <m/>
    <s v="OK"/>
    <n v="31.058520000000001"/>
    <s v="Correct Price"/>
    <n v="2205.58"/>
  </r>
  <r>
    <s v="FB001117"/>
    <x v="5"/>
    <x v="5"/>
    <x v="2"/>
    <s v="XL"/>
    <s v="Pink"/>
    <n v="140.06"/>
    <x v="0"/>
    <n v="140.06"/>
    <d v="2025-08-06T00:00:00"/>
    <n v="37"/>
    <n v="2.2999999999999998"/>
    <x v="0"/>
    <m/>
    <s v="OK"/>
    <n v="0"/>
    <s v="Correct Price"/>
    <n v="5182.22"/>
  </r>
  <r>
    <s v="FB001118"/>
    <x v="3"/>
    <x v="3"/>
    <x v="2"/>
    <s v="XS"/>
    <s v="Pink"/>
    <n v="154.82"/>
    <x v="0"/>
    <n v="154.82"/>
    <d v="2025-08-06T00:00:00"/>
    <n v="10"/>
    <n v="4.0999999999999996"/>
    <x v="0"/>
    <m/>
    <s v="OK"/>
    <n v="0"/>
    <s v="Correct Price"/>
    <n v="1548.1999999999998"/>
  </r>
  <r>
    <s v="FB001119"/>
    <x v="5"/>
    <x v="1"/>
    <x v="1"/>
    <s v="XL"/>
    <s v="Blue"/>
    <n v="114.21"/>
    <x v="134"/>
    <n v="91.14"/>
    <d v="2025-08-06T00:00:00"/>
    <n v="5"/>
    <n v="2"/>
    <x v="1"/>
    <s v="Wrong Item"/>
    <s v="OK"/>
    <n v="23.070419999999999"/>
    <s v="Correct Price"/>
    <n v="455.7"/>
  </r>
  <r>
    <s v="FB001120"/>
    <x v="3"/>
    <x v="0"/>
    <x v="1"/>
    <s v="XL"/>
    <s v="Blue"/>
    <n v="114.84"/>
    <x v="0"/>
    <n v="114.84"/>
    <d v="2025-08-06T00:00:00"/>
    <n v="38"/>
    <n v="2.6"/>
    <x v="1"/>
    <s v="Color Mismatch"/>
    <s v="OK"/>
    <n v="0"/>
    <s v="Correct Price"/>
    <n v="4363.92"/>
  </r>
  <r>
    <s v="FB001121"/>
    <x v="5"/>
    <x v="3"/>
    <x v="1"/>
    <s v="XL"/>
    <s v="Navy"/>
    <n v="131.32"/>
    <x v="317"/>
    <n v="122.39"/>
    <d v="2025-08-06T00:00:00"/>
    <n v="18"/>
    <n v="2"/>
    <x v="0"/>
    <m/>
    <s v="OK"/>
    <n v="8.9297599999999981"/>
    <s v="Correct Price"/>
    <n v="2203.02"/>
  </r>
  <r>
    <s v="FB001122"/>
    <x v="1"/>
    <x v="3"/>
    <x v="2"/>
    <s v="S"/>
    <s v="Pink"/>
    <n v="91.41"/>
    <x v="318"/>
    <n v="62.07"/>
    <d v="2025-08-06T00:00:00"/>
    <n v="49"/>
    <n v="2.2999999999999998"/>
    <x v="0"/>
    <m/>
    <s v="OK"/>
    <n v="29.342610000000001"/>
    <s v="Correct Price"/>
    <n v="3041.43"/>
  </r>
  <r>
    <s v="FB001123"/>
    <x v="0"/>
    <x v="6"/>
    <x v="2"/>
    <s v="XS"/>
    <s v="Black"/>
    <n v="202.28"/>
    <x v="0"/>
    <n v="202.28"/>
    <d v="2025-08-06T00:00:00"/>
    <n v="4"/>
    <m/>
    <x v="0"/>
    <m/>
    <s v="OK"/>
    <n v="0"/>
    <s v="Correct Price"/>
    <n v="809.12"/>
  </r>
  <r>
    <s v="FB001124"/>
    <x v="4"/>
    <x v="7"/>
    <x v="2"/>
    <s v="M"/>
    <s v="Red"/>
    <n v="119.63"/>
    <x v="0"/>
    <n v="119.63"/>
    <d v="2025-08-06T00:00:00"/>
    <n v="14"/>
    <n v="2.1"/>
    <x v="0"/>
    <m/>
    <s v="OK"/>
    <n v="0"/>
    <s v="Correct Price"/>
    <n v="1674.82"/>
  </r>
  <r>
    <s v="FB001125"/>
    <x v="3"/>
    <x v="2"/>
    <x v="3"/>
    <s v="L"/>
    <s v="Blue"/>
    <n v="167.89"/>
    <x v="0"/>
    <n v="167.89"/>
    <d v="2025-08-06T00:00:00"/>
    <n v="12"/>
    <n v="1"/>
    <x v="0"/>
    <m/>
    <s v="OK"/>
    <n v="0"/>
    <s v="Correct Price"/>
    <n v="2014.6799999999998"/>
  </r>
  <r>
    <s v="FB001126"/>
    <x v="3"/>
    <x v="1"/>
    <x v="0"/>
    <s v="XL"/>
    <s v="Blue"/>
    <n v="100.39"/>
    <x v="0"/>
    <n v="100.39"/>
    <d v="2025-03-07T00:00:00"/>
    <n v="24"/>
    <n v="3.2"/>
    <x v="1"/>
    <s v="Quality Issue"/>
    <s v="OK"/>
    <n v="0"/>
    <s v="Correct Price"/>
    <n v="2409.36"/>
  </r>
  <r>
    <s v="FB001127"/>
    <x v="5"/>
    <x v="6"/>
    <x v="3"/>
    <s v="L"/>
    <s v="Gray"/>
    <n v="162.41999999999999"/>
    <x v="319"/>
    <n v="95.99"/>
    <d v="2025-08-06T00:00:00"/>
    <n v="32"/>
    <n v="1"/>
    <x v="0"/>
    <m/>
    <s v="OK"/>
    <n v="66.429779999999994"/>
    <s v="Correct Price"/>
    <n v="3071.68"/>
  </r>
  <r>
    <s v="FB001128"/>
    <x v="3"/>
    <x v="6"/>
    <x v="0"/>
    <s v="XS"/>
    <s v="Gray"/>
    <n v="65.069999999999993"/>
    <x v="320"/>
    <n v="61.75"/>
    <d v="2025-01-17T00:00:00"/>
    <n v="16"/>
    <n v="4.3"/>
    <x v="0"/>
    <m/>
    <s v="OK"/>
    <n v="3.3185699999999994"/>
    <s v="Correct Price"/>
    <n v="988"/>
  </r>
  <r>
    <s v="FB001129"/>
    <x v="4"/>
    <x v="7"/>
    <x v="0"/>
    <s v="XXL"/>
    <s v="Red"/>
    <n v="78.099999999999994"/>
    <x v="321"/>
    <n v="40.07"/>
    <d v="2025-05-06T00:00:00"/>
    <n v="0"/>
    <m/>
    <x v="0"/>
    <m/>
    <s v="OK"/>
    <n v="38.034700000000001"/>
    <s v="Correct Price"/>
    <n v="0"/>
  </r>
  <r>
    <s v="FB001130"/>
    <x v="0"/>
    <x v="0"/>
    <x v="0"/>
    <s v="M"/>
    <s v="Blue"/>
    <n v="115.73"/>
    <x v="322"/>
    <n v="46.52"/>
    <d v="2024-09-28T00:00:00"/>
    <n v="10"/>
    <n v="4.2"/>
    <x v="0"/>
    <m/>
    <s v="OK"/>
    <n v="69.20653999999999"/>
    <s v="Correct Price"/>
    <n v="465.20000000000005"/>
  </r>
  <r>
    <s v="FB001131"/>
    <x v="2"/>
    <x v="5"/>
    <x v="2"/>
    <m/>
    <s v="Navy"/>
    <n v="21.57"/>
    <x v="37"/>
    <n v="19"/>
    <d v="2025-08-06T00:00:00"/>
    <n v="37"/>
    <n v="3"/>
    <x v="1"/>
    <s v="Changed Mind"/>
    <s v="OK"/>
    <n v="2.5668299999999999"/>
    <s v="Correct Price"/>
    <n v="703"/>
  </r>
  <r>
    <s v="FB001132"/>
    <x v="5"/>
    <x v="2"/>
    <x v="2"/>
    <s v="S"/>
    <s v="Brown"/>
    <n v="75.849999999999994"/>
    <x v="323"/>
    <n v="37.700000000000003"/>
    <d v="2025-08-06T00:00:00"/>
    <n v="50"/>
    <n v="4.7"/>
    <x v="1"/>
    <s v="Quality Issue"/>
    <s v="OK"/>
    <n v="38.152549999999998"/>
    <s v="Correct Price"/>
    <n v="1885.0000000000002"/>
  </r>
  <r>
    <s v="FB001133"/>
    <x v="0"/>
    <x v="1"/>
    <x v="3"/>
    <s v="L"/>
    <s v="Green"/>
    <n v="170.91"/>
    <x v="0"/>
    <n v="170.91"/>
    <d v="2025-08-06T00:00:00"/>
    <n v="36"/>
    <n v="1.6"/>
    <x v="1"/>
    <s v="Quality Issue"/>
    <s v="OK"/>
    <n v="0"/>
    <s v="Correct Price"/>
    <n v="6152.76"/>
  </r>
  <r>
    <s v="FB001134"/>
    <x v="3"/>
    <x v="4"/>
    <x v="2"/>
    <s v="XL"/>
    <s v="White"/>
    <n v="94.06"/>
    <x v="89"/>
    <n v="72.989999999999995"/>
    <d v="2025-08-06T00:00:00"/>
    <n v="0"/>
    <m/>
    <x v="0"/>
    <m/>
    <s v="OK"/>
    <n v="21.06944"/>
    <s v="Correct Price"/>
    <n v="0"/>
  </r>
  <r>
    <s v="FB001135"/>
    <x v="4"/>
    <x v="4"/>
    <x v="3"/>
    <s v="S"/>
    <s v="Blue"/>
    <n v="84.44"/>
    <x v="0"/>
    <n v="84.44"/>
    <d v="2025-08-06T00:00:00"/>
    <n v="2"/>
    <n v="1.1000000000000001"/>
    <x v="0"/>
    <m/>
    <s v="OK"/>
    <n v="0"/>
    <s v="Correct Price"/>
    <n v="168.88"/>
  </r>
  <r>
    <s v="FB001136"/>
    <x v="0"/>
    <x v="0"/>
    <x v="3"/>
    <s v="XS"/>
    <s v="Pink"/>
    <n v="93.11"/>
    <x v="0"/>
    <n v="93.11"/>
    <d v="2025-08-06T00:00:00"/>
    <n v="43"/>
    <n v="2.8"/>
    <x v="0"/>
    <m/>
    <s v="OK"/>
    <n v="0"/>
    <s v="Correct Price"/>
    <n v="4003.73"/>
  </r>
  <r>
    <s v="FB001137"/>
    <x v="1"/>
    <x v="0"/>
    <x v="1"/>
    <s v="S"/>
    <s v="Blue"/>
    <n v="84.85"/>
    <x v="83"/>
    <n v="77.38"/>
    <d v="2025-08-06T00:00:00"/>
    <n v="19"/>
    <n v="4.0999999999999996"/>
    <x v="1"/>
    <s v="Changed Mind"/>
    <s v="OK"/>
    <n v="7.466800000000001"/>
    <s v="Correct Price"/>
    <n v="1470.2199999999998"/>
  </r>
  <r>
    <s v="FB001138"/>
    <x v="3"/>
    <x v="1"/>
    <x v="0"/>
    <s v="M"/>
    <s v="Green"/>
    <n v="138.41"/>
    <x v="0"/>
    <n v="138.41"/>
    <d v="2024-11-17T00:00:00"/>
    <n v="40"/>
    <n v="3.1"/>
    <x v="0"/>
    <m/>
    <s v="OK"/>
    <n v="0"/>
    <s v="Correct Price"/>
    <n v="5536.4"/>
  </r>
  <r>
    <s v="FB001139"/>
    <x v="2"/>
    <x v="0"/>
    <x v="2"/>
    <m/>
    <s v="Pink"/>
    <n v="20.190000000000001"/>
    <x v="324"/>
    <n v="15.83"/>
    <d v="2025-08-06T00:00:00"/>
    <n v="45"/>
    <n v="4.4000000000000004"/>
    <x v="1"/>
    <s v="Changed Mind"/>
    <s v="OK"/>
    <n v="4.36104"/>
    <s v="Correct Price"/>
    <n v="712.35"/>
  </r>
  <r>
    <s v="FB001140"/>
    <x v="5"/>
    <x v="2"/>
    <x v="2"/>
    <s v="M"/>
    <s v="Gray"/>
    <n v="124.17"/>
    <x v="133"/>
    <n v="77.48"/>
    <d v="2025-08-06T00:00:00"/>
    <n v="24"/>
    <n v="2.2999999999999998"/>
    <x v="0"/>
    <m/>
    <s v="OK"/>
    <n v="46.687920000000005"/>
    <s v="Correct Price"/>
    <n v="1859.52"/>
  </r>
  <r>
    <s v="FB001141"/>
    <x v="0"/>
    <x v="2"/>
    <x v="0"/>
    <s v="L"/>
    <s v="Red"/>
    <n v="133.91999999999999"/>
    <x v="0"/>
    <n v="133.91999999999999"/>
    <d v="2025-04-13T00:00:00"/>
    <n v="41"/>
    <n v="2.8"/>
    <x v="0"/>
    <m/>
    <s v="OK"/>
    <n v="0"/>
    <s v="Correct Price"/>
    <n v="5490.7199999999993"/>
  </r>
  <r>
    <s v="FB001142"/>
    <x v="2"/>
    <x v="2"/>
    <x v="0"/>
    <m/>
    <s v="Gray"/>
    <n v="77.78"/>
    <x v="0"/>
    <n v="77.78"/>
    <d v="2025-07-07T00:00:00"/>
    <n v="23"/>
    <n v="2.5"/>
    <x v="1"/>
    <s v="Size Issue"/>
    <s v="OK"/>
    <n v="0"/>
    <s v="Correct Price"/>
    <n v="1788.94"/>
  </r>
  <r>
    <s v="FB001143"/>
    <x v="5"/>
    <x v="3"/>
    <x v="1"/>
    <s v="XXL"/>
    <s v="Brown"/>
    <n v="157.69"/>
    <x v="71"/>
    <n v="101.08"/>
    <d v="2025-08-06T00:00:00"/>
    <n v="6"/>
    <n v="1"/>
    <x v="0"/>
    <m/>
    <s v="OK"/>
    <n v="56.610709999999997"/>
    <s v="Correct Price"/>
    <n v="606.48"/>
  </r>
  <r>
    <s v="FB001144"/>
    <x v="1"/>
    <x v="0"/>
    <x v="1"/>
    <s v="L"/>
    <s v="Black"/>
    <n v="99.57"/>
    <x v="0"/>
    <n v="99.57"/>
    <d v="2025-08-06T00:00:00"/>
    <n v="17"/>
    <n v="1"/>
    <x v="0"/>
    <m/>
    <s v="OK"/>
    <n v="0"/>
    <s v="Correct Price"/>
    <n v="1692.6899999999998"/>
  </r>
  <r>
    <s v="FB001145"/>
    <x v="2"/>
    <x v="0"/>
    <x v="3"/>
    <m/>
    <s v="Brown"/>
    <n v="43.61"/>
    <x v="79"/>
    <n v="29.09"/>
    <d v="2025-08-06T00:00:00"/>
    <n v="47"/>
    <n v="2.5"/>
    <x v="0"/>
    <m/>
    <s v="OK"/>
    <n v="14.522129999999999"/>
    <s v="Correct Price"/>
    <n v="1367.23"/>
  </r>
  <r>
    <s v="FB001146"/>
    <x v="0"/>
    <x v="6"/>
    <x v="1"/>
    <s v="M"/>
    <s v="Brown"/>
    <n v="88.87"/>
    <x v="0"/>
    <n v="88.87"/>
    <d v="2025-08-06T00:00:00"/>
    <n v="27"/>
    <n v="2.4"/>
    <x v="0"/>
    <m/>
    <s v="OK"/>
    <n v="0"/>
    <s v="Correct Price"/>
    <n v="2399.4900000000002"/>
  </r>
  <r>
    <s v="FB001147"/>
    <x v="4"/>
    <x v="7"/>
    <x v="2"/>
    <s v="M"/>
    <s v="White"/>
    <n v="112.6"/>
    <x v="30"/>
    <n v="90.31"/>
    <d v="2025-08-06T00:00:00"/>
    <n v="2"/>
    <n v="1"/>
    <x v="0"/>
    <m/>
    <s v="OK"/>
    <n v="22.294799999999999"/>
    <s v="Correct Price"/>
    <n v="180.62"/>
  </r>
  <r>
    <s v="FB001148"/>
    <x v="1"/>
    <x v="1"/>
    <x v="2"/>
    <s v="XL"/>
    <s v="Green"/>
    <n v="33.35"/>
    <x v="0"/>
    <n v="33.35"/>
    <d v="2025-08-06T00:00:00"/>
    <n v="29"/>
    <n v="1.2"/>
    <x v="0"/>
    <m/>
    <s v="OK"/>
    <n v="0"/>
    <s v="Correct Price"/>
    <n v="967.15000000000009"/>
  </r>
  <r>
    <s v="FB001149"/>
    <x v="4"/>
    <x v="7"/>
    <x v="2"/>
    <s v="L"/>
    <s v="Navy"/>
    <n v="115.82"/>
    <x v="325"/>
    <n v="112.46"/>
    <d v="2025-08-06T00:00:00"/>
    <n v="46"/>
    <m/>
    <x v="0"/>
    <m/>
    <s v="OK"/>
    <n v="3.3587799999999999"/>
    <s v="Correct Price"/>
    <n v="5173.16"/>
  </r>
  <r>
    <s v="FB001150"/>
    <x v="1"/>
    <x v="2"/>
    <x v="2"/>
    <s v="XL"/>
    <s v="White"/>
    <n v="107.79"/>
    <x v="326"/>
    <n v="104.45"/>
    <d v="2025-08-06T00:00:00"/>
    <n v="6"/>
    <n v="2.8"/>
    <x v="0"/>
    <m/>
    <s v="OK"/>
    <n v="3.3414899999999998"/>
    <s v="Correct Price"/>
    <n v="626.70000000000005"/>
  </r>
  <r>
    <s v="FB001151"/>
    <x v="1"/>
    <x v="4"/>
    <x v="3"/>
    <s v="S"/>
    <s v="White"/>
    <n v="53.87"/>
    <x v="0"/>
    <n v="53.87"/>
    <d v="2025-08-06T00:00:00"/>
    <n v="50"/>
    <n v="4.2"/>
    <x v="1"/>
    <s v="Damaged"/>
    <s v="OK"/>
    <n v="0"/>
    <s v="Correct Price"/>
    <n v="2693.5"/>
  </r>
  <r>
    <s v="FB001152"/>
    <x v="1"/>
    <x v="6"/>
    <x v="0"/>
    <s v="XS"/>
    <s v="Green"/>
    <n v="72.5"/>
    <x v="140"/>
    <n v="42.92"/>
    <d v="2024-12-30T00:00:00"/>
    <n v="23"/>
    <n v="4.4000000000000004"/>
    <x v="0"/>
    <m/>
    <s v="OK"/>
    <n v="29.58"/>
    <s v="Correct Price"/>
    <n v="987.16000000000008"/>
  </r>
  <r>
    <s v="FB001153"/>
    <x v="3"/>
    <x v="6"/>
    <x v="0"/>
    <s v="S"/>
    <s v="Gray"/>
    <n v="152.32"/>
    <x v="0"/>
    <n v="152.32"/>
    <d v="2025-06-09T00:00:00"/>
    <n v="15"/>
    <m/>
    <x v="0"/>
    <m/>
    <s v="OK"/>
    <n v="0"/>
    <s v="Correct Price"/>
    <n v="2284.7999999999997"/>
  </r>
  <r>
    <s v="FB001154"/>
    <x v="5"/>
    <x v="4"/>
    <x v="1"/>
    <s v="M"/>
    <s v="Red"/>
    <n v="67.63"/>
    <x v="0"/>
    <n v="67.63"/>
    <d v="2025-08-06T00:00:00"/>
    <n v="9"/>
    <n v="4.7"/>
    <x v="0"/>
    <m/>
    <s v="OK"/>
    <n v="0"/>
    <s v="Correct Price"/>
    <n v="608.66999999999996"/>
  </r>
  <r>
    <s v="FB001155"/>
    <x v="0"/>
    <x v="1"/>
    <x v="3"/>
    <s v="XS"/>
    <s v="Purple"/>
    <n v="221.94"/>
    <x v="0"/>
    <n v="221.94"/>
    <d v="2025-08-06T00:00:00"/>
    <n v="35"/>
    <n v="1.5"/>
    <x v="0"/>
    <m/>
    <s v="OK"/>
    <n v="0"/>
    <s v="Correct Price"/>
    <n v="7767.9"/>
  </r>
  <r>
    <s v="FB001156"/>
    <x v="4"/>
    <x v="0"/>
    <x v="2"/>
    <s v="XS"/>
    <s v="Pink"/>
    <n v="118.77"/>
    <x v="327"/>
    <n v="108.79"/>
    <d v="2025-08-06T00:00:00"/>
    <n v="30"/>
    <n v="4.5999999999999996"/>
    <x v="1"/>
    <s v="Wrong Item"/>
    <s v="OK"/>
    <n v="9.97668"/>
    <s v="Correct Price"/>
    <n v="3263.7000000000003"/>
  </r>
  <r>
    <s v="FB001157"/>
    <x v="1"/>
    <x v="7"/>
    <x v="2"/>
    <s v="XS"/>
    <s v="Green"/>
    <n v="100.17"/>
    <x v="0"/>
    <n v="100.17"/>
    <d v="2025-08-06T00:00:00"/>
    <n v="18"/>
    <n v="1.2"/>
    <x v="0"/>
    <m/>
    <s v="OK"/>
    <n v="0"/>
    <s v="Correct Price"/>
    <n v="1803.06"/>
  </r>
  <r>
    <s v="FB001158"/>
    <x v="2"/>
    <x v="2"/>
    <x v="3"/>
    <m/>
    <s v="White"/>
    <n v="18.45"/>
    <x v="0"/>
    <n v="18.45"/>
    <d v="2025-08-06T00:00:00"/>
    <n v="39"/>
    <n v="2.2000000000000002"/>
    <x v="0"/>
    <m/>
    <s v="OK"/>
    <n v="0"/>
    <s v="Correct Price"/>
    <n v="719.55"/>
  </r>
  <r>
    <s v="FB001159"/>
    <x v="2"/>
    <x v="6"/>
    <x v="3"/>
    <m/>
    <s v="Purple"/>
    <n v="45.56"/>
    <x v="328"/>
    <n v="39.409999999999997"/>
    <d v="2025-08-06T00:00:00"/>
    <n v="40"/>
    <n v="3.2"/>
    <x v="0"/>
    <m/>
    <s v="OK"/>
    <n v="6.1506000000000007"/>
    <s v="Correct Price"/>
    <n v="1576.3999999999999"/>
  </r>
  <r>
    <s v="FB001160"/>
    <x v="1"/>
    <x v="1"/>
    <x v="0"/>
    <s v="S"/>
    <s v="Purple"/>
    <n v="62.21"/>
    <x v="0"/>
    <n v="62.21"/>
    <d v="2025-07-23T00:00:00"/>
    <n v="38"/>
    <n v="2.6"/>
    <x v="0"/>
    <m/>
    <s v="OK"/>
    <n v="0"/>
    <s v="Correct Price"/>
    <n v="2363.98"/>
  </r>
  <r>
    <s v="FB001161"/>
    <x v="2"/>
    <x v="7"/>
    <x v="1"/>
    <m/>
    <s v="Blue"/>
    <n v="37.020000000000003"/>
    <x v="0"/>
    <n v="37.020000000000003"/>
    <d v="2025-08-06T00:00:00"/>
    <n v="12"/>
    <n v="4.3"/>
    <x v="0"/>
    <m/>
    <s v="OK"/>
    <n v="0"/>
    <s v="Correct Price"/>
    <n v="444.24"/>
  </r>
  <r>
    <s v="FB001162"/>
    <x v="5"/>
    <x v="0"/>
    <x v="3"/>
    <s v="XL"/>
    <s v="Beige"/>
    <n v="51.86"/>
    <x v="277"/>
    <n v="31.63"/>
    <d v="2025-08-06T00:00:00"/>
    <n v="40"/>
    <n v="2.4"/>
    <x v="0"/>
    <m/>
    <s v="OK"/>
    <n v="20.2254"/>
    <s v="Correct Price"/>
    <n v="1265.2"/>
  </r>
  <r>
    <s v="FB001163"/>
    <x v="5"/>
    <x v="0"/>
    <x v="0"/>
    <s v="XS"/>
    <s v="Purple"/>
    <n v="76.239999999999995"/>
    <x v="0"/>
    <n v="76.239999999999995"/>
    <d v="2025-01-07T00:00:00"/>
    <n v="14"/>
    <n v="2.8"/>
    <x v="0"/>
    <m/>
    <s v="OK"/>
    <n v="0"/>
    <s v="Correct Price"/>
    <n v="1067.3599999999999"/>
  </r>
  <r>
    <s v="FB001164"/>
    <x v="2"/>
    <x v="0"/>
    <x v="2"/>
    <m/>
    <s v="Gray"/>
    <n v="74.17"/>
    <x v="0"/>
    <n v="74.17"/>
    <d v="2025-08-06T00:00:00"/>
    <n v="24"/>
    <n v="1.7"/>
    <x v="0"/>
    <m/>
    <s v="OK"/>
    <n v="0"/>
    <s v="Correct Price"/>
    <n v="1780.08"/>
  </r>
  <r>
    <s v="FB001165"/>
    <x v="4"/>
    <x v="7"/>
    <x v="0"/>
    <s v="L"/>
    <s v="Beige"/>
    <n v="75.989999999999995"/>
    <x v="0"/>
    <n v="75.989999999999995"/>
    <d v="2025-02-18T00:00:00"/>
    <n v="19"/>
    <n v="1.7"/>
    <x v="1"/>
    <s v="Size Issue"/>
    <s v="OK"/>
    <n v="0"/>
    <s v="Correct Price"/>
    <n v="1443.81"/>
  </r>
  <r>
    <s v="FB001166"/>
    <x v="4"/>
    <x v="4"/>
    <x v="1"/>
    <s v="XS"/>
    <s v="Navy"/>
    <n v="62.33"/>
    <x v="179"/>
    <n v="31.54"/>
    <d v="2025-08-06T00:00:00"/>
    <n v="46"/>
    <n v="3.5"/>
    <x v="0"/>
    <m/>
    <s v="OK"/>
    <n v="30.79102"/>
    <s v="Correct Price"/>
    <n v="1450.84"/>
  </r>
  <r>
    <s v="FB001167"/>
    <x v="4"/>
    <x v="3"/>
    <x v="1"/>
    <s v="XXL"/>
    <s v="Red"/>
    <n v="93.59"/>
    <x v="0"/>
    <n v="93.59"/>
    <d v="2025-08-06T00:00:00"/>
    <n v="38"/>
    <n v="1.9"/>
    <x v="0"/>
    <m/>
    <s v="OK"/>
    <n v="0"/>
    <s v="Correct Price"/>
    <n v="3556.42"/>
  </r>
  <r>
    <s v="FB001168"/>
    <x v="1"/>
    <x v="7"/>
    <x v="2"/>
    <m/>
    <s v="Blue"/>
    <n v="72.83"/>
    <x v="145"/>
    <n v="46.83"/>
    <d v="2025-08-06T00:00:00"/>
    <n v="11"/>
    <n v="3.1"/>
    <x v="0"/>
    <m/>
    <s v="OK"/>
    <n v="26.000309999999999"/>
    <s v="Correct Price"/>
    <n v="515.13"/>
  </r>
  <r>
    <s v="FB001169"/>
    <x v="0"/>
    <x v="1"/>
    <x v="1"/>
    <s v="XXL"/>
    <s v="Gray"/>
    <n v="134.59"/>
    <x v="193"/>
    <n v="89.37"/>
    <d v="2025-08-06T00:00:00"/>
    <n v="42"/>
    <n v="2.9"/>
    <x v="0"/>
    <m/>
    <s v="OK"/>
    <n v="45.222239999999999"/>
    <s v="Correct Price"/>
    <n v="3753.54"/>
  </r>
  <r>
    <s v="FB001170"/>
    <x v="4"/>
    <x v="0"/>
    <x v="0"/>
    <m/>
    <s v="Beige"/>
    <n v="71.599999999999994"/>
    <x v="329"/>
    <n v="41.6"/>
    <d v="2025-04-12T00:00:00"/>
    <n v="16"/>
    <n v="2.8"/>
    <x v="0"/>
    <m/>
    <s v="OK"/>
    <n v="30.000399999999996"/>
    <s v="Correct Price"/>
    <n v="665.6"/>
  </r>
  <r>
    <s v="FB001171"/>
    <x v="3"/>
    <x v="5"/>
    <x v="3"/>
    <s v="XL"/>
    <s v="Red"/>
    <n v="62.35"/>
    <x v="236"/>
    <n v="28.99"/>
    <d v="2025-08-06T00:00:00"/>
    <n v="1"/>
    <n v="4.0999999999999996"/>
    <x v="0"/>
    <m/>
    <s v="OK"/>
    <n v="33.357250000000001"/>
    <s v="Correct Price"/>
    <n v="28.99"/>
  </r>
  <r>
    <s v="FB001172"/>
    <x v="0"/>
    <x v="5"/>
    <x v="0"/>
    <s v="XS"/>
    <s v="Navy"/>
    <n v="80.55"/>
    <x v="219"/>
    <n v="45.35"/>
    <d v="2024-10-21T00:00:00"/>
    <n v="41"/>
    <n v="4.8"/>
    <x v="1"/>
    <s v="Changed Mind"/>
    <s v="OK"/>
    <n v="35.20035"/>
    <s v="Correct Price"/>
    <n v="1859.3500000000001"/>
  </r>
  <r>
    <s v="FB001173"/>
    <x v="3"/>
    <x v="2"/>
    <x v="1"/>
    <s v="M"/>
    <s v="Beige"/>
    <n v="171.48"/>
    <x v="0"/>
    <n v="171.48"/>
    <d v="2025-08-06T00:00:00"/>
    <n v="15"/>
    <n v="2.4"/>
    <x v="0"/>
    <m/>
    <s v="OK"/>
    <n v="0"/>
    <s v="Correct Price"/>
    <n v="2572.1999999999998"/>
  </r>
  <r>
    <s v="FB001174"/>
    <x v="1"/>
    <x v="5"/>
    <x v="0"/>
    <s v="XL"/>
    <s v="Navy"/>
    <n v="30.81"/>
    <x v="223"/>
    <n v="25.97"/>
    <d v="2024-09-19T00:00:00"/>
    <n v="4"/>
    <m/>
    <x v="0"/>
    <m/>
    <s v="OK"/>
    <n v="4.8371699999999995"/>
    <s v="Correct Price"/>
    <n v="103.88"/>
  </r>
  <r>
    <s v="FB001175"/>
    <x v="5"/>
    <x v="4"/>
    <x v="3"/>
    <s v="L"/>
    <s v="Blue"/>
    <n v="97.14"/>
    <x v="0"/>
    <n v="97.14"/>
    <d v="2025-08-06T00:00:00"/>
    <n v="20"/>
    <n v="4.0999999999999996"/>
    <x v="0"/>
    <m/>
    <s v="OK"/>
    <n v="0"/>
    <s v="Correct Price"/>
    <n v="1942.8"/>
  </r>
  <r>
    <s v="FB001176"/>
    <x v="3"/>
    <x v="7"/>
    <x v="2"/>
    <s v="S"/>
    <s v="White"/>
    <n v="128.27000000000001"/>
    <x v="0"/>
    <n v="128.27000000000001"/>
    <d v="2025-08-06T00:00:00"/>
    <n v="28"/>
    <m/>
    <x v="0"/>
    <m/>
    <s v="OK"/>
    <n v="0"/>
    <s v="Correct Price"/>
    <n v="3591.5600000000004"/>
  </r>
  <r>
    <s v="FB001177"/>
    <x v="5"/>
    <x v="0"/>
    <x v="1"/>
    <s v="XL"/>
    <s v="Green"/>
    <n v="174.86"/>
    <x v="0"/>
    <n v="174.86"/>
    <d v="2025-08-06T00:00:00"/>
    <n v="43"/>
    <n v="4.5999999999999996"/>
    <x v="0"/>
    <m/>
    <s v="OK"/>
    <n v="0"/>
    <s v="Correct Price"/>
    <n v="7518.9800000000005"/>
  </r>
  <r>
    <s v="FB001178"/>
    <x v="5"/>
    <x v="2"/>
    <x v="1"/>
    <s v="XL"/>
    <s v="White"/>
    <n v="100.03"/>
    <x v="0"/>
    <n v="100.03"/>
    <d v="2025-08-06T00:00:00"/>
    <n v="36"/>
    <n v="1.9"/>
    <x v="1"/>
    <s v="Quality Issue"/>
    <s v="OK"/>
    <n v="0"/>
    <s v="Correct Price"/>
    <n v="3601.08"/>
  </r>
  <r>
    <s v="FB001179"/>
    <x v="5"/>
    <x v="0"/>
    <x v="1"/>
    <s v="S"/>
    <s v="Purple"/>
    <n v="49.89"/>
    <x v="0"/>
    <n v="49.89"/>
    <d v="2025-08-06T00:00:00"/>
    <n v="0"/>
    <n v="3.5"/>
    <x v="1"/>
    <s v="Wrong Item"/>
    <s v="OK"/>
    <n v="0"/>
    <s v="Correct Price"/>
    <n v="0"/>
  </r>
  <r>
    <s v="FB001180"/>
    <x v="3"/>
    <x v="4"/>
    <x v="2"/>
    <s v="XL"/>
    <s v="Brown"/>
    <n v="170.43"/>
    <x v="0"/>
    <n v="170.43"/>
    <d v="2025-08-06T00:00:00"/>
    <n v="22"/>
    <m/>
    <x v="0"/>
    <m/>
    <s v="OK"/>
    <n v="0"/>
    <s v="Correct Price"/>
    <n v="3749.46"/>
  </r>
  <r>
    <s v="FB001181"/>
    <x v="0"/>
    <x v="6"/>
    <x v="3"/>
    <s v="XS"/>
    <s v="Navy"/>
    <n v="186.78"/>
    <x v="0"/>
    <n v="186.78"/>
    <d v="2025-08-06T00:00:00"/>
    <n v="22"/>
    <n v="2.9"/>
    <x v="0"/>
    <m/>
    <s v="OK"/>
    <n v="0"/>
    <s v="Correct Price"/>
    <n v="4109.16"/>
  </r>
  <r>
    <s v="FB001182"/>
    <x v="2"/>
    <x v="7"/>
    <x v="2"/>
    <m/>
    <s v="Navy"/>
    <n v="63.98"/>
    <x v="0"/>
    <n v="63.98"/>
    <d v="2025-08-06T00:00:00"/>
    <n v="36"/>
    <n v="1.7"/>
    <x v="0"/>
    <m/>
    <s v="OK"/>
    <n v="0"/>
    <s v="Correct Price"/>
    <n v="2303.2799999999997"/>
  </r>
  <r>
    <s v="FB001183"/>
    <x v="0"/>
    <x v="7"/>
    <x v="2"/>
    <s v="XS"/>
    <s v="Navy"/>
    <n v="225.64"/>
    <x v="0"/>
    <n v="225.64"/>
    <d v="2025-08-06T00:00:00"/>
    <n v="31"/>
    <n v="1.3"/>
    <x v="0"/>
    <m/>
    <s v="OK"/>
    <n v="0"/>
    <s v="Correct Price"/>
    <n v="6994.8399999999992"/>
  </r>
  <r>
    <s v="FB001184"/>
    <x v="1"/>
    <x v="3"/>
    <x v="2"/>
    <s v="XS"/>
    <s v="White"/>
    <n v="115.29"/>
    <x v="207"/>
    <n v="99.26"/>
    <d v="2025-08-06T00:00:00"/>
    <n v="37"/>
    <m/>
    <x v="0"/>
    <m/>
    <s v="OK"/>
    <n v="16.025310000000001"/>
    <s v="Correct Price"/>
    <n v="3672.6200000000003"/>
  </r>
  <r>
    <s v="FB001185"/>
    <x v="4"/>
    <x v="3"/>
    <x v="2"/>
    <s v="XS"/>
    <s v="White"/>
    <n v="92.59"/>
    <x v="0"/>
    <n v="92.59"/>
    <d v="2025-08-06T00:00:00"/>
    <n v="39"/>
    <n v="2.2999999999999998"/>
    <x v="0"/>
    <m/>
    <s v="OK"/>
    <n v="0"/>
    <s v="Correct Price"/>
    <n v="3611.01"/>
  </r>
  <r>
    <s v="FB001186"/>
    <x v="2"/>
    <x v="1"/>
    <x v="0"/>
    <m/>
    <s v="Beige"/>
    <n v="67.650000000000006"/>
    <x v="330"/>
    <n v="49.93"/>
    <d v="2025-05-28T00:00:00"/>
    <n v="23"/>
    <n v="1.7"/>
    <x v="0"/>
    <m/>
    <s v="OK"/>
    <n v="17.724299999999999"/>
    <s v="Correct Price"/>
    <n v="1148.3900000000001"/>
  </r>
  <r>
    <s v="FB001187"/>
    <x v="0"/>
    <x v="5"/>
    <x v="0"/>
    <s v="L"/>
    <s v="White"/>
    <n v="128.91999999999999"/>
    <x v="0"/>
    <n v="128.91999999999999"/>
    <d v="2025-07-10T00:00:00"/>
    <n v="40"/>
    <n v="1.5"/>
    <x v="0"/>
    <m/>
    <s v="OK"/>
    <n v="0"/>
    <s v="Correct Price"/>
    <n v="5156.7999999999993"/>
  </r>
  <r>
    <s v="FB001188"/>
    <x v="2"/>
    <x v="2"/>
    <x v="2"/>
    <m/>
    <s v="Red"/>
    <n v="16.510000000000002"/>
    <x v="257"/>
    <n v="13.74"/>
    <d v="2025-08-06T00:00:00"/>
    <n v="47"/>
    <n v="1.2"/>
    <x v="0"/>
    <m/>
    <s v="OK"/>
    <n v="2.7736800000000006"/>
    <s v="Correct Price"/>
    <n v="645.78"/>
  </r>
  <r>
    <s v="FB001189"/>
    <x v="3"/>
    <x v="2"/>
    <x v="1"/>
    <m/>
    <s v="Gray"/>
    <n v="173.66"/>
    <x v="76"/>
    <n v="99.51"/>
    <d v="2025-08-06T00:00:00"/>
    <n v="1"/>
    <n v="3.1"/>
    <x v="0"/>
    <m/>
    <s v="OK"/>
    <n v="74.152820000000006"/>
    <s v="Correct Price"/>
    <n v="99.51"/>
  </r>
  <r>
    <s v="FB001190"/>
    <x v="1"/>
    <x v="4"/>
    <x v="0"/>
    <s v="S"/>
    <s v="Black"/>
    <n v="71.489999999999995"/>
    <x v="331"/>
    <n v="56.55"/>
    <d v="2025-01-12T00:00:00"/>
    <n v="33"/>
    <n v="1.3"/>
    <x v="0"/>
    <m/>
    <s v="OK"/>
    <n v="14.941409999999998"/>
    <s v="Correct Price"/>
    <n v="1866.1499999999999"/>
  </r>
  <r>
    <s v="FB001191"/>
    <x v="0"/>
    <x v="1"/>
    <x v="2"/>
    <s v="XXL"/>
    <s v="Gray"/>
    <n v="230.81"/>
    <x v="106"/>
    <n v="174.72"/>
    <d v="2025-08-06T00:00:00"/>
    <n v="26"/>
    <m/>
    <x v="1"/>
    <s v="Size Issue"/>
    <s v="OK"/>
    <n v="56.086829999999999"/>
    <s v="Correct Price"/>
    <n v="4542.72"/>
  </r>
  <r>
    <s v="FB001192"/>
    <x v="3"/>
    <x v="4"/>
    <x v="0"/>
    <s v="XS"/>
    <s v="Green"/>
    <n v="101"/>
    <x v="206"/>
    <n v="41.81"/>
    <d v="2025-07-04T00:00:00"/>
    <n v="44"/>
    <n v="1.2"/>
    <x v="0"/>
    <m/>
    <s v="OK"/>
    <n v="59.186000000000007"/>
    <s v="Correct Price"/>
    <n v="1839.64"/>
  </r>
  <r>
    <s v="FB001193"/>
    <x v="0"/>
    <x v="3"/>
    <x v="1"/>
    <s v="XXL"/>
    <s v="Brown"/>
    <n v="116.37"/>
    <x v="332"/>
    <n v="55.16"/>
    <d v="2025-08-06T00:00:00"/>
    <n v="43"/>
    <n v="2.4"/>
    <x v="0"/>
    <m/>
    <s v="OK"/>
    <n v="61.210620000000006"/>
    <s v="Correct Price"/>
    <n v="2371.8799999999997"/>
  </r>
  <r>
    <s v="FB001194"/>
    <x v="3"/>
    <x v="4"/>
    <x v="0"/>
    <s v="L"/>
    <s v="Beige"/>
    <n v="150.28"/>
    <x v="333"/>
    <n v="137.81"/>
    <d v="2025-01-22T00:00:00"/>
    <n v="48"/>
    <n v="2.9"/>
    <x v="0"/>
    <m/>
    <s v="OK"/>
    <n v="12.473240000000001"/>
    <s v="Correct Price"/>
    <n v="6614.88"/>
  </r>
  <r>
    <s v="FB001195"/>
    <x v="0"/>
    <x v="0"/>
    <x v="1"/>
    <s v="XL"/>
    <s v="Gray"/>
    <n v="107.81"/>
    <x v="0"/>
    <n v="107.81"/>
    <d v="2025-08-06T00:00:00"/>
    <n v="15"/>
    <n v="2.7"/>
    <x v="0"/>
    <m/>
    <s v="OK"/>
    <n v="0"/>
    <s v="Correct Price"/>
    <n v="1617.15"/>
  </r>
  <r>
    <s v="FB001196"/>
    <x v="5"/>
    <x v="0"/>
    <x v="0"/>
    <s v="L"/>
    <s v="Navy"/>
    <n v="61.24"/>
    <x v="0"/>
    <n v="61.24"/>
    <d v="2025-04-05T00:00:00"/>
    <n v="3"/>
    <m/>
    <x v="0"/>
    <m/>
    <s v="OK"/>
    <n v="0"/>
    <s v="Correct Price"/>
    <n v="183.72"/>
  </r>
  <r>
    <s v="FB001197"/>
    <x v="2"/>
    <x v="0"/>
    <x v="1"/>
    <m/>
    <s v="Green"/>
    <n v="34.04"/>
    <x v="0"/>
    <n v="34.04"/>
    <d v="2025-08-06T00:00:00"/>
    <n v="3"/>
    <n v="1.9"/>
    <x v="0"/>
    <m/>
    <s v="OK"/>
    <n v="0"/>
    <s v="Correct Price"/>
    <n v="102.12"/>
  </r>
  <r>
    <s v="FB001198"/>
    <x v="5"/>
    <x v="6"/>
    <x v="3"/>
    <s v="S"/>
    <s v="Brown"/>
    <n v="168.16"/>
    <x v="51"/>
    <n v="90.97"/>
    <d v="2025-08-06T00:00:00"/>
    <n v="44"/>
    <n v="1.5"/>
    <x v="0"/>
    <m/>
    <s v="OK"/>
    <n v="77.18544"/>
    <s v="Correct Price"/>
    <n v="4002.68"/>
  </r>
  <r>
    <s v="FB001199"/>
    <x v="1"/>
    <x v="5"/>
    <x v="2"/>
    <s v="M"/>
    <s v="Red"/>
    <n v="74.069999999999993"/>
    <x v="0"/>
    <n v="74.069999999999993"/>
    <d v="2025-08-06T00:00:00"/>
    <n v="47"/>
    <n v="1.4"/>
    <x v="0"/>
    <m/>
    <s v="OK"/>
    <n v="0"/>
    <s v="Correct Price"/>
    <n v="3481.2899999999995"/>
  </r>
  <r>
    <s v="FB001200"/>
    <x v="1"/>
    <x v="7"/>
    <x v="1"/>
    <s v="XXL"/>
    <s v="Brown"/>
    <n v="84.75"/>
    <x v="0"/>
    <n v="84.75"/>
    <d v="2025-08-06T00:00:00"/>
    <n v="7"/>
    <n v="2.5"/>
    <x v="0"/>
    <m/>
    <s v="OK"/>
    <n v="0"/>
    <s v="Correct Price"/>
    <n v="593.25"/>
  </r>
  <r>
    <s v="FB001201"/>
    <x v="3"/>
    <x v="3"/>
    <x v="3"/>
    <s v="M"/>
    <s v="Red"/>
    <n v="187.47"/>
    <x v="226"/>
    <n v="169.47"/>
    <d v="2025-08-06T00:00:00"/>
    <n v="28"/>
    <n v="4"/>
    <x v="0"/>
    <m/>
    <s v="OK"/>
    <n v="17.997119999999999"/>
    <s v="Correct Price"/>
    <n v="4745.16"/>
  </r>
  <r>
    <s v="FB001202"/>
    <x v="2"/>
    <x v="1"/>
    <x v="0"/>
    <m/>
    <s v="Green"/>
    <n v="45.81"/>
    <x v="105"/>
    <n v="39.35"/>
    <d v="2025-04-14T00:00:00"/>
    <n v="29"/>
    <m/>
    <x v="0"/>
    <m/>
    <s v="OK"/>
    <n v="6.4592100000000006"/>
    <s v="Correct Price"/>
    <n v="1141.1500000000001"/>
  </r>
  <r>
    <s v="FB001203"/>
    <x v="0"/>
    <x v="2"/>
    <x v="2"/>
    <s v="XL"/>
    <s v="Brown"/>
    <n v="87.09"/>
    <x v="0"/>
    <n v="87.09"/>
    <d v="2025-08-06T00:00:00"/>
    <n v="8"/>
    <n v="2.8"/>
    <x v="0"/>
    <m/>
    <s v="OK"/>
    <n v="0"/>
    <s v="Correct Price"/>
    <n v="696.72"/>
  </r>
  <r>
    <s v="FB001204"/>
    <x v="0"/>
    <x v="4"/>
    <x v="3"/>
    <s v="XS"/>
    <s v="Brown"/>
    <n v="232.5"/>
    <x v="334"/>
    <n v="100.44"/>
    <d v="2025-08-06T00:00:00"/>
    <n v="23"/>
    <n v="2.9"/>
    <x v="1"/>
    <s v="Size Issue"/>
    <s v="OK"/>
    <n v="132.06"/>
    <s v="Correct Price"/>
    <n v="2310.12"/>
  </r>
  <r>
    <s v="FB001205"/>
    <x v="3"/>
    <x v="5"/>
    <x v="0"/>
    <s v="XS"/>
    <s v="Purple"/>
    <n v="184.87"/>
    <x v="0"/>
    <n v="184.87"/>
    <d v="2024-09-28T00:00:00"/>
    <n v="32"/>
    <n v="1.8"/>
    <x v="0"/>
    <m/>
    <s v="OK"/>
    <n v="0"/>
    <s v="Correct Price"/>
    <n v="5915.84"/>
  </r>
  <r>
    <s v="FB001206"/>
    <x v="1"/>
    <x v="6"/>
    <x v="2"/>
    <s v="XS"/>
    <s v="Gray"/>
    <n v="31.36"/>
    <x v="0"/>
    <n v="31.36"/>
    <d v="2025-08-06T00:00:00"/>
    <n v="50"/>
    <n v="3.4"/>
    <x v="0"/>
    <m/>
    <s v="OK"/>
    <n v="0"/>
    <s v="Correct Price"/>
    <n v="1568"/>
  </r>
  <r>
    <s v="FB001207"/>
    <x v="2"/>
    <x v="4"/>
    <x v="1"/>
    <m/>
    <s v="Navy"/>
    <n v="62.26"/>
    <x v="335"/>
    <n v="46.94"/>
    <d v="2025-08-06T00:00:00"/>
    <n v="33"/>
    <n v="3.5"/>
    <x v="0"/>
    <m/>
    <s v="OK"/>
    <n v="15.31596"/>
    <s v="Correct Price"/>
    <n v="1549.02"/>
  </r>
  <r>
    <s v="FB001208"/>
    <x v="2"/>
    <x v="3"/>
    <x v="3"/>
    <m/>
    <s v="Navy"/>
    <n v="64.819999999999993"/>
    <x v="109"/>
    <n v="37.47"/>
    <d v="2025-08-06T00:00:00"/>
    <n v="26"/>
    <n v="1.3"/>
    <x v="0"/>
    <m/>
    <s v="OK"/>
    <n v="27.354040000000001"/>
    <s v="Correct Price"/>
    <n v="974.22"/>
  </r>
  <r>
    <s v="FB001209"/>
    <x v="2"/>
    <x v="0"/>
    <x v="0"/>
    <m/>
    <s v="Blue"/>
    <n v="15.92"/>
    <x v="0"/>
    <n v="15.92"/>
    <d v="2024-09-06T00:00:00"/>
    <n v="7"/>
    <n v="4.0999999999999996"/>
    <x v="0"/>
    <m/>
    <s v="OK"/>
    <n v="0"/>
    <s v="Correct Price"/>
    <n v="111.44"/>
  </r>
  <r>
    <s v="FB001210"/>
    <x v="0"/>
    <x v="4"/>
    <x v="0"/>
    <s v="M"/>
    <s v="Purple"/>
    <n v="180.83"/>
    <x v="0"/>
    <n v="180.83"/>
    <d v="2024-09-02T00:00:00"/>
    <n v="20"/>
    <n v="2"/>
    <x v="0"/>
    <m/>
    <s v="OK"/>
    <n v="0"/>
    <s v="Correct Price"/>
    <n v="3616.6000000000004"/>
  </r>
  <r>
    <s v="FB001211"/>
    <x v="3"/>
    <x v="7"/>
    <x v="3"/>
    <s v="L"/>
    <s v="Brown"/>
    <n v="73.81"/>
    <x v="0"/>
    <n v="73.81"/>
    <d v="2025-08-06T00:00:00"/>
    <n v="44"/>
    <n v="1.3"/>
    <x v="0"/>
    <m/>
    <s v="OK"/>
    <n v="0"/>
    <s v="Correct Price"/>
    <n v="3247.6400000000003"/>
  </r>
  <r>
    <s v="FB001212"/>
    <x v="3"/>
    <x v="5"/>
    <x v="3"/>
    <s v="XXL"/>
    <s v="Beige"/>
    <n v="127.52"/>
    <x v="0"/>
    <n v="127.52"/>
    <d v="2025-08-06T00:00:00"/>
    <n v="0"/>
    <n v="3.4"/>
    <x v="0"/>
    <m/>
    <s v="OK"/>
    <n v="0"/>
    <s v="Correct Price"/>
    <n v="0"/>
  </r>
  <r>
    <s v="FB001213"/>
    <x v="4"/>
    <x v="4"/>
    <x v="2"/>
    <m/>
    <s v="Brown"/>
    <n v="52.08"/>
    <x v="0"/>
    <n v="52.08"/>
    <d v="2025-08-06T00:00:00"/>
    <n v="12"/>
    <m/>
    <x v="0"/>
    <m/>
    <s v="OK"/>
    <n v="0"/>
    <s v="Correct Price"/>
    <n v="624.96"/>
  </r>
  <r>
    <s v="FB001214"/>
    <x v="4"/>
    <x v="7"/>
    <x v="1"/>
    <s v="XS"/>
    <s v="Red"/>
    <n v="32.83"/>
    <x v="103"/>
    <n v="25.28"/>
    <d v="2025-08-06T00:00:00"/>
    <n v="24"/>
    <n v="1.1000000000000001"/>
    <x v="0"/>
    <m/>
    <s v="OK"/>
    <n v="7.5508999999999995"/>
    <s v="Correct Price"/>
    <n v="606.72"/>
  </r>
  <r>
    <s v="FB001215"/>
    <x v="1"/>
    <x v="2"/>
    <x v="1"/>
    <s v="S"/>
    <s v="Purple"/>
    <n v="108.92"/>
    <x v="0"/>
    <n v="108.92"/>
    <d v="2025-08-06T00:00:00"/>
    <n v="6"/>
    <n v="1.8"/>
    <x v="0"/>
    <m/>
    <s v="OK"/>
    <n v="0"/>
    <s v="Correct Price"/>
    <n v="653.52"/>
  </r>
  <r>
    <s v="FB001216"/>
    <x v="3"/>
    <x v="7"/>
    <x v="1"/>
    <m/>
    <s v="Navy"/>
    <n v="85.83"/>
    <x v="297"/>
    <n v="45.06"/>
    <d v="2025-08-06T00:00:00"/>
    <n v="8"/>
    <n v="1.1000000000000001"/>
    <x v="0"/>
    <m/>
    <s v="OK"/>
    <n v="40.76925"/>
    <s v="Correct Price"/>
    <n v="360.48"/>
  </r>
  <r>
    <s v="FB001217"/>
    <x v="2"/>
    <x v="0"/>
    <x v="0"/>
    <m/>
    <s v="Blue"/>
    <n v="62.02"/>
    <x v="0"/>
    <n v="62.02"/>
    <d v="2025-04-25T00:00:00"/>
    <n v="3"/>
    <n v="3.7"/>
    <x v="0"/>
    <m/>
    <s v="OK"/>
    <n v="0"/>
    <s v="Correct Price"/>
    <n v="186.06"/>
  </r>
  <r>
    <s v="FB001218"/>
    <x v="3"/>
    <x v="4"/>
    <x v="3"/>
    <s v="XL"/>
    <s v="Black"/>
    <n v="127.31"/>
    <x v="108"/>
    <n v="120.44"/>
    <d v="2025-08-06T00:00:00"/>
    <n v="34"/>
    <n v="2.5"/>
    <x v="0"/>
    <m/>
    <s v="OK"/>
    <n v="6.8747400000000001"/>
    <s v="Correct Price"/>
    <n v="4094.96"/>
  </r>
  <r>
    <s v="FB001219"/>
    <x v="1"/>
    <x v="5"/>
    <x v="2"/>
    <m/>
    <s v="Red"/>
    <n v="35.74"/>
    <x v="0"/>
    <n v="35.74"/>
    <d v="2025-08-06T00:00:00"/>
    <n v="33"/>
    <m/>
    <x v="1"/>
    <s v="Color Mismatch"/>
    <s v="OK"/>
    <n v="0"/>
    <s v="Correct Price"/>
    <n v="1179.42"/>
  </r>
  <r>
    <s v="FB001220"/>
    <x v="2"/>
    <x v="4"/>
    <x v="3"/>
    <m/>
    <s v="Gray"/>
    <n v="69.62"/>
    <x v="138"/>
    <n v="50.2"/>
    <d v="2025-08-06T00:00:00"/>
    <n v="5"/>
    <n v="1.1000000000000001"/>
    <x v="0"/>
    <m/>
    <s v="OK"/>
    <n v="19.42398"/>
    <s v="Correct Price"/>
    <n v="251"/>
  </r>
  <r>
    <s v="FB001221"/>
    <x v="1"/>
    <x v="0"/>
    <x v="1"/>
    <s v="XXL"/>
    <s v="Black"/>
    <n v="92.01"/>
    <x v="289"/>
    <n v="65.510000000000005"/>
    <d v="2025-08-06T00:00:00"/>
    <n v="37"/>
    <n v="1.9"/>
    <x v="0"/>
    <m/>
    <s v="OK"/>
    <n v="26.498880000000003"/>
    <s v="Correct Price"/>
    <n v="2423.8700000000003"/>
  </r>
  <r>
    <s v="FB001222"/>
    <x v="3"/>
    <x v="3"/>
    <x v="2"/>
    <s v="M"/>
    <s v="Black"/>
    <n v="110.1"/>
    <x v="0"/>
    <n v="110.1"/>
    <d v="2025-08-06T00:00:00"/>
    <n v="13"/>
    <n v="3.6"/>
    <x v="1"/>
    <s v="Changed Mind"/>
    <s v="OK"/>
    <n v="0"/>
    <s v="Correct Price"/>
    <n v="1431.3"/>
  </r>
  <r>
    <s v="FB001223"/>
    <x v="4"/>
    <x v="0"/>
    <x v="2"/>
    <s v="XXL"/>
    <s v="Red"/>
    <n v="109.05"/>
    <x v="0"/>
    <n v="109.05"/>
    <d v="2025-08-06T00:00:00"/>
    <n v="13"/>
    <n v="3.7"/>
    <x v="0"/>
    <m/>
    <s v="OK"/>
    <n v="0"/>
    <s v="Correct Price"/>
    <n v="1417.6499999999999"/>
  </r>
  <r>
    <s v="FB001224"/>
    <x v="2"/>
    <x v="7"/>
    <x v="1"/>
    <m/>
    <s v="Beige"/>
    <n v="67.459999999999994"/>
    <x v="0"/>
    <n v="67.459999999999994"/>
    <d v="2025-08-06T00:00:00"/>
    <n v="28"/>
    <n v="1.4"/>
    <x v="0"/>
    <m/>
    <s v="OK"/>
    <n v="0"/>
    <s v="Correct Price"/>
    <n v="1888.8799999999999"/>
  </r>
  <r>
    <s v="FB001225"/>
    <x v="3"/>
    <x v="5"/>
    <x v="1"/>
    <s v="M"/>
    <s v="White"/>
    <n v="110.11"/>
    <x v="102"/>
    <n v="98.88"/>
    <d v="2025-08-06T00:00:00"/>
    <n v="47"/>
    <m/>
    <x v="0"/>
    <m/>
    <s v="OK"/>
    <n v="11.231219999999999"/>
    <s v="Correct Price"/>
    <n v="4647.3599999999997"/>
  </r>
  <r>
    <s v="FB001226"/>
    <x v="3"/>
    <x v="2"/>
    <x v="3"/>
    <s v="XL"/>
    <s v="White"/>
    <n v="162.5"/>
    <x v="0"/>
    <n v="162.5"/>
    <d v="2025-08-06T00:00:00"/>
    <n v="45"/>
    <m/>
    <x v="0"/>
    <m/>
    <s v="OK"/>
    <n v="0"/>
    <s v="Correct Price"/>
    <n v="7312.5"/>
  </r>
  <r>
    <s v="FB001227"/>
    <x v="2"/>
    <x v="1"/>
    <x v="3"/>
    <m/>
    <s v="Black"/>
    <n v="23.8"/>
    <x v="333"/>
    <n v="21.82"/>
    <d v="2025-08-06T00:00:00"/>
    <n v="0"/>
    <n v="3.5"/>
    <x v="0"/>
    <m/>
    <s v="OK"/>
    <n v="1.9754000000000003"/>
    <s v="Correct Price"/>
    <n v="0"/>
  </r>
  <r>
    <s v="FB001228"/>
    <x v="4"/>
    <x v="2"/>
    <x v="2"/>
    <s v="XS"/>
    <s v="Brown"/>
    <n v="115.89"/>
    <x v="0"/>
    <n v="115.89"/>
    <d v="2025-08-06T00:00:00"/>
    <n v="34"/>
    <n v="2.9"/>
    <x v="0"/>
    <m/>
    <s v="OK"/>
    <n v="0"/>
    <s v="Correct Price"/>
    <n v="3940.26"/>
  </r>
  <r>
    <s v="FB001229"/>
    <x v="0"/>
    <x v="4"/>
    <x v="0"/>
    <s v="M"/>
    <s v="Red"/>
    <n v="139.19999999999999"/>
    <x v="173"/>
    <n v="80.040000000000006"/>
    <d v="2024-10-02T00:00:00"/>
    <n v="27"/>
    <n v="2.9"/>
    <x v="0"/>
    <m/>
    <s v="OK"/>
    <n v="59.159999999999989"/>
    <s v="Correct Price"/>
    <n v="2161.0800000000004"/>
  </r>
  <r>
    <s v="FB001230"/>
    <x v="5"/>
    <x v="7"/>
    <x v="2"/>
    <s v="S"/>
    <s v="Navy"/>
    <n v="120.42"/>
    <x v="176"/>
    <n v="76.23"/>
    <d v="2025-08-06T00:00:00"/>
    <n v="46"/>
    <n v="2.4"/>
    <x v="0"/>
    <m/>
    <s v="OK"/>
    <n v="44.194140000000004"/>
    <s v="Correct Price"/>
    <n v="3506.5800000000004"/>
  </r>
  <r>
    <s v="FB001231"/>
    <x v="2"/>
    <x v="2"/>
    <x v="2"/>
    <m/>
    <s v="Beige"/>
    <n v="72.81"/>
    <x v="0"/>
    <n v="72.81"/>
    <d v="2025-08-06T00:00:00"/>
    <n v="4"/>
    <n v="4.3"/>
    <x v="0"/>
    <m/>
    <s v="OK"/>
    <n v="0"/>
    <s v="Correct Price"/>
    <n v="291.24"/>
  </r>
  <r>
    <s v="FB001232"/>
    <x v="2"/>
    <x v="0"/>
    <x v="0"/>
    <m/>
    <s v="Brown"/>
    <n v="29.75"/>
    <x v="0"/>
    <n v="29.75"/>
    <d v="2025-02-07T00:00:00"/>
    <n v="37"/>
    <n v="3.9"/>
    <x v="0"/>
    <m/>
    <s v="OK"/>
    <n v="0"/>
    <s v="Correct Price"/>
    <n v="1100.75"/>
  </r>
  <r>
    <s v="FB001233"/>
    <x v="1"/>
    <x v="6"/>
    <x v="3"/>
    <s v="XL"/>
    <s v="Black"/>
    <n v="33.630000000000003"/>
    <x v="0"/>
    <n v="33.630000000000003"/>
    <d v="2025-08-06T00:00:00"/>
    <n v="13"/>
    <n v="4.7"/>
    <x v="0"/>
    <m/>
    <s v="OK"/>
    <n v="0"/>
    <s v="Correct Price"/>
    <n v="437.19000000000005"/>
  </r>
  <r>
    <s v="FB001234"/>
    <x v="0"/>
    <x v="2"/>
    <x v="2"/>
    <s v="S"/>
    <s v="Brown"/>
    <n v="101.93"/>
    <x v="0"/>
    <n v="101.93"/>
    <d v="2025-08-06T00:00:00"/>
    <n v="31"/>
    <m/>
    <x v="0"/>
    <m/>
    <s v="OK"/>
    <n v="0"/>
    <s v="Correct Price"/>
    <n v="3159.8300000000004"/>
  </r>
  <r>
    <s v="FB001235"/>
    <x v="2"/>
    <x v="3"/>
    <x v="1"/>
    <m/>
    <s v="White"/>
    <n v="41.43"/>
    <x v="0"/>
    <n v="41.43"/>
    <d v="2025-08-06T00:00:00"/>
    <n v="10"/>
    <m/>
    <x v="0"/>
    <m/>
    <s v="OK"/>
    <n v="0"/>
    <s v="Correct Price"/>
    <n v="414.3"/>
  </r>
  <r>
    <s v="FB001236"/>
    <x v="0"/>
    <x v="5"/>
    <x v="0"/>
    <s v="L"/>
    <s v="Green"/>
    <n v="126.14"/>
    <x v="0"/>
    <n v="126.14"/>
    <d v="2025-05-18T00:00:00"/>
    <n v="24"/>
    <n v="3.6"/>
    <x v="0"/>
    <m/>
    <s v="OK"/>
    <n v="0"/>
    <s v="Correct Price"/>
    <n v="3027.36"/>
  </r>
  <r>
    <s v="FB001237"/>
    <x v="4"/>
    <x v="0"/>
    <x v="0"/>
    <s v="M"/>
    <s v="Purple"/>
    <n v="96.76"/>
    <x v="0"/>
    <n v="96.76"/>
    <d v="2025-02-26T00:00:00"/>
    <n v="6"/>
    <m/>
    <x v="0"/>
    <m/>
    <s v="OK"/>
    <n v="0"/>
    <s v="Correct Price"/>
    <n v="580.56000000000006"/>
  </r>
  <r>
    <s v="FB001238"/>
    <x v="1"/>
    <x v="3"/>
    <x v="1"/>
    <s v="XS"/>
    <s v="Navy"/>
    <n v="114.32"/>
    <x v="0"/>
    <n v="114.32"/>
    <d v="2025-08-06T00:00:00"/>
    <n v="27"/>
    <n v="5"/>
    <x v="0"/>
    <m/>
    <s v="OK"/>
    <n v="0"/>
    <s v="Correct Price"/>
    <n v="3086.64"/>
  </r>
  <r>
    <s v="FB001239"/>
    <x v="3"/>
    <x v="4"/>
    <x v="0"/>
    <s v="S"/>
    <s v="Purple"/>
    <n v="102.46"/>
    <x v="0"/>
    <n v="102.46"/>
    <d v="2024-12-17T00:00:00"/>
    <n v="20"/>
    <n v="3.7"/>
    <x v="1"/>
    <s v="Quality Issue"/>
    <s v="OK"/>
    <n v="0"/>
    <s v="Correct Price"/>
    <n v="2049.1999999999998"/>
  </r>
  <r>
    <s v="FB001240"/>
    <x v="4"/>
    <x v="1"/>
    <x v="3"/>
    <s v="L"/>
    <s v="Pink"/>
    <n v="95.7"/>
    <x v="336"/>
    <n v="81.34"/>
    <d v="2025-08-06T00:00:00"/>
    <n v="9"/>
    <n v="4.9000000000000004"/>
    <x v="0"/>
    <m/>
    <s v="OK"/>
    <n v="14.355"/>
    <s v="Incorrect Price"/>
    <n v="732.06000000000006"/>
  </r>
  <r>
    <s v="FB001241"/>
    <x v="4"/>
    <x v="4"/>
    <x v="1"/>
    <s v="M"/>
    <s v="Blue"/>
    <n v="55.49"/>
    <x v="0"/>
    <n v="55.49"/>
    <d v="2025-08-06T00:00:00"/>
    <n v="25"/>
    <n v="4.5999999999999996"/>
    <x v="0"/>
    <m/>
    <s v="OK"/>
    <n v="0"/>
    <s v="Correct Price"/>
    <n v="1387.25"/>
  </r>
  <r>
    <s v="FB001242"/>
    <x v="2"/>
    <x v="5"/>
    <x v="1"/>
    <m/>
    <s v="White"/>
    <n v="30.58"/>
    <x v="337"/>
    <n v="27.58"/>
    <d v="2025-08-06T00:00:00"/>
    <n v="34"/>
    <n v="3.4"/>
    <x v="0"/>
    <m/>
    <s v="OK"/>
    <n v="2.9968400000000002"/>
    <s v="Correct Price"/>
    <n v="937.71999999999991"/>
  </r>
  <r>
    <s v="FB001243"/>
    <x v="4"/>
    <x v="3"/>
    <x v="2"/>
    <s v="S"/>
    <s v="Red"/>
    <n v="116.58"/>
    <x v="0"/>
    <n v="116.58"/>
    <d v="2025-08-06T00:00:00"/>
    <n v="47"/>
    <n v="1.2"/>
    <x v="0"/>
    <m/>
    <s v="OK"/>
    <n v="0"/>
    <s v="Correct Price"/>
    <n v="5479.26"/>
  </r>
  <r>
    <s v="FB001244"/>
    <x v="5"/>
    <x v="0"/>
    <x v="1"/>
    <s v="XL"/>
    <s v="Navy"/>
    <n v="79.180000000000007"/>
    <x v="338"/>
    <n v="62.47"/>
    <d v="2025-08-06T00:00:00"/>
    <n v="36"/>
    <n v="1.5"/>
    <x v="1"/>
    <s v="Changed Mind"/>
    <s v="OK"/>
    <n v="16.706980000000001"/>
    <s v="Correct Price"/>
    <n v="2248.92"/>
  </r>
  <r>
    <s v="FB001245"/>
    <x v="5"/>
    <x v="7"/>
    <x v="3"/>
    <m/>
    <s v="Navy"/>
    <n v="88.71"/>
    <x v="0"/>
    <n v="88.71"/>
    <d v="2025-08-06T00:00:00"/>
    <n v="3"/>
    <n v="3.5"/>
    <x v="0"/>
    <m/>
    <s v="OK"/>
    <n v="0"/>
    <s v="Correct Price"/>
    <n v="266.13"/>
  </r>
  <r>
    <s v="FB001246"/>
    <x v="5"/>
    <x v="2"/>
    <x v="0"/>
    <s v="XXL"/>
    <s v="Purple"/>
    <n v="150.58000000000001"/>
    <x v="0"/>
    <n v="150.58000000000001"/>
    <d v="2024-12-19T00:00:00"/>
    <n v="38"/>
    <n v="2.1"/>
    <x v="0"/>
    <m/>
    <s v="OK"/>
    <n v="0"/>
    <s v="Correct Price"/>
    <n v="5722.0400000000009"/>
  </r>
  <r>
    <s v="FB001247"/>
    <x v="5"/>
    <x v="1"/>
    <x v="3"/>
    <s v="XXL"/>
    <s v="White"/>
    <n v="179.9"/>
    <x v="339"/>
    <n v="163.16999999999999"/>
    <d v="2025-08-06T00:00:00"/>
    <n v="34"/>
    <n v="2.1"/>
    <x v="0"/>
    <m/>
    <s v="OK"/>
    <n v="16.730700000000002"/>
    <s v="Correct Price"/>
    <n v="5547.78"/>
  </r>
  <r>
    <s v="FB001248"/>
    <x v="0"/>
    <x v="7"/>
    <x v="0"/>
    <s v="XL"/>
    <s v="Red"/>
    <n v="135.30000000000001"/>
    <x v="0"/>
    <n v="135.30000000000001"/>
    <d v="2025-02-16T00:00:00"/>
    <n v="19"/>
    <n v="4.5999999999999996"/>
    <x v="0"/>
    <m/>
    <s v="OK"/>
    <n v="0"/>
    <s v="Correct Price"/>
    <n v="2570.7000000000003"/>
  </r>
  <r>
    <s v="FB001249"/>
    <x v="3"/>
    <x v="1"/>
    <x v="2"/>
    <s v="XXL"/>
    <s v="Black"/>
    <n v="146.43"/>
    <x v="0"/>
    <n v="146.43"/>
    <d v="2025-08-06T00:00:00"/>
    <n v="7"/>
    <n v="2.5"/>
    <x v="0"/>
    <m/>
    <s v="OK"/>
    <n v="0"/>
    <s v="Correct Price"/>
    <n v="1025.01"/>
  </r>
  <r>
    <s v="FB001250"/>
    <x v="0"/>
    <x v="7"/>
    <x v="1"/>
    <s v="M"/>
    <s v="Green"/>
    <n v="160.27000000000001"/>
    <x v="0"/>
    <n v="160.27000000000001"/>
    <d v="2025-08-06T00:00:00"/>
    <n v="11"/>
    <n v="2"/>
    <x v="0"/>
    <m/>
    <s v="OK"/>
    <n v="0"/>
    <s v="Correct Price"/>
    <n v="1762.97"/>
  </r>
  <r>
    <s v="FB001251"/>
    <x v="3"/>
    <x v="3"/>
    <x v="1"/>
    <s v="M"/>
    <s v="Gray"/>
    <n v="169.87"/>
    <x v="83"/>
    <n v="154.91999999999999"/>
    <d v="2025-08-06T00:00:00"/>
    <n v="36"/>
    <n v="2.1"/>
    <x v="0"/>
    <m/>
    <s v="OK"/>
    <n v="14.948560000000002"/>
    <s v="Correct Price"/>
    <n v="5577.12"/>
  </r>
  <r>
    <s v="FB001252"/>
    <x v="3"/>
    <x v="5"/>
    <x v="3"/>
    <m/>
    <s v="Gray"/>
    <n v="137.33000000000001"/>
    <x v="0"/>
    <n v="137.33000000000001"/>
    <d v="2025-08-06T00:00:00"/>
    <n v="35"/>
    <n v="4.5999999999999996"/>
    <x v="0"/>
    <m/>
    <s v="OK"/>
    <n v="0"/>
    <s v="Correct Price"/>
    <n v="4806.55"/>
  </r>
  <r>
    <s v="FB001253"/>
    <x v="4"/>
    <x v="7"/>
    <x v="3"/>
    <s v="XXL"/>
    <s v="Red"/>
    <n v="38.18"/>
    <x v="0"/>
    <n v="38.18"/>
    <d v="2025-08-06T00:00:00"/>
    <n v="38"/>
    <m/>
    <x v="0"/>
    <m/>
    <s v="OK"/>
    <n v="0"/>
    <s v="Correct Price"/>
    <n v="1450.84"/>
  </r>
  <r>
    <s v="FB001254"/>
    <x v="1"/>
    <x v="0"/>
    <x v="3"/>
    <s v="XXL"/>
    <s v="Blue"/>
    <n v="40.619999999999997"/>
    <x v="340"/>
    <n v="32.46"/>
    <d v="2025-08-06T00:00:00"/>
    <n v="7"/>
    <m/>
    <x v="0"/>
    <m/>
    <s v="OK"/>
    <n v="8.1646199999999993"/>
    <s v="Correct Price"/>
    <n v="227.22"/>
  </r>
  <r>
    <s v="FB001255"/>
    <x v="4"/>
    <x v="4"/>
    <x v="1"/>
    <s v="XS"/>
    <s v="Black"/>
    <n v="56.4"/>
    <x v="341"/>
    <n v="43.26"/>
    <d v="2025-08-06T00:00:00"/>
    <n v="35"/>
    <m/>
    <x v="0"/>
    <m/>
    <s v="OK"/>
    <n v="13.141200000000001"/>
    <s v="Correct Price"/>
    <n v="1514.1"/>
  </r>
  <r>
    <s v="FB001256"/>
    <x v="2"/>
    <x v="7"/>
    <x v="3"/>
    <m/>
    <s v="Green"/>
    <n v="19.559999999999999"/>
    <x v="0"/>
    <n v="19.559999999999999"/>
    <d v="2025-08-06T00:00:00"/>
    <n v="13"/>
    <n v="3.1"/>
    <x v="0"/>
    <m/>
    <s v="OK"/>
    <n v="0"/>
    <s v="Correct Price"/>
    <n v="254.27999999999997"/>
  </r>
  <r>
    <s v="FB001257"/>
    <x v="3"/>
    <x v="4"/>
    <x v="1"/>
    <s v="L"/>
    <s v="White"/>
    <n v="155.66"/>
    <x v="0"/>
    <n v="155.66"/>
    <d v="2025-08-06T00:00:00"/>
    <n v="3"/>
    <n v="4"/>
    <x v="0"/>
    <m/>
    <s v="OK"/>
    <n v="0"/>
    <s v="Correct Price"/>
    <n v="466.98"/>
  </r>
  <r>
    <s v="FB001258"/>
    <x v="1"/>
    <x v="0"/>
    <x v="3"/>
    <s v="S"/>
    <s v="Purple"/>
    <n v="106.2"/>
    <x v="0"/>
    <n v="106.2"/>
    <d v="2025-08-06T00:00:00"/>
    <n v="10"/>
    <n v="1.1000000000000001"/>
    <x v="0"/>
    <m/>
    <s v="OK"/>
    <n v="0"/>
    <s v="Correct Price"/>
    <n v="1062"/>
  </r>
  <r>
    <s v="FB001259"/>
    <x v="0"/>
    <x v="5"/>
    <x v="2"/>
    <s v="XXL"/>
    <s v="Navy"/>
    <n v="158.31"/>
    <x v="0"/>
    <n v="158.31"/>
    <d v="2025-08-06T00:00:00"/>
    <n v="7"/>
    <n v="5"/>
    <x v="0"/>
    <m/>
    <s v="OK"/>
    <n v="0"/>
    <s v="Correct Price"/>
    <n v="1108.17"/>
  </r>
  <r>
    <s v="FB001260"/>
    <x v="5"/>
    <x v="3"/>
    <x v="0"/>
    <s v="XL"/>
    <s v="Pink"/>
    <n v="102.3"/>
    <x v="109"/>
    <n v="59.13"/>
    <d v="2025-05-30T00:00:00"/>
    <n v="43"/>
    <n v="1.3"/>
    <x v="0"/>
    <m/>
    <s v="OK"/>
    <n v="43.170600000000007"/>
    <s v="Correct Price"/>
    <n v="2542.59"/>
  </r>
  <r>
    <s v="FB001261"/>
    <x v="2"/>
    <x v="6"/>
    <x v="2"/>
    <m/>
    <s v="Navy"/>
    <n v="53.46"/>
    <x v="342"/>
    <n v="22.45"/>
    <d v="2025-08-06T00:00:00"/>
    <n v="6"/>
    <n v="4.2"/>
    <x v="0"/>
    <m/>
    <s v="OK"/>
    <n v="31.006799999999998"/>
    <s v="Correct Price"/>
    <n v="134.69999999999999"/>
  </r>
  <r>
    <s v="FB001262"/>
    <x v="5"/>
    <x v="1"/>
    <x v="3"/>
    <s v="XS"/>
    <s v="Blue"/>
    <n v="101.78"/>
    <x v="343"/>
    <n v="78.47"/>
    <d v="2025-08-06T00:00:00"/>
    <n v="5"/>
    <n v="1.2"/>
    <x v="1"/>
    <s v="Damaged"/>
    <s v="OK"/>
    <n v="23.307619999999996"/>
    <s v="Correct Price"/>
    <n v="392.35"/>
  </r>
  <r>
    <s v="FB001263"/>
    <x v="0"/>
    <x v="2"/>
    <x v="3"/>
    <s v="M"/>
    <s v="Gray"/>
    <n v="112.28"/>
    <x v="0"/>
    <n v="112.28"/>
    <d v="2025-08-06T00:00:00"/>
    <n v="41"/>
    <n v="4.0999999999999996"/>
    <x v="0"/>
    <m/>
    <s v="OK"/>
    <n v="0"/>
    <s v="Correct Price"/>
    <n v="4603.4800000000005"/>
  </r>
  <r>
    <s v="FB001264"/>
    <x v="2"/>
    <x v="2"/>
    <x v="1"/>
    <m/>
    <s v="Pink"/>
    <n v="47.51"/>
    <x v="0"/>
    <n v="47.51"/>
    <d v="2025-08-06T00:00:00"/>
    <n v="39"/>
    <n v="4.4000000000000004"/>
    <x v="0"/>
    <m/>
    <s v="OK"/>
    <n v="0"/>
    <s v="Correct Price"/>
    <n v="1852.8899999999999"/>
  </r>
  <r>
    <s v="FB001265"/>
    <x v="1"/>
    <x v="1"/>
    <x v="1"/>
    <s v="XXL"/>
    <s v="Beige"/>
    <n v="80.39"/>
    <x v="0"/>
    <n v="80.39"/>
    <d v="2025-08-06T00:00:00"/>
    <n v="24"/>
    <m/>
    <x v="0"/>
    <m/>
    <s v="OK"/>
    <n v="0"/>
    <s v="Correct Price"/>
    <n v="1929.3600000000001"/>
  </r>
  <r>
    <s v="FB001266"/>
    <x v="4"/>
    <x v="3"/>
    <x v="1"/>
    <s v="L"/>
    <s v="Red"/>
    <n v="64.75"/>
    <x v="208"/>
    <n v="47.66"/>
    <d v="2025-08-06T00:00:00"/>
    <n v="7"/>
    <n v="2.9"/>
    <x v="1"/>
    <s v="Wrong Item"/>
    <s v="OK"/>
    <n v="17.093999999999998"/>
    <s v="Correct Price"/>
    <n v="333.62"/>
  </r>
  <r>
    <s v="FB001267"/>
    <x v="0"/>
    <x v="0"/>
    <x v="1"/>
    <s v="L"/>
    <s v="Red"/>
    <n v="129.86000000000001"/>
    <x v="0"/>
    <n v="129.86000000000001"/>
    <d v="2025-08-06T00:00:00"/>
    <n v="41"/>
    <n v="1.7"/>
    <x v="0"/>
    <m/>
    <s v="OK"/>
    <n v="0"/>
    <s v="Correct Price"/>
    <n v="5324.26"/>
  </r>
  <r>
    <s v="FB001268"/>
    <x v="4"/>
    <x v="2"/>
    <x v="0"/>
    <s v="L"/>
    <s v="Green"/>
    <n v="32.74"/>
    <x v="0"/>
    <n v="32.74"/>
    <d v="2024-08-12T00:00:00"/>
    <n v="23"/>
    <n v="4"/>
    <x v="1"/>
    <s v="Damaged"/>
    <s v="OK"/>
    <n v="0"/>
    <s v="Correct Price"/>
    <n v="753.0200000000001"/>
  </r>
  <r>
    <s v="FB001269"/>
    <x v="4"/>
    <x v="1"/>
    <x v="0"/>
    <s v="L"/>
    <s v="Blue"/>
    <n v="79.27"/>
    <x v="0"/>
    <n v="79.27"/>
    <d v="2025-05-11T00:00:00"/>
    <n v="13"/>
    <n v="3.5"/>
    <x v="0"/>
    <m/>
    <s v="OK"/>
    <n v="0"/>
    <s v="Correct Price"/>
    <n v="1030.51"/>
  </r>
  <r>
    <s v="FB001270"/>
    <x v="1"/>
    <x v="7"/>
    <x v="0"/>
    <s v="S"/>
    <s v="Beige"/>
    <n v="119.38"/>
    <x v="0"/>
    <n v="119.38"/>
    <d v="2025-02-20T00:00:00"/>
    <n v="18"/>
    <n v="4.4000000000000004"/>
    <x v="0"/>
    <m/>
    <s v="OK"/>
    <n v="0"/>
    <s v="Correct Price"/>
    <n v="2148.84"/>
  </r>
  <r>
    <s v="FB001271"/>
    <x v="5"/>
    <x v="4"/>
    <x v="1"/>
    <s v="S"/>
    <s v="White"/>
    <n v="66.17"/>
    <x v="0"/>
    <n v="66.17"/>
    <d v="2025-08-06T00:00:00"/>
    <n v="1"/>
    <m/>
    <x v="0"/>
    <m/>
    <s v="OK"/>
    <n v="0"/>
    <s v="Correct Price"/>
    <n v="66.17"/>
  </r>
  <r>
    <s v="FB001272"/>
    <x v="2"/>
    <x v="4"/>
    <x v="2"/>
    <m/>
    <s v="Purple"/>
    <n v="68.3"/>
    <x v="344"/>
    <n v="62.84"/>
    <d v="2025-08-06T00:00:00"/>
    <n v="18"/>
    <n v="3.1"/>
    <x v="0"/>
    <m/>
    <s v="OK"/>
    <n v="5.4639999999999995"/>
    <s v="Correct Price"/>
    <n v="1131.1200000000001"/>
  </r>
  <r>
    <s v="FB001273"/>
    <x v="0"/>
    <x v="3"/>
    <x v="2"/>
    <s v="L"/>
    <s v="Purple"/>
    <n v="209.66"/>
    <x v="0"/>
    <n v="209.66"/>
    <d v="2025-08-06T00:00:00"/>
    <n v="30"/>
    <n v="2.1"/>
    <x v="0"/>
    <m/>
    <s v="OK"/>
    <n v="0"/>
    <s v="Correct Price"/>
    <n v="6289.8"/>
  </r>
  <r>
    <s v="FB001274"/>
    <x v="3"/>
    <x v="1"/>
    <x v="3"/>
    <s v="XS"/>
    <s v="Blue"/>
    <n v="154.82"/>
    <x v="0"/>
    <n v="154.82"/>
    <d v="2025-08-06T00:00:00"/>
    <n v="31"/>
    <m/>
    <x v="0"/>
    <m/>
    <s v="OK"/>
    <n v="0"/>
    <s v="Correct Price"/>
    <n v="4799.42"/>
  </r>
  <r>
    <s v="FB001275"/>
    <x v="4"/>
    <x v="4"/>
    <x v="1"/>
    <s v="S"/>
    <s v="Gray"/>
    <n v="37.53"/>
    <x v="0"/>
    <n v="37.53"/>
    <d v="2025-08-06T00:00:00"/>
    <n v="8"/>
    <n v="3"/>
    <x v="1"/>
    <s v="Changed Mind"/>
    <s v="OK"/>
    <n v="0"/>
    <s v="Correct Price"/>
    <n v="300.24"/>
  </r>
  <r>
    <s v="FB001276"/>
    <x v="3"/>
    <x v="0"/>
    <x v="3"/>
    <s v="XS"/>
    <s v="Black"/>
    <n v="140.28"/>
    <x v="0"/>
    <n v="140.28"/>
    <d v="2025-08-06T00:00:00"/>
    <n v="10"/>
    <n v="1.9"/>
    <x v="0"/>
    <m/>
    <s v="OK"/>
    <n v="0"/>
    <s v="Correct Price"/>
    <n v="1402.8"/>
  </r>
  <r>
    <s v="FB001277"/>
    <x v="3"/>
    <x v="1"/>
    <x v="3"/>
    <s v="XS"/>
    <s v="White"/>
    <n v="171.07"/>
    <x v="0"/>
    <n v="171.07"/>
    <d v="2025-08-06T00:00:00"/>
    <n v="25"/>
    <n v="3"/>
    <x v="0"/>
    <m/>
    <s v="OK"/>
    <n v="0"/>
    <s v="Correct Price"/>
    <n v="4276.75"/>
  </r>
  <r>
    <s v="FB001278"/>
    <x v="1"/>
    <x v="0"/>
    <x v="3"/>
    <s v="M"/>
    <s v="Purple"/>
    <n v="77.87"/>
    <x v="0"/>
    <n v="77.87"/>
    <d v="2025-08-06T00:00:00"/>
    <n v="4"/>
    <n v="2.7"/>
    <x v="0"/>
    <m/>
    <s v="OK"/>
    <n v="0"/>
    <s v="Correct Price"/>
    <n v="311.48"/>
  </r>
  <r>
    <s v="FB001279"/>
    <x v="1"/>
    <x v="4"/>
    <x v="0"/>
    <s v="XL"/>
    <s v="Navy"/>
    <n v="80.540000000000006"/>
    <x v="0"/>
    <n v="80.540000000000006"/>
    <d v="2024-12-10T00:00:00"/>
    <n v="50"/>
    <n v="2.1"/>
    <x v="0"/>
    <m/>
    <s v="OK"/>
    <n v="0"/>
    <s v="Correct Price"/>
    <n v="4027.0000000000005"/>
  </r>
  <r>
    <s v="FB001280"/>
    <x v="4"/>
    <x v="1"/>
    <x v="3"/>
    <s v="S"/>
    <s v="White"/>
    <n v="48.68"/>
    <x v="90"/>
    <n v="28.38"/>
    <d v="2025-08-06T00:00:00"/>
    <n v="20"/>
    <n v="1.3"/>
    <x v="1"/>
    <s v="Damaged"/>
    <s v="OK"/>
    <n v="20.29956"/>
    <s v="Correct Price"/>
    <n v="567.6"/>
  </r>
  <r>
    <s v="FB001281"/>
    <x v="3"/>
    <x v="5"/>
    <x v="1"/>
    <s v="XS"/>
    <s v="Purple"/>
    <n v="137.83000000000001"/>
    <x v="0"/>
    <n v="137.83000000000001"/>
    <d v="2025-08-06T00:00:00"/>
    <n v="32"/>
    <n v="3.4"/>
    <x v="1"/>
    <s v="Changed Mind"/>
    <s v="OK"/>
    <n v="0"/>
    <s v="Correct Price"/>
    <n v="4410.5600000000004"/>
  </r>
  <r>
    <s v="FB001282"/>
    <x v="4"/>
    <x v="0"/>
    <x v="2"/>
    <s v="XXL"/>
    <s v="Brown"/>
    <n v="96.88"/>
    <x v="201"/>
    <n v="53.48"/>
    <d v="2025-08-06T00:00:00"/>
    <n v="15"/>
    <n v="1.3"/>
    <x v="0"/>
    <m/>
    <s v="OK"/>
    <n v="43.402239999999992"/>
    <s v="Correct Price"/>
    <n v="802.19999999999993"/>
  </r>
  <r>
    <s v="FB001283"/>
    <x v="1"/>
    <x v="4"/>
    <x v="0"/>
    <s v="XL"/>
    <s v="Blue"/>
    <n v="46.44"/>
    <x v="117"/>
    <n v="29.35"/>
    <d v="2025-03-11T00:00:00"/>
    <n v="19"/>
    <n v="1.9"/>
    <x v="0"/>
    <m/>
    <s v="OK"/>
    <n v="17.089919999999996"/>
    <s v="Correct Price"/>
    <n v="557.65"/>
  </r>
  <r>
    <s v="FB001284"/>
    <x v="4"/>
    <x v="6"/>
    <x v="1"/>
    <s v="L"/>
    <s v="Brown"/>
    <n v="86.4"/>
    <x v="0"/>
    <n v="86.4"/>
    <d v="2025-08-06T00:00:00"/>
    <n v="26"/>
    <n v="3.7"/>
    <x v="0"/>
    <m/>
    <s v="OK"/>
    <n v="0"/>
    <s v="Correct Price"/>
    <n v="2246.4"/>
  </r>
  <r>
    <s v="FB001285"/>
    <x v="4"/>
    <x v="3"/>
    <x v="2"/>
    <s v="XXL"/>
    <s v="Green"/>
    <n v="113.83"/>
    <x v="345"/>
    <n v="55.09"/>
    <d v="2025-08-06T00:00:00"/>
    <n v="12"/>
    <n v="2.9"/>
    <x v="0"/>
    <m/>
    <s v="OK"/>
    <n v="58.736279999999994"/>
    <s v="Correct Price"/>
    <n v="661.08"/>
  </r>
  <r>
    <s v="FB001286"/>
    <x v="4"/>
    <x v="0"/>
    <x v="3"/>
    <s v="XS"/>
    <s v="Purple"/>
    <n v="64.680000000000007"/>
    <x v="139"/>
    <n v="36.93"/>
    <d v="2025-08-06T00:00:00"/>
    <n v="36"/>
    <m/>
    <x v="0"/>
    <m/>
    <s v="OK"/>
    <n v="27.747720000000005"/>
    <s v="Correct Price"/>
    <n v="1329.48"/>
  </r>
  <r>
    <s v="FB001287"/>
    <x v="3"/>
    <x v="7"/>
    <x v="2"/>
    <m/>
    <s v="Beige"/>
    <n v="123.23"/>
    <x v="0"/>
    <n v="123.23"/>
    <d v="2025-08-06T00:00:00"/>
    <n v="40"/>
    <n v="4.3"/>
    <x v="0"/>
    <m/>
    <s v="OK"/>
    <n v="0"/>
    <s v="Correct Price"/>
    <n v="4929.2"/>
  </r>
  <r>
    <s v="FB001288"/>
    <x v="2"/>
    <x v="5"/>
    <x v="1"/>
    <m/>
    <s v="Red"/>
    <n v="69.69"/>
    <x v="0"/>
    <n v="69.69"/>
    <d v="2025-08-06T00:00:00"/>
    <n v="35"/>
    <n v="3"/>
    <x v="0"/>
    <m/>
    <s v="OK"/>
    <n v="0"/>
    <s v="Correct Price"/>
    <n v="2439.15"/>
  </r>
  <r>
    <s v="FB001289"/>
    <x v="2"/>
    <x v="2"/>
    <x v="1"/>
    <m/>
    <s v="Green"/>
    <n v="46.15"/>
    <x v="11"/>
    <n v="34.89"/>
    <d v="2025-08-06T00:00:00"/>
    <n v="31"/>
    <n v="4.4000000000000004"/>
    <x v="1"/>
    <s v="Size Issue"/>
    <s v="OK"/>
    <n v="11.2606"/>
    <s v="Correct Price"/>
    <n v="1081.5899999999999"/>
  </r>
  <r>
    <s v="FB001290"/>
    <x v="0"/>
    <x v="4"/>
    <x v="3"/>
    <s v="XS"/>
    <s v="Navy"/>
    <n v="229.8"/>
    <x v="0"/>
    <n v="229.8"/>
    <d v="2025-08-06T00:00:00"/>
    <n v="46"/>
    <n v="3.6"/>
    <x v="0"/>
    <m/>
    <s v="OK"/>
    <n v="0"/>
    <s v="Correct Price"/>
    <n v="10570.800000000001"/>
  </r>
  <r>
    <s v="FB001291"/>
    <x v="0"/>
    <x v="1"/>
    <x v="2"/>
    <s v="XS"/>
    <s v="Purple"/>
    <n v="179.44"/>
    <x v="346"/>
    <n v="144.27000000000001"/>
    <d v="2025-08-06T00:00:00"/>
    <n v="42"/>
    <n v="3"/>
    <x v="0"/>
    <m/>
    <s v="OK"/>
    <n v="35.170240000000007"/>
    <s v="Correct Price"/>
    <n v="6059.34"/>
  </r>
  <r>
    <s v="FB001292"/>
    <x v="3"/>
    <x v="2"/>
    <x v="2"/>
    <s v="L"/>
    <s v="Green"/>
    <n v="80.959999999999994"/>
    <x v="304"/>
    <n v="35.380000000000003"/>
    <d v="2025-08-06T00:00:00"/>
    <n v="41"/>
    <n v="2.2000000000000002"/>
    <x v="1"/>
    <s v="Changed Mind"/>
    <s v="OK"/>
    <n v="45.580479999999994"/>
    <s v="Correct Price"/>
    <n v="1450.5800000000002"/>
  </r>
  <r>
    <s v="FB001293"/>
    <x v="4"/>
    <x v="1"/>
    <x v="2"/>
    <s v="L"/>
    <s v="Green"/>
    <n v="62.3"/>
    <x v="347"/>
    <n v="50.34"/>
    <d v="2025-08-06T00:00:00"/>
    <n v="9"/>
    <n v="2.5"/>
    <x v="0"/>
    <m/>
    <s v="OK"/>
    <n v="11.961599999999999"/>
    <s v="Correct Price"/>
    <n v="453.06000000000006"/>
  </r>
  <r>
    <s v="FB001294"/>
    <x v="2"/>
    <x v="1"/>
    <x v="2"/>
    <m/>
    <s v="Beige"/>
    <n v="58.83"/>
    <x v="348"/>
    <n v="51.48"/>
    <d v="2025-08-06T00:00:00"/>
    <n v="3"/>
    <n v="1.5"/>
    <x v="0"/>
    <m/>
    <s v="OK"/>
    <n v="7.3537499999999998"/>
    <s v="Correct Price"/>
    <n v="154.44"/>
  </r>
  <r>
    <s v="FB001295"/>
    <x v="1"/>
    <x v="4"/>
    <x v="3"/>
    <s v="XXL"/>
    <s v="Navy"/>
    <n v="119.04"/>
    <x v="66"/>
    <n v="117.02"/>
    <d v="2025-08-06T00:00:00"/>
    <n v="34"/>
    <n v="4.0999999999999996"/>
    <x v="0"/>
    <m/>
    <s v="OK"/>
    <n v="2.0236800000000001"/>
    <s v="Correct Price"/>
    <n v="3978.68"/>
  </r>
  <r>
    <s v="FB001296"/>
    <x v="0"/>
    <x v="0"/>
    <x v="3"/>
    <s v="S"/>
    <s v="Navy"/>
    <n v="80.540000000000006"/>
    <x v="0"/>
    <n v="80.540000000000006"/>
    <d v="2025-08-06T00:00:00"/>
    <n v="3"/>
    <n v="1.8"/>
    <x v="1"/>
    <s v="Size Issue"/>
    <s v="OK"/>
    <n v="0"/>
    <s v="Correct Price"/>
    <n v="241.62"/>
  </r>
  <r>
    <s v="FB001297"/>
    <x v="4"/>
    <x v="2"/>
    <x v="1"/>
    <s v="XS"/>
    <s v="Black"/>
    <n v="47.32"/>
    <x v="349"/>
    <n v="35.159999999999997"/>
    <d v="2025-08-06T00:00:00"/>
    <n v="2"/>
    <n v="3.2"/>
    <x v="0"/>
    <m/>
    <s v="OK"/>
    <n v="12.161239999999999"/>
    <s v="Correct Price"/>
    <n v="70.319999999999993"/>
  </r>
  <r>
    <s v="FB001298"/>
    <x v="3"/>
    <x v="6"/>
    <x v="1"/>
    <s v="XL"/>
    <s v="Pink"/>
    <n v="104.57"/>
    <x v="350"/>
    <n v="75.92"/>
    <d v="2025-08-06T00:00:00"/>
    <n v="7"/>
    <n v="1"/>
    <x v="1"/>
    <s v="Quality Issue"/>
    <s v="OK"/>
    <n v="28.652179999999998"/>
    <s v="Correct Price"/>
    <n v="531.44000000000005"/>
  </r>
  <r>
    <s v="FB001299"/>
    <x v="2"/>
    <x v="0"/>
    <x v="1"/>
    <m/>
    <s v="Blue"/>
    <n v="38.369999999999997"/>
    <x v="341"/>
    <n v="29.43"/>
    <d v="2025-08-06T00:00:00"/>
    <n v="22"/>
    <n v="1.4"/>
    <x v="0"/>
    <m/>
    <s v="OK"/>
    <n v="8.9402100000000004"/>
    <s v="Correct Price"/>
    <n v="647.46"/>
  </r>
  <r>
    <s v="FB001300"/>
    <x v="0"/>
    <x v="4"/>
    <x v="1"/>
    <m/>
    <s v="Red"/>
    <n v="86.3"/>
    <x v="0"/>
    <n v="86.3"/>
    <d v="2025-08-06T00:00:00"/>
    <n v="33"/>
    <n v="3.9"/>
    <x v="0"/>
    <m/>
    <s v="OK"/>
    <n v="0"/>
    <s v="Correct Price"/>
    <n v="2847.9"/>
  </r>
  <r>
    <s v="FB001301"/>
    <x v="2"/>
    <x v="3"/>
    <x v="1"/>
    <m/>
    <s v="Purple"/>
    <n v="64.89"/>
    <x v="127"/>
    <n v="62.16"/>
    <d v="2025-08-06T00:00:00"/>
    <n v="40"/>
    <n v="1.4"/>
    <x v="0"/>
    <m/>
    <s v="OK"/>
    <n v="2.7253799999999999"/>
    <s v="Correct Price"/>
    <n v="2486.3999999999996"/>
  </r>
  <r>
    <s v="FB001302"/>
    <x v="2"/>
    <x v="3"/>
    <x v="2"/>
    <m/>
    <s v="Navy"/>
    <n v="53.64"/>
    <x v="0"/>
    <n v="53.64"/>
    <d v="2025-08-06T00:00:00"/>
    <n v="18"/>
    <n v="2.2999999999999998"/>
    <x v="0"/>
    <m/>
    <s v="OK"/>
    <n v="0"/>
    <s v="Correct Price"/>
    <n v="965.52"/>
  </r>
  <r>
    <s v="FB001303"/>
    <x v="5"/>
    <x v="3"/>
    <x v="3"/>
    <s v="XXL"/>
    <s v="Pink"/>
    <n v="113.81"/>
    <x v="99"/>
    <n v="103.34"/>
    <d v="2025-08-06T00:00:00"/>
    <n v="11"/>
    <n v="2.4"/>
    <x v="0"/>
    <m/>
    <s v="OK"/>
    <n v="10.470519999999999"/>
    <s v="Correct Price"/>
    <n v="1136.74"/>
  </r>
  <r>
    <s v="FB001304"/>
    <x v="1"/>
    <x v="5"/>
    <x v="3"/>
    <s v="XXL"/>
    <s v="Beige"/>
    <n v="40.119999999999997"/>
    <x v="351"/>
    <n v="29.01"/>
    <d v="2025-08-06T00:00:00"/>
    <n v="29"/>
    <n v="1.7"/>
    <x v="1"/>
    <s v="Size Issue"/>
    <s v="OK"/>
    <n v="11.113239999999998"/>
    <s v="Correct Price"/>
    <n v="841.29000000000008"/>
  </r>
  <r>
    <s v="FB001305"/>
    <x v="1"/>
    <x v="6"/>
    <x v="1"/>
    <s v="M"/>
    <s v="Black"/>
    <n v="49.64"/>
    <x v="352"/>
    <n v="34.299999999999997"/>
    <d v="2025-08-06T00:00:00"/>
    <n v="21"/>
    <n v="2"/>
    <x v="0"/>
    <m/>
    <s v="OK"/>
    <n v="15.338760000000001"/>
    <s v="Correct Price"/>
    <n v="720.3"/>
  </r>
  <r>
    <s v="FB001306"/>
    <x v="4"/>
    <x v="7"/>
    <x v="3"/>
    <s v="L"/>
    <s v="Brown"/>
    <n v="117.64"/>
    <x v="314"/>
    <n v="53.88"/>
    <d v="2025-08-06T00:00:00"/>
    <n v="25"/>
    <n v="4.5999999999999996"/>
    <x v="1"/>
    <s v="Wrong Item"/>
    <s v="OK"/>
    <n v="63.760880000000007"/>
    <s v="Correct Price"/>
    <n v="1347"/>
  </r>
  <r>
    <s v="FB001307"/>
    <x v="2"/>
    <x v="3"/>
    <x v="3"/>
    <m/>
    <s v="Red"/>
    <n v="69.78"/>
    <x v="353"/>
    <n v="67.2"/>
    <d v="2025-08-06T00:00:00"/>
    <n v="14"/>
    <n v="3.2"/>
    <x v="0"/>
    <m/>
    <s v="OK"/>
    <n v="2.5818600000000003"/>
    <s v="Correct Price"/>
    <n v="940.80000000000007"/>
  </r>
  <r>
    <s v="FB001308"/>
    <x v="2"/>
    <x v="7"/>
    <x v="0"/>
    <m/>
    <s v="White"/>
    <n v="29.91"/>
    <x v="85"/>
    <n v="24.41"/>
    <d v="2025-03-03T00:00:00"/>
    <n v="10"/>
    <n v="4.9000000000000004"/>
    <x v="0"/>
    <m/>
    <s v="OK"/>
    <n v="5.5034399999999994"/>
    <s v="Correct Price"/>
    <n v="244.1"/>
  </r>
  <r>
    <s v="FB001309"/>
    <x v="3"/>
    <x v="4"/>
    <x v="2"/>
    <s v="XL"/>
    <s v="Black"/>
    <n v="187.11"/>
    <x v="88"/>
    <n v="106.09"/>
    <d v="2025-08-06T00:00:00"/>
    <n v="26"/>
    <n v="3"/>
    <x v="0"/>
    <m/>
    <s v="OK"/>
    <n v="81.018630000000002"/>
    <s v="Correct Price"/>
    <n v="2758.34"/>
  </r>
  <r>
    <s v="FB001310"/>
    <x v="2"/>
    <x v="5"/>
    <x v="3"/>
    <m/>
    <s v="Beige"/>
    <n v="40.04"/>
    <x v="57"/>
    <n v="33.71"/>
    <d v="2025-08-06T00:00:00"/>
    <n v="31"/>
    <n v="1.8"/>
    <x v="0"/>
    <m/>
    <s v="OK"/>
    <n v="6.3263200000000008"/>
    <s v="Correct Price"/>
    <n v="1045.01"/>
  </r>
  <r>
    <s v="FB001311"/>
    <x v="5"/>
    <x v="3"/>
    <x v="0"/>
    <s v="XS"/>
    <s v="Beige"/>
    <n v="113.44"/>
    <x v="354"/>
    <n v="86.9"/>
    <d v="2025-03-07T00:00:00"/>
    <n v="1"/>
    <m/>
    <x v="0"/>
    <m/>
    <s v="OK"/>
    <n v="26.544959999999996"/>
    <s v="Correct Price"/>
    <n v="86.9"/>
  </r>
  <r>
    <s v="FB001312"/>
    <x v="4"/>
    <x v="0"/>
    <x v="0"/>
    <s v="S"/>
    <s v="Gray"/>
    <n v="119.84"/>
    <x v="0"/>
    <n v="119.84"/>
    <d v="2024-09-27T00:00:00"/>
    <n v="47"/>
    <n v="1.4"/>
    <x v="0"/>
    <m/>
    <s v="OK"/>
    <n v="0"/>
    <s v="Correct Price"/>
    <n v="5632.4800000000005"/>
  </r>
  <r>
    <s v="FB001313"/>
    <x v="3"/>
    <x v="1"/>
    <x v="2"/>
    <s v="XXL"/>
    <s v="Brown"/>
    <n v="167.27"/>
    <x v="0"/>
    <n v="167.27"/>
    <d v="2025-08-06T00:00:00"/>
    <n v="9"/>
    <n v="4"/>
    <x v="0"/>
    <m/>
    <s v="OK"/>
    <n v="0"/>
    <s v="Correct Price"/>
    <n v="1505.43"/>
  </r>
  <r>
    <s v="FB001314"/>
    <x v="5"/>
    <x v="2"/>
    <x v="0"/>
    <s v="XL"/>
    <s v="Blue"/>
    <n v="148"/>
    <x v="25"/>
    <n v="146.37"/>
    <d v="2025-02-23T00:00:00"/>
    <n v="43"/>
    <n v="2"/>
    <x v="0"/>
    <m/>
    <s v="OK"/>
    <n v="1.6280000000000001"/>
    <s v="Correct Price"/>
    <n v="6293.91"/>
  </r>
  <r>
    <s v="FB001315"/>
    <x v="4"/>
    <x v="4"/>
    <x v="1"/>
    <s v="XXL"/>
    <s v="Red"/>
    <n v="65.34"/>
    <x v="355"/>
    <n v="32.799999999999997"/>
    <d v="2025-08-06T00:00:00"/>
    <n v="9"/>
    <m/>
    <x v="0"/>
    <m/>
    <s v="OK"/>
    <n v="32.539319999999996"/>
    <s v="Correct Price"/>
    <n v="295.2"/>
  </r>
  <r>
    <s v="FB001316"/>
    <x v="3"/>
    <x v="2"/>
    <x v="0"/>
    <s v="M"/>
    <s v="Green"/>
    <n v="84.57"/>
    <x v="108"/>
    <n v="80"/>
    <d v="2025-07-17T00:00:00"/>
    <n v="33"/>
    <m/>
    <x v="0"/>
    <m/>
    <s v="OK"/>
    <n v="4.5667799999999996"/>
    <s v="Correct Price"/>
    <n v="2640"/>
  </r>
  <r>
    <s v="FB001317"/>
    <x v="4"/>
    <x v="6"/>
    <x v="3"/>
    <s v="XS"/>
    <s v="Gray"/>
    <n v="52.6"/>
    <x v="0"/>
    <n v="52.6"/>
    <d v="2025-08-06T00:00:00"/>
    <n v="35"/>
    <n v="1.2"/>
    <x v="1"/>
    <s v="Color Mismatch"/>
    <s v="OK"/>
    <n v="0"/>
    <s v="Correct Price"/>
    <n v="1841"/>
  </r>
  <r>
    <s v="FB001318"/>
    <x v="3"/>
    <x v="1"/>
    <x v="3"/>
    <s v="L"/>
    <s v="Green"/>
    <n v="106.37"/>
    <x v="0"/>
    <n v="106.37"/>
    <d v="2025-08-06T00:00:00"/>
    <n v="30"/>
    <n v="1.1000000000000001"/>
    <x v="0"/>
    <m/>
    <s v="OK"/>
    <n v="0"/>
    <s v="Correct Price"/>
    <n v="3191.1000000000004"/>
  </r>
  <r>
    <s v="FB001319"/>
    <x v="1"/>
    <x v="6"/>
    <x v="3"/>
    <s v="XXL"/>
    <s v="Black"/>
    <n v="96.77"/>
    <x v="199"/>
    <n v="57.67"/>
    <d v="2025-08-06T00:00:00"/>
    <n v="31"/>
    <n v="4.5"/>
    <x v="0"/>
    <m/>
    <s v="OK"/>
    <n v="39.095079999999996"/>
    <s v="Correct Price"/>
    <n v="1787.77"/>
  </r>
  <r>
    <s v="FB001320"/>
    <x v="0"/>
    <x v="2"/>
    <x v="0"/>
    <s v="L"/>
    <s v="Brown"/>
    <n v="99.02"/>
    <x v="0"/>
    <n v="99.02"/>
    <d v="2024-10-16T00:00:00"/>
    <n v="21"/>
    <n v="1.2"/>
    <x v="0"/>
    <m/>
    <s v="OK"/>
    <n v="0"/>
    <s v="Correct Price"/>
    <n v="2079.42"/>
  </r>
  <r>
    <s v="FB001321"/>
    <x v="2"/>
    <x v="0"/>
    <x v="0"/>
    <m/>
    <s v="Purple"/>
    <n v="68.89"/>
    <x v="123"/>
    <n v="43.47"/>
    <d v="2024-12-05T00:00:00"/>
    <n v="9"/>
    <n v="1.8"/>
    <x v="0"/>
    <m/>
    <s v="OK"/>
    <n v="25.420409999999997"/>
    <s v="Correct Price"/>
    <n v="391.23"/>
  </r>
  <r>
    <s v="FB001322"/>
    <x v="5"/>
    <x v="4"/>
    <x v="0"/>
    <s v="S"/>
    <s v="Pink"/>
    <n v="63.91"/>
    <x v="356"/>
    <n v="61.67"/>
    <d v="2025-05-19T00:00:00"/>
    <n v="14"/>
    <n v="2.1"/>
    <x v="0"/>
    <m/>
    <s v="OK"/>
    <n v="2.23685"/>
    <s v="Correct Price"/>
    <n v="863.38"/>
  </r>
  <r>
    <s v="FB001323"/>
    <x v="3"/>
    <x v="3"/>
    <x v="2"/>
    <s v="S"/>
    <s v="Navy"/>
    <n v="116.38"/>
    <x v="61"/>
    <n v="103.11"/>
    <d v="2025-08-06T00:00:00"/>
    <n v="15"/>
    <m/>
    <x v="0"/>
    <m/>
    <s v="OK"/>
    <n v="13.26732"/>
    <s v="Correct Price"/>
    <n v="1546.65"/>
  </r>
  <r>
    <s v="FB001324"/>
    <x v="4"/>
    <x v="1"/>
    <x v="2"/>
    <s v="XS"/>
    <s v="Green"/>
    <n v="71.739999999999995"/>
    <x v="0"/>
    <n v="71.739999999999995"/>
    <d v="2025-08-06T00:00:00"/>
    <n v="16"/>
    <m/>
    <x v="0"/>
    <m/>
    <s v="OK"/>
    <n v="0"/>
    <s v="Correct Price"/>
    <n v="1147.8399999999999"/>
  </r>
  <r>
    <s v="FB001325"/>
    <x v="4"/>
    <x v="7"/>
    <x v="1"/>
    <s v="M"/>
    <s v="Beige"/>
    <n v="91.11"/>
    <x v="0"/>
    <n v="91.11"/>
    <d v="2025-08-06T00:00:00"/>
    <n v="38"/>
    <n v="3.3"/>
    <x v="0"/>
    <m/>
    <s v="OK"/>
    <n v="0"/>
    <s v="Correct Price"/>
    <n v="3462.18"/>
  </r>
  <r>
    <s v="FB001326"/>
    <x v="2"/>
    <x v="0"/>
    <x v="3"/>
    <m/>
    <s v="White"/>
    <n v="46.07"/>
    <x v="0"/>
    <n v="46.07"/>
    <d v="2025-08-06T00:00:00"/>
    <n v="25"/>
    <n v="2.5"/>
    <x v="0"/>
    <m/>
    <s v="OK"/>
    <n v="0"/>
    <s v="Correct Price"/>
    <n v="1151.75"/>
  </r>
  <r>
    <s v="FB001327"/>
    <x v="5"/>
    <x v="3"/>
    <x v="2"/>
    <s v="S"/>
    <s v="Green"/>
    <n v="156.27000000000001"/>
    <x v="0"/>
    <n v="156.27000000000001"/>
    <d v="2025-08-06T00:00:00"/>
    <n v="43"/>
    <m/>
    <x v="0"/>
    <m/>
    <s v="OK"/>
    <n v="0"/>
    <s v="Correct Price"/>
    <n v="6719.6100000000006"/>
  </r>
  <r>
    <s v="FB001328"/>
    <x v="1"/>
    <x v="3"/>
    <x v="2"/>
    <s v="XS"/>
    <s v="Pink"/>
    <n v="56.35"/>
    <x v="0"/>
    <n v="56.35"/>
    <d v="2025-08-06T00:00:00"/>
    <n v="31"/>
    <n v="1.5"/>
    <x v="0"/>
    <m/>
    <s v="OK"/>
    <n v="0"/>
    <s v="Correct Price"/>
    <n v="1746.8500000000001"/>
  </r>
  <r>
    <s v="FB001329"/>
    <x v="4"/>
    <x v="0"/>
    <x v="1"/>
    <s v="XS"/>
    <s v="Purple"/>
    <n v="118.21"/>
    <x v="254"/>
    <n v="90.9"/>
    <d v="2025-08-06T00:00:00"/>
    <n v="15"/>
    <n v="5"/>
    <x v="0"/>
    <m/>
    <s v="OK"/>
    <n v="27.306509999999999"/>
    <s v="Correct Price"/>
    <n v="1363.5"/>
  </r>
  <r>
    <s v="FB001330"/>
    <x v="1"/>
    <x v="6"/>
    <x v="2"/>
    <s v="XS"/>
    <s v="Beige"/>
    <n v="25.86"/>
    <x v="0"/>
    <n v="25.86"/>
    <d v="2025-08-06T00:00:00"/>
    <n v="46"/>
    <n v="1.5"/>
    <x v="0"/>
    <m/>
    <s v="OK"/>
    <n v="0"/>
    <s v="Correct Price"/>
    <n v="1189.56"/>
  </r>
  <r>
    <s v="FB001331"/>
    <x v="1"/>
    <x v="4"/>
    <x v="2"/>
    <s v="S"/>
    <s v="Green"/>
    <n v="91.67"/>
    <x v="272"/>
    <n v="69.94"/>
    <d v="2025-08-06T00:00:00"/>
    <n v="3"/>
    <n v="3.7"/>
    <x v="0"/>
    <m/>
    <s v="OK"/>
    <n v="21.725790000000003"/>
    <s v="Correct Price"/>
    <n v="209.82"/>
  </r>
  <r>
    <s v="FB001332"/>
    <x v="4"/>
    <x v="1"/>
    <x v="2"/>
    <s v="L"/>
    <s v="Blue"/>
    <n v="25.29"/>
    <x v="216"/>
    <n v="23.29"/>
    <d v="2025-08-06T00:00:00"/>
    <n v="39"/>
    <n v="1.7"/>
    <x v="0"/>
    <m/>
    <s v="OK"/>
    <n v="1.9979100000000001"/>
    <s v="Correct Price"/>
    <n v="908.31"/>
  </r>
  <r>
    <s v="FB001333"/>
    <x v="2"/>
    <x v="4"/>
    <x v="1"/>
    <m/>
    <s v="Navy"/>
    <n v="51.61"/>
    <x v="250"/>
    <n v="34.99"/>
    <d v="2025-08-06T00:00:00"/>
    <n v="34"/>
    <n v="4.8"/>
    <x v="0"/>
    <m/>
    <s v="OK"/>
    <n v="16.61842"/>
    <s v="Correct Price"/>
    <n v="1189.6600000000001"/>
  </r>
  <r>
    <s v="FB001334"/>
    <x v="0"/>
    <x v="2"/>
    <x v="3"/>
    <s v="XL"/>
    <s v="Black"/>
    <n v="143.61000000000001"/>
    <x v="335"/>
    <n v="108.28"/>
    <d v="2025-08-06T00:00:00"/>
    <n v="50"/>
    <n v="4.0999999999999996"/>
    <x v="0"/>
    <m/>
    <s v="OK"/>
    <n v="35.328060000000008"/>
    <s v="Correct Price"/>
    <n v="5414"/>
  </r>
  <r>
    <s v="FB001335"/>
    <x v="4"/>
    <x v="6"/>
    <x v="3"/>
    <s v="L"/>
    <s v="Red"/>
    <n v="45.48"/>
    <x v="0"/>
    <n v="45.48"/>
    <d v="2025-08-06T00:00:00"/>
    <n v="29"/>
    <n v="2.2999999999999998"/>
    <x v="0"/>
    <m/>
    <s v="OK"/>
    <n v="0"/>
    <s v="Correct Price"/>
    <n v="1318.9199999999998"/>
  </r>
  <r>
    <s v="FB001336"/>
    <x v="3"/>
    <x v="0"/>
    <x v="3"/>
    <m/>
    <s v="White"/>
    <n v="177.79"/>
    <x v="357"/>
    <n v="158.77000000000001"/>
    <d v="2025-08-06T00:00:00"/>
    <n v="37"/>
    <m/>
    <x v="0"/>
    <m/>
    <s v="OK"/>
    <n v="19.023529999999997"/>
    <s v="Correct Price"/>
    <n v="5874.4900000000007"/>
  </r>
  <r>
    <s v="FB001337"/>
    <x v="0"/>
    <x v="6"/>
    <x v="2"/>
    <s v="XS"/>
    <s v="Purple"/>
    <n v="145.1"/>
    <x v="358"/>
    <n v="95.48"/>
    <d v="2025-08-06T00:00:00"/>
    <n v="14"/>
    <m/>
    <x v="0"/>
    <m/>
    <s v="OK"/>
    <n v="49.624200000000002"/>
    <s v="Correct Price"/>
    <n v="1336.72"/>
  </r>
  <r>
    <s v="FB001338"/>
    <x v="3"/>
    <x v="5"/>
    <x v="3"/>
    <s v="XXL"/>
    <s v="Navy"/>
    <n v="190.78"/>
    <x v="0"/>
    <n v="190.78"/>
    <d v="2025-08-06T00:00:00"/>
    <n v="39"/>
    <n v="3.7"/>
    <x v="0"/>
    <m/>
    <s v="OK"/>
    <n v="0"/>
    <s v="Correct Price"/>
    <n v="7440.42"/>
  </r>
  <r>
    <s v="FB001339"/>
    <x v="2"/>
    <x v="7"/>
    <x v="2"/>
    <m/>
    <s v="Blue"/>
    <n v="44.73"/>
    <x v="0"/>
    <n v="44.73"/>
    <d v="2025-08-06T00:00:00"/>
    <n v="25"/>
    <n v="1.1000000000000001"/>
    <x v="0"/>
    <m/>
    <s v="OK"/>
    <n v="0"/>
    <s v="Correct Price"/>
    <n v="1118.25"/>
  </r>
  <r>
    <s v="FB001340"/>
    <x v="3"/>
    <x v="2"/>
    <x v="1"/>
    <s v="XXL"/>
    <s v="White"/>
    <n v="65.48"/>
    <x v="0"/>
    <n v="65.48"/>
    <d v="2025-08-06T00:00:00"/>
    <n v="7"/>
    <n v="4.5999999999999996"/>
    <x v="0"/>
    <m/>
    <s v="OK"/>
    <n v="0"/>
    <s v="Correct Price"/>
    <n v="458.36"/>
  </r>
  <r>
    <s v="FB001341"/>
    <x v="3"/>
    <x v="6"/>
    <x v="0"/>
    <s v="XS"/>
    <s v="Purple"/>
    <n v="86.1"/>
    <x v="0"/>
    <n v="86.1"/>
    <d v="2024-12-27T00:00:00"/>
    <n v="4"/>
    <n v="2.4"/>
    <x v="0"/>
    <m/>
    <s v="OK"/>
    <n v="0"/>
    <s v="Correct Price"/>
    <n v="344.4"/>
  </r>
  <r>
    <s v="FB001342"/>
    <x v="4"/>
    <x v="1"/>
    <x v="1"/>
    <s v="XS"/>
    <s v="Green"/>
    <n v="100.14"/>
    <x v="0"/>
    <n v="100.14"/>
    <d v="2025-08-06T00:00:00"/>
    <n v="48"/>
    <n v="4.2"/>
    <x v="0"/>
    <m/>
    <s v="OK"/>
    <n v="0"/>
    <s v="Correct Price"/>
    <n v="4806.72"/>
  </r>
  <r>
    <s v="FB001343"/>
    <x v="0"/>
    <x v="2"/>
    <x v="1"/>
    <m/>
    <s v="Red"/>
    <n v="203.4"/>
    <x v="0"/>
    <n v="203.4"/>
    <d v="2025-08-06T00:00:00"/>
    <n v="18"/>
    <n v="1.8"/>
    <x v="0"/>
    <m/>
    <s v="OK"/>
    <n v="0"/>
    <s v="Correct Price"/>
    <n v="3661.2000000000003"/>
  </r>
  <r>
    <s v="FB001344"/>
    <x v="1"/>
    <x v="6"/>
    <x v="1"/>
    <s v="XS"/>
    <s v="White"/>
    <n v="95.22"/>
    <x v="11"/>
    <n v="71.989999999999995"/>
    <d v="2025-08-06T00:00:00"/>
    <n v="26"/>
    <n v="2.2999999999999998"/>
    <x v="0"/>
    <m/>
    <s v="OK"/>
    <n v="23.23368"/>
    <s v="Correct Price"/>
    <n v="1871.7399999999998"/>
  </r>
  <r>
    <s v="FB001345"/>
    <x v="5"/>
    <x v="4"/>
    <x v="2"/>
    <s v="XL"/>
    <s v="Red"/>
    <n v="173.88"/>
    <x v="359"/>
    <n v="118.93"/>
    <d v="2025-08-06T00:00:00"/>
    <n v="5"/>
    <n v="3.2"/>
    <x v="0"/>
    <m/>
    <s v="OK"/>
    <n v="54.946080000000002"/>
    <s v="Correct Price"/>
    <n v="594.65000000000009"/>
  </r>
  <r>
    <s v="FB001346"/>
    <x v="5"/>
    <x v="4"/>
    <x v="1"/>
    <s v="L"/>
    <s v="Beige"/>
    <n v="160.05000000000001"/>
    <x v="0"/>
    <n v="160.05000000000001"/>
    <d v="2025-08-06T00:00:00"/>
    <n v="23"/>
    <n v="4"/>
    <x v="0"/>
    <m/>
    <s v="OK"/>
    <n v="0"/>
    <s v="Correct Price"/>
    <n v="3681.15"/>
  </r>
  <r>
    <s v="FB001347"/>
    <x v="1"/>
    <x v="7"/>
    <x v="1"/>
    <s v="XS"/>
    <s v="Blue"/>
    <n v="59.53"/>
    <x v="0"/>
    <n v="59.53"/>
    <d v="2025-08-06T00:00:00"/>
    <n v="28"/>
    <n v="1.5"/>
    <x v="0"/>
    <m/>
    <s v="OK"/>
    <n v="0"/>
    <s v="Correct Price"/>
    <n v="1666.8400000000001"/>
  </r>
  <r>
    <s v="FB001348"/>
    <x v="5"/>
    <x v="3"/>
    <x v="2"/>
    <s v="XS"/>
    <s v="Blue"/>
    <n v="155.32"/>
    <x v="0"/>
    <n v="155.32"/>
    <d v="2025-08-06T00:00:00"/>
    <n v="19"/>
    <n v="4.0999999999999996"/>
    <x v="0"/>
    <m/>
    <s v="OK"/>
    <n v="0"/>
    <s v="Correct Price"/>
    <n v="2951.08"/>
  </r>
  <r>
    <s v="FB001349"/>
    <x v="4"/>
    <x v="7"/>
    <x v="0"/>
    <s v="XL"/>
    <s v="Black"/>
    <n v="29.65"/>
    <x v="360"/>
    <n v="17.489999999999998"/>
    <d v="2024-08-26T00:00:00"/>
    <n v="21"/>
    <n v="4.5"/>
    <x v="1"/>
    <s v="Quality Issue"/>
    <s v="OK"/>
    <n v="12.156499999999999"/>
    <s v="Correct Price"/>
    <n v="367.28999999999996"/>
  </r>
  <r>
    <s v="FB001350"/>
    <x v="0"/>
    <x v="3"/>
    <x v="1"/>
    <s v="XXL"/>
    <s v="Brown"/>
    <n v="237.53"/>
    <x v="361"/>
    <n v="182.42"/>
    <d v="2025-08-06T00:00:00"/>
    <n v="23"/>
    <n v="2.2000000000000002"/>
    <x v="0"/>
    <m/>
    <s v="OK"/>
    <n v="55.106960000000001"/>
    <s v="Correct Price"/>
    <n v="4195.66"/>
  </r>
  <r>
    <s v="FB001351"/>
    <x v="0"/>
    <x v="5"/>
    <x v="3"/>
    <s v="M"/>
    <s v="Pink"/>
    <n v="81.67"/>
    <x v="0"/>
    <n v="81.67"/>
    <d v="2025-08-06T00:00:00"/>
    <n v="34"/>
    <n v="3.1"/>
    <x v="1"/>
    <s v="Damaged"/>
    <s v="OK"/>
    <n v="0"/>
    <s v="Correct Price"/>
    <n v="2776.78"/>
  </r>
  <r>
    <s v="FB001352"/>
    <x v="4"/>
    <x v="2"/>
    <x v="0"/>
    <s v="M"/>
    <s v="Beige"/>
    <n v="37.07"/>
    <x v="0"/>
    <n v="37.07"/>
    <d v="2025-05-01T00:00:00"/>
    <n v="13"/>
    <m/>
    <x v="0"/>
    <m/>
    <s v="OK"/>
    <n v="0"/>
    <s v="Correct Price"/>
    <n v="481.91"/>
  </r>
  <r>
    <s v="FB001353"/>
    <x v="1"/>
    <x v="1"/>
    <x v="2"/>
    <s v="XXL"/>
    <s v="Purple"/>
    <n v="80.97"/>
    <x v="0"/>
    <n v="80.97"/>
    <d v="2025-08-06T00:00:00"/>
    <n v="13"/>
    <m/>
    <x v="0"/>
    <m/>
    <s v="OK"/>
    <n v="0"/>
    <s v="Correct Price"/>
    <n v="1052.6099999999999"/>
  </r>
  <r>
    <s v="FB001354"/>
    <x v="2"/>
    <x v="0"/>
    <x v="0"/>
    <m/>
    <s v="Gray"/>
    <n v="77.680000000000007"/>
    <x v="362"/>
    <n v="54.45"/>
    <d v="2025-07-24T00:00:00"/>
    <n v="33"/>
    <n v="4"/>
    <x v="1"/>
    <s v="Damaged"/>
    <s v="OK"/>
    <n v="23.226320000000001"/>
    <s v="Correct Price"/>
    <n v="1796.8500000000001"/>
  </r>
  <r>
    <s v="FB001355"/>
    <x v="1"/>
    <x v="2"/>
    <x v="3"/>
    <s v="XXL"/>
    <s v="Green"/>
    <n v="117.58"/>
    <x v="363"/>
    <n v="116.4"/>
    <d v="2025-08-06T00:00:00"/>
    <n v="27"/>
    <n v="3.3"/>
    <x v="0"/>
    <m/>
    <s v="OK"/>
    <n v="1.1758"/>
    <s v="Correct Price"/>
    <n v="3142.8"/>
  </r>
  <r>
    <s v="FB001356"/>
    <x v="0"/>
    <x v="3"/>
    <x v="2"/>
    <s v="XL"/>
    <s v="Blue"/>
    <n v="130.09"/>
    <x v="63"/>
    <n v="93.27"/>
    <d v="2025-08-06T00:00:00"/>
    <n v="41"/>
    <n v="2.2999999999999998"/>
    <x v="0"/>
    <m/>
    <s v="OK"/>
    <n v="36.815469999999998"/>
    <s v="Correct Price"/>
    <n v="3824.0699999999997"/>
  </r>
  <r>
    <s v="FB001357"/>
    <x v="1"/>
    <x v="1"/>
    <x v="2"/>
    <s v="XS"/>
    <s v="Purple"/>
    <n v="63.69"/>
    <x v="0"/>
    <n v="63.69"/>
    <d v="2025-08-06T00:00:00"/>
    <n v="11"/>
    <n v="3"/>
    <x v="0"/>
    <m/>
    <s v="OK"/>
    <n v="0"/>
    <s v="Correct Price"/>
    <n v="700.58999999999992"/>
  </r>
  <r>
    <s v="FB001358"/>
    <x v="0"/>
    <x v="2"/>
    <x v="0"/>
    <s v="XL"/>
    <s v="Red"/>
    <n v="135.02000000000001"/>
    <x v="0"/>
    <n v="135.02000000000001"/>
    <d v="2025-07-30T00:00:00"/>
    <n v="25"/>
    <n v="3.4"/>
    <x v="1"/>
    <s v="Changed Mind"/>
    <s v="OK"/>
    <n v="0"/>
    <s v="Correct Price"/>
    <n v="3375.5000000000005"/>
  </r>
  <r>
    <s v="FB001359"/>
    <x v="2"/>
    <x v="4"/>
    <x v="1"/>
    <m/>
    <s v="Beige"/>
    <n v="45.37"/>
    <x v="0"/>
    <n v="45.37"/>
    <d v="2025-08-06T00:00:00"/>
    <n v="19"/>
    <n v="1.1000000000000001"/>
    <x v="0"/>
    <m/>
    <s v="OK"/>
    <n v="0"/>
    <s v="Correct Price"/>
    <n v="862.03"/>
  </r>
  <r>
    <s v="FB001360"/>
    <x v="4"/>
    <x v="0"/>
    <x v="1"/>
    <s v="XL"/>
    <s v="Brown"/>
    <n v="51.17"/>
    <x v="344"/>
    <n v="47.08"/>
    <d v="2025-08-06T00:00:00"/>
    <n v="7"/>
    <m/>
    <x v="0"/>
    <m/>
    <s v="OK"/>
    <n v="4.0936000000000003"/>
    <s v="Correct Price"/>
    <n v="329.56"/>
  </r>
  <r>
    <s v="FB001361"/>
    <x v="5"/>
    <x v="7"/>
    <x v="3"/>
    <s v="XXL"/>
    <s v="Brown"/>
    <n v="49.34"/>
    <x v="284"/>
    <n v="46.63"/>
    <d v="2025-08-06T00:00:00"/>
    <n v="10"/>
    <n v="4.3"/>
    <x v="0"/>
    <m/>
    <s v="OK"/>
    <n v="2.7137000000000002"/>
    <s v="Correct Price"/>
    <n v="466.3"/>
  </r>
  <r>
    <s v="FB001362"/>
    <x v="3"/>
    <x v="1"/>
    <x v="0"/>
    <s v="S"/>
    <s v="Green"/>
    <n v="119.78"/>
    <x v="0"/>
    <n v="119.78"/>
    <d v="2025-06-10T00:00:00"/>
    <n v="40"/>
    <m/>
    <x v="0"/>
    <m/>
    <s v="OK"/>
    <n v="0"/>
    <s v="Correct Price"/>
    <n v="4791.2"/>
  </r>
  <r>
    <s v="FB001363"/>
    <x v="1"/>
    <x v="2"/>
    <x v="0"/>
    <s v="S"/>
    <s v="Gray"/>
    <n v="77.3"/>
    <x v="364"/>
    <n v="50.17"/>
    <d v="2025-07-26T00:00:00"/>
    <n v="16"/>
    <m/>
    <x v="0"/>
    <m/>
    <s v="OK"/>
    <n v="27.132300000000001"/>
    <s v="Correct Price"/>
    <n v="802.72"/>
  </r>
  <r>
    <s v="FB001364"/>
    <x v="1"/>
    <x v="6"/>
    <x v="2"/>
    <s v="XS"/>
    <s v="Red"/>
    <n v="72.69"/>
    <x v="0"/>
    <n v="72.69"/>
    <d v="2025-08-06T00:00:00"/>
    <n v="6"/>
    <m/>
    <x v="0"/>
    <m/>
    <s v="OK"/>
    <n v="0"/>
    <s v="Correct Price"/>
    <n v="436.14"/>
  </r>
  <r>
    <s v="FB001365"/>
    <x v="3"/>
    <x v="6"/>
    <x v="2"/>
    <s v="XL"/>
    <s v="Brown"/>
    <n v="117.57"/>
    <x v="0"/>
    <n v="117.57"/>
    <d v="2025-08-06T00:00:00"/>
    <n v="30"/>
    <n v="4.8"/>
    <x v="0"/>
    <m/>
    <s v="OK"/>
    <n v="0"/>
    <s v="Correct Price"/>
    <n v="3527.1"/>
  </r>
  <r>
    <s v="FB001366"/>
    <x v="0"/>
    <x v="7"/>
    <x v="0"/>
    <s v="S"/>
    <s v="Green"/>
    <n v="161.25"/>
    <x v="281"/>
    <n v="83.2"/>
    <d v="2024-11-11T00:00:00"/>
    <n v="32"/>
    <m/>
    <x v="0"/>
    <m/>
    <s v="OK"/>
    <n v="78.045000000000002"/>
    <s v="Incorrect Price"/>
    <n v="2662.4"/>
  </r>
  <r>
    <s v="FB001367"/>
    <x v="3"/>
    <x v="5"/>
    <x v="2"/>
    <s v="S"/>
    <s v="Purple"/>
    <n v="158.01"/>
    <x v="0"/>
    <n v="158.01"/>
    <d v="2025-08-06T00:00:00"/>
    <n v="19"/>
    <n v="2.6"/>
    <x v="0"/>
    <m/>
    <s v="OK"/>
    <n v="0"/>
    <s v="Correct Price"/>
    <n v="3002.1899999999996"/>
  </r>
  <r>
    <s v="FB001368"/>
    <x v="1"/>
    <x v="5"/>
    <x v="3"/>
    <s v="L"/>
    <s v="Blue"/>
    <n v="60.92"/>
    <x v="0"/>
    <n v="60.92"/>
    <d v="2025-08-06T00:00:00"/>
    <n v="25"/>
    <m/>
    <x v="1"/>
    <s v="Quality Issue"/>
    <s v="OK"/>
    <n v="0"/>
    <s v="Correct Price"/>
    <n v="1523"/>
  </r>
  <r>
    <s v="FB001369"/>
    <x v="3"/>
    <x v="4"/>
    <x v="3"/>
    <s v="XL"/>
    <s v="Gray"/>
    <n v="122.03"/>
    <x v="365"/>
    <n v="91.28"/>
    <d v="2025-08-06T00:00:00"/>
    <n v="21"/>
    <n v="4.7"/>
    <x v="0"/>
    <m/>
    <s v="OK"/>
    <n v="30.751559999999998"/>
    <s v="Correct Price"/>
    <n v="1916.88"/>
  </r>
  <r>
    <s v="FB001370"/>
    <x v="3"/>
    <x v="3"/>
    <x v="0"/>
    <s v="S"/>
    <s v="Brown"/>
    <n v="109.15"/>
    <x v="0"/>
    <n v="109.15"/>
    <d v="2024-11-11T00:00:00"/>
    <n v="11"/>
    <m/>
    <x v="0"/>
    <m/>
    <s v="OK"/>
    <n v="0"/>
    <s v="Correct Price"/>
    <n v="1200.6500000000001"/>
  </r>
  <r>
    <s v="FB001371"/>
    <x v="4"/>
    <x v="5"/>
    <x v="2"/>
    <s v="M"/>
    <s v="Beige"/>
    <n v="60.97"/>
    <x v="0"/>
    <n v="60.97"/>
    <d v="2025-08-06T00:00:00"/>
    <n v="29"/>
    <n v="4.5"/>
    <x v="0"/>
    <m/>
    <s v="OK"/>
    <n v="0"/>
    <s v="Correct Price"/>
    <n v="1768.1299999999999"/>
  </r>
  <r>
    <s v="FB001372"/>
    <x v="2"/>
    <x v="1"/>
    <x v="3"/>
    <m/>
    <s v="Pink"/>
    <n v="64.87"/>
    <x v="233"/>
    <n v="41.97"/>
    <d v="2025-08-06T00:00:00"/>
    <n v="12"/>
    <n v="4.2"/>
    <x v="1"/>
    <s v="Size Issue"/>
    <s v="OK"/>
    <n v="22.89911"/>
    <s v="Correct Price"/>
    <n v="503.64"/>
  </r>
  <r>
    <s v="FB001373"/>
    <x v="3"/>
    <x v="3"/>
    <x v="2"/>
    <s v="S"/>
    <s v="Pink"/>
    <n v="151.35"/>
    <x v="0"/>
    <n v="151.35"/>
    <d v="2025-08-06T00:00:00"/>
    <n v="18"/>
    <m/>
    <x v="0"/>
    <m/>
    <s v="OK"/>
    <n v="0"/>
    <s v="Correct Price"/>
    <n v="2724.2999999999997"/>
  </r>
  <r>
    <s v="FB001374"/>
    <x v="2"/>
    <x v="6"/>
    <x v="1"/>
    <m/>
    <s v="Blue"/>
    <n v="72.900000000000006"/>
    <x v="366"/>
    <n v="40.82"/>
    <d v="2025-08-06T00:00:00"/>
    <n v="25"/>
    <n v="3"/>
    <x v="0"/>
    <m/>
    <s v="OK"/>
    <n v="32.076000000000001"/>
    <s v="Correct Price"/>
    <n v="1020.5"/>
  </r>
  <r>
    <s v="FB001375"/>
    <x v="2"/>
    <x v="6"/>
    <x v="1"/>
    <m/>
    <s v="Purple"/>
    <n v="79.48"/>
    <x v="0"/>
    <n v="79.48"/>
    <d v="2025-08-06T00:00:00"/>
    <n v="2"/>
    <n v="3.3"/>
    <x v="0"/>
    <m/>
    <s v="OK"/>
    <n v="0"/>
    <s v="Correct Price"/>
    <n v="158.96"/>
  </r>
  <r>
    <s v="FB001376"/>
    <x v="3"/>
    <x v="3"/>
    <x v="2"/>
    <s v="M"/>
    <s v="Beige"/>
    <n v="122.77"/>
    <x v="322"/>
    <n v="49.35"/>
    <d v="2025-08-06T00:00:00"/>
    <n v="33"/>
    <n v="4"/>
    <x v="0"/>
    <m/>
    <s v="OK"/>
    <n v="73.416460000000001"/>
    <s v="Correct Price"/>
    <n v="1628.55"/>
  </r>
  <r>
    <s v="FB001377"/>
    <x v="4"/>
    <x v="7"/>
    <x v="3"/>
    <s v="XL"/>
    <s v="Black"/>
    <n v="79.61"/>
    <x v="0"/>
    <n v="79.61"/>
    <d v="2025-08-06T00:00:00"/>
    <n v="29"/>
    <n v="3.7"/>
    <x v="0"/>
    <m/>
    <s v="OK"/>
    <n v="0"/>
    <s v="Correct Price"/>
    <n v="2308.69"/>
  </r>
  <r>
    <s v="FB001378"/>
    <x v="4"/>
    <x v="1"/>
    <x v="1"/>
    <s v="L"/>
    <s v="White"/>
    <n v="60.13"/>
    <x v="0"/>
    <n v="60.13"/>
    <d v="2025-08-06T00:00:00"/>
    <n v="27"/>
    <m/>
    <x v="0"/>
    <m/>
    <s v="OK"/>
    <n v="0"/>
    <s v="Correct Price"/>
    <n v="1623.51"/>
  </r>
  <r>
    <s v="FB001379"/>
    <x v="2"/>
    <x v="6"/>
    <x v="1"/>
    <m/>
    <s v="Gray"/>
    <n v="72.260000000000005"/>
    <x v="360"/>
    <n v="42.63"/>
    <d v="2025-08-06T00:00:00"/>
    <n v="43"/>
    <n v="3.5"/>
    <x v="0"/>
    <m/>
    <s v="OK"/>
    <n v="29.626600000000003"/>
    <s v="Correct Price"/>
    <n v="1833.0900000000001"/>
  </r>
  <r>
    <s v="FB001380"/>
    <x v="4"/>
    <x v="3"/>
    <x v="3"/>
    <s v="XL"/>
    <s v="Green"/>
    <n v="66.38"/>
    <x v="80"/>
    <n v="55.1"/>
    <d v="2025-08-06T00:00:00"/>
    <n v="24"/>
    <n v="4.9000000000000004"/>
    <x v="1"/>
    <s v="Size Issue"/>
    <s v="OK"/>
    <n v="11.284600000000001"/>
    <s v="Correct Price"/>
    <n v="1322.4"/>
  </r>
  <r>
    <s v="FB001381"/>
    <x v="0"/>
    <x v="5"/>
    <x v="0"/>
    <s v="XS"/>
    <s v="Beige"/>
    <n v="100.27"/>
    <x v="0"/>
    <n v="100.27"/>
    <d v="2025-03-03T00:00:00"/>
    <n v="37"/>
    <n v="3.1"/>
    <x v="0"/>
    <m/>
    <s v="OK"/>
    <n v="0"/>
    <s v="Correct Price"/>
    <n v="3709.99"/>
  </r>
  <r>
    <s v="FB001382"/>
    <x v="5"/>
    <x v="0"/>
    <x v="3"/>
    <s v="S"/>
    <s v="Beige"/>
    <n v="116.09"/>
    <x v="229"/>
    <n v="54.79"/>
    <d v="2025-08-06T00:00:00"/>
    <n v="22"/>
    <m/>
    <x v="0"/>
    <m/>
    <s v="OK"/>
    <n v="61.295519999999996"/>
    <s v="Correct Price"/>
    <n v="1205.3799999999999"/>
  </r>
  <r>
    <s v="FB001383"/>
    <x v="0"/>
    <x v="3"/>
    <x v="2"/>
    <s v="S"/>
    <s v="White"/>
    <n v="80.709999999999994"/>
    <x v="126"/>
    <n v="79.98"/>
    <d v="2025-08-06T00:00:00"/>
    <n v="11"/>
    <n v="1.1000000000000001"/>
    <x v="0"/>
    <m/>
    <s v="OK"/>
    <n v="0.72638999999999998"/>
    <s v="Correct Price"/>
    <n v="879.78000000000009"/>
  </r>
  <r>
    <s v="FB001384"/>
    <x v="5"/>
    <x v="2"/>
    <x v="3"/>
    <s v="M"/>
    <s v="Blue"/>
    <n v="175.11"/>
    <x v="0"/>
    <n v="175.11"/>
    <d v="2025-08-06T00:00:00"/>
    <n v="39"/>
    <n v="2.9"/>
    <x v="0"/>
    <m/>
    <s v="OK"/>
    <n v="0"/>
    <s v="Correct Price"/>
    <n v="6829.2900000000009"/>
  </r>
  <r>
    <s v="FB001385"/>
    <x v="5"/>
    <x v="3"/>
    <x v="2"/>
    <s v="XS"/>
    <s v="Brown"/>
    <n v="122.35"/>
    <x v="273"/>
    <n v="77.08"/>
    <d v="2025-08-06T00:00:00"/>
    <n v="25"/>
    <m/>
    <x v="0"/>
    <m/>
    <s v="OK"/>
    <n v="45.269500000000001"/>
    <s v="Correct Price"/>
    <n v="1927"/>
  </r>
  <r>
    <s v="FB001386"/>
    <x v="3"/>
    <x v="1"/>
    <x v="1"/>
    <s v="S"/>
    <s v="Blue"/>
    <n v="127.99"/>
    <x v="0"/>
    <n v="127.99"/>
    <d v="2025-08-06T00:00:00"/>
    <n v="14"/>
    <n v="2.7"/>
    <x v="0"/>
    <m/>
    <s v="OK"/>
    <n v="0"/>
    <s v="Correct Price"/>
    <n v="1791.86"/>
  </r>
  <r>
    <s v="FB001387"/>
    <x v="4"/>
    <x v="0"/>
    <x v="3"/>
    <s v="S"/>
    <s v="Brown"/>
    <n v="101.07"/>
    <x v="367"/>
    <n v="96.42"/>
    <d v="2025-08-06T00:00:00"/>
    <n v="19"/>
    <n v="4.7"/>
    <x v="0"/>
    <m/>
    <s v="OK"/>
    <n v="4.6492199999999988"/>
    <s v="Correct Price"/>
    <n v="1831.98"/>
  </r>
  <r>
    <s v="FB001388"/>
    <x v="4"/>
    <x v="7"/>
    <x v="1"/>
    <s v="L"/>
    <s v="Brown"/>
    <n v="41.83"/>
    <x v="256"/>
    <n v="23.38"/>
    <d v="2025-08-06T00:00:00"/>
    <n v="6"/>
    <n v="2.4"/>
    <x v="0"/>
    <m/>
    <s v="OK"/>
    <n v="18.447029999999998"/>
    <s v="Correct Price"/>
    <n v="140.28"/>
  </r>
  <r>
    <s v="FB001389"/>
    <x v="3"/>
    <x v="4"/>
    <x v="0"/>
    <s v="M"/>
    <s v="Green"/>
    <n v="147.52000000000001"/>
    <x v="0"/>
    <n v="147.52000000000001"/>
    <d v="2025-01-08T00:00:00"/>
    <n v="41"/>
    <n v="4"/>
    <x v="0"/>
    <m/>
    <s v="OK"/>
    <n v="0"/>
    <s v="Correct Price"/>
    <n v="6048.3200000000006"/>
  </r>
  <r>
    <s v="FB001390"/>
    <x v="1"/>
    <x v="2"/>
    <x v="2"/>
    <s v="S"/>
    <s v="Gray"/>
    <n v="85.94"/>
    <x v="0"/>
    <n v="85.94"/>
    <d v="2025-08-06T00:00:00"/>
    <n v="49"/>
    <n v="1.5"/>
    <x v="0"/>
    <m/>
    <s v="OK"/>
    <n v="0"/>
    <s v="Correct Price"/>
    <n v="4211.0599999999995"/>
  </r>
  <r>
    <s v="FB001391"/>
    <x v="5"/>
    <x v="6"/>
    <x v="1"/>
    <s v="XXL"/>
    <s v="Green"/>
    <n v="115.61"/>
    <x v="0"/>
    <n v="115.61"/>
    <d v="2025-08-06T00:00:00"/>
    <n v="35"/>
    <n v="1.8"/>
    <x v="0"/>
    <m/>
    <s v="OK"/>
    <n v="0"/>
    <s v="Correct Price"/>
    <n v="4046.35"/>
  </r>
  <r>
    <s v="FB001392"/>
    <x v="0"/>
    <x v="5"/>
    <x v="1"/>
    <s v="XS"/>
    <s v="Pink"/>
    <n v="90.58"/>
    <x v="0"/>
    <n v="90.58"/>
    <d v="2025-08-06T00:00:00"/>
    <n v="1"/>
    <n v="1"/>
    <x v="0"/>
    <m/>
    <s v="OK"/>
    <n v="0"/>
    <s v="Correct Price"/>
    <n v="90.58"/>
  </r>
  <r>
    <s v="FB001393"/>
    <x v="1"/>
    <x v="6"/>
    <x v="0"/>
    <s v="S"/>
    <s v="Red"/>
    <n v="64.84"/>
    <x v="0"/>
    <n v="64.84"/>
    <d v="2024-10-26T00:00:00"/>
    <n v="25"/>
    <n v="3.9"/>
    <x v="0"/>
    <m/>
    <s v="OK"/>
    <n v="0"/>
    <s v="Correct Price"/>
    <n v="1621"/>
  </r>
  <r>
    <s v="FB001394"/>
    <x v="4"/>
    <x v="2"/>
    <x v="3"/>
    <s v="XS"/>
    <s v="Black"/>
    <n v="37.270000000000003"/>
    <x v="0"/>
    <n v="37.270000000000003"/>
    <d v="2025-08-06T00:00:00"/>
    <n v="27"/>
    <n v="2.8"/>
    <x v="1"/>
    <s v="Changed Mind"/>
    <s v="OK"/>
    <n v="0"/>
    <s v="Correct Price"/>
    <n v="1006.2900000000001"/>
  </r>
  <r>
    <s v="FB001395"/>
    <x v="1"/>
    <x v="6"/>
    <x v="3"/>
    <s v="XL"/>
    <s v="Blue"/>
    <n v="90.48"/>
    <x v="32"/>
    <n v="40.54"/>
    <d v="2025-08-06T00:00:00"/>
    <n v="26"/>
    <n v="3"/>
    <x v="0"/>
    <m/>
    <s v="OK"/>
    <n v="49.944960000000002"/>
    <s v="Correct Price"/>
    <n v="1054.04"/>
  </r>
  <r>
    <s v="FB001396"/>
    <x v="3"/>
    <x v="6"/>
    <x v="3"/>
    <s v="S"/>
    <s v="Green"/>
    <n v="159.62"/>
    <x v="242"/>
    <n v="66.400000000000006"/>
    <d v="2025-08-06T00:00:00"/>
    <n v="45"/>
    <n v="1.1000000000000001"/>
    <x v="0"/>
    <m/>
    <s v="OK"/>
    <n v="93.218080000000015"/>
    <s v="Correct Price"/>
    <n v="2988.0000000000005"/>
  </r>
  <r>
    <s v="FB001397"/>
    <x v="3"/>
    <x v="5"/>
    <x v="3"/>
    <s v="L"/>
    <s v="Gray"/>
    <n v="81.459999999999994"/>
    <x v="55"/>
    <n v="33.56"/>
    <d v="2025-08-06T00:00:00"/>
    <n v="37"/>
    <n v="4.5999999999999996"/>
    <x v="0"/>
    <m/>
    <s v="OK"/>
    <n v="47.898479999999992"/>
    <s v="Correct Price"/>
    <n v="1241.72"/>
  </r>
  <r>
    <s v="FB001398"/>
    <x v="3"/>
    <x v="7"/>
    <x v="1"/>
    <s v="XS"/>
    <s v="White"/>
    <n v="93.63"/>
    <x v="0"/>
    <n v="93.63"/>
    <d v="2025-08-06T00:00:00"/>
    <n v="47"/>
    <n v="4.0999999999999996"/>
    <x v="0"/>
    <m/>
    <s v="OK"/>
    <n v="0"/>
    <s v="Correct Price"/>
    <n v="4400.6099999999997"/>
  </r>
  <r>
    <s v="FB001399"/>
    <x v="1"/>
    <x v="5"/>
    <x v="3"/>
    <s v="M"/>
    <s v="Brown"/>
    <n v="95.55"/>
    <x v="0"/>
    <n v="95.55"/>
    <d v="2025-08-06T00:00:00"/>
    <n v="25"/>
    <n v="4.7"/>
    <x v="0"/>
    <m/>
    <s v="OK"/>
    <n v="0"/>
    <s v="Correct Price"/>
    <n v="2388.75"/>
  </r>
  <r>
    <s v="FB001400"/>
    <x v="0"/>
    <x v="0"/>
    <x v="1"/>
    <s v="M"/>
    <s v="White"/>
    <n v="146.44999999999999"/>
    <x v="0"/>
    <n v="146.44999999999999"/>
    <d v="2025-08-06T00:00:00"/>
    <n v="45"/>
    <n v="3.4"/>
    <x v="0"/>
    <m/>
    <s v="OK"/>
    <n v="0"/>
    <s v="Correct Price"/>
    <n v="6590.2499999999991"/>
  </r>
  <r>
    <s v="FB001401"/>
    <x v="3"/>
    <x v="2"/>
    <x v="0"/>
    <s v="M"/>
    <s v="Blue"/>
    <n v="96.9"/>
    <x v="0"/>
    <n v="96.9"/>
    <d v="2025-02-03T00:00:00"/>
    <n v="24"/>
    <n v="4.3"/>
    <x v="0"/>
    <m/>
    <s v="OK"/>
    <n v="0"/>
    <s v="Correct Price"/>
    <n v="2325.6000000000004"/>
  </r>
  <r>
    <s v="FB001402"/>
    <x v="1"/>
    <x v="2"/>
    <x v="2"/>
    <s v="XXL"/>
    <s v="Brown"/>
    <n v="71.83"/>
    <x v="0"/>
    <n v="71.83"/>
    <d v="2025-08-06T00:00:00"/>
    <n v="46"/>
    <n v="4.5"/>
    <x v="0"/>
    <m/>
    <s v="OK"/>
    <n v="0"/>
    <s v="Correct Price"/>
    <n v="3304.18"/>
  </r>
  <r>
    <s v="FB001403"/>
    <x v="1"/>
    <x v="4"/>
    <x v="3"/>
    <s v="L"/>
    <s v="Navy"/>
    <n v="29.17"/>
    <x v="0"/>
    <n v="29.17"/>
    <d v="2025-08-06T00:00:00"/>
    <n v="17"/>
    <n v="1.6"/>
    <x v="0"/>
    <m/>
    <s v="OK"/>
    <n v="0"/>
    <s v="Correct Price"/>
    <n v="495.89000000000004"/>
  </r>
  <r>
    <s v="FB001404"/>
    <x v="1"/>
    <x v="4"/>
    <x v="0"/>
    <s v="S"/>
    <s v="Green"/>
    <n v="31.3"/>
    <x v="368"/>
    <n v="17.649999999999999"/>
    <d v="2025-03-06T00:00:00"/>
    <n v="21"/>
    <n v="4.4000000000000004"/>
    <x v="0"/>
    <m/>
    <s v="OK"/>
    <n v="13.646800000000001"/>
    <s v="Correct Price"/>
    <n v="370.65"/>
  </r>
  <r>
    <s v="FB001405"/>
    <x v="2"/>
    <x v="0"/>
    <x v="2"/>
    <m/>
    <s v="Green"/>
    <n v="73.569999999999993"/>
    <x v="0"/>
    <n v="73.569999999999993"/>
    <d v="2025-08-06T00:00:00"/>
    <n v="22"/>
    <n v="1.1000000000000001"/>
    <x v="0"/>
    <m/>
    <s v="OK"/>
    <n v="0"/>
    <s v="Correct Price"/>
    <n v="1618.54"/>
  </r>
  <r>
    <s v="FB001406"/>
    <x v="3"/>
    <x v="3"/>
    <x v="3"/>
    <m/>
    <s v="Pink"/>
    <n v="75.95"/>
    <x v="0"/>
    <n v="75.95"/>
    <d v="2025-08-06T00:00:00"/>
    <n v="14"/>
    <m/>
    <x v="0"/>
    <m/>
    <s v="OK"/>
    <n v="0"/>
    <s v="Correct Price"/>
    <n v="1063.3"/>
  </r>
  <r>
    <s v="FB001407"/>
    <x v="2"/>
    <x v="4"/>
    <x v="0"/>
    <m/>
    <s v="Green"/>
    <n v="79.040000000000006"/>
    <x v="0"/>
    <n v="79.040000000000006"/>
    <d v="2024-10-03T00:00:00"/>
    <n v="28"/>
    <n v="4.7"/>
    <x v="0"/>
    <m/>
    <s v="OK"/>
    <n v="0"/>
    <s v="Correct Price"/>
    <n v="2213.1200000000003"/>
  </r>
  <r>
    <s v="FB001408"/>
    <x v="1"/>
    <x v="3"/>
    <x v="2"/>
    <s v="L"/>
    <s v="White"/>
    <n v="26.85"/>
    <x v="0"/>
    <n v="26.85"/>
    <d v="2025-08-06T00:00:00"/>
    <n v="26"/>
    <m/>
    <x v="0"/>
    <m/>
    <s v="OK"/>
    <n v="0"/>
    <s v="Correct Price"/>
    <n v="698.1"/>
  </r>
  <r>
    <s v="FB001409"/>
    <x v="5"/>
    <x v="5"/>
    <x v="0"/>
    <s v="L"/>
    <s v="Gray"/>
    <n v="126.21"/>
    <x v="128"/>
    <n v="89.36"/>
    <d v="2024-08-15T00:00:00"/>
    <n v="25"/>
    <n v="1.1000000000000001"/>
    <x v="0"/>
    <m/>
    <s v="OK"/>
    <n v="36.853319999999997"/>
    <s v="Correct Price"/>
    <n v="2234"/>
  </r>
  <r>
    <s v="FB001410"/>
    <x v="3"/>
    <x v="3"/>
    <x v="2"/>
    <s v="S"/>
    <s v="Navy"/>
    <n v="71.459999999999994"/>
    <x v="0"/>
    <n v="71.459999999999994"/>
    <d v="2025-08-06T00:00:00"/>
    <n v="2"/>
    <n v="3.1"/>
    <x v="0"/>
    <m/>
    <s v="OK"/>
    <n v="0"/>
    <s v="Correct Price"/>
    <n v="142.91999999999999"/>
  </r>
  <r>
    <s v="FB001411"/>
    <x v="5"/>
    <x v="3"/>
    <x v="1"/>
    <s v="M"/>
    <s v="Beige"/>
    <n v="65.069999999999993"/>
    <x v="369"/>
    <n v="55.44"/>
    <d v="2025-08-06T00:00:00"/>
    <n v="21"/>
    <m/>
    <x v="0"/>
    <m/>
    <s v="OK"/>
    <n v="9.6303599999999996"/>
    <s v="Correct Price"/>
    <n v="1164.24"/>
  </r>
  <r>
    <s v="FB001412"/>
    <x v="4"/>
    <x v="3"/>
    <x v="2"/>
    <s v="XL"/>
    <s v="Pink"/>
    <n v="28.11"/>
    <x v="331"/>
    <n v="22.24"/>
    <d v="2025-08-06T00:00:00"/>
    <n v="6"/>
    <n v="2.2999999999999998"/>
    <x v="0"/>
    <m/>
    <s v="OK"/>
    <n v="5.8749899999999995"/>
    <s v="Correct Price"/>
    <n v="133.44"/>
  </r>
  <r>
    <s v="FB001413"/>
    <x v="1"/>
    <x v="4"/>
    <x v="0"/>
    <s v="L"/>
    <s v="Green"/>
    <n v="29.12"/>
    <x v="0"/>
    <n v="29.12"/>
    <d v="2025-03-25T00:00:00"/>
    <n v="14"/>
    <n v="2.7"/>
    <x v="0"/>
    <m/>
    <s v="OK"/>
    <n v="0"/>
    <s v="Correct Price"/>
    <n v="407.68"/>
  </r>
  <r>
    <s v="FB001414"/>
    <x v="2"/>
    <x v="7"/>
    <x v="1"/>
    <m/>
    <s v="Black"/>
    <n v="57.1"/>
    <x v="0"/>
    <n v="57.1"/>
    <d v="2025-08-06T00:00:00"/>
    <n v="28"/>
    <m/>
    <x v="1"/>
    <s v="Wrong Item"/>
    <s v="OK"/>
    <n v="0"/>
    <s v="Correct Price"/>
    <n v="1598.8"/>
  </r>
  <r>
    <s v="FB001415"/>
    <x v="0"/>
    <x v="1"/>
    <x v="0"/>
    <s v="M"/>
    <s v="Black"/>
    <n v="248.05"/>
    <x v="0"/>
    <n v="248.05"/>
    <d v="2025-04-29T00:00:00"/>
    <n v="17"/>
    <n v="4.5999999999999996"/>
    <x v="0"/>
    <m/>
    <s v="OK"/>
    <n v="0"/>
    <s v="Correct Price"/>
    <n v="4216.8500000000004"/>
  </r>
  <r>
    <s v="FB001416"/>
    <x v="4"/>
    <x v="0"/>
    <x v="2"/>
    <s v="S"/>
    <s v="Gray"/>
    <n v="108.59"/>
    <x v="64"/>
    <n v="64.5"/>
    <d v="2025-08-06T00:00:00"/>
    <n v="9"/>
    <n v="1.3"/>
    <x v="0"/>
    <m/>
    <s v="OK"/>
    <n v="44.087539999999997"/>
    <s v="Correct Price"/>
    <n v="580.5"/>
  </r>
  <r>
    <s v="FB001417"/>
    <x v="0"/>
    <x v="7"/>
    <x v="3"/>
    <s v="XL"/>
    <s v="Beige"/>
    <n v="124.13"/>
    <x v="0"/>
    <n v="124.13"/>
    <d v="2025-08-06T00:00:00"/>
    <n v="33"/>
    <n v="5"/>
    <x v="0"/>
    <m/>
    <s v="OK"/>
    <n v="0"/>
    <s v="Correct Price"/>
    <n v="4096.29"/>
  </r>
  <r>
    <s v="FB001418"/>
    <x v="2"/>
    <x v="0"/>
    <x v="0"/>
    <m/>
    <s v="Brown"/>
    <n v="62.21"/>
    <x v="370"/>
    <n v="61.09"/>
    <d v="2024-11-03T00:00:00"/>
    <n v="4"/>
    <n v="2.2999999999999998"/>
    <x v="0"/>
    <m/>
    <s v="OK"/>
    <n v="1.11978"/>
    <s v="Correct Price"/>
    <n v="244.36"/>
  </r>
  <r>
    <s v="FB001419"/>
    <x v="4"/>
    <x v="1"/>
    <x v="2"/>
    <s v="M"/>
    <s v="Gray"/>
    <n v="48.27"/>
    <x v="0"/>
    <n v="48.27"/>
    <d v="2025-08-06T00:00:00"/>
    <n v="33"/>
    <m/>
    <x v="0"/>
    <m/>
    <s v="OK"/>
    <n v="0"/>
    <s v="Correct Price"/>
    <n v="1592.91"/>
  </r>
  <r>
    <s v="FB001420"/>
    <x v="1"/>
    <x v="0"/>
    <x v="0"/>
    <s v="XL"/>
    <s v="Blue"/>
    <n v="88.77"/>
    <x v="0"/>
    <n v="88.77"/>
    <d v="2025-05-16T00:00:00"/>
    <n v="40"/>
    <n v="4.8"/>
    <x v="0"/>
    <m/>
    <s v="OK"/>
    <n v="0"/>
    <s v="Correct Price"/>
    <n v="3550.7999999999997"/>
  </r>
  <r>
    <s v="FB001421"/>
    <x v="5"/>
    <x v="6"/>
    <x v="2"/>
    <s v="M"/>
    <s v="Navy"/>
    <n v="94.17"/>
    <x v="0"/>
    <n v="94.17"/>
    <d v="2025-08-06T00:00:00"/>
    <n v="2"/>
    <m/>
    <x v="0"/>
    <m/>
    <s v="OK"/>
    <n v="0"/>
    <s v="Correct Price"/>
    <n v="188.34"/>
  </r>
  <r>
    <s v="FB001422"/>
    <x v="2"/>
    <x v="7"/>
    <x v="2"/>
    <m/>
    <s v="Black"/>
    <n v="30.44"/>
    <x v="0"/>
    <n v="30.44"/>
    <d v="2025-08-06T00:00:00"/>
    <n v="42"/>
    <m/>
    <x v="0"/>
    <m/>
    <s v="OK"/>
    <n v="0"/>
    <s v="Correct Price"/>
    <n v="1278.48"/>
  </r>
  <r>
    <s v="FB001423"/>
    <x v="4"/>
    <x v="1"/>
    <x v="2"/>
    <s v="XS"/>
    <s v="Purple"/>
    <n v="114.29"/>
    <x v="0"/>
    <n v="114.29"/>
    <d v="2025-08-06T00:00:00"/>
    <n v="9"/>
    <n v="3.2"/>
    <x v="0"/>
    <m/>
    <s v="OK"/>
    <n v="0"/>
    <s v="Correct Price"/>
    <n v="1028.6100000000001"/>
  </r>
  <r>
    <s v="FB001424"/>
    <x v="3"/>
    <x v="1"/>
    <x v="2"/>
    <s v="XL"/>
    <s v="Gray"/>
    <n v="105.01"/>
    <x v="371"/>
    <n v="77.92"/>
    <d v="2025-08-06T00:00:00"/>
    <n v="17"/>
    <n v="3.2"/>
    <x v="0"/>
    <m/>
    <s v="OK"/>
    <n v="27.092580000000002"/>
    <s v="Correct Price"/>
    <n v="1324.64"/>
  </r>
  <r>
    <s v="FB001425"/>
    <x v="1"/>
    <x v="5"/>
    <x v="0"/>
    <s v="XL"/>
    <s v="Blue"/>
    <n v="38.56"/>
    <x v="0"/>
    <n v="38.56"/>
    <d v="2025-05-30T00:00:00"/>
    <n v="39"/>
    <n v="1.5"/>
    <x v="0"/>
    <m/>
    <s v="OK"/>
    <n v="0"/>
    <s v="Correct Price"/>
    <n v="1503.8400000000001"/>
  </r>
  <r>
    <s v="FB001426"/>
    <x v="3"/>
    <x v="3"/>
    <x v="1"/>
    <s v="L"/>
    <s v="Purple"/>
    <n v="64.94"/>
    <x v="0"/>
    <n v="64.94"/>
    <d v="2025-08-06T00:00:00"/>
    <n v="32"/>
    <n v="4.5"/>
    <x v="0"/>
    <m/>
    <s v="OK"/>
    <n v="0"/>
    <s v="Correct Price"/>
    <n v="2078.08"/>
  </r>
  <r>
    <s v="FB001427"/>
    <x v="4"/>
    <x v="3"/>
    <x v="1"/>
    <s v="S"/>
    <s v="Green"/>
    <n v="63.74"/>
    <x v="334"/>
    <n v="27.54"/>
    <d v="2025-08-06T00:00:00"/>
    <n v="15"/>
    <n v="4"/>
    <x v="0"/>
    <m/>
    <s v="OK"/>
    <n v="36.204319999999996"/>
    <s v="Correct Price"/>
    <n v="413.09999999999997"/>
  </r>
  <r>
    <s v="FB001428"/>
    <x v="1"/>
    <x v="0"/>
    <x v="3"/>
    <s v="XL"/>
    <s v="Pink"/>
    <n v="67.23"/>
    <x v="122"/>
    <n v="59.77"/>
    <d v="2025-08-06T00:00:00"/>
    <n v="39"/>
    <n v="1.1000000000000001"/>
    <x v="1"/>
    <s v="Wrong Item"/>
    <s v="OK"/>
    <n v="7.4625300000000001"/>
    <s v="Correct Price"/>
    <n v="2331.0300000000002"/>
  </r>
  <r>
    <s v="FB001429"/>
    <x v="2"/>
    <x v="4"/>
    <x v="0"/>
    <m/>
    <s v="Blue"/>
    <n v="27.2"/>
    <x v="199"/>
    <n v="16.21"/>
    <d v="2024-08-19T00:00:00"/>
    <n v="20"/>
    <n v="4.3"/>
    <x v="0"/>
    <m/>
    <s v="OK"/>
    <n v="10.988799999999999"/>
    <s v="Correct Price"/>
    <n v="324.20000000000005"/>
  </r>
  <r>
    <s v="FB001430"/>
    <x v="1"/>
    <x v="3"/>
    <x v="0"/>
    <s v="XL"/>
    <s v="Brown"/>
    <n v="75.84"/>
    <x v="0"/>
    <n v="75.84"/>
    <d v="2025-04-07T00:00:00"/>
    <n v="8"/>
    <n v="4.0999999999999996"/>
    <x v="0"/>
    <m/>
    <s v="OK"/>
    <n v="0"/>
    <s v="Correct Price"/>
    <n v="606.72"/>
  </r>
  <r>
    <s v="FB001431"/>
    <x v="5"/>
    <x v="3"/>
    <x v="1"/>
    <s v="M"/>
    <s v="Navy"/>
    <n v="68.510000000000005"/>
    <x v="0"/>
    <n v="68.510000000000005"/>
    <d v="2025-08-06T00:00:00"/>
    <n v="1"/>
    <n v="2.6"/>
    <x v="0"/>
    <m/>
    <s v="OK"/>
    <n v="0"/>
    <s v="Correct Price"/>
    <n v="68.510000000000005"/>
  </r>
  <r>
    <s v="FB001432"/>
    <x v="2"/>
    <x v="3"/>
    <x v="3"/>
    <m/>
    <s v="Purple"/>
    <n v="25.49"/>
    <x v="0"/>
    <n v="25.49"/>
    <d v="2025-08-06T00:00:00"/>
    <n v="35"/>
    <n v="2.2000000000000002"/>
    <x v="1"/>
    <s v="Size Issue"/>
    <s v="OK"/>
    <n v="0"/>
    <s v="Correct Price"/>
    <n v="892.15"/>
  </r>
  <r>
    <s v="FB001433"/>
    <x v="1"/>
    <x v="5"/>
    <x v="2"/>
    <s v="XS"/>
    <s v="Red"/>
    <n v="70.88"/>
    <x v="0"/>
    <n v="70.88"/>
    <d v="2025-08-06T00:00:00"/>
    <n v="5"/>
    <n v="2.2999999999999998"/>
    <x v="0"/>
    <m/>
    <s v="OK"/>
    <n v="0"/>
    <s v="Correct Price"/>
    <n v="354.4"/>
  </r>
  <r>
    <s v="FB001434"/>
    <x v="3"/>
    <x v="4"/>
    <x v="3"/>
    <s v="XS"/>
    <s v="White"/>
    <n v="176.64"/>
    <x v="83"/>
    <n v="161.1"/>
    <d v="2025-08-06T00:00:00"/>
    <n v="1"/>
    <n v="1.7"/>
    <x v="0"/>
    <m/>
    <s v="OK"/>
    <n v="15.544320000000001"/>
    <s v="Correct Price"/>
    <n v="161.1"/>
  </r>
  <r>
    <s v="FB001435"/>
    <x v="5"/>
    <x v="5"/>
    <x v="1"/>
    <s v="L"/>
    <s v="Red"/>
    <n v="50.76"/>
    <x v="0"/>
    <n v="50.76"/>
    <d v="2025-08-06T00:00:00"/>
    <n v="45"/>
    <n v="4.3"/>
    <x v="0"/>
    <m/>
    <s v="OK"/>
    <n v="0"/>
    <s v="Correct Price"/>
    <n v="2284.1999999999998"/>
  </r>
  <r>
    <s v="FB001436"/>
    <x v="3"/>
    <x v="3"/>
    <x v="2"/>
    <s v="XL"/>
    <s v="Pink"/>
    <n v="155.85"/>
    <x v="0"/>
    <n v="155.85"/>
    <d v="2025-08-06T00:00:00"/>
    <n v="1"/>
    <n v="3.5"/>
    <x v="0"/>
    <m/>
    <s v="OK"/>
    <n v="0"/>
    <s v="Correct Price"/>
    <n v="155.85"/>
  </r>
  <r>
    <s v="FB001437"/>
    <x v="5"/>
    <x v="2"/>
    <x v="0"/>
    <s v="XL"/>
    <s v="Blue"/>
    <n v="48.04"/>
    <x v="0"/>
    <n v="48.04"/>
    <d v="2025-05-01T00:00:00"/>
    <n v="20"/>
    <n v="3.2"/>
    <x v="0"/>
    <m/>
    <s v="OK"/>
    <n v="0"/>
    <s v="Correct Price"/>
    <n v="960.8"/>
  </r>
  <r>
    <s v="FB001438"/>
    <x v="1"/>
    <x v="7"/>
    <x v="0"/>
    <s v="XS"/>
    <s v="Navy"/>
    <n v="44.79"/>
    <x v="0"/>
    <n v="44.79"/>
    <d v="2025-01-19T00:00:00"/>
    <n v="7"/>
    <n v="3.6"/>
    <x v="0"/>
    <m/>
    <s v="OK"/>
    <n v="0"/>
    <s v="Correct Price"/>
    <n v="313.52999999999997"/>
  </r>
  <r>
    <s v="FB001439"/>
    <x v="1"/>
    <x v="1"/>
    <x v="0"/>
    <s v="XS"/>
    <s v="Blue"/>
    <n v="76.95"/>
    <x v="0"/>
    <n v="76.95"/>
    <d v="2025-01-12T00:00:00"/>
    <n v="9"/>
    <n v="2.5"/>
    <x v="0"/>
    <m/>
    <s v="OK"/>
    <n v="0"/>
    <s v="Correct Price"/>
    <n v="692.55000000000007"/>
  </r>
  <r>
    <s v="FB001440"/>
    <x v="2"/>
    <x v="6"/>
    <x v="3"/>
    <m/>
    <s v="Gray"/>
    <n v="35.93"/>
    <x v="372"/>
    <n v="18"/>
    <d v="2025-08-06T00:00:00"/>
    <n v="26"/>
    <n v="4"/>
    <x v="0"/>
    <m/>
    <s v="OK"/>
    <n v="17.929069999999999"/>
    <s v="Correct Price"/>
    <n v="468"/>
  </r>
  <r>
    <s v="FB001441"/>
    <x v="4"/>
    <x v="2"/>
    <x v="2"/>
    <s v="XL"/>
    <s v="Red"/>
    <n v="49.97"/>
    <x v="0"/>
    <n v="49.97"/>
    <d v="2025-08-06T00:00:00"/>
    <n v="11"/>
    <n v="3.5"/>
    <x v="1"/>
    <s v="Quality Issue"/>
    <s v="OK"/>
    <n v="0"/>
    <s v="Correct Price"/>
    <n v="549.66999999999996"/>
  </r>
  <r>
    <s v="FB001442"/>
    <x v="0"/>
    <x v="4"/>
    <x v="3"/>
    <m/>
    <s v="Black"/>
    <n v="169.69"/>
    <x v="0"/>
    <n v="169.69"/>
    <d v="2025-08-06T00:00:00"/>
    <n v="29"/>
    <n v="1.9"/>
    <x v="0"/>
    <m/>
    <s v="OK"/>
    <n v="0"/>
    <s v="Correct Price"/>
    <n v="4921.01"/>
  </r>
  <r>
    <s v="FB001443"/>
    <x v="0"/>
    <x v="5"/>
    <x v="0"/>
    <m/>
    <s v="White"/>
    <n v="209.3"/>
    <x v="14"/>
    <n v="179.58"/>
    <d v="2025-03-05T00:00:00"/>
    <n v="29"/>
    <m/>
    <x v="0"/>
    <m/>
    <s v="OK"/>
    <n v="29.720600000000001"/>
    <s v="Correct Price"/>
    <n v="5207.8200000000006"/>
  </r>
  <r>
    <s v="FB001444"/>
    <x v="1"/>
    <x v="6"/>
    <x v="3"/>
    <s v="XXL"/>
    <s v="Pink"/>
    <n v="110.81"/>
    <x v="0"/>
    <n v="110.81"/>
    <d v="2025-08-06T00:00:00"/>
    <n v="24"/>
    <n v="2.4"/>
    <x v="0"/>
    <m/>
    <s v="OK"/>
    <n v="0"/>
    <s v="Correct Price"/>
    <n v="2659.44"/>
  </r>
  <r>
    <s v="FB001445"/>
    <x v="2"/>
    <x v="1"/>
    <x v="2"/>
    <m/>
    <s v="Black"/>
    <n v="61.84"/>
    <x v="0"/>
    <n v="61.84"/>
    <d v="2025-08-06T00:00:00"/>
    <n v="0"/>
    <n v="4.7"/>
    <x v="1"/>
    <s v="Wrong Item"/>
    <s v="OK"/>
    <n v="0"/>
    <s v="Correct Price"/>
    <n v="0"/>
  </r>
  <r>
    <s v="FB001446"/>
    <x v="0"/>
    <x v="0"/>
    <x v="0"/>
    <s v="S"/>
    <s v="Brown"/>
    <n v="190.03"/>
    <x v="373"/>
    <n v="161.72"/>
    <d v="2025-07-24T00:00:00"/>
    <n v="35"/>
    <n v="4.0999999999999996"/>
    <x v="0"/>
    <m/>
    <s v="OK"/>
    <n v="28.31447"/>
    <s v="Correct Price"/>
    <n v="5660.2"/>
  </r>
  <r>
    <s v="FB001447"/>
    <x v="4"/>
    <x v="2"/>
    <x v="2"/>
    <s v="XS"/>
    <s v="Red"/>
    <n v="74.27"/>
    <x v="0"/>
    <n v="74.27"/>
    <d v="2025-08-06T00:00:00"/>
    <n v="6"/>
    <n v="1.3"/>
    <x v="0"/>
    <m/>
    <s v="OK"/>
    <n v="0"/>
    <s v="Correct Price"/>
    <n v="445.62"/>
  </r>
  <r>
    <s v="FB001448"/>
    <x v="0"/>
    <x v="0"/>
    <x v="2"/>
    <s v="XL"/>
    <s v="Beige"/>
    <n v="163.77000000000001"/>
    <x v="374"/>
    <n v="113.82"/>
    <d v="2025-08-06T00:00:00"/>
    <n v="10"/>
    <m/>
    <x v="0"/>
    <m/>
    <s v="OK"/>
    <n v="49.949850000000005"/>
    <s v="Correct Price"/>
    <n v="1138.1999999999998"/>
  </r>
  <r>
    <s v="FB001449"/>
    <x v="2"/>
    <x v="3"/>
    <x v="1"/>
    <m/>
    <s v="Purple"/>
    <n v="42.28"/>
    <x v="0"/>
    <n v="42.28"/>
    <d v="2025-08-06T00:00:00"/>
    <n v="22"/>
    <n v="1.9"/>
    <x v="0"/>
    <m/>
    <s v="OK"/>
    <n v="0"/>
    <s v="Correct Price"/>
    <n v="930.16000000000008"/>
  </r>
  <r>
    <s v="FB001450"/>
    <x v="4"/>
    <x v="4"/>
    <x v="3"/>
    <s v="XS"/>
    <s v="Navy"/>
    <n v="52.92"/>
    <x v="0"/>
    <n v="52.92"/>
    <d v="2025-08-06T00:00:00"/>
    <n v="9"/>
    <m/>
    <x v="0"/>
    <m/>
    <s v="OK"/>
    <n v="0"/>
    <s v="Correct Price"/>
    <n v="476.28000000000003"/>
  </r>
  <r>
    <s v="FB001451"/>
    <x v="2"/>
    <x v="5"/>
    <x v="0"/>
    <m/>
    <s v="Black"/>
    <n v="40.549999999999997"/>
    <x v="375"/>
    <n v="38.04"/>
    <d v="2024-09-09T00:00:00"/>
    <n v="26"/>
    <n v="3.7"/>
    <x v="1"/>
    <s v="Wrong Item"/>
    <s v="OK"/>
    <n v="2.5141"/>
    <s v="Correct Price"/>
    <n v="989.04"/>
  </r>
  <r>
    <s v="FB001452"/>
    <x v="3"/>
    <x v="3"/>
    <x v="3"/>
    <s v="XXL"/>
    <s v="Black"/>
    <n v="129.76"/>
    <x v="0"/>
    <n v="129.76"/>
    <d v="2025-08-06T00:00:00"/>
    <n v="39"/>
    <n v="2.9"/>
    <x v="0"/>
    <m/>
    <s v="OK"/>
    <n v="0"/>
    <s v="Correct Price"/>
    <n v="5060.6399999999994"/>
  </r>
  <r>
    <s v="FB001453"/>
    <x v="1"/>
    <x v="5"/>
    <x v="2"/>
    <s v="XL"/>
    <s v="Purple"/>
    <n v="63.39"/>
    <x v="0"/>
    <n v="63.39"/>
    <d v="2025-08-06T00:00:00"/>
    <n v="50"/>
    <n v="2.5"/>
    <x v="0"/>
    <m/>
    <s v="OK"/>
    <n v="0"/>
    <s v="Correct Price"/>
    <n v="3169.5"/>
  </r>
  <r>
    <s v="FB001454"/>
    <x v="3"/>
    <x v="4"/>
    <x v="2"/>
    <s v="S"/>
    <s v="Navy"/>
    <n v="191.94"/>
    <x v="376"/>
    <n v="189.44"/>
    <d v="2025-08-06T00:00:00"/>
    <n v="39"/>
    <n v="1.2"/>
    <x v="0"/>
    <m/>
    <s v="OK"/>
    <n v="2.4952199999999998"/>
    <s v="Correct Price"/>
    <n v="7388.16"/>
  </r>
  <r>
    <s v="FB001455"/>
    <x v="2"/>
    <x v="1"/>
    <x v="0"/>
    <m/>
    <s v="Purple"/>
    <n v="63.42"/>
    <x v="0"/>
    <n v="63.42"/>
    <d v="2024-11-12T00:00:00"/>
    <n v="19"/>
    <n v="2.9"/>
    <x v="1"/>
    <s v="Color Mismatch"/>
    <s v="OK"/>
    <n v="0"/>
    <s v="Correct Price"/>
    <n v="1204.98"/>
  </r>
  <r>
    <s v="FB001456"/>
    <x v="1"/>
    <x v="5"/>
    <x v="1"/>
    <s v="XXL"/>
    <s v="Beige"/>
    <n v="35.26"/>
    <x v="0"/>
    <n v="35.26"/>
    <d v="2025-08-06T00:00:00"/>
    <n v="47"/>
    <n v="2.2999999999999998"/>
    <x v="0"/>
    <m/>
    <s v="OK"/>
    <n v="0"/>
    <s v="Correct Price"/>
    <n v="1657.2199999999998"/>
  </r>
  <r>
    <s v="FB001457"/>
    <x v="2"/>
    <x v="6"/>
    <x v="0"/>
    <m/>
    <s v="Green"/>
    <n v="44.5"/>
    <x v="0"/>
    <n v="44.5"/>
    <d v="2025-06-13T00:00:00"/>
    <n v="36"/>
    <n v="3.6"/>
    <x v="0"/>
    <m/>
    <s v="OK"/>
    <n v="0"/>
    <s v="Correct Price"/>
    <n v="1602"/>
  </r>
  <r>
    <s v="FB001458"/>
    <x v="3"/>
    <x v="0"/>
    <x v="0"/>
    <s v="XS"/>
    <s v="White"/>
    <n v="186.78"/>
    <x v="377"/>
    <n v="105.72"/>
    <d v="2024-10-03T00:00:00"/>
    <n v="42"/>
    <n v="2.5"/>
    <x v="1"/>
    <s v="Damaged"/>
    <s v="OK"/>
    <n v="81.062519999999992"/>
    <s v="Correct Price"/>
    <n v="4440.24"/>
  </r>
  <r>
    <s v="FB001459"/>
    <x v="1"/>
    <x v="4"/>
    <x v="3"/>
    <s v="L"/>
    <s v="Black"/>
    <n v="116.71"/>
    <x v="300"/>
    <n v="52.05"/>
    <d v="2025-08-06T00:00:00"/>
    <n v="15"/>
    <m/>
    <x v="0"/>
    <m/>
    <s v="OK"/>
    <n v="64.657339999999991"/>
    <s v="Correct Price"/>
    <n v="780.75"/>
  </r>
  <r>
    <s v="FB001460"/>
    <x v="2"/>
    <x v="4"/>
    <x v="1"/>
    <m/>
    <s v="Black"/>
    <n v="24.5"/>
    <x v="0"/>
    <n v="24.5"/>
    <d v="2025-08-06T00:00:00"/>
    <n v="7"/>
    <m/>
    <x v="0"/>
    <m/>
    <s v="OK"/>
    <n v="0"/>
    <s v="Correct Price"/>
    <n v="171.5"/>
  </r>
  <r>
    <s v="FB001461"/>
    <x v="2"/>
    <x v="6"/>
    <x v="1"/>
    <m/>
    <s v="Navy"/>
    <n v="23.2"/>
    <x v="0"/>
    <n v="23.2"/>
    <d v="2025-08-06T00:00:00"/>
    <n v="17"/>
    <n v="2.1"/>
    <x v="0"/>
    <m/>
    <s v="OK"/>
    <n v="0"/>
    <s v="Correct Price"/>
    <n v="394.4"/>
  </r>
  <r>
    <s v="FB001462"/>
    <x v="4"/>
    <x v="7"/>
    <x v="1"/>
    <s v="XL"/>
    <s v="Green"/>
    <n v="73.8"/>
    <x v="0"/>
    <n v="73.8"/>
    <d v="2025-08-06T00:00:00"/>
    <n v="42"/>
    <m/>
    <x v="0"/>
    <m/>
    <s v="OK"/>
    <n v="0"/>
    <s v="Correct Price"/>
    <n v="3099.6"/>
  </r>
  <r>
    <s v="FB001463"/>
    <x v="2"/>
    <x v="0"/>
    <x v="3"/>
    <m/>
    <s v="Black"/>
    <n v="51.33"/>
    <x v="0"/>
    <n v="51.33"/>
    <d v="2025-08-06T00:00:00"/>
    <n v="25"/>
    <n v="1.2"/>
    <x v="0"/>
    <m/>
    <s v="OK"/>
    <n v="0"/>
    <s v="Correct Price"/>
    <n v="1283.25"/>
  </r>
  <r>
    <s v="FB001464"/>
    <x v="4"/>
    <x v="4"/>
    <x v="1"/>
    <s v="XXL"/>
    <s v="Green"/>
    <n v="80.209999999999994"/>
    <x v="0"/>
    <n v="80.209999999999994"/>
    <d v="2025-08-06T00:00:00"/>
    <n v="17"/>
    <m/>
    <x v="0"/>
    <m/>
    <s v="OK"/>
    <n v="0"/>
    <s v="Correct Price"/>
    <n v="1363.57"/>
  </r>
  <r>
    <s v="FB001465"/>
    <x v="0"/>
    <x v="1"/>
    <x v="2"/>
    <s v="L"/>
    <s v="Brown"/>
    <n v="237.65"/>
    <x v="0"/>
    <n v="237.65"/>
    <d v="2025-08-06T00:00:00"/>
    <n v="3"/>
    <n v="3.4"/>
    <x v="0"/>
    <m/>
    <s v="OK"/>
    <n v="0"/>
    <s v="Correct Price"/>
    <n v="712.95"/>
  </r>
  <r>
    <s v="FB001466"/>
    <x v="4"/>
    <x v="2"/>
    <x v="0"/>
    <s v="S"/>
    <s v="Brown"/>
    <n v="96.35"/>
    <x v="0"/>
    <n v="96.35"/>
    <d v="2024-12-12T00:00:00"/>
    <n v="34"/>
    <n v="3.7"/>
    <x v="0"/>
    <m/>
    <s v="OK"/>
    <n v="0"/>
    <s v="Correct Price"/>
    <n v="3275.8999999999996"/>
  </r>
  <r>
    <s v="FB001467"/>
    <x v="4"/>
    <x v="2"/>
    <x v="1"/>
    <s v="XL"/>
    <s v="White"/>
    <n v="91.92"/>
    <x v="0"/>
    <n v="91.92"/>
    <d v="2025-08-06T00:00:00"/>
    <n v="29"/>
    <m/>
    <x v="0"/>
    <m/>
    <s v="OK"/>
    <n v="0"/>
    <s v="Correct Price"/>
    <n v="2665.68"/>
  </r>
  <r>
    <s v="FB001468"/>
    <x v="3"/>
    <x v="2"/>
    <x v="2"/>
    <s v="XXL"/>
    <s v="Navy"/>
    <n v="194.05"/>
    <x v="0"/>
    <n v="194.05"/>
    <d v="2025-08-06T00:00:00"/>
    <n v="7"/>
    <n v="1.3"/>
    <x v="0"/>
    <m/>
    <s v="OK"/>
    <n v="0"/>
    <s v="Correct Price"/>
    <n v="1358.3500000000001"/>
  </r>
  <r>
    <s v="FB001469"/>
    <x v="0"/>
    <x v="6"/>
    <x v="3"/>
    <s v="S"/>
    <s v="Red"/>
    <n v="166.88"/>
    <x v="0"/>
    <n v="166.88"/>
    <d v="2025-08-06T00:00:00"/>
    <n v="10"/>
    <n v="1.6"/>
    <x v="0"/>
    <m/>
    <s v="OK"/>
    <n v="0"/>
    <s v="Correct Price"/>
    <n v="1668.8"/>
  </r>
  <r>
    <s v="FB001470"/>
    <x v="4"/>
    <x v="4"/>
    <x v="1"/>
    <s v="S"/>
    <s v="Red"/>
    <n v="47.01"/>
    <x v="0"/>
    <n v="47.01"/>
    <d v="2025-08-06T00:00:00"/>
    <n v="17"/>
    <n v="1.6"/>
    <x v="0"/>
    <m/>
    <s v="OK"/>
    <n v="0"/>
    <s v="Correct Price"/>
    <n v="799.17"/>
  </r>
  <r>
    <s v="FB001471"/>
    <x v="3"/>
    <x v="2"/>
    <x v="1"/>
    <s v="XXL"/>
    <s v="Pink"/>
    <n v="119.91"/>
    <x v="378"/>
    <n v="95.57"/>
    <d v="2025-08-06T00:00:00"/>
    <n v="15"/>
    <n v="3.8"/>
    <x v="0"/>
    <m/>
    <s v="OK"/>
    <n v="24.341730000000002"/>
    <s v="Correct Price"/>
    <n v="1433.55"/>
  </r>
  <r>
    <s v="FB001472"/>
    <x v="2"/>
    <x v="4"/>
    <x v="2"/>
    <m/>
    <s v="Red"/>
    <n v="73.73"/>
    <x v="314"/>
    <n v="33.770000000000003"/>
    <d v="2025-08-06T00:00:00"/>
    <n v="37"/>
    <n v="4.0999999999999996"/>
    <x v="0"/>
    <m/>
    <s v="OK"/>
    <n v="39.961660000000009"/>
    <s v="Correct Price"/>
    <n v="1249.49"/>
  </r>
  <r>
    <s v="FB001473"/>
    <x v="4"/>
    <x v="0"/>
    <x v="2"/>
    <s v="L"/>
    <s v="Black"/>
    <n v="108.65"/>
    <x v="0"/>
    <n v="108.65"/>
    <d v="2025-08-06T00:00:00"/>
    <n v="26"/>
    <n v="2.4"/>
    <x v="0"/>
    <m/>
    <s v="OK"/>
    <n v="0"/>
    <s v="Correct Price"/>
    <n v="2824.9"/>
  </r>
  <r>
    <s v="FB001474"/>
    <x v="3"/>
    <x v="3"/>
    <x v="3"/>
    <s v="L"/>
    <s v="Red"/>
    <n v="186.53"/>
    <x v="0"/>
    <n v="186.53"/>
    <d v="2025-08-06T00:00:00"/>
    <n v="31"/>
    <n v="2.6"/>
    <x v="0"/>
    <m/>
    <s v="OK"/>
    <n v="0"/>
    <s v="Correct Price"/>
    <n v="5782.43"/>
  </r>
  <r>
    <s v="FB001475"/>
    <x v="2"/>
    <x v="0"/>
    <x v="3"/>
    <m/>
    <s v="Red"/>
    <n v="60.34"/>
    <x v="0"/>
    <n v="60.34"/>
    <d v="2025-08-06T00:00:00"/>
    <n v="13"/>
    <m/>
    <x v="0"/>
    <m/>
    <s v="OK"/>
    <n v="0"/>
    <s v="Correct Price"/>
    <n v="784.42000000000007"/>
  </r>
  <r>
    <s v="FB001476"/>
    <x v="2"/>
    <x v="3"/>
    <x v="1"/>
    <m/>
    <s v="Navy"/>
    <n v="61.16"/>
    <x v="0"/>
    <n v="61.16"/>
    <d v="2025-08-06T00:00:00"/>
    <n v="28"/>
    <n v="2.2999999999999998"/>
    <x v="0"/>
    <m/>
    <s v="OK"/>
    <n v="0"/>
    <s v="Correct Price"/>
    <n v="1712.48"/>
  </r>
  <r>
    <s v="FB001477"/>
    <x v="3"/>
    <x v="7"/>
    <x v="1"/>
    <s v="XL"/>
    <s v="Green"/>
    <n v="168.85"/>
    <x v="233"/>
    <n v="109.25"/>
    <d v="2025-08-06T00:00:00"/>
    <n v="10"/>
    <n v="3.3"/>
    <x v="0"/>
    <m/>
    <s v="OK"/>
    <n v="59.604050000000001"/>
    <s v="Correct Price"/>
    <n v="1092.5"/>
  </r>
  <r>
    <s v="FB001478"/>
    <x v="1"/>
    <x v="5"/>
    <x v="1"/>
    <s v="L"/>
    <s v="Navy"/>
    <n v="60.08"/>
    <x v="0"/>
    <n v="60.08"/>
    <d v="2025-08-06T00:00:00"/>
    <n v="26"/>
    <m/>
    <x v="0"/>
    <m/>
    <s v="OK"/>
    <n v="0"/>
    <s v="Correct Price"/>
    <n v="1562.08"/>
  </r>
  <r>
    <s v="FB001479"/>
    <x v="2"/>
    <x v="6"/>
    <x v="3"/>
    <m/>
    <s v="Brown"/>
    <n v="39.39"/>
    <x v="379"/>
    <n v="27.65"/>
    <d v="2025-08-06T00:00:00"/>
    <n v="13"/>
    <n v="4.7"/>
    <x v="0"/>
    <m/>
    <s v="OK"/>
    <n v="11.738220000000002"/>
    <s v="Correct Price"/>
    <n v="359.45"/>
  </r>
  <r>
    <s v="FB001480"/>
    <x v="1"/>
    <x v="6"/>
    <x v="2"/>
    <s v="M"/>
    <s v="Pink"/>
    <n v="111.09"/>
    <x v="0"/>
    <n v="111.09"/>
    <d v="2025-08-06T00:00:00"/>
    <n v="24"/>
    <n v="2.2000000000000002"/>
    <x v="0"/>
    <m/>
    <s v="OK"/>
    <n v="0"/>
    <s v="Correct Price"/>
    <n v="2666.16"/>
  </r>
  <r>
    <s v="FB001481"/>
    <x v="5"/>
    <x v="2"/>
    <x v="3"/>
    <s v="M"/>
    <s v="Green"/>
    <n v="133.51"/>
    <x v="0"/>
    <n v="133.51"/>
    <d v="2025-08-06T00:00:00"/>
    <n v="5"/>
    <n v="1.7"/>
    <x v="1"/>
    <s v="Quality Issue"/>
    <s v="OK"/>
    <n v="0"/>
    <s v="Correct Price"/>
    <n v="667.55"/>
  </r>
  <r>
    <s v="FB001482"/>
    <x v="5"/>
    <x v="7"/>
    <x v="3"/>
    <s v="XS"/>
    <s v="Pink"/>
    <n v="158.9"/>
    <x v="380"/>
    <n v="89.78"/>
    <d v="2025-08-06T00:00:00"/>
    <n v="46"/>
    <m/>
    <x v="0"/>
    <m/>
    <s v="OK"/>
    <n v="69.121500000000012"/>
    <s v="Correct Price"/>
    <n v="4129.88"/>
  </r>
  <r>
    <s v="FB001483"/>
    <x v="1"/>
    <x v="6"/>
    <x v="0"/>
    <s v="XS"/>
    <s v="Brown"/>
    <n v="65.27"/>
    <x v="282"/>
    <n v="52.87"/>
    <d v="2024-08-29T00:00:00"/>
    <n v="48"/>
    <n v="3"/>
    <x v="0"/>
    <m/>
    <s v="OK"/>
    <n v="12.401299999999999"/>
    <s v="Correct Price"/>
    <n v="2537.7599999999998"/>
  </r>
  <r>
    <s v="FB001484"/>
    <x v="2"/>
    <x v="0"/>
    <x v="2"/>
    <m/>
    <s v="Green"/>
    <n v="72.37"/>
    <x v="0"/>
    <n v="72.37"/>
    <d v="2025-08-06T00:00:00"/>
    <n v="24"/>
    <n v="2.9"/>
    <x v="0"/>
    <m/>
    <s v="OK"/>
    <n v="0"/>
    <s v="Correct Price"/>
    <n v="1736.88"/>
  </r>
  <r>
    <s v="FB001485"/>
    <x v="5"/>
    <x v="2"/>
    <x v="2"/>
    <s v="XL"/>
    <s v="White"/>
    <n v="133.88"/>
    <x v="53"/>
    <n v="105.1"/>
    <d v="2025-08-06T00:00:00"/>
    <n v="42"/>
    <n v="3.1"/>
    <x v="0"/>
    <m/>
    <s v="OK"/>
    <n v="28.784200000000002"/>
    <s v="Correct Price"/>
    <n v="4414.2"/>
  </r>
  <r>
    <s v="FB001486"/>
    <x v="1"/>
    <x v="0"/>
    <x v="0"/>
    <s v="XXL"/>
    <s v="Purple"/>
    <n v="74.3"/>
    <x v="0"/>
    <n v="74.3"/>
    <d v="2024-12-07T00:00:00"/>
    <n v="24"/>
    <n v="4.4000000000000004"/>
    <x v="0"/>
    <m/>
    <s v="OK"/>
    <n v="0"/>
    <s v="Correct Price"/>
    <n v="1783.1999999999998"/>
  </r>
  <r>
    <s v="FB001487"/>
    <x v="3"/>
    <x v="2"/>
    <x v="3"/>
    <s v="XL"/>
    <s v="Beige"/>
    <n v="192.74"/>
    <x v="297"/>
    <n v="101.19"/>
    <d v="2025-08-06T00:00:00"/>
    <n v="40"/>
    <n v="2.8"/>
    <x v="0"/>
    <m/>
    <s v="OK"/>
    <n v="91.55149999999999"/>
    <s v="Correct Price"/>
    <n v="4047.6"/>
  </r>
  <r>
    <s v="FB001488"/>
    <x v="2"/>
    <x v="1"/>
    <x v="3"/>
    <m/>
    <s v="Red"/>
    <n v="79.02"/>
    <x v="381"/>
    <n v="77.040000000000006"/>
    <d v="2025-08-06T00:00:00"/>
    <n v="16"/>
    <n v="2.8"/>
    <x v="0"/>
    <m/>
    <s v="OK"/>
    <n v="1.9754999999999998"/>
    <s v="Correct Price"/>
    <n v="1232.6400000000001"/>
  </r>
  <r>
    <s v="FB001489"/>
    <x v="3"/>
    <x v="0"/>
    <x v="1"/>
    <s v="S"/>
    <s v="White"/>
    <n v="158.29"/>
    <x v="0"/>
    <n v="158.29"/>
    <d v="2025-08-06T00:00:00"/>
    <n v="5"/>
    <n v="1.6"/>
    <x v="0"/>
    <m/>
    <s v="OK"/>
    <n v="0"/>
    <s v="Correct Price"/>
    <n v="791.44999999999993"/>
  </r>
  <r>
    <s v="FB001490"/>
    <x v="1"/>
    <x v="5"/>
    <x v="1"/>
    <s v="L"/>
    <s v="White"/>
    <n v="69.33"/>
    <x v="0"/>
    <n v="69.33"/>
    <d v="2025-08-06T00:00:00"/>
    <n v="26"/>
    <n v="4.9000000000000004"/>
    <x v="0"/>
    <m/>
    <s v="OK"/>
    <n v="0"/>
    <s v="Correct Price"/>
    <n v="1802.58"/>
  </r>
  <r>
    <s v="FB001491"/>
    <x v="3"/>
    <x v="6"/>
    <x v="1"/>
    <s v="XS"/>
    <s v="Brown"/>
    <n v="86.89"/>
    <x v="45"/>
    <n v="69.95"/>
    <d v="2025-08-06T00:00:00"/>
    <n v="49"/>
    <n v="1.3"/>
    <x v="0"/>
    <m/>
    <s v="OK"/>
    <n v="16.943550000000002"/>
    <s v="Correct Price"/>
    <n v="3427.55"/>
  </r>
  <r>
    <s v="FB001492"/>
    <x v="0"/>
    <x v="1"/>
    <x v="2"/>
    <s v="L"/>
    <s v="Green"/>
    <n v="162.75"/>
    <x v="0"/>
    <n v="162.75"/>
    <d v="2025-08-06T00:00:00"/>
    <n v="13"/>
    <n v="4.8"/>
    <x v="0"/>
    <m/>
    <s v="OK"/>
    <n v="0"/>
    <s v="Correct Price"/>
    <n v="2115.75"/>
  </r>
  <r>
    <s v="FB001493"/>
    <x v="3"/>
    <x v="4"/>
    <x v="3"/>
    <s v="M"/>
    <s v="Blue"/>
    <n v="70.28"/>
    <x v="0"/>
    <n v="70.28"/>
    <d v="2025-08-06T00:00:00"/>
    <n v="27"/>
    <n v="4.7"/>
    <x v="0"/>
    <m/>
    <s v="OK"/>
    <n v="0"/>
    <s v="Correct Price"/>
    <n v="1897.56"/>
  </r>
  <r>
    <s v="FB001494"/>
    <x v="4"/>
    <x v="3"/>
    <x v="0"/>
    <s v="S"/>
    <s v="White"/>
    <n v="111.91"/>
    <x v="0"/>
    <n v="111.91"/>
    <d v="2025-07-22T00:00:00"/>
    <n v="28"/>
    <n v="1.8"/>
    <x v="0"/>
    <m/>
    <s v="OK"/>
    <n v="0"/>
    <s v="Correct Price"/>
    <n v="3133.48"/>
  </r>
  <r>
    <s v="FB001495"/>
    <x v="0"/>
    <x v="5"/>
    <x v="2"/>
    <s v="S"/>
    <s v="Purple"/>
    <n v="143.76"/>
    <x v="0"/>
    <n v="143.76"/>
    <d v="2025-08-06T00:00:00"/>
    <n v="7"/>
    <n v="2"/>
    <x v="0"/>
    <m/>
    <s v="OK"/>
    <n v="0"/>
    <s v="Correct Price"/>
    <n v="1006.3199999999999"/>
  </r>
  <r>
    <s v="FB001496"/>
    <x v="5"/>
    <x v="4"/>
    <x v="3"/>
    <s v="S"/>
    <s v="Purple"/>
    <n v="169.89"/>
    <x v="0"/>
    <n v="169.89"/>
    <d v="2025-08-06T00:00:00"/>
    <n v="17"/>
    <n v="1.3"/>
    <x v="0"/>
    <m/>
    <s v="OK"/>
    <n v="0"/>
    <s v="Correct Price"/>
    <n v="2888.1299999999997"/>
  </r>
  <r>
    <s v="FB001497"/>
    <x v="3"/>
    <x v="0"/>
    <x v="1"/>
    <s v="XL"/>
    <s v="White"/>
    <n v="72.290000000000006"/>
    <x v="0"/>
    <n v="72.290000000000006"/>
    <d v="2025-08-06T00:00:00"/>
    <n v="0"/>
    <m/>
    <x v="0"/>
    <m/>
    <s v="OK"/>
    <n v="0"/>
    <s v="Correct Price"/>
    <n v="0"/>
  </r>
  <r>
    <s v="FB001498"/>
    <x v="0"/>
    <x v="7"/>
    <x v="1"/>
    <s v="XS"/>
    <s v="Purple"/>
    <n v="136.19999999999999"/>
    <x v="102"/>
    <n v="122.31"/>
    <d v="2025-08-06T00:00:00"/>
    <n v="10"/>
    <n v="3.6"/>
    <x v="0"/>
    <m/>
    <s v="OK"/>
    <n v="13.892399999999999"/>
    <s v="Correct Price"/>
    <n v="1223.0999999999999"/>
  </r>
  <r>
    <s v="FB001499"/>
    <x v="1"/>
    <x v="7"/>
    <x v="3"/>
    <s v="S"/>
    <s v="Red"/>
    <n v="92.5"/>
    <x v="0"/>
    <n v="92.5"/>
    <d v="2025-08-06T00:00:00"/>
    <n v="15"/>
    <n v="2.7"/>
    <x v="0"/>
    <m/>
    <s v="OK"/>
    <n v="0"/>
    <s v="Correct Price"/>
    <n v="1387.5"/>
  </r>
  <r>
    <s v="FB001500"/>
    <x v="3"/>
    <x v="2"/>
    <x v="1"/>
    <s v="L"/>
    <s v="Purple"/>
    <n v="89.5"/>
    <x v="0"/>
    <n v="89.5"/>
    <d v="2025-08-06T00:00:00"/>
    <n v="5"/>
    <n v="4.5"/>
    <x v="0"/>
    <m/>
    <s v="OK"/>
    <n v="0"/>
    <s v="Correct Price"/>
    <n v="447.5"/>
  </r>
  <r>
    <s v="FB001501"/>
    <x v="0"/>
    <x v="4"/>
    <x v="0"/>
    <s v="L"/>
    <s v="Beige"/>
    <n v="161.51"/>
    <x v="0"/>
    <n v="161.51"/>
    <d v="2024-11-02T00:00:00"/>
    <n v="22"/>
    <n v="4.7"/>
    <x v="0"/>
    <m/>
    <s v="OK"/>
    <n v="0"/>
    <s v="Correct Price"/>
    <n v="3553.22"/>
  </r>
  <r>
    <s v="FB001502"/>
    <x v="2"/>
    <x v="0"/>
    <x v="1"/>
    <m/>
    <s v="Brown"/>
    <n v="38.119999999999997"/>
    <x v="0"/>
    <n v="38.119999999999997"/>
    <d v="2025-08-06T00:00:00"/>
    <n v="18"/>
    <n v="4.4000000000000004"/>
    <x v="1"/>
    <s v="Damaged"/>
    <s v="OK"/>
    <n v="0"/>
    <s v="Correct Price"/>
    <n v="686.16"/>
  </r>
  <r>
    <s v="FB001503"/>
    <x v="5"/>
    <x v="4"/>
    <x v="3"/>
    <s v="XS"/>
    <s v="Purple"/>
    <n v="100.08"/>
    <x v="0"/>
    <n v="100.08"/>
    <d v="2025-08-06T00:00:00"/>
    <n v="23"/>
    <n v="4.8"/>
    <x v="0"/>
    <m/>
    <s v="OK"/>
    <n v="0"/>
    <s v="Correct Price"/>
    <n v="2301.84"/>
  </r>
  <r>
    <s v="FB001504"/>
    <x v="5"/>
    <x v="1"/>
    <x v="2"/>
    <s v="L"/>
    <s v="White"/>
    <n v="161.79"/>
    <x v="0"/>
    <n v="161.79"/>
    <d v="2025-08-06T00:00:00"/>
    <n v="44"/>
    <n v="3.9"/>
    <x v="0"/>
    <m/>
    <s v="OK"/>
    <n v="0"/>
    <s v="Correct Price"/>
    <n v="7118.7599999999993"/>
  </r>
  <r>
    <s v="FB001505"/>
    <x v="4"/>
    <x v="5"/>
    <x v="2"/>
    <s v="XL"/>
    <s v="Black"/>
    <n v="46.42"/>
    <x v="0"/>
    <n v="46.42"/>
    <d v="2025-08-06T00:00:00"/>
    <n v="2"/>
    <n v="3.7"/>
    <x v="1"/>
    <s v="Changed Mind"/>
    <s v="OK"/>
    <n v="0"/>
    <s v="Correct Price"/>
    <n v="92.84"/>
  </r>
  <r>
    <s v="FB001506"/>
    <x v="3"/>
    <x v="1"/>
    <x v="0"/>
    <s v="L"/>
    <s v="Brown"/>
    <n v="199.33"/>
    <x v="258"/>
    <n v="111.03"/>
    <d v="2024-11-20T00:00:00"/>
    <n v="19"/>
    <n v="1.8"/>
    <x v="0"/>
    <m/>
    <s v="OK"/>
    <n v="88.303190000000001"/>
    <s v="Correct Price"/>
    <n v="2109.5700000000002"/>
  </r>
  <r>
    <s v="FB001507"/>
    <x v="4"/>
    <x v="7"/>
    <x v="3"/>
    <s v="XXL"/>
    <s v="Black"/>
    <n v="25.77"/>
    <x v="0"/>
    <n v="25.77"/>
    <d v="2025-08-06T00:00:00"/>
    <n v="5"/>
    <n v="3.1"/>
    <x v="0"/>
    <m/>
    <s v="OK"/>
    <n v="0"/>
    <s v="Correct Price"/>
    <n v="128.85"/>
  </r>
  <r>
    <s v="FB001508"/>
    <x v="3"/>
    <x v="7"/>
    <x v="1"/>
    <s v="M"/>
    <s v="Navy"/>
    <n v="180.67"/>
    <x v="0"/>
    <n v="180.67"/>
    <d v="2025-08-06T00:00:00"/>
    <n v="31"/>
    <n v="4.4000000000000004"/>
    <x v="0"/>
    <m/>
    <s v="OK"/>
    <n v="0"/>
    <s v="Correct Price"/>
    <n v="5600.7699999999995"/>
  </r>
  <r>
    <s v="FB001509"/>
    <x v="3"/>
    <x v="7"/>
    <x v="0"/>
    <s v="L"/>
    <s v="Green"/>
    <n v="198.13"/>
    <x v="382"/>
    <n v="106.79"/>
    <d v="2025-05-19T00:00:00"/>
    <n v="8"/>
    <n v="3.2"/>
    <x v="0"/>
    <m/>
    <s v="OK"/>
    <n v="91.33793"/>
    <s v="Correct Price"/>
    <n v="854.32"/>
  </r>
  <r>
    <s v="FB001510"/>
    <x v="5"/>
    <x v="1"/>
    <x v="3"/>
    <m/>
    <s v="Navy"/>
    <n v="161.53"/>
    <x v="383"/>
    <n v="152.97"/>
    <d v="2025-08-06T00:00:00"/>
    <n v="33"/>
    <n v="3.7"/>
    <x v="0"/>
    <m/>
    <s v="OK"/>
    <n v="8.5610900000000001"/>
    <s v="Correct Price"/>
    <n v="5048.01"/>
  </r>
  <r>
    <s v="FB001511"/>
    <x v="4"/>
    <x v="0"/>
    <x v="0"/>
    <s v="M"/>
    <s v="Gray"/>
    <n v="25.97"/>
    <x v="0"/>
    <n v="25.97"/>
    <d v="2024-11-28T00:00:00"/>
    <n v="31"/>
    <n v="1.2"/>
    <x v="0"/>
    <m/>
    <s v="OK"/>
    <n v="0"/>
    <s v="Correct Price"/>
    <n v="805.06999999999994"/>
  </r>
  <r>
    <s v="FB001512"/>
    <x v="1"/>
    <x v="7"/>
    <x v="3"/>
    <s v="L"/>
    <s v="Beige"/>
    <n v="85"/>
    <x v="384"/>
    <n v="51.09"/>
    <d v="2025-08-06T00:00:00"/>
    <n v="44"/>
    <n v="3"/>
    <x v="0"/>
    <m/>
    <s v="OK"/>
    <n v="33.914999999999999"/>
    <s v="Correct Price"/>
    <n v="2247.96"/>
  </r>
  <r>
    <s v="FB001513"/>
    <x v="2"/>
    <x v="1"/>
    <x v="3"/>
    <m/>
    <s v="Pink"/>
    <n v="75.03"/>
    <x v="5"/>
    <n v="66.849999999999994"/>
    <d v="2025-08-06T00:00:00"/>
    <n v="12"/>
    <n v="1.2"/>
    <x v="0"/>
    <m/>
    <s v="OK"/>
    <n v="8.1782699999999995"/>
    <s v="Correct Price"/>
    <n v="802.19999999999993"/>
  </r>
  <r>
    <s v="FB001514"/>
    <x v="2"/>
    <x v="5"/>
    <x v="1"/>
    <m/>
    <s v="Beige"/>
    <n v="33.880000000000003"/>
    <x v="0"/>
    <n v="33.880000000000003"/>
    <d v="2025-08-06T00:00:00"/>
    <n v="9"/>
    <m/>
    <x v="0"/>
    <m/>
    <s v="OK"/>
    <n v="0"/>
    <s v="Correct Price"/>
    <n v="304.92"/>
  </r>
  <r>
    <s v="FB001515"/>
    <x v="3"/>
    <x v="2"/>
    <x v="3"/>
    <s v="XS"/>
    <s v="Purple"/>
    <n v="142"/>
    <x v="73"/>
    <n v="124.53"/>
    <d v="2025-08-06T00:00:00"/>
    <n v="39"/>
    <n v="3.3"/>
    <x v="0"/>
    <m/>
    <s v="OK"/>
    <n v="17.466000000000001"/>
    <s v="Correct Price"/>
    <n v="4856.67"/>
  </r>
  <r>
    <s v="FB001516"/>
    <x v="5"/>
    <x v="4"/>
    <x v="2"/>
    <s v="XL"/>
    <s v="Green"/>
    <n v="125.46"/>
    <x v="0"/>
    <n v="125.46"/>
    <d v="2025-08-06T00:00:00"/>
    <n v="26"/>
    <n v="1.1000000000000001"/>
    <x v="0"/>
    <m/>
    <s v="OK"/>
    <n v="0"/>
    <s v="Correct Price"/>
    <n v="3261.96"/>
  </r>
  <r>
    <s v="FB001517"/>
    <x v="3"/>
    <x v="4"/>
    <x v="1"/>
    <s v="L"/>
    <s v="Blue"/>
    <n v="138.79"/>
    <x v="0"/>
    <n v="138.79"/>
    <d v="2025-08-06T00:00:00"/>
    <n v="16"/>
    <m/>
    <x v="1"/>
    <s v="Size Issue"/>
    <s v="OK"/>
    <n v="0"/>
    <s v="Correct Price"/>
    <n v="2220.64"/>
  </r>
  <r>
    <s v="FB001518"/>
    <x v="4"/>
    <x v="5"/>
    <x v="0"/>
    <s v="XL"/>
    <s v="Pink"/>
    <n v="81.81"/>
    <x v="385"/>
    <n v="50.8"/>
    <d v="2025-02-16T00:00:00"/>
    <n v="44"/>
    <m/>
    <x v="0"/>
    <m/>
    <s v="OK"/>
    <n v="31.005990000000001"/>
    <s v="Correct Price"/>
    <n v="2235.1999999999998"/>
  </r>
  <r>
    <s v="FB001519"/>
    <x v="2"/>
    <x v="1"/>
    <x v="2"/>
    <m/>
    <s v="Brown"/>
    <n v="78.260000000000005"/>
    <x v="386"/>
    <n v="41.24"/>
    <d v="2025-08-06T00:00:00"/>
    <n v="20"/>
    <n v="4"/>
    <x v="0"/>
    <m/>
    <s v="OK"/>
    <n v="37.016979999999997"/>
    <s v="Correct Price"/>
    <n v="824.80000000000007"/>
  </r>
  <r>
    <s v="FB001520"/>
    <x v="4"/>
    <x v="2"/>
    <x v="0"/>
    <s v="XL"/>
    <s v="Navy"/>
    <n v="119.33"/>
    <x v="268"/>
    <n v="100.24"/>
    <d v="2024-08-16T00:00:00"/>
    <n v="35"/>
    <m/>
    <x v="0"/>
    <m/>
    <s v="OK"/>
    <n v="19.0928"/>
    <s v="Correct Price"/>
    <n v="3508.3999999999996"/>
  </r>
  <r>
    <s v="FB001521"/>
    <x v="2"/>
    <x v="5"/>
    <x v="0"/>
    <m/>
    <s v="Black"/>
    <n v="52.97"/>
    <x v="0"/>
    <n v="52.97"/>
    <d v="2025-07-26T00:00:00"/>
    <n v="36"/>
    <n v="4.5999999999999996"/>
    <x v="0"/>
    <m/>
    <s v="OK"/>
    <n v="0"/>
    <s v="Correct Price"/>
    <n v="1906.92"/>
  </r>
  <r>
    <s v="FB001522"/>
    <x v="2"/>
    <x v="3"/>
    <x v="1"/>
    <m/>
    <s v="Blue"/>
    <n v="69.48"/>
    <x v="0"/>
    <n v="69.48"/>
    <d v="2025-08-06T00:00:00"/>
    <n v="17"/>
    <n v="3.4"/>
    <x v="0"/>
    <m/>
    <s v="OK"/>
    <n v="0"/>
    <s v="Correct Price"/>
    <n v="1181.1600000000001"/>
  </r>
  <r>
    <s v="FB001523"/>
    <x v="0"/>
    <x v="2"/>
    <x v="3"/>
    <s v="L"/>
    <s v="Gray"/>
    <n v="177.82"/>
    <x v="0"/>
    <n v="177.82"/>
    <d v="2025-08-06T00:00:00"/>
    <n v="9"/>
    <n v="1.1000000000000001"/>
    <x v="0"/>
    <m/>
    <s v="OK"/>
    <n v="0"/>
    <s v="Correct Price"/>
    <n v="1600.3799999999999"/>
  </r>
  <r>
    <s v="FB001524"/>
    <x v="3"/>
    <x v="2"/>
    <x v="1"/>
    <s v="L"/>
    <s v="Pink"/>
    <n v="142.71"/>
    <x v="0"/>
    <n v="142.71"/>
    <d v="2025-08-06T00:00:00"/>
    <n v="28"/>
    <n v="1"/>
    <x v="0"/>
    <m/>
    <s v="OK"/>
    <n v="0"/>
    <s v="Correct Price"/>
    <n v="3995.88"/>
  </r>
  <r>
    <s v="FB001525"/>
    <x v="4"/>
    <x v="0"/>
    <x v="0"/>
    <s v="XS"/>
    <s v="Blue"/>
    <n v="105.21"/>
    <x v="0"/>
    <n v="105.21"/>
    <d v="2024-11-02T00:00:00"/>
    <n v="41"/>
    <n v="4.9000000000000004"/>
    <x v="0"/>
    <m/>
    <s v="OK"/>
    <n v="0"/>
    <s v="Correct Price"/>
    <n v="4313.6099999999997"/>
  </r>
  <r>
    <s v="FB001526"/>
    <x v="2"/>
    <x v="7"/>
    <x v="2"/>
    <m/>
    <s v="Gray"/>
    <n v="65.09"/>
    <x v="355"/>
    <n v="32.68"/>
    <d v="2025-08-06T00:00:00"/>
    <n v="32"/>
    <n v="4.9000000000000004"/>
    <x v="0"/>
    <m/>
    <s v="OK"/>
    <n v="32.414819999999999"/>
    <s v="Correct Price"/>
    <n v="1045.76"/>
  </r>
  <r>
    <s v="FB001527"/>
    <x v="0"/>
    <x v="1"/>
    <x v="1"/>
    <s v="M"/>
    <s v="Navy"/>
    <n v="167.39"/>
    <x v="0"/>
    <n v="167.39"/>
    <d v="2025-08-06T00:00:00"/>
    <n v="43"/>
    <n v="1.8"/>
    <x v="0"/>
    <m/>
    <s v="OK"/>
    <n v="0"/>
    <s v="Correct Price"/>
    <n v="7197.7699999999995"/>
  </r>
  <r>
    <s v="FB001528"/>
    <x v="2"/>
    <x v="1"/>
    <x v="1"/>
    <m/>
    <s v="Red"/>
    <n v="49.89"/>
    <x v="0"/>
    <n v="49.89"/>
    <d v="2025-08-06T00:00:00"/>
    <n v="32"/>
    <n v="2.4"/>
    <x v="0"/>
    <m/>
    <s v="OK"/>
    <n v="0"/>
    <s v="Correct Price"/>
    <n v="1596.48"/>
  </r>
  <r>
    <s v="FB001529"/>
    <x v="0"/>
    <x v="2"/>
    <x v="2"/>
    <s v="S"/>
    <s v="White"/>
    <n v="218.06"/>
    <x v="0"/>
    <n v="218.06"/>
    <d v="2025-08-06T00:00:00"/>
    <n v="32"/>
    <n v="4"/>
    <x v="0"/>
    <m/>
    <s v="OK"/>
    <n v="0"/>
    <s v="Correct Price"/>
    <n v="6977.92"/>
  </r>
  <r>
    <s v="FB001530"/>
    <x v="4"/>
    <x v="6"/>
    <x v="3"/>
    <s v="XS"/>
    <s v="White"/>
    <n v="66.64"/>
    <x v="7"/>
    <n v="52.11"/>
    <d v="2025-08-06T00:00:00"/>
    <n v="25"/>
    <n v="3.5"/>
    <x v="1"/>
    <s v="Changed Mind"/>
    <s v="OK"/>
    <n v="14.527519999999999"/>
    <s v="Correct Price"/>
    <n v="1302.75"/>
  </r>
  <r>
    <s v="FB001531"/>
    <x v="0"/>
    <x v="5"/>
    <x v="2"/>
    <s v="S"/>
    <s v="Gray"/>
    <n v="124.69"/>
    <x v="319"/>
    <n v="73.69"/>
    <d v="2025-08-06T00:00:00"/>
    <n v="9"/>
    <n v="4.0999999999999996"/>
    <x v="0"/>
    <m/>
    <s v="OK"/>
    <n v="50.99821"/>
    <s v="Correct Price"/>
    <n v="663.21"/>
  </r>
  <r>
    <s v="FB001532"/>
    <x v="1"/>
    <x v="3"/>
    <x v="3"/>
    <s v="S"/>
    <s v="Pink"/>
    <n v="28.24"/>
    <x v="175"/>
    <n v="14.63"/>
    <d v="2025-08-06T00:00:00"/>
    <n v="20"/>
    <n v="4.5"/>
    <x v="0"/>
    <m/>
    <s v="OK"/>
    <n v="13.61168"/>
    <s v="Correct Price"/>
    <n v="292.60000000000002"/>
  </r>
  <r>
    <s v="FB001533"/>
    <x v="2"/>
    <x v="0"/>
    <x v="3"/>
    <m/>
    <s v="Purple"/>
    <n v="76.39"/>
    <x v="17"/>
    <n v="35.22"/>
    <d v="2025-08-06T00:00:00"/>
    <n v="15"/>
    <n v="1.5"/>
    <x v="0"/>
    <m/>
    <s v="OK"/>
    <n v="41.174210000000002"/>
    <s v="Correct Price"/>
    <n v="528.29999999999995"/>
  </r>
  <r>
    <s v="FB001534"/>
    <x v="4"/>
    <x v="0"/>
    <x v="1"/>
    <s v="M"/>
    <s v="Blue"/>
    <n v="96.82"/>
    <x v="0"/>
    <n v="96.82"/>
    <d v="2025-08-06T00:00:00"/>
    <n v="0"/>
    <n v="1.1000000000000001"/>
    <x v="0"/>
    <m/>
    <s v="OK"/>
    <n v="0"/>
    <s v="Correct Price"/>
    <n v="0"/>
  </r>
  <r>
    <s v="FB001535"/>
    <x v="3"/>
    <x v="2"/>
    <x v="2"/>
    <s v="XS"/>
    <s v="Navy"/>
    <n v="159.25"/>
    <x v="387"/>
    <n v="114.34"/>
    <d v="2025-08-06T00:00:00"/>
    <n v="1"/>
    <m/>
    <x v="1"/>
    <s v="Wrong Item"/>
    <s v="OK"/>
    <n v="44.908499999999997"/>
    <s v="Correct Price"/>
    <n v="114.34"/>
  </r>
  <r>
    <s v="FB001536"/>
    <x v="5"/>
    <x v="0"/>
    <x v="3"/>
    <s v="XXL"/>
    <s v="Navy"/>
    <n v="171.93"/>
    <x v="388"/>
    <n v="82.01"/>
    <d v="2025-08-06T00:00:00"/>
    <n v="28"/>
    <n v="2.2000000000000002"/>
    <x v="0"/>
    <m/>
    <s v="OK"/>
    <n v="89.919390000000007"/>
    <s v="Correct Price"/>
    <n v="2296.2800000000002"/>
  </r>
  <r>
    <s v="FB001537"/>
    <x v="1"/>
    <x v="0"/>
    <x v="3"/>
    <s v="XS"/>
    <s v="Brown"/>
    <n v="85.25"/>
    <x v="0"/>
    <n v="85.25"/>
    <d v="2025-08-06T00:00:00"/>
    <n v="11"/>
    <m/>
    <x v="0"/>
    <m/>
    <s v="OK"/>
    <n v="0"/>
    <s v="Correct Price"/>
    <n v="937.75"/>
  </r>
  <r>
    <s v="FB001538"/>
    <x v="1"/>
    <x v="2"/>
    <x v="0"/>
    <s v="XXL"/>
    <s v="Pink"/>
    <n v="70.48"/>
    <x v="0"/>
    <n v="70.48"/>
    <d v="2024-11-27T00:00:00"/>
    <n v="22"/>
    <n v="1.2"/>
    <x v="0"/>
    <m/>
    <s v="OK"/>
    <n v="0"/>
    <s v="Correct Price"/>
    <n v="1550.5600000000002"/>
  </r>
  <r>
    <s v="FB001539"/>
    <x v="0"/>
    <x v="2"/>
    <x v="0"/>
    <s v="S"/>
    <s v="Brown"/>
    <n v="203.02"/>
    <x v="0"/>
    <n v="203.02"/>
    <d v="2025-05-17T00:00:00"/>
    <n v="23"/>
    <n v="3.5"/>
    <x v="1"/>
    <s v="Quality Issue"/>
    <s v="OK"/>
    <n v="0"/>
    <s v="Correct Price"/>
    <n v="4669.46"/>
  </r>
  <r>
    <s v="FB001540"/>
    <x v="5"/>
    <x v="5"/>
    <x v="2"/>
    <s v="XXL"/>
    <s v="Pink"/>
    <n v="115.39"/>
    <x v="305"/>
    <n v="102.47"/>
    <d v="2025-08-06T00:00:00"/>
    <n v="4"/>
    <n v="3.8"/>
    <x v="0"/>
    <m/>
    <s v="OK"/>
    <n v="12.923679999999999"/>
    <s v="Correct Price"/>
    <n v="409.88"/>
  </r>
  <r>
    <s v="FB001541"/>
    <x v="2"/>
    <x v="3"/>
    <x v="0"/>
    <m/>
    <s v="Pink"/>
    <n v="27.91"/>
    <x v="355"/>
    <n v="14.01"/>
    <d v="2025-02-13T00:00:00"/>
    <n v="12"/>
    <n v="2.6"/>
    <x v="0"/>
    <m/>
    <s v="OK"/>
    <n v="13.899179999999999"/>
    <s v="Correct Price"/>
    <n v="168.12"/>
  </r>
  <r>
    <s v="FB001542"/>
    <x v="2"/>
    <x v="4"/>
    <x v="1"/>
    <m/>
    <s v="Navy"/>
    <n v="79.69"/>
    <x v="0"/>
    <n v="79.69"/>
    <d v="2025-08-06T00:00:00"/>
    <n v="44"/>
    <n v="1.6"/>
    <x v="0"/>
    <m/>
    <s v="OK"/>
    <n v="0"/>
    <s v="Correct Price"/>
    <n v="3506.3599999999997"/>
  </r>
  <r>
    <s v="FB001543"/>
    <x v="4"/>
    <x v="7"/>
    <x v="2"/>
    <s v="S"/>
    <s v="Brown"/>
    <n v="47.22"/>
    <x v="0"/>
    <n v="47.22"/>
    <d v="2025-08-06T00:00:00"/>
    <n v="19"/>
    <n v="1.9"/>
    <x v="0"/>
    <m/>
    <s v="OK"/>
    <n v="0"/>
    <s v="Correct Price"/>
    <n v="897.18"/>
  </r>
  <r>
    <s v="FB001544"/>
    <x v="3"/>
    <x v="4"/>
    <x v="2"/>
    <m/>
    <s v="Brown"/>
    <n v="172.27"/>
    <x v="373"/>
    <n v="146.6"/>
    <d v="2025-08-06T00:00:00"/>
    <n v="8"/>
    <n v="3.7"/>
    <x v="0"/>
    <m/>
    <s v="OK"/>
    <n v="25.668230000000005"/>
    <s v="Correct Price"/>
    <n v="1172.8"/>
  </r>
  <r>
    <s v="FB001545"/>
    <x v="2"/>
    <x v="0"/>
    <x v="1"/>
    <m/>
    <s v="Black"/>
    <n v="27.9"/>
    <x v="0"/>
    <n v="27.9"/>
    <d v="2025-08-06T00:00:00"/>
    <n v="27"/>
    <n v="3"/>
    <x v="1"/>
    <s v="Changed Mind"/>
    <s v="OK"/>
    <n v="0"/>
    <s v="Correct Price"/>
    <n v="753.3"/>
  </r>
  <r>
    <s v="FB001546"/>
    <x v="5"/>
    <x v="0"/>
    <x v="0"/>
    <s v="S"/>
    <s v="Beige"/>
    <n v="139.26"/>
    <x v="0"/>
    <n v="139.26"/>
    <d v="2025-01-02T00:00:00"/>
    <n v="32"/>
    <n v="3.4"/>
    <x v="0"/>
    <m/>
    <s v="OK"/>
    <n v="0"/>
    <s v="Correct Price"/>
    <n v="4456.32"/>
  </r>
  <r>
    <s v="FB001547"/>
    <x v="2"/>
    <x v="5"/>
    <x v="3"/>
    <m/>
    <s v="Gray"/>
    <n v="30.47"/>
    <x v="0"/>
    <n v="30.47"/>
    <d v="2025-08-06T00:00:00"/>
    <n v="34"/>
    <n v="4.2"/>
    <x v="0"/>
    <m/>
    <s v="OK"/>
    <n v="0"/>
    <s v="Correct Price"/>
    <n v="1035.98"/>
  </r>
  <r>
    <s v="FB001548"/>
    <x v="0"/>
    <x v="6"/>
    <x v="2"/>
    <s v="M"/>
    <s v="Purple"/>
    <n v="141.53"/>
    <x v="69"/>
    <n v="85.2"/>
    <d v="2025-08-06T00:00:00"/>
    <n v="47"/>
    <n v="3.5"/>
    <x v="0"/>
    <m/>
    <s v="OK"/>
    <n v="56.328939999999996"/>
    <s v="Correct Price"/>
    <n v="4004.4"/>
  </r>
  <r>
    <s v="FB001549"/>
    <x v="5"/>
    <x v="6"/>
    <x v="0"/>
    <s v="XL"/>
    <s v="Gray"/>
    <n v="47.45"/>
    <x v="11"/>
    <n v="35.869999999999997"/>
    <d v="2025-06-15T00:00:00"/>
    <n v="42"/>
    <n v="2.8"/>
    <x v="0"/>
    <m/>
    <s v="OK"/>
    <n v="11.5778"/>
    <s v="Correct Price"/>
    <n v="1506.54"/>
  </r>
  <r>
    <s v="FB001550"/>
    <x v="4"/>
    <x v="6"/>
    <x v="1"/>
    <s v="XS"/>
    <s v="Navy"/>
    <n v="51.39"/>
    <x v="165"/>
    <n v="48.15"/>
    <d v="2025-08-06T00:00:00"/>
    <n v="46"/>
    <m/>
    <x v="0"/>
    <m/>
    <s v="OK"/>
    <n v="3.2375699999999998"/>
    <s v="Correct Price"/>
    <n v="2214.9"/>
  </r>
  <r>
    <s v="FB001551"/>
    <x v="1"/>
    <x v="6"/>
    <x v="0"/>
    <m/>
    <s v="White"/>
    <n v="74.13"/>
    <x v="0"/>
    <n v="74.13"/>
    <d v="2024-11-13T00:00:00"/>
    <n v="23"/>
    <m/>
    <x v="0"/>
    <m/>
    <s v="OK"/>
    <n v="0"/>
    <s v="Correct Price"/>
    <n v="1704.9899999999998"/>
  </r>
  <r>
    <s v="FB001552"/>
    <x v="5"/>
    <x v="0"/>
    <x v="2"/>
    <s v="XL"/>
    <s v="Purple"/>
    <n v="156.13999999999999"/>
    <x v="389"/>
    <n v="148.33000000000001"/>
    <d v="2025-08-06T00:00:00"/>
    <n v="39"/>
    <m/>
    <x v="0"/>
    <m/>
    <s v="OK"/>
    <n v="7.8069999999999995"/>
    <s v="Correct Price"/>
    <n v="5784.8700000000008"/>
  </r>
  <r>
    <s v="FB001553"/>
    <x v="0"/>
    <x v="2"/>
    <x v="3"/>
    <s v="XS"/>
    <s v="Green"/>
    <n v="105.3"/>
    <x v="0"/>
    <n v="105.3"/>
    <d v="2025-08-06T00:00:00"/>
    <n v="1"/>
    <n v="3"/>
    <x v="0"/>
    <m/>
    <s v="OK"/>
    <n v="0"/>
    <s v="Correct Price"/>
    <n v="105.3"/>
  </r>
  <r>
    <s v="FB001554"/>
    <x v="5"/>
    <x v="4"/>
    <x v="1"/>
    <s v="S"/>
    <s v="Navy"/>
    <n v="126.76"/>
    <x v="0"/>
    <n v="126.76"/>
    <d v="2025-08-06T00:00:00"/>
    <n v="24"/>
    <n v="2.2000000000000002"/>
    <x v="0"/>
    <m/>
    <s v="OK"/>
    <n v="0"/>
    <s v="Correct Price"/>
    <n v="3042.2400000000002"/>
  </r>
  <r>
    <s v="FB001555"/>
    <x v="1"/>
    <x v="6"/>
    <x v="1"/>
    <s v="L"/>
    <s v="Navy"/>
    <n v="35.409999999999997"/>
    <x v="0"/>
    <n v="35.409999999999997"/>
    <d v="2025-08-06T00:00:00"/>
    <n v="48"/>
    <n v="4.3"/>
    <x v="1"/>
    <s v="Damaged"/>
    <s v="OK"/>
    <n v="0"/>
    <s v="Correct Price"/>
    <n v="1699.6799999999998"/>
  </r>
  <r>
    <s v="FB001556"/>
    <x v="0"/>
    <x v="5"/>
    <x v="1"/>
    <s v="M"/>
    <s v="White"/>
    <n v="80.040000000000006"/>
    <x v="0"/>
    <n v="80.040000000000006"/>
    <d v="2025-08-06T00:00:00"/>
    <n v="13"/>
    <n v="2.2999999999999998"/>
    <x v="0"/>
    <m/>
    <s v="OK"/>
    <n v="0"/>
    <s v="Correct Price"/>
    <n v="1040.52"/>
  </r>
  <r>
    <s v="FB001557"/>
    <x v="4"/>
    <x v="6"/>
    <x v="2"/>
    <m/>
    <s v="Navy"/>
    <n v="68.16"/>
    <x v="0"/>
    <n v="68.16"/>
    <d v="2025-08-06T00:00:00"/>
    <n v="34"/>
    <n v="2.7"/>
    <x v="0"/>
    <m/>
    <s v="OK"/>
    <n v="0"/>
    <s v="Correct Price"/>
    <n v="2317.44"/>
  </r>
  <r>
    <s v="FB001558"/>
    <x v="5"/>
    <x v="5"/>
    <x v="2"/>
    <s v="XL"/>
    <s v="White"/>
    <n v="60.87"/>
    <x v="0"/>
    <n v="60.87"/>
    <d v="2025-08-06T00:00:00"/>
    <n v="35"/>
    <m/>
    <x v="0"/>
    <m/>
    <s v="OK"/>
    <n v="0"/>
    <s v="Correct Price"/>
    <n v="2130.4499999999998"/>
  </r>
  <r>
    <s v="FB001559"/>
    <x v="1"/>
    <x v="4"/>
    <x v="0"/>
    <s v="L"/>
    <s v="Brown"/>
    <n v="59.8"/>
    <x v="0"/>
    <n v="59.8"/>
    <d v="2025-04-06T00:00:00"/>
    <n v="50"/>
    <n v="2.2000000000000002"/>
    <x v="1"/>
    <s v="Size Issue"/>
    <s v="OK"/>
    <n v="0"/>
    <s v="Correct Price"/>
    <n v="2990"/>
  </r>
  <r>
    <s v="FB001560"/>
    <x v="2"/>
    <x v="6"/>
    <x v="2"/>
    <m/>
    <s v="Black"/>
    <n v="75.83"/>
    <x v="0"/>
    <n v="75.83"/>
    <d v="2025-08-06T00:00:00"/>
    <n v="8"/>
    <n v="2"/>
    <x v="0"/>
    <m/>
    <s v="OK"/>
    <n v="0"/>
    <s v="Correct Price"/>
    <n v="606.64"/>
  </r>
  <r>
    <s v="FB001561"/>
    <x v="1"/>
    <x v="4"/>
    <x v="3"/>
    <s v="L"/>
    <s v="Beige"/>
    <n v="55.97"/>
    <x v="0"/>
    <n v="55.97"/>
    <d v="2025-08-06T00:00:00"/>
    <n v="30"/>
    <m/>
    <x v="0"/>
    <m/>
    <s v="OK"/>
    <n v="0"/>
    <s v="Correct Price"/>
    <n v="1679.1"/>
  </r>
  <r>
    <s v="FB001562"/>
    <x v="3"/>
    <x v="6"/>
    <x v="1"/>
    <s v="XL"/>
    <s v="Beige"/>
    <n v="190.52"/>
    <x v="200"/>
    <n v="104.4"/>
    <d v="2025-08-06T00:00:00"/>
    <n v="2"/>
    <n v="1.1000000000000001"/>
    <x v="0"/>
    <m/>
    <s v="OK"/>
    <n v="86.115040000000008"/>
    <s v="Correct Price"/>
    <n v="208.8"/>
  </r>
  <r>
    <s v="FB001563"/>
    <x v="4"/>
    <x v="0"/>
    <x v="3"/>
    <s v="M"/>
    <s v="Pink"/>
    <n v="89.19"/>
    <x v="390"/>
    <n v="80"/>
    <d v="2025-08-06T00:00:00"/>
    <n v="4"/>
    <m/>
    <x v="0"/>
    <m/>
    <s v="OK"/>
    <n v="9.1865699999999997"/>
    <s v="Correct Price"/>
    <n v="320"/>
  </r>
  <r>
    <s v="FB001564"/>
    <x v="3"/>
    <x v="2"/>
    <x v="3"/>
    <m/>
    <s v="White"/>
    <n v="79.59"/>
    <x v="391"/>
    <n v="72.510000000000005"/>
    <d v="2025-08-06T00:00:00"/>
    <n v="16"/>
    <n v="4.5999999999999996"/>
    <x v="1"/>
    <s v="Wrong Item"/>
    <s v="OK"/>
    <n v="7.0835100000000013"/>
    <s v="Correct Price"/>
    <n v="1160.1600000000001"/>
  </r>
  <r>
    <s v="FB001565"/>
    <x v="4"/>
    <x v="3"/>
    <x v="0"/>
    <s v="XXL"/>
    <s v="Gray"/>
    <n v="84.8"/>
    <x v="0"/>
    <n v="84.8"/>
    <d v="2025-07-08T00:00:00"/>
    <n v="46"/>
    <n v="4.5999999999999996"/>
    <x v="0"/>
    <m/>
    <s v="OK"/>
    <n v="0"/>
    <s v="Correct Price"/>
    <n v="3900.7999999999997"/>
  </r>
  <r>
    <s v="FB001566"/>
    <x v="4"/>
    <x v="7"/>
    <x v="2"/>
    <s v="M"/>
    <s v="Black"/>
    <n v="69.209999999999994"/>
    <x v="0"/>
    <n v="69.209999999999994"/>
    <d v="2025-08-06T00:00:00"/>
    <n v="41"/>
    <m/>
    <x v="0"/>
    <m/>
    <s v="OK"/>
    <n v="0"/>
    <s v="Correct Price"/>
    <n v="2837.6099999999997"/>
  </r>
  <r>
    <s v="FB001567"/>
    <x v="0"/>
    <x v="2"/>
    <x v="0"/>
    <s v="XS"/>
    <s v="Navy"/>
    <n v="229.17"/>
    <x v="0"/>
    <n v="229.17"/>
    <d v="2025-07-17T00:00:00"/>
    <n v="37"/>
    <n v="2"/>
    <x v="0"/>
    <m/>
    <s v="OK"/>
    <n v="0"/>
    <s v="Correct Price"/>
    <n v="8479.2899999999991"/>
  </r>
  <r>
    <s v="FB001568"/>
    <x v="5"/>
    <x v="2"/>
    <x v="1"/>
    <s v="L"/>
    <s v="White"/>
    <n v="103.9"/>
    <x v="0"/>
    <n v="103.9"/>
    <d v="2025-08-06T00:00:00"/>
    <n v="40"/>
    <n v="4.4000000000000004"/>
    <x v="0"/>
    <m/>
    <s v="OK"/>
    <n v="0"/>
    <s v="Correct Price"/>
    <n v="4156"/>
  </r>
  <r>
    <s v="FB001569"/>
    <x v="0"/>
    <x v="0"/>
    <x v="0"/>
    <s v="XS"/>
    <s v="Beige"/>
    <n v="228.46"/>
    <x v="0"/>
    <n v="228.46"/>
    <d v="2025-02-07T00:00:00"/>
    <n v="7"/>
    <n v="2.5"/>
    <x v="1"/>
    <s v="Quality Issue"/>
    <s v="OK"/>
    <n v="0"/>
    <s v="Correct Price"/>
    <n v="1599.22"/>
  </r>
  <r>
    <s v="FB001570"/>
    <x v="2"/>
    <x v="0"/>
    <x v="3"/>
    <m/>
    <s v="White"/>
    <n v="44.35"/>
    <x v="128"/>
    <n v="31.4"/>
    <d v="2025-08-06T00:00:00"/>
    <n v="20"/>
    <n v="4.9000000000000004"/>
    <x v="0"/>
    <m/>
    <s v="OK"/>
    <n v="12.950200000000001"/>
    <s v="Correct Price"/>
    <n v="628"/>
  </r>
  <r>
    <s v="FB001571"/>
    <x v="4"/>
    <x v="1"/>
    <x v="0"/>
    <m/>
    <s v="Gray"/>
    <n v="28.76"/>
    <x v="392"/>
    <n v="13.03"/>
    <d v="2025-05-14T00:00:00"/>
    <n v="2"/>
    <n v="4.4000000000000004"/>
    <x v="1"/>
    <s v="Color Mismatch"/>
    <s v="OK"/>
    <n v="15.731720000000003"/>
    <s v="Correct Price"/>
    <n v="26.06"/>
  </r>
  <r>
    <s v="FB001572"/>
    <x v="0"/>
    <x v="3"/>
    <x v="0"/>
    <s v="XXL"/>
    <s v="Red"/>
    <n v="158.34"/>
    <x v="240"/>
    <n v="100.39"/>
    <d v="2025-01-27T00:00:00"/>
    <n v="11"/>
    <n v="4.5"/>
    <x v="0"/>
    <m/>
    <s v="OK"/>
    <n v="57.952440000000003"/>
    <s v="Correct Price"/>
    <n v="1104.29"/>
  </r>
  <r>
    <s v="FB001573"/>
    <x v="2"/>
    <x v="0"/>
    <x v="0"/>
    <m/>
    <s v="Brown"/>
    <n v="39.049999999999997"/>
    <x v="393"/>
    <n v="34.36"/>
    <d v="2024-09-30T00:00:00"/>
    <n v="0"/>
    <n v="3.1"/>
    <x v="0"/>
    <m/>
    <s v="OK"/>
    <n v="4.6859999999999999"/>
    <s v="Correct Price"/>
    <n v="0"/>
  </r>
  <r>
    <s v="FB001574"/>
    <x v="1"/>
    <x v="5"/>
    <x v="0"/>
    <s v="S"/>
    <s v="Blue"/>
    <n v="52.46"/>
    <x v="267"/>
    <n v="46.06"/>
    <d v="2024-12-19T00:00:00"/>
    <n v="39"/>
    <n v="2.2999999999999998"/>
    <x v="0"/>
    <m/>
    <s v="OK"/>
    <n v="6.4001199999999994"/>
    <s v="Correct Price"/>
    <n v="1796.3400000000001"/>
  </r>
  <r>
    <s v="FB001575"/>
    <x v="4"/>
    <x v="6"/>
    <x v="0"/>
    <s v="S"/>
    <s v="Red"/>
    <n v="70.31"/>
    <x v="394"/>
    <n v="46.12"/>
    <d v="2025-01-24T00:00:00"/>
    <n v="28"/>
    <n v="3.1"/>
    <x v="0"/>
    <m/>
    <s v="OK"/>
    <n v="24.186639999999997"/>
    <s v="Correct Price"/>
    <n v="1291.3599999999999"/>
  </r>
  <r>
    <s v="FB001576"/>
    <x v="0"/>
    <x v="7"/>
    <x v="3"/>
    <s v="S"/>
    <s v="Beige"/>
    <n v="123.27"/>
    <x v="0"/>
    <n v="123.27"/>
    <d v="2025-08-06T00:00:00"/>
    <n v="13"/>
    <n v="2.8"/>
    <x v="0"/>
    <m/>
    <s v="OK"/>
    <n v="0"/>
    <s v="Correct Price"/>
    <n v="1602.51"/>
  </r>
  <r>
    <s v="FB001577"/>
    <x v="0"/>
    <x v="3"/>
    <x v="3"/>
    <s v="L"/>
    <s v="Navy"/>
    <n v="215.82"/>
    <x v="303"/>
    <n v="180.21"/>
    <d v="2025-08-06T00:00:00"/>
    <n v="9"/>
    <n v="2.4"/>
    <x v="0"/>
    <m/>
    <s v="OK"/>
    <n v="35.610299999999995"/>
    <s v="Correct Price"/>
    <n v="1621.89"/>
  </r>
  <r>
    <s v="FB001578"/>
    <x v="0"/>
    <x v="6"/>
    <x v="3"/>
    <s v="XS"/>
    <s v="Blue"/>
    <n v="82.91"/>
    <x v="395"/>
    <n v="82.33"/>
    <d v="2025-08-06T00:00:00"/>
    <n v="24"/>
    <m/>
    <x v="1"/>
    <s v="Damaged"/>
    <s v="OK"/>
    <n v="0.58036999999999994"/>
    <s v="Correct Price"/>
    <n v="1975.92"/>
  </r>
  <r>
    <s v="FB001579"/>
    <x v="1"/>
    <x v="6"/>
    <x v="1"/>
    <s v="XL"/>
    <s v="Purple"/>
    <n v="33.46"/>
    <x v="0"/>
    <n v="33.46"/>
    <d v="2025-08-06T00:00:00"/>
    <n v="36"/>
    <n v="3.6"/>
    <x v="0"/>
    <m/>
    <s v="OK"/>
    <n v="0"/>
    <s v="Correct Price"/>
    <n v="1204.56"/>
  </r>
  <r>
    <s v="FB001580"/>
    <x v="4"/>
    <x v="2"/>
    <x v="0"/>
    <s v="L"/>
    <s v="Gray"/>
    <n v="37.21"/>
    <x v="17"/>
    <n v="17.149999999999999"/>
    <d v="2025-06-27T00:00:00"/>
    <n v="48"/>
    <n v="3.8"/>
    <x v="0"/>
    <m/>
    <s v="OK"/>
    <n v="20.056190000000001"/>
    <s v="Correct Price"/>
    <n v="823.19999999999993"/>
  </r>
  <r>
    <s v="FB001581"/>
    <x v="4"/>
    <x v="3"/>
    <x v="1"/>
    <m/>
    <s v="Red"/>
    <n v="76.86"/>
    <x v="396"/>
    <n v="39.28"/>
    <d v="2025-08-06T00:00:00"/>
    <n v="5"/>
    <n v="1.2"/>
    <x v="0"/>
    <m/>
    <s v="OK"/>
    <n v="37.584539999999997"/>
    <s v="Correct Price"/>
    <n v="196.4"/>
  </r>
  <r>
    <s v="FB001582"/>
    <x v="0"/>
    <x v="4"/>
    <x v="1"/>
    <s v="S"/>
    <s v="Beige"/>
    <n v="208.57"/>
    <x v="0"/>
    <n v="208.57"/>
    <d v="2025-08-06T00:00:00"/>
    <n v="24"/>
    <n v="3.6"/>
    <x v="0"/>
    <m/>
    <s v="OK"/>
    <n v="0"/>
    <s v="Correct Price"/>
    <n v="5005.68"/>
  </r>
  <r>
    <s v="FB001583"/>
    <x v="5"/>
    <x v="6"/>
    <x v="0"/>
    <s v="XL"/>
    <s v="Red"/>
    <n v="131.69999999999999"/>
    <x v="57"/>
    <n v="110.89"/>
    <d v="2024-08-12T00:00:00"/>
    <n v="49"/>
    <n v="1.4"/>
    <x v="1"/>
    <s v="Damaged"/>
    <s v="OK"/>
    <n v="20.808600000000002"/>
    <s v="Correct Price"/>
    <n v="5433.61"/>
  </r>
  <r>
    <s v="FB001584"/>
    <x v="4"/>
    <x v="3"/>
    <x v="3"/>
    <s v="XXL"/>
    <s v="Blue"/>
    <n v="117.21"/>
    <x v="0"/>
    <n v="117.21"/>
    <d v="2025-08-06T00:00:00"/>
    <n v="14"/>
    <n v="3.2"/>
    <x v="0"/>
    <m/>
    <s v="OK"/>
    <n v="0"/>
    <s v="Correct Price"/>
    <n v="1640.9399999999998"/>
  </r>
  <r>
    <s v="FB001585"/>
    <x v="2"/>
    <x v="3"/>
    <x v="3"/>
    <m/>
    <s v="Green"/>
    <n v="23.01"/>
    <x v="95"/>
    <n v="11.78"/>
    <d v="2025-08-06T00:00:00"/>
    <n v="13"/>
    <n v="3.6"/>
    <x v="0"/>
    <m/>
    <s v="OK"/>
    <n v="11.228879999999998"/>
    <s v="Correct Price"/>
    <n v="153.13999999999999"/>
  </r>
  <r>
    <s v="FB001586"/>
    <x v="2"/>
    <x v="7"/>
    <x v="3"/>
    <m/>
    <s v="Red"/>
    <n v="47.6"/>
    <x v="0"/>
    <n v="47.6"/>
    <d v="2025-08-06T00:00:00"/>
    <n v="24"/>
    <n v="4.4000000000000004"/>
    <x v="1"/>
    <s v="Wrong Item"/>
    <s v="OK"/>
    <n v="0"/>
    <s v="Correct Price"/>
    <n v="1142.4000000000001"/>
  </r>
  <r>
    <s v="FB001587"/>
    <x v="4"/>
    <x v="0"/>
    <x v="2"/>
    <s v="L"/>
    <s v="Pink"/>
    <n v="33.22"/>
    <x v="397"/>
    <n v="20.46"/>
    <d v="2025-08-06T00:00:00"/>
    <n v="11"/>
    <n v="2.9"/>
    <x v="0"/>
    <m/>
    <s v="OK"/>
    <n v="12.75648"/>
    <s v="Correct Price"/>
    <n v="225.06"/>
  </r>
  <r>
    <s v="FB001588"/>
    <x v="2"/>
    <x v="1"/>
    <x v="1"/>
    <m/>
    <s v="Navy"/>
    <n v="65.97"/>
    <x v="317"/>
    <n v="61.48"/>
    <d v="2025-08-06T00:00:00"/>
    <n v="41"/>
    <n v="4.3"/>
    <x v="0"/>
    <m/>
    <s v="OK"/>
    <n v="4.4859600000000004"/>
    <s v="Correct Price"/>
    <n v="2520.6799999999998"/>
  </r>
  <r>
    <s v="FB001589"/>
    <x v="1"/>
    <x v="4"/>
    <x v="0"/>
    <s v="L"/>
    <s v="Green"/>
    <n v="47.25"/>
    <x v="294"/>
    <n v="33.549999999999997"/>
    <d v="2025-06-20T00:00:00"/>
    <n v="38"/>
    <n v="5"/>
    <x v="0"/>
    <m/>
    <s v="OK"/>
    <n v="13.702500000000001"/>
    <s v="Correct Price"/>
    <n v="1274.8999999999999"/>
  </r>
  <r>
    <s v="FB001590"/>
    <x v="1"/>
    <x v="7"/>
    <x v="0"/>
    <s v="XS"/>
    <s v="Green"/>
    <n v="93.74"/>
    <x v="0"/>
    <n v="93.74"/>
    <d v="2024-12-27T00:00:00"/>
    <n v="39"/>
    <n v="4"/>
    <x v="0"/>
    <m/>
    <s v="OK"/>
    <n v="0"/>
    <s v="Correct Price"/>
    <n v="3655.8599999999997"/>
  </r>
  <r>
    <s v="FB001591"/>
    <x v="4"/>
    <x v="7"/>
    <x v="3"/>
    <s v="XXL"/>
    <s v="White"/>
    <n v="31.57"/>
    <x v="0"/>
    <n v="31.57"/>
    <d v="2025-08-06T00:00:00"/>
    <n v="2"/>
    <m/>
    <x v="0"/>
    <m/>
    <s v="OK"/>
    <n v="0"/>
    <s v="Correct Price"/>
    <n v="63.14"/>
  </r>
  <r>
    <s v="FB001592"/>
    <x v="4"/>
    <x v="2"/>
    <x v="1"/>
    <s v="XXL"/>
    <s v="Brown"/>
    <n v="64.209999999999994"/>
    <x v="0"/>
    <n v="64.209999999999994"/>
    <d v="2025-08-06T00:00:00"/>
    <n v="3"/>
    <n v="2.8"/>
    <x v="0"/>
    <m/>
    <s v="OK"/>
    <n v="0"/>
    <s v="Correct Price"/>
    <n v="192.63"/>
  </r>
  <r>
    <s v="FB001593"/>
    <x v="2"/>
    <x v="2"/>
    <x v="1"/>
    <m/>
    <s v="Green"/>
    <n v="56.13"/>
    <x v="302"/>
    <n v="51.58"/>
    <d v="2025-08-06T00:00:00"/>
    <n v="12"/>
    <n v="3.8"/>
    <x v="0"/>
    <m/>
    <s v="OK"/>
    <n v="4.5465300000000006"/>
    <s v="Correct Price"/>
    <n v="618.96"/>
  </r>
  <r>
    <s v="FB001594"/>
    <x v="1"/>
    <x v="1"/>
    <x v="3"/>
    <s v="XXL"/>
    <s v="Beige"/>
    <n v="70.89"/>
    <x v="0"/>
    <n v="70.89"/>
    <d v="2025-08-06T00:00:00"/>
    <n v="14"/>
    <n v="4.7"/>
    <x v="1"/>
    <s v="Size Issue"/>
    <s v="OK"/>
    <n v="0"/>
    <s v="Correct Price"/>
    <n v="992.46"/>
  </r>
  <r>
    <s v="FB001595"/>
    <x v="3"/>
    <x v="2"/>
    <x v="1"/>
    <s v="M"/>
    <s v="Purple"/>
    <n v="149.65"/>
    <x v="0"/>
    <n v="149.65"/>
    <d v="2025-08-06T00:00:00"/>
    <n v="26"/>
    <n v="3.8"/>
    <x v="0"/>
    <m/>
    <s v="OK"/>
    <n v="0"/>
    <s v="Correct Price"/>
    <n v="3890.9"/>
  </r>
  <r>
    <s v="FB001596"/>
    <x v="3"/>
    <x v="0"/>
    <x v="0"/>
    <s v="S"/>
    <s v="White"/>
    <n v="83.17"/>
    <x v="0"/>
    <n v="83.17"/>
    <d v="2024-09-03T00:00:00"/>
    <n v="48"/>
    <n v="3.2"/>
    <x v="0"/>
    <m/>
    <s v="OK"/>
    <n v="0"/>
    <s v="Correct Price"/>
    <n v="3992.16"/>
  </r>
  <r>
    <s v="FB001597"/>
    <x v="0"/>
    <x v="4"/>
    <x v="2"/>
    <s v="XL"/>
    <s v="Blue"/>
    <n v="121.56"/>
    <x v="0"/>
    <n v="121.56"/>
    <d v="2025-08-06T00:00:00"/>
    <n v="18"/>
    <n v="3.3"/>
    <x v="0"/>
    <m/>
    <s v="OK"/>
    <n v="0"/>
    <s v="Correct Price"/>
    <n v="2188.08"/>
  </r>
  <r>
    <s v="FB001598"/>
    <x v="4"/>
    <x v="0"/>
    <x v="1"/>
    <s v="M"/>
    <s v="Purple"/>
    <n v="48.62"/>
    <x v="0"/>
    <n v="48.62"/>
    <d v="2025-08-06T00:00:00"/>
    <n v="3"/>
    <m/>
    <x v="1"/>
    <s v="Damaged"/>
    <s v="OK"/>
    <n v="0"/>
    <s v="Correct Price"/>
    <n v="145.85999999999999"/>
  </r>
  <r>
    <s v="FB001599"/>
    <x v="5"/>
    <x v="5"/>
    <x v="1"/>
    <s v="M"/>
    <s v="Blue"/>
    <n v="79.040000000000006"/>
    <x v="0"/>
    <n v="79.040000000000006"/>
    <d v="2025-08-06T00:00:00"/>
    <n v="4"/>
    <n v="4.0999999999999996"/>
    <x v="0"/>
    <m/>
    <s v="OK"/>
    <n v="0"/>
    <s v="Correct Price"/>
    <n v="316.16000000000003"/>
  </r>
  <r>
    <s v="FB001600"/>
    <x v="0"/>
    <x v="3"/>
    <x v="0"/>
    <s v="XS"/>
    <s v="Gray"/>
    <n v="198.58"/>
    <x v="0"/>
    <n v="198.58"/>
    <d v="2025-01-24T00:00:00"/>
    <n v="46"/>
    <m/>
    <x v="0"/>
    <m/>
    <s v="OK"/>
    <n v="0"/>
    <s v="Correct Price"/>
    <n v="9134.68"/>
  </r>
  <r>
    <s v="FB001601"/>
    <x v="0"/>
    <x v="2"/>
    <x v="3"/>
    <s v="M"/>
    <s v="Green"/>
    <n v="109.82"/>
    <x v="0"/>
    <n v="109.82"/>
    <d v="2025-08-06T00:00:00"/>
    <n v="32"/>
    <n v="2.2999999999999998"/>
    <x v="0"/>
    <m/>
    <s v="OK"/>
    <n v="0"/>
    <s v="Correct Price"/>
    <n v="3514.24"/>
  </r>
  <r>
    <s v="FB001602"/>
    <x v="2"/>
    <x v="2"/>
    <x v="3"/>
    <m/>
    <s v="Red"/>
    <n v="34.42"/>
    <x v="41"/>
    <n v="17.38"/>
    <d v="2025-08-06T00:00:00"/>
    <n v="26"/>
    <n v="2.2000000000000002"/>
    <x v="0"/>
    <m/>
    <s v="OK"/>
    <n v="17.0379"/>
    <s v="Correct Price"/>
    <n v="451.88"/>
  </r>
  <r>
    <s v="FB001603"/>
    <x v="3"/>
    <x v="0"/>
    <x v="1"/>
    <m/>
    <s v="Gray"/>
    <n v="112.1"/>
    <x v="0"/>
    <n v="112.1"/>
    <d v="2025-08-06T00:00:00"/>
    <n v="5"/>
    <n v="2"/>
    <x v="1"/>
    <s v="Color Mismatch"/>
    <s v="OK"/>
    <n v="0"/>
    <s v="Correct Price"/>
    <n v="560.5"/>
  </r>
  <r>
    <s v="FB001604"/>
    <x v="4"/>
    <x v="6"/>
    <x v="2"/>
    <s v="XS"/>
    <s v="White"/>
    <n v="25.07"/>
    <x v="0"/>
    <n v="25.07"/>
    <d v="2025-08-06T00:00:00"/>
    <n v="9"/>
    <n v="2.5"/>
    <x v="0"/>
    <m/>
    <s v="OK"/>
    <n v="0"/>
    <s v="Correct Price"/>
    <n v="225.63"/>
  </r>
  <r>
    <s v="FB001605"/>
    <x v="5"/>
    <x v="1"/>
    <x v="0"/>
    <s v="XL"/>
    <s v="Green"/>
    <n v="170.38"/>
    <x v="0"/>
    <n v="170.38"/>
    <d v="2024-09-05T00:00:00"/>
    <n v="23"/>
    <n v="4.3"/>
    <x v="0"/>
    <m/>
    <s v="OK"/>
    <n v="0"/>
    <s v="Correct Price"/>
    <n v="3918.74"/>
  </r>
  <r>
    <s v="FB001606"/>
    <x v="5"/>
    <x v="3"/>
    <x v="1"/>
    <s v="XXL"/>
    <s v="Green"/>
    <n v="77.319999999999993"/>
    <x v="0"/>
    <n v="77.319999999999993"/>
    <d v="2025-08-06T00:00:00"/>
    <n v="30"/>
    <n v="2.2000000000000002"/>
    <x v="1"/>
    <s v="Color Mismatch"/>
    <s v="OK"/>
    <n v="0"/>
    <s v="Correct Price"/>
    <n v="2319.6"/>
  </r>
  <r>
    <s v="FB001607"/>
    <x v="3"/>
    <x v="3"/>
    <x v="1"/>
    <s v="XS"/>
    <s v="Black"/>
    <n v="111.88"/>
    <x v="0"/>
    <n v="111.88"/>
    <d v="2025-08-06T00:00:00"/>
    <n v="17"/>
    <n v="4.5999999999999996"/>
    <x v="0"/>
    <m/>
    <s v="OK"/>
    <n v="0"/>
    <s v="Correct Price"/>
    <n v="1901.96"/>
  </r>
  <r>
    <s v="FB001608"/>
    <x v="2"/>
    <x v="7"/>
    <x v="2"/>
    <m/>
    <s v="Black"/>
    <n v="24.71"/>
    <x v="0"/>
    <n v="24.71"/>
    <d v="2025-08-06T00:00:00"/>
    <n v="37"/>
    <m/>
    <x v="0"/>
    <m/>
    <s v="OK"/>
    <n v="0"/>
    <s v="Correct Price"/>
    <n v="914.27"/>
  </r>
  <r>
    <s v="FB001609"/>
    <x v="1"/>
    <x v="1"/>
    <x v="0"/>
    <s v="XL"/>
    <s v="Red"/>
    <n v="61.42"/>
    <x v="0"/>
    <n v="61.42"/>
    <d v="2024-08-22T00:00:00"/>
    <n v="41"/>
    <n v="3.5"/>
    <x v="0"/>
    <m/>
    <s v="OK"/>
    <n v="0"/>
    <s v="Correct Price"/>
    <n v="2518.2200000000003"/>
  </r>
  <r>
    <s v="FB001610"/>
    <x v="2"/>
    <x v="6"/>
    <x v="2"/>
    <m/>
    <s v="Blue"/>
    <n v="60.48"/>
    <x v="398"/>
    <n v="56.06"/>
    <d v="2025-08-06T00:00:00"/>
    <n v="46"/>
    <n v="3.6"/>
    <x v="0"/>
    <m/>
    <s v="OK"/>
    <n v="4.4150399999999994"/>
    <s v="Correct Price"/>
    <n v="2578.7600000000002"/>
  </r>
  <r>
    <s v="FB001611"/>
    <x v="2"/>
    <x v="3"/>
    <x v="2"/>
    <m/>
    <s v="Purple"/>
    <n v="34.94"/>
    <x v="399"/>
    <n v="33.119999999999997"/>
    <d v="2025-08-06T00:00:00"/>
    <n v="18"/>
    <m/>
    <x v="0"/>
    <m/>
    <s v="OK"/>
    <n v="1.8168799999999998"/>
    <s v="Correct Price"/>
    <n v="596.16"/>
  </r>
  <r>
    <s v="FB001612"/>
    <x v="4"/>
    <x v="2"/>
    <x v="0"/>
    <s v="XL"/>
    <s v="Red"/>
    <n v="30.51"/>
    <x v="0"/>
    <n v="30.51"/>
    <d v="2025-01-14T00:00:00"/>
    <n v="17"/>
    <n v="1.2"/>
    <x v="0"/>
    <m/>
    <s v="OK"/>
    <n v="0"/>
    <s v="Correct Price"/>
    <n v="518.67000000000007"/>
  </r>
  <r>
    <s v="FB001613"/>
    <x v="5"/>
    <x v="2"/>
    <x v="1"/>
    <s v="XXL"/>
    <s v="Navy"/>
    <n v="65.540000000000006"/>
    <x v="400"/>
    <n v="39.130000000000003"/>
    <d v="2025-08-06T00:00:00"/>
    <n v="27"/>
    <n v="1.2"/>
    <x v="0"/>
    <m/>
    <s v="OK"/>
    <n v="26.41262"/>
    <s v="Correct Price"/>
    <n v="1056.51"/>
  </r>
  <r>
    <s v="FB001614"/>
    <x v="3"/>
    <x v="7"/>
    <x v="3"/>
    <s v="S"/>
    <s v="Beige"/>
    <n v="114.37"/>
    <x v="401"/>
    <n v="64.959999999999994"/>
    <d v="2025-08-06T00:00:00"/>
    <n v="16"/>
    <n v="1.4"/>
    <x v="0"/>
    <m/>
    <s v="OK"/>
    <n v="49.407840000000007"/>
    <s v="Correct Price"/>
    <n v="1039.3599999999999"/>
  </r>
  <r>
    <s v="FB001615"/>
    <x v="5"/>
    <x v="3"/>
    <x v="0"/>
    <s v="S"/>
    <s v="White"/>
    <n v="145.80000000000001"/>
    <x v="0"/>
    <n v="145.80000000000001"/>
    <d v="2024-09-27T00:00:00"/>
    <n v="13"/>
    <n v="4"/>
    <x v="0"/>
    <m/>
    <s v="OK"/>
    <n v="0"/>
    <s v="Correct Price"/>
    <n v="1895.4"/>
  </r>
  <r>
    <s v="FB001616"/>
    <x v="3"/>
    <x v="0"/>
    <x v="3"/>
    <s v="S"/>
    <s v="Red"/>
    <n v="121.43"/>
    <x v="256"/>
    <n v="67.88"/>
    <d v="2025-08-06T00:00:00"/>
    <n v="2"/>
    <n v="4.4000000000000004"/>
    <x v="0"/>
    <m/>
    <s v="OK"/>
    <n v="53.550629999999998"/>
    <s v="Correct Price"/>
    <n v="135.76"/>
  </r>
  <r>
    <s v="FB001617"/>
    <x v="3"/>
    <x v="7"/>
    <x v="3"/>
    <s v="XXL"/>
    <s v="Green"/>
    <n v="94.49"/>
    <x v="0"/>
    <n v="94.49"/>
    <d v="2025-08-06T00:00:00"/>
    <n v="30"/>
    <n v="1.5"/>
    <x v="0"/>
    <m/>
    <s v="OK"/>
    <n v="0"/>
    <s v="Correct Price"/>
    <n v="2834.7"/>
  </r>
  <r>
    <s v="FB001618"/>
    <x v="0"/>
    <x v="7"/>
    <x v="2"/>
    <s v="M"/>
    <s v="Purple"/>
    <n v="218.64"/>
    <x v="0"/>
    <n v="218.64"/>
    <d v="2025-08-06T00:00:00"/>
    <n v="5"/>
    <m/>
    <x v="0"/>
    <m/>
    <s v="OK"/>
    <n v="0"/>
    <s v="Correct Price"/>
    <n v="1093.1999999999998"/>
  </r>
  <r>
    <s v="FB001619"/>
    <x v="0"/>
    <x v="1"/>
    <x v="2"/>
    <s v="S"/>
    <s v="Black"/>
    <n v="80.41"/>
    <x v="37"/>
    <n v="70.84"/>
    <d v="2025-08-06T00:00:00"/>
    <n v="35"/>
    <n v="1.5"/>
    <x v="0"/>
    <m/>
    <s v="OK"/>
    <n v="9.5687899999999999"/>
    <s v="Correct Price"/>
    <n v="2479.4"/>
  </r>
  <r>
    <s v="FB001620"/>
    <x v="3"/>
    <x v="6"/>
    <x v="1"/>
    <s v="XL"/>
    <s v="Beige"/>
    <n v="183.3"/>
    <x v="0"/>
    <n v="183.3"/>
    <d v="2025-08-06T00:00:00"/>
    <n v="7"/>
    <n v="2"/>
    <x v="0"/>
    <m/>
    <s v="OK"/>
    <n v="0"/>
    <s v="Correct Price"/>
    <n v="1283.1000000000001"/>
  </r>
  <r>
    <s v="FB001621"/>
    <x v="0"/>
    <x v="1"/>
    <x v="2"/>
    <s v="XS"/>
    <s v="White"/>
    <n v="241.81"/>
    <x v="0"/>
    <n v="241.81"/>
    <d v="2025-08-06T00:00:00"/>
    <n v="38"/>
    <n v="3.5"/>
    <x v="0"/>
    <m/>
    <s v="OK"/>
    <n v="0"/>
    <s v="Correct Price"/>
    <n v="9188.7800000000007"/>
  </r>
  <r>
    <s v="FB001622"/>
    <x v="0"/>
    <x v="3"/>
    <x v="0"/>
    <s v="XS"/>
    <s v="White"/>
    <n v="216.46"/>
    <x v="289"/>
    <n v="154.12"/>
    <d v="2024-08-12T00:00:00"/>
    <n v="43"/>
    <n v="1.3"/>
    <x v="0"/>
    <m/>
    <s v="OK"/>
    <n v="62.340480000000007"/>
    <s v="Correct Price"/>
    <n v="6627.16"/>
  </r>
  <r>
    <s v="FB001623"/>
    <x v="5"/>
    <x v="1"/>
    <x v="0"/>
    <s v="S"/>
    <s v="Pink"/>
    <n v="63.07"/>
    <x v="402"/>
    <n v="29.26"/>
    <d v="2025-05-20T00:00:00"/>
    <n v="4"/>
    <n v="1.5"/>
    <x v="1"/>
    <s v="Color Mismatch"/>
    <s v="OK"/>
    <n v="33.805520000000001"/>
    <s v="Correct Price"/>
    <n v="117.04"/>
  </r>
  <r>
    <s v="FB001624"/>
    <x v="2"/>
    <x v="2"/>
    <x v="0"/>
    <m/>
    <s v="Green"/>
    <n v="44.7"/>
    <x v="0"/>
    <n v="44.7"/>
    <d v="2025-03-17T00:00:00"/>
    <n v="29"/>
    <n v="3.2"/>
    <x v="0"/>
    <m/>
    <s v="OK"/>
    <n v="0"/>
    <s v="Correct Price"/>
    <n v="1296.3000000000002"/>
  </r>
  <r>
    <s v="FB001625"/>
    <x v="1"/>
    <x v="0"/>
    <x v="2"/>
    <s v="XXL"/>
    <s v="White"/>
    <n v="28.23"/>
    <x v="400"/>
    <n v="16.850000000000001"/>
    <d v="2025-08-06T00:00:00"/>
    <n v="21"/>
    <n v="2.7"/>
    <x v="0"/>
    <m/>
    <s v="OK"/>
    <n v="11.376689999999998"/>
    <s v="Correct Price"/>
    <n v="353.85"/>
  </r>
  <r>
    <s v="FB001626"/>
    <x v="3"/>
    <x v="5"/>
    <x v="2"/>
    <s v="XXL"/>
    <s v="Green"/>
    <n v="131.94"/>
    <x v="230"/>
    <n v="95.92"/>
    <d v="2025-08-06T00:00:00"/>
    <n v="6"/>
    <n v="2.8"/>
    <x v="1"/>
    <s v="Damaged"/>
    <s v="OK"/>
    <n v="36.019620000000003"/>
    <s v="Correct Price"/>
    <n v="575.52"/>
  </r>
  <r>
    <s v="FB001627"/>
    <x v="0"/>
    <x v="7"/>
    <x v="2"/>
    <s v="M"/>
    <s v="Blue"/>
    <n v="166.85"/>
    <x v="352"/>
    <n v="115.29"/>
    <d v="2025-08-06T00:00:00"/>
    <n v="14"/>
    <n v="4.2"/>
    <x v="1"/>
    <s v="Changed Mind"/>
    <s v="OK"/>
    <n v="51.556649999999998"/>
    <s v="Correct Price"/>
    <n v="1614.0600000000002"/>
  </r>
  <r>
    <s v="FB001628"/>
    <x v="1"/>
    <x v="2"/>
    <x v="1"/>
    <s v="S"/>
    <s v="Navy"/>
    <n v="39.58"/>
    <x v="352"/>
    <n v="27.35"/>
    <d v="2025-08-06T00:00:00"/>
    <n v="17"/>
    <n v="2.5"/>
    <x v="0"/>
    <m/>
    <s v="OK"/>
    <n v="12.230219999999999"/>
    <s v="Correct Price"/>
    <n v="464.95000000000005"/>
  </r>
  <r>
    <s v="FB001629"/>
    <x v="0"/>
    <x v="1"/>
    <x v="3"/>
    <s v="M"/>
    <s v="Blue"/>
    <n v="89.55"/>
    <x v="342"/>
    <n v="37.61"/>
    <d v="2025-08-06T00:00:00"/>
    <n v="21"/>
    <n v="2.6"/>
    <x v="0"/>
    <m/>
    <s v="OK"/>
    <n v="51.938999999999993"/>
    <s v="Correct Price"/>
    <n v="789.81"/>
  </r>
  <r>
    <s v="FB001630"/>
    <x v="0"/>
    <x v="3"/>
    <x v="2"/>
    <s v="M"/>
    <s v="Purple"/>
    <n v="138.55000000000001"/>
    <x v="0"/>
    <n v="138.55000000000001"/>
    <d v="2025-08-06T00:00:00"/>
    <n v="25"/>
    <n v="2"/>
    <x v="0"/>
    <m/>
    <s v="OK"/>
    <n v="0"/>
    <s v="Correct Price"/>
    <n v="3463.7500000000005"/>
  </r>
  <r>
    <s v="FB001631"/>
    <x v="2"/>
    <x v="1"/>
    <x v="2"/>
    <m/>
    <s v="Beige"/>
    <n v="43.84"/>
    <x v="0"/>
    <n v="43.84"/>
    <d v="2025-08-06T00:00:00"/>
    <n v="28"/>
    <n v="2.8"/>
    <x v="0"/>
    <m/>
    <s v="OK"/>
    <n v="0"/>
    <s v="Correct Price"/>
    <n v="1227.52"/>
  </r>
  <r>
    <s v="FB001632"/>
    <x v="1"/>
    <x v="7"/>
    <x v="2"/>
    <s v="XL"/>
    <s v="Brown"/>
    <n v="63.72"/>
    <x v="96"/>
    <n v="52.38"/>
    <d v="2025-08-06T00:00:00"/>
    <n v="45"/>
    <n v="2.4"/>
    <x v="0"/>
    <m/>
    <s v="OK"/>
    <n v="11.342160000000002"/>
    <s v="Correct Price"/>
    <n v="2357.1"/>
  </r>
  <r>
    <s v="FB001633"/>
    <x v="2"/>
    <x v="0"/>
    <x v="0"/>
    <m/>
    <s v="Red"/>
    <n v="74.61"/>
    <x v="0"/>
    <n v="74.61"/>
    <d v="2025-04-28T00:00:00"/>
    <n v="38"/>
    <n v="2.8"/>
    <x v="0"/>
    <m/>
    <s v="OK"/>
    <n v="0"/>
    <s v="Correct Price"/>
    <n v="2835.18"/>
  </r>
  <r>
    <s v="FB001634"/>
    <x v="3"/>
    <x v="1"/>
    <x v="0"/>
    <s v="S"/>
    <s v="Gray"/>
    <n v="148.24"/>
    <x v="5"/>
    <n v="132.08000000000001"/>
    <d v="2024-08-27T00:00:00"/>
    <n v="44"/>
    <n v="1.3"/>
    <x v="0"/>
    <m/>
    <s v="OK"/>
    <n v="16.158160000000002"/>
    <s v="Correct Price"/>
    <n v="5811.52"/>
  </r>
  <r>
    <s v="FB001635"/>
    <x v="1"/>
    <x v="6"/>
    <x v="0"/>
    <s v="XL"/>
    <s v="Gray"/>
    <n v="93.46"/>
    <x v="0"/>
    <n v="93.46"/>
    <d v="2025-02-12T00:00:00"/>
    <n v="20"/>
    <n v="2.2000000000000002"/>
    <x v="0"/>
    <m/>
    <s v="OK"/>
    <n v="0"/>
    <s v="Correct Price"/>
    <n v="1869.1999999999998"/>
  </r>
  <r>
    <s v="FB001636"/>
    <x v="0"/>
    <x v="1"/>
    <x v="3"/>
    <s v="XXL"/>
    <s v="Red"/>
    <n v="245.31"/>
    <x v="256"/>
    <n v="137.13"/>
    <d v="2025-08-06T00:00:00"/>
    <n v="44"/>
    <m/>
    <x v="0"/>
    <m/>
    <s v="OK"/>
    <n v="108.18171000000001"/>
    <s v="Correct Price"/>
    <n v="6033.7199999999993"/>
  </r>
  <r>
    <s v="FB001637"/>
    <x v="1"/>
    <x v="2"/>
    <x v="0"/>
    <s v="XXL"/>
    <s v="Red"/>
    <n v="43.38"/>
    <x v="51"/>
    <n v="23.47"/>
    <d v="2024-12-03T00:00:00"/>
    <n v="47"/>
    <n v="3.7"/>
    <x v="1"/>
    <s v="Changed Mind"/>
    <s v="OK"/>
    <n v="19.91142"/>
    <s v="Correct Price"/>
    <n v="1103.0899999999999"/>
  </r>
  <r>
    <s v="FB001638"/>
    <x v="2"/>
    <x v="5"/>
    <x v="2"/>
    <m/>
    <s v="Black"/>
    <n v="40.04"/>
    <x v="231"/>
    <n v="21.82"/>
    <d v="2025-08-06T00:00:00"/>
    <n v="50"/>
    <n v="2.2000000000000002"/>
    <x v="0"/>
    <m/>
    <s v="OK"/>
    <n v="18.2182"/>
    <s v="Correct Price"/>
    <n v="1091"/>
  </r>
  <r>
    <s v="FB001639"/>
    <x v="0"/>
    <x v="4"/>
    <x v="2"/>
    <s v="M"/>
    <s v="Beige"/>
    <n v="209.68"/>
    <x v="403"/>
    <n v="202.13"/>
    <d v="2025-08-06T00:00:00"/>
    <n v="18"/>
    <n v="4.0999999999999996"/>
    <x v="0"/>
    <m/>
    <s v="OK"/>
    <n v="7.5484800000000005"/>
    <s v="Correct Price"/>
    <n v="3638.34"/>
  </r>
  <r>
    <s v="FB001640"/>
    <x v="2"/>
    <x v="3"/>
    <x v="1"/>
    <m/>
    <s v="Brown"/>
    <n v="38.08"/>
    <x v="0"/>
    <n v="38.08"/>
    <d v="2025-08-06T00:00:00"/>
    <n v="0"/>
    <n v="1.6"/>
    <x v="0"/>
    <m/>
    <s v="OK"/>
    <n v="0"/>
    <s v="Correct Price"/>
    <n v="0"/>
  </r>
  <r>
    <s v="FB001641"/>
    <x v="0"/>
    <x v="5"/>
    <x v="0"/>
    <s v="XXL"/>
    <s v="Beige"/>
    <n v="123.04"/>
    <x v="0"/>
    <n v="123.04"/>
    <d v="2025-04-05T00:00:00"/>
    <n v="13"/>
    <n v="1.2"/>
    <x v="0"/>
    <m/>
    <s v="OK"/>
    <n v="0"/>
    <s v="Correct Price"/>
    <n v="1599.52"/>
  </r>
  <r>
    <s v="FB001642"/>
    <x v="2"/>
    <x v="1"/>
    <x v="3"/>
    <m/>
    <s v="Pink"/>
    <n v="39.94"/>
    <x v="0"/>
    <n v="39.94"/>
    <d v="2025-08-06T00:00:00"/>
    <n v="32"/>
    <n v="3.1"/>
    <x v="0"/>
    <m/>
    <s v="OK"/>
    <n v="0"/>
    <s v="Correct Price"/>
    <n v="1278.08"/>
  </r>
  <r>
    <s v="FB001643"/>
    <x v="5"/>
    <x v="4"/>
    <x v="3"/>
    <s v="M"/>
    <s v="Gray"/>
    <n v="80.19"/>
    <x v="0"/>
    <n v="80.19"/>
    <d v="2025-08-06T00:00:00"/>
    <n v="43"/>
    <n v="3.8"/>
    <x v="0"/>
    <m/>
    <s v="OK"/>
    <n v="0"/>
    <s v="Correct Price"/>
    <n v="3448.17"/>
  </r>
  <r>
    <s v="FB001644"/>
    <x v="1"/>
    <x v="1"/>
    <x v="0"/>
    <s v="XXL"/>
    <s v="Purple"/>
    <n v="35.03"/>
    <x v="308"/>
    <n v="31.49"/>
    <d v="2025-05-30T00:00:00"/>
    <n v="5"/>
    <n v="3.8"/>
    <x v="0"/>
    <m/>
    <s v="OK"/>
    <n v="3.53803"/>
    <s v="Correct Price"/>
    <n v="157.44999999999999"/>
  </r>
  <r>
    <s v="FB001645"/>
    <x v="1"/>
    <x v="4"/>
    <x v="3"/>
    <s v="M"/>
    <s v="Black"/>
    <n v="27.64"/>
    <x v="294"/>
    <n v="19.62"/>
    <d v="2025-08-06T00:00:00"/>
    <n v="19"/>
    <n v="1"/>
    <x v="0"/>
    <m/>
    <s v="OK"/>
    <n v="8.0156000000000009"/>
    <s v="Correct Price"/>
    <n v="372.78000000000003"/>
  </r>
  <r>
    <s v="FB001646"/>
    <x v="0"/>
    <x v="3"/>
    <x v="0"/>
    <s v="M"/>
    <s v="Navy"/>
    <n v="187.63"/>
    <x v="0"/>
    <n v="187.63"/>
    <d v="2025-04-25T00:00:00"/>
    <n v="25"/>
    <n v="1.8"/>
    <x v="0"/>
    <m/>
    <s v="OK"/>
    <n v="0"/>
    <s v="Correct Price"/>
    <n v="4690.75"/>
  </r>
  <r>
    <s v="FB001647"/>
    <x v="0"/>
    <x v="4"/>
    <x v="1"/>
    <s v="XXL"/>
    <s v="Black"/>
    <n v="193.17"/>
    <x v="295"/>
    <n v="126.33"/>
    <d v="2025-08-06T00:00:00"/>
    <n v="26"/>
    <m/>
    <x v="0"/>
    <m/>
    <s v="OK"/>
    <n v="66.836820000000003"/>
    <s v="Correct Price"/>
    <n v="3284.58"/>
  </r>
  <r>
    <s v="FB001648"/>
    <x v="3"/>
    <x v="2"/>
    <x v="0"/>
    <s v="M"/>
    <s v="Black"/>
    <n v="157.78"/>
    <x v="291"/>
    <n v="94.35"/>
    <d v="2025-08-02T00:00:00"/>
    <n v="23"/>
    <n v="3.1"/>
    <x v="0"/>
    <m/>
    <s v="OK"/>
    <n v="63.42756"/>
    <s v="Correct Price"/>
    <n v="2170.0499999999997"/>
  </r>
  <r>
    <s v="FB001649"/>
    <x v="3"/>
    <x v="0"/>
    <x v="1"/>
    <s v="L"/>
    <s v="Black"/>
    <n v="119.14"/>
    <x v="404"/>
    <n v="109.85"/>
    <d v="2025-08-06T00:00:00"/>
    <n v="20"/>
    <n v="3.1"/>
    <x v="0"/>
    <m/>
    <s v="OK"/>
    <n v="9.2929200000000005"/>
    <s v="Correct Price"/>
    <n v="2197"/>
  </r>
  <r>
    <s v="FB001650"/>
    <x v="5"/>
    <x v="7"/>
    <x v="1"/>
    <s v="M"/>
    <s v="White"/>
    <n v="150.08000000000001"/>
    <x v="405"/>
    <n v="142.88"/>
    <d v="2025-08-06T00:00:00"/>
    <n v="24"/>
    <n v="1.7"/>
    <x v="0"/>
    <m/>
    <s v="OK"/>
    <n v="7.2038400000000005"/>
    <s v="Correct Price"/>
    <n v="3429.12"/>
  </r>
  <r>
    <s v="FB001651"/>
    <x v="5"/>
    <x v="1"/>
    <x v="3"/>
    <s v="L"/>
    <s v="Blue"/>
    <n v="153.18"/>
    <x v="0"/>
    <n v="153.18"/>
    <d v="2025-08-06T00:00:00"/>
    <n v="26"/>
    <n v="1.1000000000000001"/>
    <x v="0"/>
    <m/>
    <s v="OK"/>
    <n v="0"/>
    <s v="Correct Price"/>
    <n v="3982.6800000000003"/>
  </r>
  <r>
    <s v="FB001652"/>
    <x v="1"/>
    <x v="2"/>
    <x v="1"/>
    <s v="S"/>
    <s v="Pink"/>
    <n v="118.69"/>
    <x v="292"/>
    <n v="62.07"/>
    <d v="2025-08-06T00:00:00"/>
    <n v="11"/>
    <n v="2.8"/>
    <x v="0"/>
    <m/>
    <s v="OK"/>
    <n v="56.615130000000001"/>
    <s v="Correct Price"/>
    <n v="682.77"/>
  </r>
  <r>
    <s v="FB001653"/>
    <x v="2"/>
    <x v="4"/>
    <x v="0"/>
    <m/>
    <s v="Navy"/>
    <n v="50.12"/>
    <x v="0"/>
    <n v="50.12"/>
    <d v="2025-03-09T00:00:00"/>
    <n v="27"/>
    <n v="2.4"/>
    <x v="0"/>
    <m/>
    <s v="OK"/>
    <n v="0"/>
    <s v="Correct Price"/>
    <n v="1353.24"/>
  </r>
  <r>
    <s v="FB001654"/>
    <x v="5"/>
    <x v="6"/>
    <x v="0"/>
    <s v="XS"/>
    <s v="Blue"/>
    <n v="93.68"/>
    <x v="47"/>
    <n v="37.94"/>
    <d v="2025-04-24T00:00:00"/>
    <n v="21"/>
    <m/>
    <x v="0"/>
    <m/>
    <s v="OK"/>
    <n v="55.739600000000003"/>
    <s v="Correct Price"/>
    <n v="796.74"/>
  </r>
  <r>
    <s v="FB001655"/>
    <x v="1"/>
    <x v="1"/>
    <x v="3"/>
    <s v="S"/>
    <s v="Red"/>
    <n v="50.49"/>
    <x v="0"/>
    <n v="50.49"/>
    <d v="2025-08-06T00:00:00"/>
    <n v="30"/>
    <n v="4.0999999999999996"/>
    <x v="0"/>
    <m/>
    <s v="OK"/>
    <n v="0"/>
    <s v="Correct Price"/>
    <n v="1514.7"/>
  </r>
  <r>
    <s v="FB001656"/>
    <x v="3"/>
    <x v="3"/>
    <x v="3"/>
    <s v="XS"/>
    <s v="White"/>
    <n v="97.9"/>
    <x v="0"/>
    <n v="97.9"/>
    <d v="2025-08-06T00:00:00"/>
    <n v="29"/>
    <n v="1.3"/>
    <x v="0"/>
    <m/>
    <s v="OK"/>
    <n v="0"/>
    <s v="Correct Price"/>
    <n v="2839.1000000000004"/>
  </r>
  <r>
    <s v="FB001657"/>
    <x v="1"/>
    <x v="1"/>
    <x v="3"/>
    <s v="S"/>
    <s v="Gray"/>
    <n v="69"/>
    <x v="0"/>
    <n v="69"/>
    <d v="2025-08-06T00:00:00"/>
    <n v="32"/>
    <n v="4.5"/>
    <x v="0"/>
    <m/>
    <s v="OK"/>
    <n v="0"/>
    <s v="Correct Price"/>
    <n v="2208"/>
  </r>
  <r>
    <s v="FB001658"/>
    <x v="2"/>
    <x v="3"/>
    <x v="2"/>
    <m/>
    <s v="Purple"/>
    <n v="30.2"/>
    <x v="406"/>
    <n v="22.02"/>
    <d v="2025-08-06T00:00:00"/>
    <n v="15"/>
    <m/>
    <x v="0"/>
    <m/>
    <s v="OK"/>
    <n v="8.1842000000000006"/>
    <s v="Correct Price"/>
    <n v="330.3"/>
  </r>
  <r>
    <s v="FB001659"/>
    <x v="1"/>
    <x v="2"/>
    <x v="1"/>
    <s v="L"/>
    <s v="Beige"/>
    <n v="84.92"/>
    <x v="276"/>
    <n v="34.729999999999997"/>
    <d v="2025-08-06T00:00:00"/>
    <n v="42"/>
    <m/>
    <x v="0"/>
    <m/>
    <s v="OK"/>
    <n v="50.187719999999999"/>
    <s v="Correct Price"/>
    <n v="1458.6599999999999"/>
  </r>
  <r>
    <s v="FB001660"/>
    <x v="1"/>
    <x v="7"/>
    <x v="2"/>
    <s v="XS"/>
    <s v="White"/>
    <n v="116.48"/>
    <x v="0"/>
    <n v="116.48"/>
    <d v="2025-08-06T00:00:00"/>
    <n v="3"/>
    <n v="1.5"/>
    <x v="0"/>
    <m/>
    <s v="OK"/>
    <n v="0"/>
    <s v="Correct Price"/>
    <n v="349.44"/>
  </r>
  <r>
    <s v="FB001661"/>
    <x v="1"/>
    <x v="4"/>
    <x v="3"/>
    <s v="XL"/>
    <s v="Navy"/>
    <n v="40.68"/>
    <x v="0"/>
    <n v="40.68"/>
    <d v="2025-08-06T00:00:00"/>
    <n v="41"/>
    <n v="1.1000000000000001"/>
    <x v="1"/>
    <s v="Changed Mind"/>
    <s v="OK"/>
    <n v="0"/>
    <s v="Correct Price"/>
    <n v="1667.8799999999999"/>
  </r>
  <r>
    <s v="FB001662"/>
    <x v="0"/>
    <x v="5"/>
    <x v="3"/>
    <s v="XL"/>
    <s v="Black"/>
    <n v="118.92"/>
    <x v="0"/>
    <n v="118.92"/>
    <d v="2025-08-06T00:00:00"/>
    <n v="36"/>
    <n v="1.8"/>
    <x v="1"/>
    <s v="Wrong Item"/>
    <s v="OK"/>
    <n v="0"/>
    <s v="Correct Price"/>
    <n v="4281.12"/>
  </r>
  <r>
    <s v="FB001663"/>
    <x v="4"/>
    <x v="5"/>
    <x v="3"/>
    <s v="XXL"/>
    <s v="Black"/>
    <n v="26.86"/>
    <x v="0"/>
    <n v="26.86"/>
    <d v="2025-08-06T00:00:00"/>
    <n v="18"/>
    <n v="3.2"/>
    <x v="0"/>
    <m/>
    <s v="OK"/>
    <n v="0"/>
    <s v="Correct Price"/>
    <n v="483.48"/>
  </r>
  <r>
    <s v="FB001664"/>
    <x v="5"/>
    <x v="2"/>
    <x v="2"/>
    <s v="S"/>
    <s v="Green"/>
    <n v="113.34"/>
    <x v="0"/>
    <n v="113.34"/>
    <d v="2025-08-06T00:00:00"/>
    <n v="13"/>
    <m/>
    <x v="0"/>
    <m/>
    <s v="OK"/>
    <n v="0"/>
    <s v="Correct Price"/>
    <n v="1473.42"/>
  </r>
  <r>
    <s v="FB001665"/>
    <x v="1"/>
    <x v="6"/>
    <x v="3"/>
    <s v="L"/>
    <s v="Black"/>
    <n v="40.520000000000003"/>
    <x v="391"/>
    <n v="36.909999999999997"/>
    <d v="2025-08-06T00:00:00"/>
    <n v="13"/>
    <n v="2.5"/>
    <x v="0"/>
    <m/>
    <s v="OK"/>
    <n v="3.6062800000000004"/>
    <s v="Correct Price"/>
    <n v="479.82999999999993"/>
  </r>
  <r>
    <s v="FB001666"/>
    <x v="4"/>
    <x v="7"/>
    <x v="3"/>
    <s v="L"/>
    <s v="Pink"/>
    <n v="98.41"/>
    <x v="0"/>
    <n v="98.41"/>
    <d v="2025-08-06T00:00:00"/>
    <n v="7"/>
    <n v="4.5999999999999996"/>
    <x v="0"/>
    <m/>
    <s v="OK"/>
    <n v="0"/>
    <s v="Correct Price"/>
    <n v="688.87"/>
  </r>
  <r>
    <s v="FB001667"/>
    <x v="4"/>
    <x v="7"/>
    <x v="1"/>
    <s v="XS"/>
    <s v="Red"/>
    <n v="83.18"/>
    <x v="0"/>
    <n v="83.18"/>
    <d v="2025-08-06T00:00:00"/>
    <n v="17"/>
    <n v="1.7"/>
    <x v="1"/>
    <s v="Size Issue"/>
    <s v="OK"/>
    <n v="0"/>
    <s v="Correct Price"/>
    <n v="1414.0600000000002"/>
  </r>
  <r>
    <s v="FB001668"/>
    <x v="3"/>
    <x v="4"/>
    <x v="0"/>
    <s v="XXL"/>
    <s v="Purple"/>
    <n v="179.31"/>
    <x v="407"/>
    <n v="136.1"/>
    <d v="2025-07-13T00:00:00"/>
    <n v="0"/>
    <n v="3.1"/>
    <x v="0"/>
    <m/>
    <s v="OK"/>
    <n v="43.213709999999999"/>
    <s v="Correct Price"/>
    <n v="0"/>
  </r>
  <r>
    <s v="FB001669"/>
    <x v="1"/>
    <x v="0"/>
    <x v="0"/>
    <s v="XXL"/>
    <s v="Green"/>
    <n v="47.88"/>
    <x v="0"/>
    <n v="47.88"/>
    <d v="2024-12-21T00:00:00"/>
    <n v="44"/>
    <n v="1.9"/>
    <x v="0"/>
    <m/>
    <s v="OK"/>
    <n v="0"/>
    <s v="Correct Price"/>
    <n v="2106.7200000000003"/>
  </r>
  <r>
    <s v="FB001670"/>
    <x v="0"/>
    <x v="3"/>
    <x v="1"/>
    <s v="XL"/>
    <s v="Navy"/>
    <n v="89.26"/>
    <x v="0"/>
    <n v="89.26"/>
    <d v="2025-08-06T00:00:00"/>
    <n v="43"/>
    <n v="3.8"/>
    <x v="0"/>
    <m/>
    <s v="OK"/>
    <n v="0"/>
    <s v="Correct Price"/>
    <n v="3838.1800000000003"/>
  </r>
  <r>
    <s v="FB001671"/>
    <x v="5"/>
    <x v="6"/>
    <x v="3"/>
    <s v="XXL"/>
    <s v="Black"/>
    <n v="114.2"/>
    <x v="0"/>
    <n v="114.2"/>
    <d v="2025-08-06T00:00:00"/>
    <n v="15"/>
    <m/>
    <x v="0"/>
    <m/>
    <s v="OK"/>
    <n v="0"/>
    <s v="Correct Price"/>
    <n v="1713"/>
  </r>
  <r>
    <s v="FB001672"/>
    <x v="3"/>
    <x v="6"/>
    <x v="3"/>
    <s v="L"/>
    <s v="Green"/>
    <n v="169.5"/>
    <x v="408"/>
    <n v="68.31"/>
    <d v="2025-08-06T00:00:00"/>
    <n v="16"/>
    <n v="1.8"/>
    <x v="0"/>
    <m/>
    <s v="OK"/>
    <n v="101.19149999999999"/>
    <s v="Correct Price"/>
    <n v="1092.96"/>
  </r>
  <r>
    <s v="FB001673"/>
    <x v="1"/>
    <x v="4"/>
    <x v="2"/>
    <s v="XS"/>
    <s v="White"/>
    <n v="77.989999999999995"/>
    <x v="0"/>
    <n v="77.989999999999995"/>
    <d v="2025-08-06T00:00:00"/>
    <n v="42"/>
    <m/>
    <x v="0"/>
    <m/>
    <s v="OK"/>
    <n v="0"/>
    <s v="Correct Price"/>
    <n v="3275.58"/>
  </r>
  <r>
    <s v="FB001674"/>
    <x v="4"/>
    <x v="5"/>
    <x v="2"/>
    <m/>
    <s v="Pink"/>
    <n v="103.77"/>
    <x v="0"/>
    <n v="103.77"/>
    <d v="2025-08-06T00:00:00"/>
    <n v="12"/>
    <n v="4.4000000000000004"/>
    <x v="0"/>
    <m/>
    <s v="OK"/>
    <n v="0"/>
    <s v="Correct Price"/>
    <n v="1245.24"/>
  </r>
  <r>
    <s v="FB001675"/>
    <x v="2"/>
    <x v="7"/>
    <x v="2"/>
    <m/>
    <s v="Black"/>
    <n v="42.96"/>
    <x v="0"/>
    <n v="42.96"/>
    <d v="2025-08-06T00:00:00"/>
    <n v="36"/>
    <n v="1.1000000000000001"/>
    <x v="0"/>
    <m/>
    <s v="OK"/>
    <n v="0"/>
    <s v="Correct Price"/>
    <n v="1546.56"/>
  </r>
  <r>
    <s v="FB001676"/>
    <x v="5"/>
    <x v="2"/>
    <x v="2"/>
    <m/>
    <s v="Brown"/>
    <n v="126.11"/>
    <x v="0"/>
    <n v="126.11"/>
    <d v="2025-08-06T00:00:00"/>
    <n v="16"/>
    <n v="3.5"/>
    <x v="0"/>
    <m/>
    <s v="OK"/>
    <n v="0"/>
    <s v="Correct Price"/>
    <n v="2017.76"/>
  </r>
  <r>
    <s v="FB001677"/>
    <x v="2"/>
    <x v="2"/>
    <x v="3"/>
    <m/>
    <s v="Beige"/>
    <n v="43.83"/>
    <x v="0"/>
    <n v="43.83"/>
    <d v="2025-08-06T00:00:00"/>
    <n v="31"/>
    <n v="2.5"/>
    <x v="0"/>
    <m/>
    <s v="OK"/>
    <n v="0"/>
    <s v="Correct Price"/>
    <n v="1358.73"/>
  </r>
  <r>
    <s v="FB001678"/>
    <x v="3"/>
    <x v="2"/>
    <x v="2"/>
    <s v="S"/>
    <s v="Beige"/>
    <n v="94.1"/>
    <x v="0"/>
    <n v="94.1"/>
    <d v="2025-08-06T00:00:00"/>
    <n v="24"/>
    <n v="1.4"/>
    <x v="0"/>
    <m/>
    <s v="OK"/>
    <n v="0"/>
    <s v="Correct Price"/>
    <n v="2258.3999999999996"/>
  </r>
  <r>
    <s v="FB001679"/>
    <x v="3"/>
    <x v="0"/>
    <x v="2"/>
    <s v="M"/>
    <s v="Red"/>
    <n v="151.27000000000001"/>
    <x v="0"/>
    <n v="151.27000000000001"/>
    <d v="2025-08-06T00:00:00"/>
    <n v="39"/>
    <n v="4"/>
    <x v="1"/>
    <s v="Damaged"/>
    <s v="OK"/>
    <n v="0"/>
    <s v="Correct Price"/>
    <n v="5899.5300000000007"/>
  </r>
  <r>
    <s v="FB001680"/>
    <x v="2"/>
    <x v="6"/>
    <x v="0"/>
    <m/>
    <s v="Navy"/>
    <n v="61.47"/>
    <x v="0"/>
    <n v="61.47"/>
    <d v="2024-08-25T00:00:00"/>
    <n v="44"/>
    <m/>
    <x v="0"/>
    <m/>
    <s v="OK"/>
    <n v="0"/>
    <s v="Correct Price"/>
    <n v="2704.68"/>
  </r>
  <r>
    <s v="FB001681"/>
    <x v="3"/>
    <x v="3"/>
    <x v="3"/>
    <s v="M"/>
    <s v="Navy"/>
    <n v="185.96"/>
    <x v="0"/>
    <n v="185.96"/>
    <d v="2025-08-06T00:00:00"/>
    <n v="35"/>
    <n v="1.3"/>
    <x v="0"/>
    <m/>
    <s v="OK"/>
    <n v="0"/>
    <s v="Correct Price"/>
    <n v="6508.6"/>
  </r>
  <r>
    <s v="FB001682"/>
    <x v="5"/>
    <x v="6"/>
    <x v="2"/>
    <s v="M"/>
    <s v="Red"/>
    <n v="113.05"/>
    <x v="0"/>
    <n v="113.05"/>
    <d v="2025-08-06T00:00:00"/>
    <n v="47"/>
    <n v="2"/>
    <x v="0"/>
    <m/>
    <s v="OK"/>
    <n v="0"/>
    <s v="Correct Price"/>
    <n v="5313.3499999999995"/>
  </r>
  <r>
    <s v="FB001683"/>
    <x v="1"/>
    <x v="2"/>
    <x v="3"/>
    <s v="L"/>
    <s v="Brown"/>
    <n v="110.9"/>
    <x v="409"/>
    <n v="72.42"/>
    <d v="2025-08-06T00:00:00"/>
    <n v="2"/>
    <n v="2.5"/>
    <x v="0"/>
    <m/>
    <s v="OK"/>
    <n v="38.482300000000002"/>
    <s v="Correct Price"/>
    <n v="144.84"/>
  </r>
  <r>
    <s v="FB001684"/>
    <x v="1"/>
    <x v="1"/>
    <x v="3"/>
    <s v="XXL"/>
    <s v="White"/>
    <n v="29.04"/>
    <x v="0"/>
    <n v="29.04"/>
    <d v="2025-08-06T00:00:00"/>
    <n v="4"/>
    <n v="5"/>
    <x v="0"/>
    <m/>
    <s v="OK"/>
    <n v="0"/>
    <s v="Correct Price"/>
    <n v="116.16"/>
  </r>
  <r>
    <s v="FB001685"/>
    <x v="3"/>
    <x v="7"/>
    <x v="0"/>
    <s v="XL"/>
    <s v="Gray"/>
    <n v="164.48"/>
    <x v="52"/>
    <n v="79.77"/>
    <d v="2024-09-07T00:00:00"/>
    <n v="27"/>
    <n v="3.4"/>
    <x v="0"/>
    <m/>
    <s v="OK"/>
    <n v="84.7072"/>
    <s v="Correct Price"/>
    <n v="2153.79"/>
  </r>
  <r>
    <s v="FB001686"/>
    <x v="4"/>
    <x v="2"/>
    <x v="1"/>
    <s v="L"/>
    <s v="White"/>
    <n v="52.51"/>
    <x v="179"/>
    <n v="26.57"/>
    <d v="2025-08-06T00:00:00"/>
    <n v="37"/>
    <n v="3.5"/>
    <x v="1"/>
    <s v="Changed Mind"/>
    <s v="OK"/>
    <n v="25.939939999999996"/>
    <s v="Correct Price"/>
    <n v="983.09"/>
  </r>
  <r>
    <s v="FB001687"/>
    <x v="5"/>
    <x v="5"/>
    <x v="1"/>
    <s v="XXL"/>
    <s v="Gray"/>
    <n v="175.74"/>
    <x v="139"/>
    <n v="100.35"/>
    <d v="2025-08-06T00:00:00"/>
    <n v="48"/>
    <m/>
    <x v="1"/>
    <s v="Changed Mind"/>
    <s v="OK"/>
    <n v="75.39246"/>
    <s v="Correct Price"/>
    <n v="4816.7999999999993"/>
  </r>
  <r>
    <s v="FB001688"/>
    <x v="1"/>
    <x v="5"/>
    <x v="0"/>
    <s v="XS"/>
    <s v="Beige"/>
    <n v="57.06"/>
    <x v="410"/>
    <n v="41.37"/>
    <d v="2024-12-25T00:00:00"/>
    <n v="43"/>
    <n v="1.8"/>
    <x v="0"/>
    <m/>
    <s v="OK"/>
    <n v="15.691500000000001"/>
    <s v="Correct Price"/>
    <n v="1778.9099999999999"/>
  </r>
  <r>
    <s v="FB001689"/>
    <x v="5"/>
    <x v="5"/>
    <x v="1"/>
    <s v="L"/>
    <s v="Black"/>
    <n v="158.24"/>
    <x v="0"/>
    <n v="158.24"/>
    <d v="2025-08-06T00:00:00"/>
    <n v="41"/>
    <n v="3.1"/>
    <x v="0"/>
    <m/>
    <s v="OK"/>
    <n v="0"/>
    <s v="Correct Price"/>
    <n v="6487.84"/>
  </r>
  <r>
    <s v="FB001690"/>
    <x v="0"/>
    <x v="3"/>
    <x v="2"/>
    <m/>
    <s v="Pink"/>
    <n v="153.46"/>
    <x v="0"/>
    <n v="153.46"/>
    <d v="2025-08-06T00:00:00"/>
    <n v="27"/>
    <n v="1.7"/>
    <x v="0"/>
    <m/>
    <s v="OK"/>
    <n v="0"/>
    <s v="Correct Price"/>
    <n v="4143.42"/>
  </r>
  <r>
    <s v="FB001691"/>
    <x v="2"/>
    <x v="0"/>
    <x v="0"/>
    <m/>
    <s v="Brown"/>
    <n v="54.92"/>
    <x v="0"/>
    <n v="54.92"/>
    <d v="2025-04-12T00:00:00"/>
    <n v="44"/>
    <n v="3.1"/>
    <x v="0"/>
    <m/>
    <s v="OK"/>
    <n v="0"/>
    <s v="Correct Price"/>
    <n v="2416.48"/>
  </r>
  <r>
    <s v="FB001692"/>
    <x v="2"/>
    <x v="1"/>
    <x v="0"/>
    <m/>
    <s v="Purple"/>
    <n v="32.200000000000003"/>
    <x v="347"/>
    <n v="26.02"/>
    <d v="2025-07-27T00:00:00"/>
    <n v="8"/>
    <n v="4.3"/>
    <x v="0"/>
    <m/>
    <s v="OK"/>
    <n v="6.1824000000000003"/>
    <s v="Correct Price"/>
    <n v="208.16"/>
  </r>
  <r>
    <s v="FB001693"/>
    <x v="2"/>
    <x v="3"/>
    <x v="2"/>
    <m/>
    <s v="Brown"/>
    <n v="66.489999999999995"/>
    <x v="8"/>
    <n v="47.14"/>
    <d v="2025-08-06T00:00:00"/>
    <n v="37"/>
    <n v="1.3"/>
    <x v="0"/>
    <m/>
    <s v="OK"/>
    <n v="19.348589999999998"/>
    <s v="Correct Price"/>
    <n v="1744.18"/>
  </r>
  <r>
    <s v="FB001694"/>
    <x v="2"/>
    <x v="3"/>
    <x v="1"/>
    <m/>
    <s v="Blue"/>
    <n v="32.950000000000003"/>
    <x v="118"/>
    <n v="16.41"/>
    <d v="2025-08-06T00:00:00"/>
    <n v="46"/>
    <m/>
    <x v="0"/>
    <m/>
    <s v="OK"/>
    <n v="16.540900000000001"/>
    <s v="Correct Price"/>
    <n v="754.86"/>
  </r>
  <r>
    <s v="FB001695"/>
    <x v="2"/>
    <x v="4"/>
    <x v="2"/>
    <m/>
    <s v="Gray"/>
    <n v="54.31"/>
    <x v="347"/>
    <n v="43.88"/>
    <d v="2025-08-06T00:00:00"/>
    <n v="19"/>
    <n v="1.8"/>
    <x v="0"/>
    <m/>
    <s v="OK"/>
    <n v="10.427519999999999"/>
    <s v="Correct Price"/>
    <n v="833.72"/>
  </r>
  <r>
    <s v="FB001696"/>
    <x v="2"/>
    <x v="2"/>
    <x v="3"/>
    <m/>
    <s v="Navy"/>
    <n v="19.68"/>
    <x v="0"/>
    <n v="19.68"/>
    <d v="2025-08-06T00:00:00"/>
    <n v="29"/>
    <n v="1.5"/>
    <x v="1"/>
    <s v="Size Issue"/>
    <s v="OK"/>
    <n v="0"/>
    <s v="Correct Price"/>
    <n v="570.72"/>
  </r>
  <r>
    <s v="FB001697"/>
    <x v="1"/>
    <x v="0"/>
    <x v="0"/>
    <s v="XS"/>
    <s v="Gray"/>
    <n v="105.19"/>
    <x v="106"/>
    <n v="79.63"/>
    <d v="2025-06-14T00:00:00"/>
    <n v="47"/>
    <n v="5"/>
    <x v="0"/>
    <m/>
    <s v="OK"/>
    <n v="25.561170000000001"/>
    <s v="Correct Price"/>
    <n v="3742.6099999999997"/>
  </r>
  <r>
    <s v="FB001698"/>
    <x v="2"/>
    <x v="2"/>
    <x v="3"/>
    <m/>
    <s v="Green"/>
    <n v="20.3"/>
    <x v="346"/>
    <n v="16.32"/>
    <d v="2025-08-06T00:00:00"/>
    <n v="47"/>
    <n v="2.9"/>
    <x v="1"/>
    <s v="Changed Mind"/>
    <s v="OK"/>
    <n v="3.9788000000000006"/>
    <s v="Correct Price"/>
    <n v="767.04"/>
  </r>
  <r>
    <s v="FB001699"/>
    <x v="4"/>
    <x v="3"/>
    <x v="3"/>
    <s v="S"/>
    <s v="Brown"/>
    <n v="105.37"/>
    <x v="346"/>
    <n v="84.72"/>
    <d v="2025-08-06T00:00:00"/>
    <n v="39"/>
    <n v="4.3"/>
    <x v="0"/>
    <m/>
    <s v="OK"/>
    <n v="20.652520000000003"/>
    <s v="Correct Price"/>
    <n v="3304.08"/>
  </r>
  <r>
    <s v="FB001700"/>
    <x v="5"/>
    <x v="5"/>
    <x v="1"/>
    <s v="XS"/>
    <s v="Green"/>
    <n v="156.24"/>
    <x v="0"/>
    <n v="156.24"/>
    <d v="2025-08-06T00:00:00"/>
    <n v="15"/>
    <n v="5"/>
    <x v="0"/>
    <m/>
    <s v="OK"/>
    <n v="0"/>
    <s v="Correct Price"/>
    <n v="2343.6000000000004"/>
  </r>
  <r>
    <s v="FB001701"/>
    <x v="3"/>
    <x v="3"/>
    <x v="1"/>
    <s v="XS"/>
    <s v="Brown"/>
    <n v="162.19"/>
    <x v="12"/>
    <n v="152.94999999999999"/>
    <d v="2025-08-06T00:00:00"/>
    <n v="39"/>
    <n v="1.4"/>
    <x v="0"/>
    <m/>
    <s v="OK"/>
    <n v="9.2448300000000003"/>
    <s v="Correct Price"/>
    <n v="5965.0499999999993"/>
  </r>
  <r>
    <s v="FB001702"/>
    <x v="1"/>
    <x v="4"/>
    <x v="0"/>
    <s v="M"/>
    <s v="Beige"/>
    <n v="75.790000000000006"/>
    <x v="72"/>
    <n v="70.41"/>
    <d v="2025-03-29T00:00:00"/>
    <n v="13"/>
    <n v="3.3"/>
    <x v="0"/>
    <m/>
    <s v="OK"/>
    <n v="5.3810900000000004"/>
    <s v="Correct Price"/>
    <n v="915.32999999999993"/>
  </r>
  <r>
    <s v="FB001703"/>
    <x v="2"/>
    <x v="7"/>
    <x v="3"/>
    <m/>
    <s v="Pink"/>
    <n v="32.04"/>
    <x v="0"/>
    <n v="32.04"/>
    <d v="2025-08-06T00:00:00"/>
    <n v="41"/>
    <n v="1.8"/>
    <x v="0"/>
    <m/>
    <s v="OK"/>
    <n v="0"/>
    <s v="Correct Price"/>
    <n v="1313.6399999999999"/>
  </r>
  <r>
    <s v="FB001704"/>
    <x v="1"/>
    <x v="6"/>
    <x v="2"/>
    <s v="M"/>
    <s v="Black"/>
    <n v="27.65"/>
    <x v="171"/>
    <n v="18.86"/>
    <d v="2025-08-06T00:00:00"/>
    <n v="2"/>
    <n v="3.7"/>
    <x v="1"/>
    <s v="Size Issue"/>
    <s v="OK"/>
    <n v="8.7927"/>
    <s v="Correct Price"/>
    <n v="37.72"/>
  </r>
  <r>
    <s v="FB001705"/>
    <x v="4"/>
    <x v="2"/>
    <x v="0"/>
    <s v="M"/>
    <s v="Purple"/>
    <n v="31.54"/>
    <x v="0"/>
    <n v="31.54"/>
    <d v="2025-08-03T00:00:00"/>
    <n v="45"/>
    <n v="1.3"/>
    <x v="0"/>
    <m/>
    <s v="OK"/>
    <n v="0"/>
    <s v="Correct Price"/>
    <n v="1419.3"/>
  </r>
  <r>
    <s v="FB001706"/>
    <x v="4"/>
    <x v="0"/>
    <x v="3"/>
    <s v="XXL"/>
    <s v="Beige"/>
    <n v="77.64"/>
    <x v="411"/>
    <n v="47.28"/>
    <d v="2025-08-06T00:00:00"/>
    <n v="19"/>
    <n v="2.6"/>
    <x v="0"/>
    <m/>
    <s v="OK"/>
    <n v="30.357240000000001"/>
    <s v="Correct Price"/>
    <n v="898.32"/>
  </r>
  <r>
    <s v="FB001707"/>
    <x v="5"/>
    <x v="4"/>
    <x v="1"/>
    <s v="XL"/>
    <s v="Pink"/>
    <n v="51.48"/>
    <x v="0"/>
    <n v="51.48"/>
    <d v="2025-08-06T00:00:00"/>
    <n v="10"/>
    <n v="1"/>
    <x v="0"/>
    <m/>
    <s v="OK"/>
    <n v="0"/>
    <s v="Correct Price"/>
    <n v="514.79999999999995"/>
  </r>
  <r>
    <s v="FB001708"/>
    <x v="0"/>
    <x v="0"/>
    <x v="2"/>
    <s v="M"/>
    <s v="Pink"/>
    <n v="108.58"/>
    <x v="0"/>
    <n v="108.58"/>
    <d v="2025-08-06T00:00:00"/>
    <n v="44"/>
    <n v="2.4"/>
    <x v="0"/>
    <m/>
    <s v="OK"/>
    <n v="0"/>
    <s v="Correct Price"/>
    <n v="4777.5199999999995"/>
  </r>
  <r>
    <s v="FB001709"/>
    <x v="1"/>
    <x v="7"/>
    <x v="1"/>
    <s v="XXL"/>
    <s v="Black"/>
    <n v="84.17"/>
    <x v="0"/>
    <n v="84.17"/>
    <d v="2025-08-06T00:00:00"/>
    <n v="20"/>
    <n v="3.7"/>
    <x v="0"/>
    <m/>
    <s v="OK"/>
    <n v="0"/>
    <s v="Correct Price"/>
    <n v="1683.4"/>
  </r>
  <r>
    <s v="FB001710"/>
    <x v="4"/>
    <x v="3"/>
    <x v="0"/>
    <s v="L"/>
    <s v="Pink"/>
    <n v="76.45"/>
    <x v="0"/>
    <n v="76.45"/>
    <d v="2025-06-10T00:00:00"/>
    <n v="16"/>
    <n v="1"/>
    <x v="1"/>
    <s v="Color Mismatch"/>
    <s v="OK"/>
    <n v="0"/>
    <s v="Correct Price"/>
    <n v="1223.2"/>
  </r>
  <r>
    <s v="FB001711"/>
    <x v="2"/>
    <x v="1"/>
    <x v="0"/>
    <m/>
    <s v="Gray"/>
    <n v="50.31"/>
    <x v="0"/>
    <n v="50.31"/>
    <d v="2025-04-24T00:00:00"/>
    <n v="36"/>
    <m/>
    <x v="0"/>
    <m/>
    <s v="OK"/>
    <n v="0"/>
    <s v="Correct Price"/>
    <n v="1811.16"/>
  </r>
  <r>
    <s v="FB001712"/>
    <x v="1"/>
    <x v="6"/>
    <x v="0"/>
    <s v="S"/>
    <s v="Pink"/>
    <n v="43.45"/>
    <x v="0"/>
    <n v="43.45"/>
    <d v="2025-07-17T00:00:00"/>
    <n v="30"/>
    <n v="2.2999999999999998"/>
    <x v="0"/>
    <m/>
    <s v="OK"/>
    <n v="0"/>
    <s v="Correct Price"/>
    <n v="1303.5"/>
  </r>
  <r>
    <s v="FB001713"/>
    <x v="5"/>
    <x v="1"/>
    <x v="2"/>
    <s v="XL"/>
    <s v="Gray"/>
    <n v="149.22"/>
    <x v="17"/>
    <n v="68.790000000000006"/>
    <d v="2025-08-06T00:00:00"/>
    <n v="41"/>
    <n v="2.2000000000000002"/>
    <x v="0"/>
    <m/>
    <s v="OK"/>
    <n v="80.429580000000001"/>
    <s v="Correct Price"/>
    <n v="2820.3900000000003"/>
  </r>
  <r>
    <s v="FB001714"/>
    <x v="4"/>
    <x v="6"/>
    <x v="3"/>
    <s v="XS"/>
    <s v="Gray"/>
    <n v="48.24"/>
    <x v="155"/>
    <n v="32.950000000000003"/>
    <d v="2025-08-06T00:00:00"/>
    <n v="46"/>
    <n v="3.7"/>
    <x v="0"/>
    <m/>
    <s v="OK"/>
    <n v="15.29208"/>
    <s v="Correct Price"/>
    <n v="1515.7"/>
  </r>
  <r>
    <s v="FB001715"/>
    <x v="4"/>
    <x v="4"/>
    <x v="3"/>
    <s v="S"/>
    <s v="Brown"/>
    <n v="66.27"/>
    <x v="28"/>
    <n v="51.89"/>
    <d v="2025-08-06T00:00:00"/>
    <n v="28"/>
    <n v="2.5"/>
    <x v="1"/>
    <s v="Changed Mind"/>
    <s v="OK"/>
    <n v="14.38059"/>
    <s v="Correct Price"/>
    <n v="1452.92"/>
  </r>
  <r>
    <s v="FB001716"/>
    <x v="3"/>
    <x v="4"/>
    <x v="2"/>
    <s v="XXL"/>
    <s v="Navy"/>
    <n v="82.65"/>
    <x v="0"/>
    <n v="82.65"/>
    <d v="2025-08-06T00:00:00"/>
    <n v="30"/>
    <n v="4.0999999999999996"/>
    <x v="0"/>
    <m/>
    <s v="OK"/>
    <n v="0"/>
    <s v="Correct Price"/>
    <n v="2479.5"/>
  </r>
  <r>
    <s v="FB001717"/>
    <x v="4"/>
    <x v="5"/>
    <x v="1"/>
    <s v="XXL"/>
    <s v="Black"/>
    <n v="42.36"/>
    <x v="0"/>
    <n v="42.36"/>
    <d v="2025-08-06T00:00:00"/>
    <n v="37"/>
    <n v="1.4"/>
    <x v="0"/>
    <m/>
    <s v="OK"/>
    <n v="0"/>
    <s v="Correct Price"/>
    <n v="1567.32"/>
  </r>
  <r>
    <s v="FB001718"/>
    <x v="4"/>
    <x v="5"/>
    <x v="3"/>
    <s v="M"/>
    <s v="Red"/>
    <n v="109.36"/>
    <x v="0"/>
    <n v="109.36"/>
    <d v="2025-08-06T00:00:00"/>
    <n v="24"/>
    <n v="1.7"/>
    <x v="0"/>
    <m/>
    <s v="OK"/>
    <n v="0"/>
    <s v="Correct Price"/>
    <n v="2624.64"/>
  </r>
  <r>
    <s v="FB001719"/>
    <x v="2"/>
    <x v="5"/>
    <x v="1"/>
    <m/>
    <s v="Beige"/>
    <n v="59.98"/>
    <x v="0"/>
    <n v="59.98"/>
    <d v="2025-08-06T00:00:00"/>
    <n v="28"/>
    <n v="2.2000000000000002"/>
    <x v="0"/>
    <m/>
    <s v="OK"/>
    <n v="0"/>
    <s v="Correct Price"/>
    <n v="1679.4399999999998"/>
  </r>
  <r>
    <s v="FB001720"/>
    <x v="5"/>
    <x v="6"/>
    <x v="0"/>
    <m/>
    <s v="Purple"/>
    <n v="111.81"/>
    <x v="0"/>
    <n v="111.81"/>
    <d v="2024-08-21T00:00:00"/>
    <n v="45"/>
    <n v="1.1000000000000001"/>
    <x v="0"/>
    <m/>
    <s v="OK"/>
    <n v="0"/>
    <s v="Correct Price"/>
    <n v="5031.45"/>
  </r>
  <r>
    <s v="FB001721"/>
    <x v="4"/>
    <x v="2"/>
    <x v="1"/>
    <s v="XXL"/>
    <s v="Red"/>
    <n v="70.78"/>
    <x v="0"/>
    <n v="70.78"/>
    <d v="2025-08-06T00:00:00"/>
    <n v="39"/>
    <n v="3.4"/>
    <x v="1"/>
    <s v="Color Mismatch"/>
    <s v="OK"/>
    <n v="0"/>
    <s v="Correct Price"/>
    <n v="2760.42"/>
  </r>
  <r>
    <s v="FB001722"/>
    <x v="2"/>
    <x v="3"/>
    <x v="1"/>
    <m/>
    <s v="Pink"/>
    <n v="76.13"/>
    <x v="6"/>
    <n v="31.59"/>
    <d v="2025-08-06T00:00:00"/>
    <n v="40"/>
    <n v="1.6"/>
    <x v="0"/>
    <m/>
    <s v="OK"/>
    <n v="44.536049999999996"/>
    <s v="Correct Price"/>
    <n v="1263.5999999999999"/>
  </r>
  <r>
    <s v="FB001723"/>
    <x v="4"/>
    <x v="2"/>
    <x v="2"/>
    <s v="XS"/>
    <s v="Pink"/>
    <n v="71.09"/>
    <x v="412"/>
    <n v="41.59"/>
    <d v="2025-08-06T00:00:00"/>
    <n v="20"/>
    <n v="3.1"/>
    <x v="0"/>
    <m/>
    <s v="OK"/>
    <n v="29.50235"/>
    <s v="Correct Price"/>
    <n v="831.80000000000007"/>
  </r>
  <r>
    <s v="FB001724"/>
    <x v="4"/>
    <x v="3"/>
    <x v="2"/>
    <m/>
    <s v="Gray"/>
    <n v="53.64"/>
    <x v="18"/>
    <n v="23.66"/>
    <d v="2025-08-06T00:00:00"/>
    <n v="10"/>
    <n v="2.5"/>
    <x v="0"/>
    <m/>
    <s v="OK"/>
    <n v="29.984760000000001"/>
    <s v="Correct Price"/>
    <n v="236.6"/>
  </r>
  <r>
    <s v="FB001725"/>
    <x v="3"/>
    <x v="5"/>
    <x v="2"/>
    <m/>
    <s v="Brown"/>
    <n v="110.2"/>
    <x v="408"/>
    <n v="44.41"/>
    <d v="2025-08-06T00:00:00"/>
    <n v="13"/>
    <n v="3.5"/>
    <x v="1"/>
    <s v="Color Mismatch"/>
    <s v="OK"/>
    <n v="65.789400000000001"/>
    <s v="Correct Price"/>
    <n v="577.32999999999993"/>
  </r>
  <r>
    <s v="FB001726"/>
    <x v="3"/>
    <x v="1"/>
    <x v="3"/>
    <s v="XXL"/>
    <s v="Green"/>
    <n v="80.63"/>
    <x v="413"/>
    <n v="66.599999999999994"/>
    <d v="2025-08-06T00:00:00"/>
    <n v="6"/>
    <m/>
    <x v="1"/>
    <s v="Damaged"/>
    <s v="OK"/>
    <n v="14.029619999999998"/>
    <s v="Correct Price"/>
    <n v="399.59999999999997"/>
  </r>
  <r>
    <s v="FB001727"/>
    <x v="5"/>
    <x v="3"/>
    <x v="0"/>
    <s v="XL"/>
    <s v="Green"/>
    <n v="101.09"/>
    <x v="414"/>
    <n v="76.02"/>
    <d v="2024-09-02T00:00:00"/>
    <n v="7"/>
    <n v="4.5"/>
    <x v="1"/>
    <s v="Damaged"/>
    <s v="OK"/>
    <n v="25.070320000000002"/>
    <s v="Correct Price"/>
    <n v="532.14"/>
  </r>
  <r>
    <s v="FB001728"/>
    <x v="2"/>
    <x v="0"/>
    <x v="0"/>
    <m/>
    <s v="Navy"/>
    <n v="75.48"/>
    <x v="0"/>
    <n v="75.48"/>
    <d v="2025-05-27T00:00:00"/>
    <n v="16"/>
    <n v="1.4"/>
    <x v="0"/>
    <m/>
    <s v="OK"/>
    <n v="0"/>
    <s v="Correct Price"/>
    <n v="1207.68"/>
  </r>
  <r>
    <s v="FB001729"/>
    <x v="3"/>
    <x v="2"/>
    <x v="3"/>
    <s v="S"/>
    <s v="Brown"/>
    <n v="159.94999999999999"/>
    <x v="40"/>
    <n v="149.71"/>
    <d v="2025-08-06T00:00:00"/>
    <n v="39"/>
    <n v="3"/>
    <x v="0"/>
    <m/>
    <s v="OK"/>
    <n v="10.236799999999999"/>
    <s v="Correct Price"/>
    <n v="5838.6900000000005"/>
  </r>
  <r>
    <s v="FB001730"/>
    <x v="5"/>
    <x v="6"/>
    <x v="3"/>
    <s v="L"/>
    <s v="Black"/>
    <n v="61.9"/>
    <x v="0"/>
    <n v="61.9"/>
    <d v="2025-08-06T00:00:00"/>
    <n v="29"/>
    <n v="4.4000000000000004"/>
    <x v="0"/>
    <m/>
    <s v="OK"/>
    <n v="0"/>
    <s v="Correct Price"/>
    <n v="1795.1"/>
  </r>
  <r>
    <s v="FB001731"/>
    <x v="1"/>
    <x v="2"/>
    <x v="2"/>
    <s v="XL"/>
    <s v="Purple"/>
    <n v="63.45"/>
    <x v="73"/>
    <n v="55.65"/>
    <d v="2025-08-06T00:00:00"/>
    <n v="23"/>
    <n v="4.9000000000000004"/>
    <x v="0"/>
    <m/>
    <s v="OK"/>
    <n v="7.8043500000000003"/>
    <s v="Correct Price"/>
    <n v="1279.95"/>
  </r>
  <r>
    <s v="FB001732"/>
    <x v="1"/>
    <x v="3"/>
    <x v="3"/>
    <s v="S"/>
    <s v="Red"/>
    <n v="43.22"/>
    <x v="129"/>
    <n v="23.04"/>
    <d v="2025-08-06T00:00:00"/>
    <n v="29"/>
    <n v="1.3"/>
    <x v="0"/>
    <m/>
    <s v="OK"/>
    <n v="20.18374"/>
    <s v="Correct Price"/>
    <n v="668.16"/>
  </r>
  <r>
    <s v="FB001733"/>
    <x v="3"/>
    <x v="2"/>
    <x v="1"/>
    <s v="S"/>
    <s v="Navy"/>
    <n v="64.650000000000006"/>
    <x v="316"/>
    <n v="47.32"/>
    <d v="2025-08-06T00:00:00"/>
    <n v="28"/>
    <n v="4.7"/>
    <x v="0"/>
    <m/>
    <s v="OK"/>
    <n v="17.3262"/>
    <s v="Correct Price"/>
    <n v="1324.96"/>
  </r>
  <r>
    <s v="FB001734"/>
    <x v="3"/>
    <x v="1"/>
    <x v="0"/>
    <s v="XXL"/>
    <s v="Purple"/>
    <n v="118.67"/>
    <x v="415"/>
    <n v="52.21"/>
    <d v="2025-04-26T00:00:00"/>
    <n v="27"/>
    <n v="3.5"/>
    <x v="0"/>
    <m/>
    <s v="OK"/>
    <n v="66.455200000000005"/>
    <s v="Correct Price"/>
    <n v="1409.67"/>
  </r>
  <r>
    <s v="FB001735"/>
    <x v="5"/>
    <x v="2"/>
    <x v="0"/>
    <s v="XS"/>
    <s v="White"/>
    <n v="169.32"/>
    <x v="0"/>
    <n v="169.32"/>
    <d v="2024-12-17T00:00:00"/>
    <n v="19"/>
    <n v="2.2000000000000002"/>
    <x v="0"/>
    <m/>
    <s v="OK"/>
    <n v="0"/>
    <s v="Correct Price"/>
    <n v="3217.08"/>
  </r>
  <r>
    <s v="FB001736"/>
    <x v="3"/>
    <x v="5"/>
    <x v="0"/>
    <s v="XS"/>
    <s v="Gray"/>
    <n v="115.77"/>
    <x v="0"/>
    <n v="115.77"/>
    <d v="2024-11-24T00:00:00"/>
    <n v="43"/>
    <m/>
    <x v="0"/>
    <m/>
    <s v="OK"/>
    <n v="0"/>
    <s v="Correct Price"/>
    <n v="4978.1099999999997"/>
  </r>
  <r>
    <s v="FB001737"/>
    <x v="3"/>
    <x v="3"/>
    <x v="2"/>
    <s v="XS"/>
    <s v="Beige"/>
    <n v="139.91"/>
    <x v="0"/>
    <n v="139.91"/>
    <d v="2025-08-06T00:00:00"/>
    <n v="9"/>
    <n v="3.7"/>
    <x v="0"/>
    <m/>
    <s v="OK"/>
    <n v="0"/>
    <s v="Correct Price"/>
    <n v="1259.19"/>
  </r>
  <r>
    <s v="FB001738"/>
    <x v="4"/>
    <x v="2"/>
    <x v="3"/>
    <s v="XXL"/>
    <s v="Purple"/>
    <n v="101.73"/>
    <x v="0"/>
    <n v="101.73"/>
    <d v="2025-08-06T00:00:00"/>
    <n v="14"/>
    <n v="4.7"/>
    <x v="0"/>
    <m/>
    <s v="OK"/>
    <n v="0"/>
    <s v="Correct Price"/>
    <n v="1424.22"/>
  </r>
  <r>
    <s v="FB001739"/>
    <x v="1"/>
    <x v="7"/>
    <x v="3"/>
    <m/>
    <s v="Pink"/>
    <n v="105.85"/>
    <x v="0"/>
    <n v="105.85"/>
    <d v="2025-08-06T00:00:00"/>
    <n v="29"/>
    <n v="2.1"/>
    <x v="0"/>
    <m/>
    <s v="OK"/>
    <n v="0"/>
    <s v="Correct Price"/>
    <n v="3069.6499999999996"/>
  </r>
  <r>
    <s v="FB001740"/>
    <x v="1"/>
    <x v="6"/>
    <x v="0"/>
    <s v="XL"/>
    <s v="Gray"/>
    <n v="105.37"/>
    <x v="0"/>
    <n v="105.37"/>
    <d v="2025-04-15T00:00:00"/>
    <n v="24"/>
    <n v="1.2"/>
    <x v="0"/>
    <m/>
    <s v="OK"/>
    <n v="0"/>
    <s v="Correct Price"/>
    <n v="2528.88"/>
  </r>
  <r>
    <s v="FB001741"/>
    <x v="1"/>
    <x v="4"/>
    <x v="3"/>
    <s v="S"/>
    <s v="Brown"/>
    <n v="44.42"/>
    <x v="0"/>
    <n v="44.42"/>
    <d v="2025-08-06T00:00:00"/>
    <n v="49"/>
    <m/>
    <x v="0"/>
    <m/>
    <s v="OK"/>
    <n v="0"/>
    <s v="Correct Price"/>
    <n v="2176.58"/>
  </r>
  <r>
    <s v="FB001742"/>
    <x v="3"/>
    <x v="1"/>
    <x v="0"/>
    <s v="XS"/>
    <s v="Gray"/>
    <n v="164.86"/>
    <x v="416"/>
    <n v="141.29"/>
    <d v="2025-03-14T00:00:00"/>
    <n v="7"/>
    <n v="2.2999999999999998"/>
    <x v="0"/>
    <m/>
    <s v="OK"/>
    <n v="23.574980000000004"/>
    <s v="Correct Price"/>
    <n v="989.03"/>
  </r>
  <r>
    <s v="FB001743"/>
    <x v="3"/>
    <x v="3"/>
    <x v="2"/>
    <s v="XXL"/>
    <s v="Black"/>
    <n v="163.88"/>
    <x v="170"/>
    <n v="154.21"/>
    <d v="2025-08-06T00:00:00"/>
    <n v="39"/>
    <n v="2.6"/>
    <x v="0"/>
    <m/>
    <s v="OK"/>
    <n v="9.66892"/>
    <s v="Correct Price"/>
    <n v="6014.1900000000005"/>
  </r>
  <r>
    <s v="FB001744"/>
    <x v="4"/>
    <x v="0"/>
    <x v="2"/>
    <s v="XS"/>
    <s v="Green"/>
    <n v="36.54"/>
    <x v="383"/>
    <n v="34.6"/>
    <d v="2025-08-06T00:00:00"/>
    <n v="13"/>
    <n v="2.5"/>
    <x v="0"/>
    <m/>
    <s v="OK"/>
    <n v="1.9366199999999998"/>
    <s v="Correct Price"/>
    <n v="449.8"/>
  </r>
  <r>
    <s v="FB001745"/>
    <x v="5"/>
    <x v="2"/>
    <x v="0"/>
    <s v="M"/>
    <s v="Red"/>
    <n v="99.97"/>
    <x v="0"/>
    <n v="99.97"/>
    <d v="2024-10-16T00:00:00"/>
    <n v="38"/>
    <n v="1.4"/>
    <x v="0"/>
    <m/>
    <s v="OK"/>
    <n v="0"/>
    <s v="Correct Price"/>
    <n v="3798.86"/>
  </r>
  <r>
    <s v="FB001746"/>
    <x v="0"/>
    <x v="5"/>
    <x v="3"/>
    <s v="XL"/>
    <s v="Red"/>
    <n v="194.78"/>
    <x v="0"/>
    <n v="194.78"/>
    <d v="2025-08-06T00:00:00"/>
    <n v="31"/>
    <m/>
    <x v="0"/>
    <m/>
    <s v="OK"/>
    <n v="0"/>
    <s v="Correct Price"/>
    <n v="6038.18"/>
  </r>
  <r>
    <s v="FB001747"/>
    <x v="0"/>
    <x v="1"/>
    <x v="2"/>
    <s v="XS"/>
    <s v="Blue"/>
    <n v="208.93"/>
    <x v="0"/>
    <n v="208.93"/>
    <d v="2025-08-06T00:00:00"/>
    <n v="12"/>
    <n v="2.2999999999999998"/>
    <x v="0"/>
    <m/>
    <s v="OK"/>
    <n v="0"/>
    <s v="Correct Price"/>
    <n v="2507.16"/>
  </r>
  <r>
    <s v="FB001748"/>
    <x v="4"/>
    <x v="5"/>
    <x v="0"/>
    <s v="XS"/>
    <s v="Red"/>
    <n v="68.459999999999994"/>
    <x v="48"/>
    <n v="34.229999999999997"/>
    <d v="2025-01-26T00:00:00"/>
    <n v="24"/>
    <n v="1.9"/>
    <x v="0"/>
    <m/>
    <s v="OK"/>
    <n v="34.229999999999997"/>
    <s v="Correct Price"/>
    <n v="821.52"/>
  </r>
  <r>
    <s v="FB001749"/>
    <x v="2"/>
    <x v="2"/>
    <x v="1"/>
    <m/>
    <s v="Purple"/>
    <n v="30.26"/>
    <x v="48"/>
    <n v="15.13"/>
    <d v="2025-08-06T00:00:00"/>
    <n v="23"/>
    <n v="1.4"/>
    <x v="0"/>
    <m/>
    <s v="OK"/>
    <n v="15.13"/>
    <s v="Correct Price"/>
    <n v="347.99"/>
  </r>
  <r>
    <s v="FB001750"/>
    <x v="0"/>
    <x v="3"/>
    <x v="3"/>
    <s v="XS"/>
    <s v="Green"/>
    <n v="186.66"/>
    <x v="352"/>
    <n v="128.97999999999999"/>
    <d v="2025-08-06T00:00:00"/>
    <n v="7"/>
    <n v="1"/>
    <x v="0"/>
    <m/>
    <s v="OK"/>
    <n v="57.67794"/>
    <s v="Correct Price"/>
    <n v="902.8599999999999"/>
  </r>
  <r>
    <s v="FB001751"/>
    <x v="1"/>
    <x v="0"/>
    <x v="1"/>
    <s v="S"/>
    <s v="Black"/>
    <n v="78.05"/>
    <x v="417"/>
    <n v="40.51"/>
    <d v="2025-08-06T00:00:00"/>
    <n v="36"/>
    <n v="2.9"/>
    <x v="1"/>
    <s v="Changed Mind"/>
    <s v="OK"/>
    <n v="37.542049999999996"/>
    <s v="Correct Price"/>
    <n v="1458.36"/>
  </r>
  <r>
    <s v="FB001752"/>
    <x v="1"/>
    <x v="1"/>
    <x v="0"/>
    <s v="M"/>
    <s v="Purple"/>
    <n v="104.75"/>
    <x v="0"/>
    <n v="104.75"/>
    <d v="2024-10-26T00:00:00"/>
    <n v="11"/>
    <m/>
    <x v="0"/>
    <m/>
    <s v="OK"/>
    <n v="0"/>
    <s v="Correct Price"/>
    <n v="1152.25"/>
  </r>
  <r>
    <s v="FB001753"/>
    <x v="3"/>
    <x v="1"/>
    <x v="3"/>
    <s v="M"/>
    <s v="Brown"/>
    <n v="121.33"/>
    <x v="0"/>
    <n v="121.33"/>
    <d v="2025-08-06T00:00:00"/>
    <n v="30"/>
    <n v="4.2"/>
    <x v="0"/>
    <m/>
    <s v="OK"/>
    <n v="0"/>
    <s v="Correct Price"/>
    <n v="3639.9"/>
  </r>
  <r>
    <s v="FB001754"/>
    <x v="5"/>
    <x v="3"/>
    <x v="2"/>
    <s v="XXL"/>
    <s v="Green"/>
    <n v="78.09"/>
    <x v="0"/>
    <n v="78.09"/>
    <d v="2025-08-06T00:00:00"/>
    <n v="6"/>
    <n v="2"/>
    <x v="0"/>
    <m/>
    <s v="OK"/>
    <n v="0"/>
    <s v="Correct Price"/>
    <n v="468.54"/>
  </r>
  <r>
    <s v="FB001755"/>
    <x v="1"/>
    <x v="1"/>
    <x v="2"/>
    <s v="XXL"/>
    <s v="Red"/>
    <n v="109.19"/>
    <x v="0"/>
    <n v="109.19"/>
    <d v="2025-08-06T00:00:00"/>
    <n v="47"/>
    <n v="4.5"/>
    <x v="0"/>
    <m/>
    <s v="OK"/>
    <n v="0"/>
    <s v="Correct Price"/>
    <n v="5131.93"/>
  </r>
  <r>
    <s v="FB001756"/>
    <x v="3"/>
    <x v="5"/>
    <x v="1"/>
    <s v="L"/>
    <s v="Black"/>
    <n v="126.74"/>
    <x v="0"/>
    <n v="126.74"/>
    <d v="2025-08-06T00:00:00"/>
    <n v="2"/>
    <n v="2.9"/>
    <x v="0"/>
    <m/>
    <s v="OK"/>
    <n v="0"/>
    <s v="Correct Price"/>
    <n v="253.48"/>
  </r>
  <r>
    <s v="FB001757"/>
    <x v="3"/>
    <x v="4"/>
    <x v="0"/>
    <s v="XL"/>
    <s v="Black"/>
    <n v="95.85"/>
    <x v="0"/>
    <n v="95.85"/>
    <d v="2025-02-15T00:00:00"/>
    <n v="45"/>
    <n v="5"/>
    <x v="0"/>
    <m/>
    <s v="OK"/>
    <n v="0"/>
    <s v="Correct Price"/>
    <n v="4313.25"/>
  </r>
  <r>
    <s v="FB001758"/>
    <x v="0"/>
    <x v="3"/>
    <x v="3"/>
    <s v="S"/>
    <s v="Blue"/>
    <n v="213.98"/>
    <x v="0"/>
    <n v="213.98"/>
    <d v="2025-08-06T00:00:00"/>
    <n v="38"/>
    <m/>
    <x v="0"/>
    <m/>
    <s v="OK"/>
    <n v="0"/>
    <s v="Correct Price"/>
    <n v="8131.24"/>
  </r>
  <r>
    <s v="FB001759"/>
    <x v="3"/>
    <x v="7"/>
    <x v="0"/>
    <s v="XXL"/>
    <s v="Beige"/>
    <n v="146.22999999999999"/>
    <x v="39"/>
    <n v="87.74"/>
    <d v="2025-01-27T00:00:00"/>
    <n v="17"/>
    <n v="2.6"/>
    <x v="1"/>
    <s v="Quality Issue"/>
    <s v="OK"/>
    <n v="58.491999999999997"/>
    <s v="Correct Price"/>
    <n v="1491.58"/>
  </r>
  <r>
    <s v="FB001760"/>
    <x v="4"/>
    <x v="3"/>
    <x v="1"/>
    <s v="L"/>
    <s v="Pink"/>
    <n v="115.57"/>
    <x v="246"/>
    <n v="96.96"/>
    <d v="2025-08-06T00:00:00"/>
    <n v="32"/>
    <n v="3.1"/>
    <x v="1"/>
    <s v="Size Issue"/>
    <s v="OK"/>
    <n v="18.606770000000001"/>
    <s v="Correct Price"/>
    <n v="3102.72"/>
  </r>
  <r>
    <s v="FB001761"/>
    <x v="2"/>
    <x v="2"/>
    <x v="0"/>
    <m/>
    <s v="Blue"/>
    <n v="66.62"/>
    <x v="0"/>
    <n v="66.62"/>
    <d v="2024-10-27T00:00:00"/>
    <n v="37"/>
    <m/>
    <x v="0"/>
    <m/>
    <s v="OK"/>
    <n v="0"/>
    <s v="Correct Price"/>
    <n v="2464.94"/>
  </r>
  <r>
    <s v="FB001762"/>
    <x v="5"/>
    <x v="2"/>
    <x v="0"/>
    <s v="XS"/>
    <s v="Purple"/>
    <n v="60.37"/>
    <x v="254"/>
    <n v="46.42"/>
    <d v="2025-03-14T00:00:00"/>
    <n v="30"/>
    <n v="4.8"/>
    <x v="0"/>
    <m/>
    <s v="OK"/>
    <n v="13.94547"/>
    <s v="Correct Price"/>
    <n v="1392.6000000000001"/>
  </r>
  <r>
    <s v="FB001763"/>
    <x v="3"/>
    <x v="4"/>
    <x v="1"/>
    <s v="M"/>
    <s v="Blue"/>
    <n v="83.2"/>
    <x v="19"/>
    <n v="35.69"/>
    <d v="2025-08-06T00:00:00"/>
    <n v="10"/>
    <n v="3.3"/>
    <x v="0"/>
    <m/>
    <s v="OK"/>
    <n v="47.507200000000005"/>
    <s v="Correct Price"/>
    <n v="356.9"/>
  </r>
  <r>
    <s v="FB001764"/>
    <x v="0"/>
    <x v="1"/>
    <x v="3"/>
    <s v="S"/>
    <s v="Navy"/>
    <n v="204.47"/>
    <x v="403"/>
    <n v="197.11"/>
    <d v="2025-08-06T00:00:00"/>
    <n v="26"/>
    <m/>
    <x v="0"/>
    <m/>
    <s v="OK"/>
    <n v="7.3609200000000001"/>
    <s v="Correct Price"/>
    <n v="5124.8600000000006"/>
  </r>
  <r>
    <s v="FB001765"/>
    <x v="2"/>
    <x v="3"/>
    <x v="2"/>
    <m/>
    <s v="Purple"/>
    <n v="52.73"/>
    <x v="0"/>
    <n v="52.73"/>
    <d v="2025-08-06T00:00:00"/>
    <n v="42"/>
    <m/>
    <x v="0"/>
    <m/>
    <s v="OK"/>
    <n v="0"/>
    <s v="Correct Price"/>
    <n v="2214.66"/>
  </r>
  <r>
    <s v="FB001766"/>
    <x v="4"/>
    <x v="7"/>
    <x v="2"/>
    <s v="XXL"/>
    <s v="Beige"/>
    <n v="61.1"/>
    <x v="0"/>
    <n v="61.1"/>
    <d v="2025-08-06T00:00:00"/>
    <n v="30"/>
    <n v="4.5999999999999996"/>
    <x v="0"/>
    <m/>
    <s v="OK"/>
    <n v="0"/>
    <s v="Correct Price"/>
    <n v="1833"/>
  </r>
  <r>
    <s v="FB001767"/>
    <x v="0"/>
    <x v="0"/>
    <x v="3"/>
    <s v="S"/>
    <s v="Gray"/>
    <n v="227.92"/>
    <x v="0"/>
    <n v="227.92"/>
    <d v="2025-08-06T00:00:00"/>
    <n v="34"/>
    <m/>
    <x v="0"/>
    <m/>
    <s v="OK"/>
    <n v="0"/>
    <s v="Correct Price"/>
    <n v="7749.28"/>
  </r>
  <r>
    <s v="FB001768"/>
    <x v="5"/>
    <x v="4"/>
    <x v="2"/>
    <s v="L"/>
    <s v="Blue"/>
    <n v="111.55"/>
    <x v="0"/>
    <n v="111.55"/>
    <d v="2025-08-06T00:00:00"/>
    <n v="14"/>
    <m/>
    <x v="0"/>
    <m/>
    <s v="OK"/>
    <n v="0"/>
    <s v="Correct Price"/>
    <n v="1561.7"/>
  </r>
  <r>
    <s v="FB001769"/>
    <x v="4"/>
    <x v="7"/>
    <x v="2"/>
    <s v="XS"/>
    <s v="Pink"/>
    <n v="29.09"/>
    <x v="418"/>
    <n v="20.48"/>
    <d v="2025-08-06T00:00:00"/>
    <n v="25"/>
    <n v="4.8"/>
    <x v="0"/>
    <m/>
    <s v="OK"/>
    <n v="8.6106400000000001"/>
    <s v="Correct Price"/>
    <n v="512"/>
  </r>
  <r>
    <s v="FB001770"/>
    <x v="5"/>
    <x v="4"/>
    <x v="2"/>
    <s v="M"/>
    <s v="Pink"/>
    <n v="179.71"/>
    <x v="0"/>
    <n v="179.71"/>
    <d v="2025-08-06T00:00:00"/>
    <n v="9"/>
    <n v="3.9"/>
    <x v="0"/>
    <m/>
    <s v="OK"/>
    <n v="0"/>
    <s v="Correct Price"/>
    <n v="1617.39"/>
  </r>
  <r>
    <s v="FB001771"/>
    <x v="2"/>
    <x v="4"/>
    <x v="3"/>
    <m/>
    <s v="Pink"/>
    <n v="52.76"/>
    <x v="104"/>
    <n v="31.97"/>
    <d v="2025-08-06T00:00:00"/>
    <n v="0"/>
    <n v="1.4"/>
    <x v="0"/>
    <m/>
    <s v="OK"/>
    <n v="20.787439999999997"/>
    <s v="Correct Price"/>
    <n v="0"/>
  </r>
  <r>
    <s v="FB001772"/>
    <x v="2"/>
    <x v="1"/>
    <x v="0"/>
    <m/>
    <s v="Green"/>
    <n v="67.900000000000006"/>
    <x v="0"/>
    <n v="67.900000000000006"/>
    <d v="2024-12-31T00:00:00"/>
    <n v="1"/>
    <n v="1.3"/>
    <x v="0"/>
    <m/>
    <s v="OK"/>
    <n v="0"/>
    <s v="Correct Price"/>
    <n v="67.900000000000006"/>
  </r>
  <r>
    <s v="FB001773"/>
    <x v="2"/>
    <x v="1"/>
    <x v="2"/>
    <m/>
    <s v="Navy"/>
    <n v="46.77"/>
    <x v="140"/>
    <n v="27.69"/>
    <d v="2025-08-06T00:00:00"/>
    <n v="25"/>
    <n v="2.6"/>
    <x v="0"/>
    <m/>
    <s v="OK"/>
    <n v="19.082159999999998"/>
    <s v="Correct Price"/>
    <n v="692.25"/>
  </r>
  <r>
    <s v="FB001774"/>
    <x v="1"/>
    <x v="1"/>
    <x v="1"/>
    <s v="XL"/>
    <s v="Navy"/>
    <n v="91.6"/>
    <x v="0"/>
    <n v="91.6"/>
    <d v="2025-08-06T00:00:00"/>
    <n v="6"/>
    <n v="2.7"/>
    <x v="0"/>
    <m/>
    <s v="OK"/>
    <n v="0"/>
    <s v="Correct Price"/>
    <n v="549.59999999999991"/>
  </r>
  <r>
    <s v="FB001775"/>
    <x v="0"/>
    <x v="1"/>
    <x v="0"/>
    <s v="XS"/>
    <s v="Pink"/>
    <n v="230.39"/>
    <x v="127"/>
    <n v="220.71"/>
    <d v="2024-10-15T00:00:00"/>
    <n v="34"/>
    <n v="3.5"/>
    <x v="0"/>
    <m/>
    <s v="OK"/>
    <n v="9.67638"/>
    <s v="Correct Price"/>
    <n v="7504.14"/>
  </r>
  <r>
    <s v="FB001776"/>
    <x v="0"/>
    <x v="5"/>
    <x v="2"/>
    <s v="M"/>
    <s v="Blue"/>
    <n v="118.37"/>
    <x v="0"/>
    <n v="118.37"/>
    <d v="2025-08-06T00:00:00"/>
    <n v="45"/>
    <m/>
    <x v="0"/>
    <m/>
    <s v="OK"/>
    <n v="0"/>
    <s v="Correct Price"/>
    <n v="5326.6500000000005"/>
  </r>
  <r>
    <s v="FB001777"/>
    <x v="3"/>
    <x v="6"/>
    <x v="1"/>
    <s v="M"/>
    <s v="Red"/>
    <n v="81.260000000000005"/>
    <x v="185"/>
    <n v="54.69"/>
    <d v="2025-08-06T00:00:00"/>
    <n v="2"/>
    <n v="3.3"/>
    <x v="0"/>
    <m/>
    <s v="OK"/>
    <n v="26.572020000000002"/>
    <s v="Correct Price"/>
    <n v="109.38"/>
  </r>
  <r>
    <s v="FB001778"/>
    <x v="2"/>
    <x v="4"/>
    <x v="2"/>
    <m/>
    <s v="Purple"/>
    <n v="57.21"/>
    <x v="26"/>
    <n v="46.91"/>
    <d v="2025-08-06T00:00:00"/>
    <n v="7"/>
    <n v="2.5"/>
    <x v="0"/>
    <m/>
    <s v="OK"/>
    <n v="10.297800000000001"/>
    <s v="Correct Price"/>
    <n v="328.37"/>
  </r>
  <r>
    <s v="FB001779"/>
    <x v="5"/>
    <x v="7"/>
    <x v="3"/>
    <s v="XL"/>
    <s v="Brown"/>
    <n v="74.53"/>
    <x v="0"/>
    <n v="74.53"/>
    <d v="2025-08-06T00:00:00"/>
    <n v="9"/>
    <m/>
    <x v="0"/>
    <m/>
    <s v="OK"/>
    <n v="0"/>
    <s v="Correct Price"/>
    <n v="670.77"/>
  </r>
  <r>
    <s v="FB001780"/>
    <x v="5"/>
    <x v="2"/>
    <x v="3"/>
    <s v="M"/>
    <s v="Red"/>
    <n v="69.540000000000006"/>
    <x v="0"/>
    <n v="69.540000000000006"/>
    <d v="2025-08-06T00:00:00"/>
    <n v="40"/>
    <n v="3.2"/>
    <x v="1"/>
    <s v="Size Issue"/>
    <s v="OK"/>
    <n v="0"/>
    <s v="Correct Price"/>
    <n v="2781.6000000000004"/>
  </r>
  <r>
    <s v="FB001781"/>
    <x v="5"/>
    <x v="5"/>
    <x v="3"/>
    <s v="XL"/>
    <s v="Brown"/>
    <n v="102.71"/>
    <x v="18"/>
    <n v="45.3"/>
    <d v="2025-08-06T00:00:00"/>
    <n v="31"/>
    <n v="4.5999999999999996"/>
    <x v="0"/>
    <m/>
    <s v="OK"/>
    <n v="57.414889999999993"/>
    <s v="Correct Price"/>
    <n v="1404.3"/>
  </r>
  <r>
    <s v="FB001782"/>
    <x v="3"/>
    <x v="6"/>
    <x v="3"/>
    <s v="L"/>
    <s v="Beige"/>
    <n v="117.82"/>
    <x v="0"/>
    <n v="117.82"/>
    <d v="2025-08-06T00:00:00"/>
    <n v="7"/>
    <n v="4.9000000000000004"/>
    <x v="0"/>
    <m/>
    <s v="OK"/>
    <n v="0"/>
    <s v="Correct Price"/>
    <n v="824.74"/>
  </r>
  <r>
    <s v="FB001783"/>
    <x v="2"/>
    <x v="6"/>
    <x v="0"/>
    <m/>
    <s v="Purple"/>
    <n v="61.01"/>
    <x v="0"/>
    <n v="61.01"/>
    <d v="2025-04-25T00:00:00"/>
    <n v="30"/>
    <n v="3.4"/>
    <x v="0"/>
    <m/>
    <s v="OK"/>
    <n v="0"/>
    <s v="Correct Price"/>
    <n v="1830.3"/>
  </r>
  <r>
    <s v="FB001784"/>
    <x v="0"/>
    <x v="7"/>
    <x v="1"/>
    <s v="XL"/>
    <s v="Pink"/>
    <n v="222.01"/>
    <x v="0"/>
    <n v="222.01"/>
    <d v="2025-08-06T00:00:00"/>
    <n v="27"/>
    <n v="2.1"/>
    <x v="0"/>
    <m/>
    <s v="OK"/>
    <n v="0"/>
    <s v="Correct Price"/>
    <n v="5994.2699999999995"/>
  </r>
  <r>
    <s v="FB001785"/>
    <x v="0"/>
    <x v="4"/>
    <x v="3"/>
    <s v="L"/>
    <s v="Brown"/>
    <n v="123.55"/>
    <x v="0"/>
    <n v="123.55"/>
    <d v="2025-08-06T00:00:00"/>
    <n v="28"/>
    <n v="1.2"/>
    <x v="0"/>
    <m/>
    <s v="OK"/>
    <n v="0"/>
    <s v="Correct Price"/>
    <n v="3459.4"/>
  </r>
  <r>
    <s v="FB001786"/>
    <x v="2"/>
    <x v="0"/>
    <x v="2"/>
    <m/>
    <s v="Black"/>
    <n v="24.65"/>
    <x v="0"/>
    <n v="24.65"/>
    <d v="2025-08-06T00:00:00"/>
    <n v="43"/>
    <n v="1.1000000000000001"/>
    <x v="0"/>
    <m/>
    <s v="OK"/>
    <n v="0"/>
    <s v="Correct Price"/>
    <n v="1059.95"/>
  </r>
  <r>
    <s v="FB001787"/>
    <x v="0"/>
    <x v="2"/>
    <x v="2"/>
    <s v="XXL"/>
    <s v="Navy"/>
    <n v="168.8"/>
    <x v="0"/>
    <n v="168.8"/>
    <d v="2025-08-06T00:00:00"/>
    <n v="1"/>
    <n v="1"/>
    <x v="0"/>
    <m/>
    <s v="OK"/>
    <n v="0"/>
    <s v="Correct Price"/>
    <n v="168.8"/>
  </r>
  <r>
    <s v="FB001788"/>
    <x v="1"/>
    <x v="6"/>
    <x v="2"/>
    <s v="S"/>
    <s v="Green"/>
    <n v="39.159999999999997"/>
    <x v="419"/>
    <n v="23.46"/>
    <d v="2025-08-06T00:00:00"/>
    <n v="4"/>
    <n v="2.8"/>
    <x v="0"/>
    <m/>
    <s v="OK"/>
    <n v="15.70316"/>
    <s v="Correct Price"/>
    <n v="93.84"/>
  </r>
  <r>
    <s v="FB001789"/>
    <x v="4"/>
    <x v="4"/>
    <x v="2"/>
    <m/>
    <s v="Brown"/>
    <n v="74.760000000000005"/>
    <x v="0"/>
    <n v="74.760000000000005"/>
    <d v="2025-08-06T00:00:00"/>
    <n v="50"/>
    <n v="4.4000000000000004"/>
    <x v="1"/>
    <s v="Color Mismatch"/>
    <s v="OK"/>
    <n v="0"/>
    <s v="Correct Price"/>
    <n v="3738.0000000000005"/>
  </r>
  <r>
    <s v="FB001790"/>
    <x v="2"/>
    <x v="6"/>
    <x v="1"/>
    <m/>
    <s v="Navy"/>
    <n v="37"/>
    <x v="0"/>
    <n v="37"/>
    <d v="2025-08-06T00:00:00"/>
    <n v="5"/>
    <n v="4.9000000000000004"/>
    <x v="0"/>
    <m/>
    <s v="OK"/>
    <n v="0"/>
    <s v="Correct Price"/>
    <n v="185"/>
  </r>
  <r>
    <s v="FB001791"/>
    <x v="2"/>
    <x v="3"/>
    <x v="1"/>
    <m/>
    <s v="Black"/>
    <n v="67.38"/>
    <x v="0"/>
    <n v="67.38"/>
    <d v="2025-08-06T00:00:00"/>
    <n v="15"/>
    <n v="1.6"/>
    <x v="0"/>
    <m/>
    <s v="OK"/>
    <n v="0"/>
    <s v="Correct Price"/>
    <n v="1010.6999999999999"/>
  </r>
  <r>
    <s v="FB001792"/>
    <x v="4"/>
    <x v="4"/>
    <x v="3"/>
    <s v="XS"/>
    <s v="White"/>
    <n v="77.44"/>
    <x v="87"/>
    <n v="76.36"/>
    <d v="2025-08-06T00:00:00"/>
    <n v="18"/>
    <n v="3.3"/>
    <x v="0"/>
    <m/>
    <s v="OK"/>
    <n v="1.08416"/>
    <s v="Correct Price"/>
    <n v="1374.48"/>
  </r>
  <r>
    <s v="FB001793"/>
    <x v="0"/>
    <x v="4"/>
    <x v="3"/>
    <s v="XS"/>
    <s v="Gray"/>
    <n v="215.06"/>
    <x v="0"/>
    <n v="215.06"/>
    <d v="2025-08-06T00:00:00"/>
    <n v="50"/>
    <n v="1.6"/>
    <x v="0"/>
    <m/>
    <s v="OK"/>
    <n v="0"/>
    <s v="Correct Price"/>
    <n v="10753"/>
  </r>
  <r>
    <s v="FB001794"/>
    <x v="0"/>
    <x v="2"/>
    <x v="1"/>
    <s v="XS"/>
    <s v="Gray"/>
    <n v="141.44"/>
    <x v="0"/>
    <n v="141.44"/>
    <d v="2025-08-06T00:00:00"/>
    <n v="34"/>
    <n v="2.4"/>
    <x v="0"/>
    <m/>
    <s v="OK"/>
    <n v="0"/>
    <s v="Correct Price"/>
    <n v="4808.96"/>
  </r>
  <r>
    <s v="FB001795"/>
    <x v="5"/>
    <x v="5"/>
    <x v="0"/>
    <s v="XXL"/>
    <s v="White"/>
    <n v="151.83000000000001"/>
    <x v="0"/>
    <n v="151.83000000000001"/>
    <d v="2025-06-17T00:00:00"/>
    <n v="24"/>
    <n v="4.3"/>
    <x v="1"/>
    <s v="Wrong Item"/>
    <s v="OK"/>
    <n v="0"/>
    <s v="Correct Price"/>
    <n v="3643.92"/>
  </r>
  <r>
    <s v="FB001796"/>
    <x v="0"/>
    <x v="6"/>
    <x v="1"/>
    <s v="XL"/>
    <s v="Gray"/>
    <n v="140.07"/>
    <x v="0"/>
    <n v="140.07"/>
    <d v="2025-08-06T00:00:00"/>
    <n v="23"/>
    <n v="2.7"/>
    <x v="0"/>
    <m/>
    <s v="OK"/>
    <n v="0"/>
    <s v="Correct Price"/>
    <n v="3221.6099999999997"/>
  </r>
  <r>
    <s v="FB001797"/>
    <x v="5"/>
    <x v="3"/>
    <x v="3"/>
    <s v="XXL"/>
    <s v="Pink"/>
    <n v="94.26"/>
    <x v="420"/>
    <n v="67.02"/>
    <d v="2025-08-06T00:00:00"/>
    <n v="44"/>
    <n v="3.6"/>
    <x v="0"/>
    <m/>
    <s v="OK"/>
    <n v="27.241140000000001"/>
    <s v="Correct Price"/>
    <n v="2948.8799999999997"/>
  </r>
  <r>
    <s v="FB001798"/>
    <x v="2"/>
    <x v="5"/>
    <x v="1"/>
    <m/>
    <s v="Green"/>
    <n v="55.79"/>
    <x v="230"/>
    <n v="40.56"/>
    <d v="2025-08-06T00:00:00"/>
    <n v="39"/>
    <n v="4.9000000000000004"/>
    <x v="0"/>
    <m/>
    <s v="OK"/>
    <n v="15.23067"/>
    <s v="Correct Price"/>
    <n v="1581.8400000000001"/>
  </r>
  <r>
    <s v="FB001799"/>
    <x v="2"/>
    <x v="6"/>
    <x v="1"/>
    <m/>
    <s v="Black"/>
    <n v="58.99"/>
    <x v="0"/>
    <n v="58.99"/>
    <d v="2025-08-06T00:00:00"/>
    <n v="50"/>
    <n v="2.7"/>
    <x v="0"/>
    <m/>
    <s v="OK"/>
    <n v="0"/>
    <s v="Correct Price"/>
    <n v="2949.5"/>
  </r>
  <r>
    <s v="FB001800"/>
    <x v="4"/>
    <x v="7"/>
    <x v="3"/>
    <s v="XXL"/>
    <s v="Purple"/>
    <n v="61.96"/>
    <x v="0"/>
    <n v="61.96"/>
    <d v="2025-08-06T00:00:00"/>
    <n v="13"/>
    <n v="3.9"/>
    <x v="0"/>
    <m/>
    <s v="OK"/>
    <n v="0"/>
    <s v="Correct Price"/>
    <n v="805.48"/>
  </r>
  <r>
    <s v="FB001801"/>
    <x v="4"/>
    <x v="0"/>
    <x v="2"/>
    <s v="L"/>
    <s v="Brown"/>
    <n v="104.25"/>
    <x v="0"/>
    <n v="104.25"/>
    <d v="2025-08-06T00:00:00"/>
    <n v="35"/>
    <n v="3.1"/>
    <x v="0"/>
    <m/>
    <s v="OK"/>
    <n v="0"/>
    <s v="Correct Price"/>
    <n v="3648.75"/>
  </r>
  <r>
    <s v="FB001802"/>
    <x v="0"/>
    <x v="4"/>
    <x v="1"/>
    <s v="L"/>
    <s v="Gray"/>
    <n v="102.68"/>
    <x v="0"/>
    <n v="102.68"/>
    <d v="2025-08-06T00:00:00"/>
    <n v="18"/>
    <n v="1.9"/>
    <x v="0"/>
    <m/>
    <s v="OK"/>
    <n v="0"/>
    <s v="Correct Price"/>
    <n v="1848.2400000000002"/>
  </r>
  <r>
    <s v="FB001803"/>
    <x v="5"/>
    <x v="6"/>
    <x v="1"/>
    <s v="XXL"/>
    <s v="Beige"/>
    <n v="131.05000000000001"/>
    <x v="180"/>
    <n v="88.33"/>
    <d v="2025-08-06T00:00:00"/>
    <n v="9"/>
    <m/>
    <x v="0"/>
    <m/>
    <s v="OK"/>
    <n v="42.722300000000004"/>
    <s v="Correct Price"/>
    <n v="794.97"/>
  </r>
  <r>
    <s v="FB001804"/>
    <x v="0"/>
    <x v="2"/>
    <x v="0"/>
    <s v="XS"/>
    <s v="Navy"/>
    <n v="139.72999999999999"/>
    <x v="159"/>
    <n v="63.86"/>
    <d v="2025-03-27T00:00:00"/>
    <n v="38"/>
    <m/>
    <x v="1"/>
    <s v="Changed Mind"/>
    <s v="OK"/>
    <n v="75.873389999999986"/>
    <s v="Correct Price"/>
    <n v="2426.6799999999998"/>
  </r>
  <r>
    <s v="FB001805"/>
    <x v="2"/>
    <x v="7"/>
    <x v="1"/>
    <m/>
    <s v="Navy"/>
    <n v="17.59"/>
    <x v="0"/>
    <n v="17.59"/>
    <d v="2025-08-06T00:00:00"/>
    <n v="14"/>
    <m/>
    <x v="0"/>
    <m/>
    <s v="OK"/>
    <n v="0"/>
    <s v="Correct Price"/>
    <n v="246.26"/>
  </r>
  <r>
    <s v="FB001806"/>
    <x v="3"/>
    <x v="0"/>
    <x v="2"/>
    <s v="L"/>
    <s v="Red"/>
    <n v="115.09"/>
    <x v="0"/>
    <n v="115.09"/>
    <d v="2025-08-06T00:00:00"/>
    <n v="10"/>
    <n v="2.5"/>
    <x v="0"/>
    <m/>
    <s v="OK"/>
    <n v="0"/>
    <s v="Correct Price"/>
    <n v="1150.9000000000001"/>
  </r>
  <r>
    <s v="FB001807"/>
    <x v="2"/>
    <x v="0"/>
    <x v="3"/>
    <m/>
    <s v="Black"/>
    <n v="73.75"/>
    <x v="0"/>
    <n v="73.75"/>
    <d v="2025-08-06T00:00:00"/>
    <n v="23"/>
    <n v="4.5"/>
    <x v="0"/>
    <m/>
    <s v="OK"/>
    <n v="0"/>
    <s v="Correct Price"/>
    <n v="1696.25"/>
  </r>
  <r>
    <s v="FB001808"/>
    <x v="2"/>
    <x v="5"/>
    <x v="1"/>
    <m/>
    <s v="Navy"/>
    <n v="66.77"/>
    <x v="0"/>
    <n v="66.77"/>
    <d v="2025-08-06T00:00:00"/>
    <n v="28"/>
    <n v="5"/>
    <x v="1"/>
    <s v="Size Issue"/>
    <s v="OK"/>
    <n v="0"/>
    <s v="Correct Price"/>
    <n v="1869.56"/>
  </r>
  <r>
    <s v="FB001809"/>
    <x v="1"/>
    <x v="4"/>
    <x v="2"/>
    <s v="L"/>
    <s v="White"/>
    <n v="63.92"/>
    <x v="0"/>
    <n v="63.92"/>
    <d v="2025-08-06T00:00:00"/>
    <n v="10"/>
    <n v="4.4000000000000004"/>
    <x v="0"/>
    <m/>
    <s v="OK"/>
    <n v="0"/>
    <s v="Correct Price"/>
    <n v="639.20000000000005"/>
  </r>
  <r>
    <s v="FB001810"/>
    <x v="2"/>
    <x v="4"/>
    <x v="2"/>
    <m/>
    <s v="Green"/>
    <n v="26.26"/>
    <x v="0"/>
    <n v="26.26"/>
    <d v="2025-08-06T00:00:00"/>
    <n v="27"/>
    <m/>
    <x v="0"/>
    <m/>
    <s v="OK"/>
    <n v="0"/>
    <s v="Correct Price"/>
    <n v="709.0200000000001"/>
  </r>
  <r>
    <s v="FB001811"/>
    <x v="2"/>
    <x v="4"/>
    <x v="0"/>
    <m/>
    <s v="White"/>
    <n v="62.58"/>
    <x v="83"/>
    <n v="57.07"/>
    <d v="2024-11-06T00:00:00"/>
    <n v="1"/>
    <n v="1.7"/>
    <x v="0"/>
    <m/>
    <s v="OK"/>
    <n v="5.5070400000000008"/>
    <s v="Correct Price"/>
    <n v="57.07"/>
  </r>
  <r>
    <s v="FB001812"/>
    <x v="3"/>
    <x v="2"/>
    <x v="3"/>
    <s v="S"/>
    <s v="Green"/>
    <n v="143.88"/>
    <x v="0"/>
    <n v="143.88"/>
    <d v="2025-08-06T00:00:00"/>
    <n v="1"/>
    <n v="3.1"/>
    <x v="0"/>
    <m/>
    <s v="OK"/>
    <n v="0"/>
    <s v="Correct Price"/>
    <n v="143.88"/>
  </r>
  <r>
    <s v="FB001813"/>
    <x v="0"/>
    <x v="0"/>
    <x v="0"/>
    <s v="XL"/>
    <s v="Blue"/>
    <n v="226.24"/>
    <x v="255"/>
    <n v="223.53"/>
    <d v="2025-02-20T00:00:00"/>
    <n v="24"/>
    <n v="4.5"/>
    <x v="0"/>
    <m/>
    <s v="OK"/>
    <n v="2.71488"/>
    <s v="Correct Price"/>
    <n v="5364.72"/>
  </r>
  <r>
    <s v="FB001814"/>
    <x v="3"/>
    <x v="6"/>
    <x v="0"/>
    <s v="XXL"/>
    <s v="Black"/>
    <n v="164.75"/>
    <x v="0"/>
    <n v="164.75"/>
    <d v="2025-05-02T00:00:00"/>
    <n v="8"/>
    <n v="3.7"/>
    <x v="0"/>
    <m/>
    <s v="OK"/>
    <n v="0"/>
    <s v="Correct Price"/>
    <n v="1318"/>
  </r>
  <r>
    <s v="FB001815"/>
    <x v="4"/>
    <x v="0"/>
    <x v="3"/>
    <s v="L"/>
    <s v="Navy"/>
    <n v="56.14"/>
    <x v="0"/>
    <n v="56.14"/>
    <d v="2025-08-06T00:00:00"/>
    <n v="16"/>
    <n v="4.3"/>
    <x v="0"/>
    <m/>
    <s v="OK"/>
    <n v="0"/>
    <s v="Correct Price"/>
    <n v="898.24"/>
  </r>
  <r>
    <s v="FB001816"/>
    <x v="2"/>
    <x v="4"/>
    <x v="1"/>
    <m/>
    <s v="Red"/>
    <n v="39.96"/>
    <x v="0"/>
    <n v="39.96"/>
    <d v="2025-08-06T00:00:00"/>
    <n v="49"/>
    <m/>
    <x v="0"/>
    <m/>
    <s v="OK"/>
    <n v="0"/>
    <s v="Correct Price"/>
    <n v="1958.04"/>
  </r>
  <r>
    <s v="FB001817"/>
    <x v="4"/>
    <x v="5"/>
    <x v="3"/>
    <s v="L"/>
    <s v="Navy"/>
    <n v="26.5"/>
    <x v="307"/>
    <n v="11.16"/>
    <d v="2025-08-06T00:00:00"/>
    <n v="8"/>
    <n v="1.7"/>
    <x v="0"/>
    <m/>
    <s v="OK"/>
    <n v="15.343499999999999"/>
    <s v="Correct Price"/>
    <n v="89.28"/>
  </r>
  <r>
    <s v="FB001818"/>
    <x v="3"/>
    <x v="4"/>
    <x v="0"/>
    <s v="XXL"/>
    <s v="Brown"/>
    <n v="118.53"/>
    <x v="153"/>
    <n v="53.34"/>
    <d v="2025-04-25T00:00:00"/>
    <n v="2"/>
    <n v="4.9000000000000004"/>
    <x v="0"/>
    <m/>
    <s v="OK"/>
    <n v="65.191499999999991"/>
    <s v="Correct Price"/>
    <n v="106.68"/>
  </r>
  <r>
    <s v="FB001819"/>
    <x v="5"/>
    <x v="3"/>
    <x v="3"/>
    <s v="XL"/>
    <s v="Purple"/>
    <n v="58.08"/>
    <x v="0"/>
    <n v="58.08"/>
    <d v="2025-08-06T00:00:00"/>
    <n v="42"/>
    <n v="1.6"/>
    <x v="0"/>
    <m/>
    <s v="OK"/>
    <n v="0"/>
    <s v="Correct Price"/>
    <n v="2439.36"/>
  </r>
  <r>
    <s v="FB001820"/>
    <x v="3"/>
    <x v="4"/>
    <x v="3"/>
    <s v="S"/>
    <s v="Navy"/>
    <n v="138.85"/>
    <x v="336"/>
    <n v="118.02"/>
    <d v="2025-08-06T00:00:00"/>
    <n v="17"/>
    <m/>
    <x v="0"/>
    <m/>
    <s v="OK"/>
    <n v="20.827500000000001"/>
    <s v="Correct Price"/>
    <n v="2006.34"/>
  </r>
  <r>
    <s v="FB001821"/>
    <x v="4"/>
    <x v="2"/>
    <x v="3"/>
    <s v="XS"/>
    <s v="Gray"/>
    <n v="73.33"/>
    <x v="0"/>
    <n v="73.33"/>
    <d v="2025-08-06T00:00:00"/>
    <n v="3"/>
    <n v="3.1"/>
    <x v="1"/>
    <s v="Changed Mind"/>
    <s v="OK"/>
    <n v="0"/>
    <s v="Correct Price"/>
    <n v="219.99"/>
  </r>
  <r>
    <s v="FB001822"/>
    <x v="0"/>
    <x v="7"/>
    <x v="1"/>
    <s v="S"/>
    <s v="Green"/>
    <n v="167.73"/>
    <x v="0"/>
    <n v="167.73"/>
    <d v="2025-08-06T00:00:00"/>
    <n v="4"/>
    <n v="4.9000000000000004"/>
    <x v="0"/>
    <m/>
    <s v="OK"/>
    <n v="0"/>
    <s v="Correct Price"/>
    <n v="670.92"/>
  </r>
  <r>
    <s v="FB001823"/>
    <x v="1"/>
    <x v="4"/>
    <x v="1"/>
    <s v="XXL"/>
    <s v="Black"/>
    <n v="79.47"/>
    <x v="0"/>
    <n v="79.47"/>
    <d v="2025-08-06T00:00:00"/>
    <n v="31"/>
    <n v="3.7"/>
    <x v="0"/>
    <m/>
    <s v="OK"/>
    <n v="0"/>
    <s v="Correct Price"/>
    <n v="2463.5700000000002"/>
  </r>
  <r>
    <s v="FB001824"/>
    <x v="5"/>
    <x v="7"/>
    <x v="3"/>
    <s v="XL"/>
    <s v="White"/>
    <n v="69.12"/>
    <x v="179"/>
    <n v="34.97"/>
    <d v="2025-08-06T00:00:00"/>
    <n v="45"/>
    <n v="2.2999999999999998"/>
    <x v="0"/>
    <m/>
    <s v="OK"/>
    <n v="34.14528"/>
    <s v="Correct Price"/>
    <n v="1573.6499999999999"/>
  </r>
  <r>
    <s v="FB001825"/>
    <x v="4"/>
    <x v="3"/>
    <x v="3"/>
    <s v="S"/>
    <s v="Purple"/>
    <n v="56.18"/>
    <x v="421"/>
    <n v="52.42"/>
    <d v="2025-08-06T00:00:00"/>
    <n v="35"/>
    <n v="2.6"/>
    <x v="1"/>
    <s v="Changed Mind"/>
    <s v="OK"/>
    <n v="3.7640600000000002"/>
    <s v="Correct Price"/>
    <n v="1834.7"/>
  </r>
  <r>
    <s v="FB001826"/>
    <x v="1"/>
    <x v="6"/>
    <x v="1"/>
    <s v="XS"/>
    <s v="Gray"/>
    <n v="51.28"/>
    <x v="422"/>
    <n v="26.51"/>
    <d v="2025-08-06T00:00:00"/>
    <n v="9"/>
    <n v="1.1000000000000001"/>
    <x v="1"/>
    <s v="Changed Mind"/>
    <s v="OK"/>
    <n v="24.768240000000002"/>
    <s v="Correct Price"/>
    <n v="238.59"/>
  </r>
  <r>
    <s v="FB001827"/>
    <x v="0"/>
    <x v="6"/>
    <x v="0"/>
    <m/>
    <s v="Green"/>
    <n v="111.73"/>
    <x v="257"/>
    <n v="92.96"/>
    <d v="2025-05-29T00:00:00"/>
    <n v="41"/>
    <n v="1.2"/>
    <x v="0"/>
    <m/>
    <s v="OK"/>
    <n v="18.77064"/>
    <s v="Correct Price"/>
    <n v="3811.3599999999997"/>
  </r>
  <r>
    <s v="FB001828"/>
    <x v="4"/>
    <x v="5"/>
    <x v="2"/>
    <s v="XXL"/>
    <s v="Gray"/>
    <n v="49.08"/>
    <x v="274"/>
    <n v="39.31"/>
    <d v="2025-08-06T00:00:00"/>
    <n v="46"/>
    <n v="1"/>
    <x v="1"/>
    <s v="Changed Mind"/>
    <s v="OK"/>
    <n v="9.7669199999999989"/>
    <s v="Correct Price"/>
    <n v="1808.2600000000002"/>
  </r>
  <r>
    <s v="FB001829"/>
    <x v="3"/>
    <x v="7"/>
    <x v="1"/>
    <s v="M"/>
    <s v="Pink"/>
    <n v="182.47"/>
    <x v="406"/>
    <n v="133.02000000000001"/>
    <d v="2025-08-06T00:00:00"/>
    <n v="40"/>
    <m/>
    <x v="0"/>
    <m/>
    <s v="OK"/>
    <n v="49.449370000000002"/>
    <s v="Correct Price"/>
    <n v="5320.8"/>
  </r>
  <r>
    <s v="FB001830"/>
    <x v="0"/>
    <x v="7"/>
    <x v="3"/>
    <s v="XS"/>
    <s v="Purple"/>
    <n v="241.22"/>
    <x v="170"/>
    <n v="226.99"/>
    <d v="2025-08-06T00:00:00"/>
    <n v="13"/>
    <n v="1.2"/>
    <x v="0"/>
    <m/>
    <s v="OK"/>
    <n v="14.23198"/>
    <s v="Correct Price"/>
    <n v="2950.87"/>
  </r>
  <r>
    <s v="FB001831"/>
    <x v="5"/>
    <x v="5"/>
    <x v="0"/>
    <s v="XXL"/>
    <s v="Blue"/>
    <n v="78.3"/>
    <x v="0"/>
    <n v="78.3"/>
    <d v="2025-03-14T00:00:00"/>
    <n v="19"/>
    <n v="3"/>
    <x v="0"/>
    <m/>
    <s v="OK"/>
    <n v="0"/>
    <s v="Correct Price"/>
    <n v="1487.7"/>
  </r>
  <r>
    <s v="FB001832"/>
    <x v="3"/>
    <x v="2"/>
    <x v="1"/>
    <s v="M"/>
    <s v="Purple"/>
    <n v="73.930000000000007"/>
    <x v="0"/>
    <n v="73.930000000000007"/>
    <d v="2025-08-06T00:00:00"/>
    <n v="0"/>
    <m/>
    <x v="0"/>
    <m/>
    <s v="OK"/>
    <n v="0"/>
    <s v="Correct Price"/>
    <n v="0"/>
  </r>
  <r>
    <s v="FB001833"/>
    <x v="4"/>
    <x v="4"/>
    <x v="3"/>
    <s v="XXL"/>
    <s v="Green"/>
    <n v="97.5"/>
    <x v="0"/>
    <n v="97.5"/>
    <d v="2025-08-06T00:00:00"/>
    <n v="43"/>
    <n v="1.6"/>
    <x v="0"/>
    <m/>
    <s v="OK"/>
    <n v="0"/>
    <s v="Correct Price"/>
    <n v="4192.5"/>
  </r>
  <r>
    <s v="FB001834"/>
    <x v="1"/>
    <x v="5"/>
    <x v="3"/>
    <s v="XS"/>
    <s v="Green"/>
    <n v="38.9"/>
    <x v="0"/>
    <n v="38.9"/>
    <d v="2025-08-06T00:00:00"/>
    <n v="1"/>
    <n v="5"/>
    <x v="0"/>
    <m/>
    <s v="OK"/>
    <n v="0"/>
    <s v="Correct Price"/>
    <n v="38.9"/>
  </r>
  <r>
    <s v="FB001835"/>
    <x v="3"/>
    <x v="2"/>
    <x v="3"/>
    <s v="S"/>
    <s v="Blue"/>
    <n v="95.52"/>
    <x v="0"/>
    <n v="95.52"/>
    <d v="2025-08-06T00:00:00"/>
    <n v="47"/>
    <n v="3.9"/>
    <x v="0"/>
    <m/>
    <s v="OK"/>
    <n v="0"/>
    <s v="Correct Price"/>
    <n v="4489.4399999999996"/>
  </r>
  <r>
    <s v="FB001836"/>
    <x v="0"/>
    <x v="0"/>
    <x v="2"/>
    <s v="M"/>
    <s v="Red"/>
    <n v="158.63999999999999"/>
    <x v="118"/>
    <n v="79"/>
    <d v="2025-08-06T00:00:00"/>
    <n v="7"/>
    <n v="3"/>
    <x v="1"/>
    <s v="Changed Mind"/>
    <s v="OK"/>
    <n v="79.637280000000004"/>
    <s v="Correct Price"/>
    <n v="553"/>
  </r>
  <r>
    <s v="FB001837"/>
    <x v="1"/>
    <x v="3"/>
    <x v="2"/>
    <s v="XL"/>
    <s v="Navy"/>
    <n v="26.11"/>
    <x v="0"/>
    <n v="26.11"/>
    <d v="2025-08-06T00:00:00"/>
    <n v="41"/>
    <n v="4.3"/>
    <x v="0"/>
    <m/>
    <s v="OK"/>
    <n v="0"/>
    <s v="Correct Price"/>
    <n v="1070.51"/>
  </r>
  <r>
    <s v="FB001838"/>
    <x v="3"/>
    <x v="7"/>
    <x v="0"/>
    <m/>
    <s v="White"/>
    <n v="107.09"/>
    <x v="423"/>
    <n v="60.93"/>
    <d v="2025-02-14T00:00:00"/>
    <n v="16"/>
    <n v="4.7"/>
    <x v="1"/>
    <s v="Changed Mind"/>
    <s v="OK"/>
    <n v="46.155790000000003"/>
    <s v="Correct Price"/>
    <n v="974.88"/>
  </r>
  <r>
    <s v="FB001839"/>
    <x v="2"/>
    <x v="6"/>
    <x v="3"/>
    <m/>
    <s v="Black"/>
    <n v="71.42"/>
    <x v="249"/>
    <n v="44.28"/>
    <d v="2025-08-06T00:00:00"/>
    <n v="49"/>
    <n v="2.8"/>
    <x v="0"/>
    <m/>
    <s v="OK"/>
    <n v="27.139600000000002"/>
    <s v="Correct Price"/>
    <n v="2169.7200000000003"/>
  </r>
  <r>
    <s v="FB001840"/>
    <x v="3"/>
    <x v="0"/>
    <x v="3"/>
    <s v="XL"/>
    <s v="Red"/>
    <n v="124.56"/>
    <x v="0"/>
    <n v="124.56"/>
    <d v="2025-08-06T00:00:00"/>
    <n v="18"/>
    <n v="3"/>
    <x v="0"/>
    <m/>
    <s v="OK"/>
    <n v="0"/>
    <s v="Correct Price"/>
    <n v="2242.08"/>
  </r>
  <r>
    <s v="FB001841"/>
    <x v="4"/>
    <x v="1"/>
    <x v="3"/>
    <s v="L"/>
    <s v="Purple"/>
    <n v="30.91"/>
    <x v="0"/>
    <n v="30.91"/>
    <d v="2025-08-06T00:00:00"/>
    <n v="45"/>
    <n v="1.8"/>
    <x v="0"/>
    <m/>
    <s v="OK"/>
    <n v="0"/>
    <s v="Correct Price"/>
    <n v="1390.95"/>
  </r>
  <r>
    <s v="FB001842"/>
    <x v="1"/>
    <x v="0"/>
    <x v="1"/>
    <s v="XS"/>
    <s v="Beige"/>
    <n v="53.37"/>
    <x v="0"/>
    <n v="53.37"/>
    <d v="2025-08-06T00:00:00"/>
    <n v="15"/>
    <n v="1.1000000000000001"/>
    <x v="0"/>
    <m/>
    <s v="OK"/>
    <n v="0"/>
    <s v="Correct Price"/>
    <n v="800.55"/>
  </r>
  <r>
    <s v="FB001843"/>
    <x v="3"/>
    <x v="6"/>
    <x v="3"/>
    <s v="XL"/>
    <s v="Green"/>
    <n v="159.16"/>
    <x v="0"/>
    <n v="159.16"/>
    <d v="2025-08-06T00:00:00"/>
    <n v="40"/>
    <m/>
    <x v="1"/>
    <s v="Changed Mind"/>
    <s v="OK"/>
    <n v="0"/>
    <s v="Correct Price"/>
    <n v="6366.4"/>
  </r>
  <r>
    <s v="FB001844"/>
    <x v="5"/>
    <x v="3"/>
    <x v="2"/>
    <s v="S"/>
    <s v="Pink"/>
    <n v="169.64"/>
    <x v="0"/>
    <n v="169.64"/>
    <d v="2025-08-06T00:00:00"/>
    <n v="5"/>
    <n v="1.6"/>
    <x v="0"/>
    <m/>
    <s v="OK"/>
    <n v="0"/>
    <s v="Correct Price"/>
    <n v="848.19999999999993"/>
  </r>
  <r>
    <s v="FB001845"/>
    <x v="2"/>
    <x v="6"/>
    <x v="3"/>
    <m/>
    <s v="Blue"/>
    <n v="59.94"/>
    <x v="0"/>
    <n v="59.94"/>
    <d v="2025-08-06T00:00:00"/>
    <n v="7"/>
    <n v="4"/>
    <x v="0"/>
    <m/>
    <s v="OK"/>
    <n v="0"/>
    <s v="Correct Price"/>
    <n v="419.58"/>
  </r>
  <r>
    <s v="FB001846"/>
    <x v="5"/>
    <x v="6"/>
    <x v="2"/>
    <s v="XL"/>
    <s v="Purple"/>
    <n v="92.59"/>
    <x v="0"/>
    <n v="92.59"/>
    <d v="2025-08-06T00:00:00"/>
    <n v="29"/>
    <n v="3.5"/>
    <x v="1"/>
    <s v="Size Issue"/>
    <s v="OK"/>
    <n v="0"/>
    <s v="Correct Price"/>
    <n v="2685.11"/>
  </r>
  <r>
    <s v="FB001847"/>
    <x v="4"/>
    <x v="4"/>
    <x v="0"/>
    <s v="S"/>
    <s v="White"/>
    <n v="64.069999999999993"/>
    <x v="0"/>
    <n v="64.069999999999993"/>
    <d v="2025-03-18T00:00:00"/>
    <n v="10"/>
    <m/>
    <x v="0"/>
    <m/>
    <s v="OK"/>
    <n v="0"/>
    <s v="Correct Price"/>
    <n v="640.69999999999993"/>
  </r>
  <r>
    <s v="FB001848"/>
    <x v="5"/>
    <x v="7"/>
    <x v="2"/>
    <s v="XS"/>
    <s v="Blue"/>
    <n v="127.87"/>
    <x v="93"/>
    <n v="58.05"/>
    <d v="2025-08-06T00:00:00"/>
    <n v="14"/>
    <n v="4.4000000000000004"/>
    <x v="0"/>
    <m/>
    <s v="OK"/>
    <n v="69.817019999999999"/>
    <s v="Correct Price"/>
    <n v="812.69999999999993"/>
  </r>
  <r>
    <s v="FB001849"/>
    <x v="4"/>
    <x v="2"/>
    <x v="2"/>
    <s v="M"/>
    <s v="Blue"/>
    <n v="32.46"/>
    <x v="278"/>
    <n v="28.27"/>
    <d v="2025-08-06T00:00:00"/>
    <n v="9"/>
    <m/>
    <x v="0"/>
    <m/>
    <s v="OK"/>
    <n v="4.1873400000000007"/>
    <s v="Correct Price"/>
    <n v="254.43"/>
  </r>
  <r>
    <s v="FB001850"/>
    <x v="4"/>
    <x v="4"/>
    <x v="3"/>
    <s v="XXL"/>
    <s v="Pink"/>
    <n v="40.31"/>
    <x v="238"/>
    <n v="22.98"/>
    <d v="2025-08-06T00:00:00"/>
    <n v="30"/>
    <n v="3.5"/>
    <x v="1"/>
    <s v="Color Mismatch"/>
    <s v="OK"/>
    <n v="17.333300000000001"/>
    <s v="Correct Price"/>
    <n v="689.4"/>
  </r>
  <r>
    <s v="FB001851"/>
    <x v="2"/>
    <x v="5"/>
    <x v="1"/>
    <m/>
    <s v="Green"/>
    <n v="51.3"/>
    <x v="424"/>
    <n v="48.17"/>
    <d v="2025-08-06T00:00:00"/>
    <n v="31"/>
    <m/>
    <x v="0"/>
    <m/>
    <s v="OK"/>
    <n v="3.1292999999999993"/>
    <s v="Correct Price"/>
    <n v="1493.27"/>
  </r>
  <r>
    <s v="FB001852"/>
    <x v="4"/>
    <x v="6"/>
    <x v="1"/>
    <s v="XS"/>
    <s v="Pink"/>
    <n v="28.62"/>
    <x v="0"/>
    <n v="28.62"/>
    <d v="2025-08-06T00:00:00"/>
    <n v="41"/>
    <n v="4"/>
    <x v="0"/>
    <m/>
    <s v="OK"/>
    <n v="0"/>
    <s v="Correct Price"/>
    <n v="1173.42"/>
  </r>
  <r>
    <s v="FB001853"/>
    <x v="2"/>
    <x v="6"/>
    <x v="2"/>
    <m/>
    <s v="Green"/>
    <n v="59.03"/>
    <x v="40"/>
    <n v="55.25"/>
    <d v="2025-08-06T00:00:00"/>
    <n v="45"/>
    <m/>
    <x v="0"/>
    <m/>
    <s v="OK"/>
    <n v="3.7779200000000004"/>
    <s v="Correct Price"/>
    <n v="2486.25"/>
  </r>
  <r>
    <s v="FB001854"/>
    <x v="1"/>
    <x v="5"/>
    <x v="3"/>
    <s v="S"/>
    <s v="Brown"/>
    <n v="99.65"/>
    <x v="31"/>
    <n v="92.28"/>
    <d v="2025-08-06T00:00:00"/>
    <n v="31"/>
    <n v="3.8"/>
    <x v="0"/>
    <m/>
    <s v="OK"/>
    <n v="7.3741000000000012"/>
    <s v="Correct Price"/>
    <n v="2860.68"/>
  </r>
  <r>
    <s v="FB001855"/>
    <x v="5"/>
    <x v="7"/>
    <x v="1"/>
    <m/>
    <s v="Blue"/>
    <n v="128.55000000000001"/>
    <x v="0"/>
    <n v="128.55000000000001"/>
    <d v="2025-08-06T00:00:00"/>
    <n v="1"/>
    <n v="3.7"/>
    <x v="0"/>
    <m/>
    <s v="OK"/>
    <n v="0"/>
    <s v="Correct Price"/>
    <n v="128.55000000000001"/>
  </r>
  <r>
    <s v="FB001856"/>
    <x v="4"/>
    <x v="3"/>
    <x v="0"/>
    <s v="L"/>
    <s v="Purple"/>
    <n v="78.09"/>
    <x v="304"/>
    <n v="34.130000000000003"/>
    <d v="2025-04-23T00:00:00"/>
    <n v="20"/>
    <n v="1.3"/>
    <x v="0"/>
    <m/>
    <s v="OK"/>
    <n v="43.964669999999998"/>
    <s v="Correct Price"/>
    <n v="682.6"/>
  </r>
  <r>
    <s v="FB001857"/>
    <x v="4"/>
    <x v="3"/>
    <x v="3"/>
    <s v="XXL"/>
    <s v="Navy"/>
    <n v="108.89"/>
    <x v="0"/>
    <n v="108.89"/>
    <d v="2025-08-06T00:00:00"/>
    <n v="50"/>
    <n v="2.9"/>
    <x v="0"/>
    <m/>
    <s v="OK"/>
    <n v="0"/>
    <s v="Correct Price"/>
    <n v="5444.5"/>
  </r>
  <r>
    <s v="FB001858"/>
    <x v="4"/>
    <x v="5"/>
    <x v="0"/>
    <m/>
    <s v="Gray"/>
    <n v="35.21"/>
    <x v="312"/>
    <n v="30.03"/>
    <d v="2024-12-23T00:00:00"/>
    <n v="15"/>
    <n v="3.1"/>
    <x v="1"/>
    <s v="Quality Issue"/>
    <s v="OK"/>
    <n v="5.1758699999999997"/>
    <s v="Correct Price"/>
    <n v="450.45000000000005"/>
  </r>
  <r>
    <s v="FB001859"/>
    <x v="5"/>
    <x v="6"/>
    <x v="3"/>
    <s v="XXL"/>
    <s v="Brown"/>
    <n v="129.16"/>
    <x v="9"/>
    <n v="85.25"/>
    <d v="2025-08-06T00:00:00"/>
    <n v="24"/>
    <n v="1.7"/>
    <x v="0"/>
    <m/>
    <s v="OK"/>
    <n v="43.914399999999993"/>
    <s v="Correct Price"/>
    <n v="2046"/>
  </r>
  <r>
    <s v="FB001860"/>
    <x v="5"/>
    <x v="5"/>
    <x v="3"/>
    <s v="S"/>
    <s v="Gray"/>
    <n v="142.43"/>
    <x v="0"/>
    <n v="142.43"/>
    <d v="2025-08-06T00:00:00"/>
    <n v="15"/>
    <n v="4.0999999999999996"/>
    <x v="1"/>
    <s v="Size Issue"/>
    <s v="OK"/>
    <n v="0"/>
    <s v="Correct Price"/>
    <n v="2136.4500000000003"/>
  </r>
  <r>
    <s v="FB001861"/>
    <x v="2"/>
    <x v="7"/>
    <x v="0"/>
    <m/>
    <s v="Navy"/>
    <n v="45.19"/>
    <x v="0"/>
    <n v="45.19"/>
    <d v="2025-02-28T00:00:00"/>
    <n v="38"/>
    <n v="1.6"/>
    <x v="1"/>
    <s v="Wrong Item"/>
    <s v="OK"/>
    <n v="0"/>
    <s v="Correct Price"/>
    <n v="1717.2199999999998"/>
  </r>
  <r>
    <s v="FB001862"/>
    <x v="4"/>
    <x v="4"/>
    <x v="2"/>
    <s v="S"/>
    <s v="Purple"/>
    <n v="47.66"/>
    <x v="0"/>
    <n v="47.66"/>
    <d v="2025-08-06T00:00:00"/>
    <n v="0"/>
    <n v="4.8"/>
    <x v="1"/>
    <s v="Size Issue"/>
    <s v="OK"/>
    <n v="0"/>
    <s v="Correct Price"/>
    <n v="0"/>
  </r>
  <r>
    <s v="FB001863"/>
    <x v="4"/>
    <x v="1"/>
    <x v="3"/>
    <s v="XS"/>
    <s v="Beige"/>
    <n v="115.05"/>
    <x v="39"/>
    <n v="69.03"/>
    <d v="2025-08-06T00:00:00"/>
    <n v="48"/>
    <n v="3.1"/>
    <x v="0"/>
    <m/>
    <s v="OK"/>
    <n v="46.02"/>
    <s v="Correct Price"/>
    <n v="3313.44"/>
  </r>
  <r>
    <s v="FB001864"/>
    <x v="4"/>
    <x v="2"/>
    <x v="3"/>
    <s v="XL"/>
    <s v="Brown"/>
    <n v="87.84"/>
    <x v="0"/>
    <n v="87.84"/>
    <d v="2025-08-06T00:00:00"/>
    <n v="29"/>
    <n v="1.3"/>
    <x v="0"/>
    <m/>
    <s v="OK"/>
    <n v="0"/>
    <s v="Correct Price"/>
    <n v="2547.36"/>
  </r>
  <r>
    <s v="FB001865"/>
    <x v="5"/>
    <x v="7"/>
    <x v="2"/>
    <s v="S"/>
    <s v="Blue"/>
    <n v="73.42"/>
    <x v="425"/>
    <n v="47.72"/>
    <d v="2025-08-06T00:00:00"/>
    <n v="44"/>
    <m/>
    <x v="0"/>
    <m/>
    <s v="OK"/>
    <n v="25.697000000000003"/>
    <s v="Correct Price"/>
    <n v="2099.6799999999998"/>
  </r>
  <r>
    <s v="FB001866"/>
    <x v="3"/>
    <x v="6"/>
    <x v="2"/>
    <s v="L"/>
    <s v="Navy"/>
    <n v="181.58"/>
    <x v="324"/>
    <n v="142.36000000000001"/>
    <d v="2025-08-06T00:00:00"/>
    <n v="14"/>
    <n v="4.7"/>
    <x v="0"/>
    <m/>
    <s v="OK"/>
    <n v="39.221280000000007"/>
    <s v="Correct Price"/>
    <n v="1993.0400000000002"/>
  </r>
  <r>
    <s v="FB001867"/>
    <x v="1"/>
    <x v="4"/>
    <x v="0"/>
    <s v="L"/>
    <s v="Black"/>
    <n v="71.680000000000007"/>
    <x v="0"/>
    <n v="71.680000000000007"/>
    <d v="2025-08-05T00:00:00"/>
    <n v="0"/>
    <n v="1.5"/>
    <x v="0"/>
    <m/>
    <s v="OK"/>
    <n v="0"/>
    <s v="Correct Price"/>
    <n v="0"/>
  </r>
  <r>
    <s v="FB001868"/>
    <x v="1"/>
    <x v="2"/>
    <x v="1"/>
    <s v="XXL"/>
    <s v="Beige"/>
    <n v="25.63"/>
    <x v="0"/>
    <n v="25.63"/>
    <d v="2025-08-06T00:00:00"/>
    <n v="27"/>
    <n v="1.2"/>
    <x v="0"/>
    <m/>
    <s v="OK"/>
    <n v="0"/>
    <s v="Correct Price"/>
    <n v="692.01"/>
  </r>
  <r>
    <s v="FB001869"/>
    <x v="1"/>
    <x v="7"/>
    <x v="1"/>
    <m/>
    <s v="Brown"/>
    <n v="31.34"/>
    <x v="426"/>
    <n v="16.14"/>
    <d v="2025-08-06T00:00:00"/>
    <n v="36"/>
    <n v="1.6"/>
    <x v="1"/>
    <s v="Size Issue"/>
    <s v="OK"/>
    <n v="15.1999"/>
    <s v="Correct Price"/>
    <n v="581.04"/>
  </r>
  <r>
    <s v="FB001870"/>
    <x v="5"/>
    <x v="4"/>
    <x v="2"/>
    <s v="L"/>
    <s v="Beige"/>
    <n v="98.91"/>
    <x v="49"/>
    <n v="65.48"/>
    <d v="2025-08-06T00:00:00"/>
    <n v="33"/>
    <m/>
    <x v="1"/>
    <s v="Color Mismatch"/>
    <s v="OK"/>
    <n v="33.431579999999997"/>
    <s v="Correct Price"/>
    <n v="2160.84"/>
  </r>
  <r>
    <s v="FB001871"/>
    <x v="2"/>
    <x v="0"/>
    <x v="1"/>
    <m/>
    <s v="Red"/>
    <n v="43.33"/>
    <x v="404"/>
    <n v="39.950000000000003"/>
    <d v="2025-08-06T00:00:00"/>
    <n v="4"/>
    <n v="1.3"/>
    <x v="0"/>
    <m/>
    <s v="OK"/>
    <n v="3.37974"/>
    <s v="Correct Price"/>
    <n v="159.80000000000001"/>
  </r>
  <r>
    <s v="FB001872"/>
    <x v="3"/>
    <x v="6"/>
    <x v="3"/>
    <s v="M"/>
    <s v="Black"/>
    <n v="70.709999999999994"/>
    <x v="0"/>
    <n v="70.709999999999994"/>
    <d v="2025-08-06T00:00:00"/>
    <n v="8"/>
    <n v="2.2999999999999998"/>
    <x v="0"/>
    <m/>
    <s v="OK"/>
    <n v="0"/>
    <s v="Correct Price"/>
    <n v="565.67999999999995"/>
  </r>
  <r>
    <s v="FB001873"/>
    <x v="0"/>
    <x v="4"/>
    <x v="1"/>
    <s v="S"/>
    <s v="Purple"/>
    <n v="215.99"/>
    <x v="169"/>
    <n v="133.69999999999999"/>
    <d v="2025-08-06T00:00:00"/>
    <n v="14"/>
    <n v="3.9"/>
    <x v="0"/>
    <m/>
    <s v="OK"/>
    <n v="82.292190000000005"/>
    <s v="Correct Price"/>
    <n v="1871.7999999999997"/>
  </r>
  <r>
    <s v="FB001874"/>
    <x v="5"/>
    <x v="2"/>
    <x v="1"/>
    <s v="XL"/>
    <s v="Green"/>
    <n v="145.57"/>
    <x v="320"/>
    <n v="138.15"/>
    <d v="2025-08-06T00:00:00"/>
    <n v="8"/>
    <n v="4.4000000000000004"/>
    <x v="0"/>
    <m/>
    <s v="OK"/>
    <n v="7.4240699999999995"/>
    <s v="Correct Price"/>
    <n v="1105.2"/>
  </r>
  <r>
    <s v="FB001875"/>
    <x v="3"/>
    <x v="2"/>
    <x v="2"/>
    <s v="XS"/>
    <s v="Navy"/>
    <n v="195.03"/>
    <x v="0"/>
    <n v="195.03"/>
    <d v="2025-08-06T00:00:00"/>
    <n v="44"/>
    <n v="4.4000000000000004"/>
    <x v="0"/>
    <m/>
    <s v="OK"/>
    <n v="0"/>
    <s v="Correct Price"/>
    <n v="8581.32"/>
  </r>
  <r>
    <s v="FB001876"/>
    <x v="4"/>
    <x v="5"/>
    <x v="1"/>
    <s v="XS"/>
    <s v="Black"/>
    <n v="74.88"/>
    <x v="427"/>
    <n v="67.62"/>
    <d v="2025-08-06T00:00:00"/>
    <n v="23"/>
    <n v="2.6"/>
    <x v="0"/>
    <m/>
    <s v="OK"/>
    <n v="7.2633599999999987"/>
    <s v="Correct Price"/>
    <n v="1555.2600000000002"/>
  </r>
  <r>
    <s v="FB001877"/>
    <x v="1"/>
    <x v="6"/>
    <x v="0"/>
    <s v="L"/>
    <s v="Pink"/>
    <n v="50.3"/>
    <x v="0"/>
    <n v="50.3"/>
    <d v="2024-08-18T00:00:00"/>
    <n v="23"/>
    <n v="1.3"/>
    <x v="0"/>
    <m/>
    <s v="OK"/>
    <n v="0"/>
    <s v="Correct Price"/>
    <n v="1156.8999999999999"/>
  </r>
  <r>
    <s v="FB001878"/>
    <x v="0"/>
    <x v="5"/>
    <x v="3"/>
    <s v="XXL"/>
    <s v="Red"/>
    <n v="130.65"/>
    <x v="0"/>
    <n v="130.65"/>
    <d v="2025-08-06T00:00:00"/>
    <n v="20"/>
    <n v="2.6"/>
    <x v="0"/>
    <m/>
    <s v="OK"/>
    <n v="0"/>
    <s v="Correct Price"/>
    <n v="2613"/>
  </r>
  <r>
    <s v="FB001879"/>
    <x v="5"/>
    <x v="7"/>
    <x v="0"/>
    <s v="XXL"/>
    <s v="Green"/>
    <n v="94.56"/>
    <x v="400"/>
    <n v="56.45"/>
    <d v="2025-06-14T00:00:00"/>
    <n v="41"/>
    <n v="4.7"/>
    <x v="0"/>
    <m/>
    <s v="OK"/>
    <n v="38.107680000000002"/>
    <s v="Correct Price"/>
    <n v="2314.4500000000003"/>
  </r>
  <r>
    <s v="FB001880"/>
    <x v="0"/>
    <x v="1"/>
    <x v="0"/>
    <s v="S"/>
    <s v="Brown"/>
    <n v="138.97999999999999"/>
    <x v="102"/>
    <n v="124.8"/>
    <d v="2025-07-22T00:00:00"/>
    <n v="36"/>
    <n v="1.4"/>
    <x v="0"/>
    <m/>
    <s v="OK"/>
    <n v="14.175959999999998"/>
    <s v="Correct Price"/>
    <n v="4492.8"/>
  </r>
  <r>
    <s v="FB001881"/>
    <x v="2"/>
    <x v="4"/>
    <x v="1"/>
    <m/>
    <s v="Green"/>
    <n v="52.57"/>
    <x v="0"/>
    <n v="52.57"/>
    <d v="2025-08-06T00:00:00"/>
    <n v="50"/>
    <n v="2.5"/>
    <x v="1"/>
    <s v="Damaged"/>
    <s v="OK"/>
    <n v="0"/>
    <s v="Correct Price"/>
    <n v="2628.5"/>
  </r>
  <r>
    <s v="FB001882"/>
    <x v="0"/>
    <x v="4"/>
    <x v="0"/>
    <m/>
    <s v="White"/>
    <n v="151.62"/>
    <x v="0"/>
    <n v="151.62"/>
    <d v="2025-07-11T00:00:00"/>
    <n v="41"/>
    <n v="3.5"/>
    <x v="0"/>
    <m/>
    <s v="OK"/>
    <n v="0"/>
    <s v="Correct Price"/>
    <n v="6216.42"/>
  </r>
  <r>
    <s v="FB001883"/>
    <x v="2"/>
    <x v="1"/>
    <x v="0"/>
    <m/>
    <s v="Blue"/>
    <n v="26.7"/>
    <x v="0"/>
    <n v="26.7"/>
    <d v="2025-05-27T00:00:00"/>
    <n v="48"/>
    <n v="3.1"/>
    <x v="0"/>
    <m/>
    <s v="OK"/>
    <n v="0"/>
    <s v="Correct Price"/>
    <n v="1281.5999999999999"/>
  </r>
  <r>
    <s v="FB001884"/>
    <x v="0"/>
    <x v="5"/>
    <x v="3"/>
    <s v="S"/>
    <s v="Brown"/>
    <n v="147.5"/>
    <x v="0"/>
    <n v="147.5"/>
    <d v="2025-08-06T00:00:00"/>
    <n v="4"/>
    <n v="2.4"/>
    <x v="0"/>
    <m/>
    <s v="OK"/>
    <n v="0"/>
    <s v="Correct Price"/>
    <n v="590"/>
  </r>
  <r>
    <s v="FB001885"/>
    <x v="1"/>
    <x v="3"/>
    <x v="2"/>
    <s v="S"/>
    <s v="Navy"/>
    <n v="66"/>
    <x v="428"/>
    <n v="64.22"/>
    <d v="2025-08-06T00:00:00"/>
    <n v="42"/>
    <n v="4.4000000000000004"/>
    <x v="0"/>
    <m/>
    <s v="OK"/>
    <n v="1.7820000000000003"/>
    <s v="Correct Price"/>
    <n v="2697.24"/>
  </r>
  <r>
    <s v="FB001886"/>
    <x v="0"/>
    <x v="0"/>
    <x v="2"/>
    <s v="XS"/>
    <s v="Red"/>
    <n v="183.6"/>
    <x v="0"/>
    <n v="183.6"/>
    <d v="2025-08-06T00:00:00"/>
    <n v="10"/>
    <m/>
    <x v="0"/>
    <m/>
    <s v="OK"/>
    <n v="0"/>
    <s v="Correct Price"/>
    <n v="1836"/>
  </r>
  <r>
    <s v="FB001887"/>
    <x v="3"/>
    <x v="1"/>
    <x v="3"/>
    <s v="L"/>
    <s v="Blue"/>
    <n v="195.83"/>
    <x v="0"/>
    <n v="195.83"/>
    <d v="2025-08-06T00:00:00"/>
    <n v="14"/>
    <n v="2.1"/>
    <x v="0"/>
    <m/>
    <s v="OK"/>
    <n v="0"/>
    <s v="Correct Price"/>
    <n v="2741.6200000000003"/>
  </r>
  <r>
    <s v="FB001888"/>
    <x v="4"/>
    <x v="5"/>
    <x v="1"/>
    <s v="S"/>
    <s v="Beige"/>
    <n v="75.53"/>
    <x v="429"/>
    <n v="31.65"/>
    <d v="2025-08-06T00:00:00"/>
    <n v="33"/>
    <n v="4"/>
    <x v="0"/>
    <m/>
    <s v="OK"/>
    <n v="43.882930000000009"/>
    <s v="Correct Price"/>
    <n v="1044.45"/>
  </r>
  <r>
    <s v="FB001889"/>
    <x v="1"/>
    <x v="3"/>
    <x v="0"/>
    <s v="XL"/>
    <s v="Beige"/>
    <n v="30.78"/>
    <x v="0"/>
    <n v="30.78"/>
    <d v="2025-06-13T00:00:00"/>
    <n v="28"/>
    <n v="3.9"/>
    <x v="0"/>
    <m/>
    <s v="OK"/>
    <n v="0"/>
    <s v="Correct Price"/>
    <n v="861.84"/>
  </r>
  <r>
    <s v="FB001890"/>
    <x v="3"/>
    <x v="2"/>
    <x v="1"/>
    <s v="L"/>
    <s v="White"/>
    <n v="150.96"/>
    <x v="0"/>
    <n v="150.96"/>
    <d v="2025-08-06T00:00:00"/>
    <n v="18"/>
    <n v="4.5999999999999996"/>
    <x v="0"/>
    <m/>
    <s v="OK"/>
    <n v="0"/>
    <s v="Correct Price"/>
    <n v="2717.28"/>
  </r>
  <r>
    <s v="FB001891"/>
    <x v="4"/>
    <x v="7"/>
    <x v="3"/>
    <s v="L"/>
    <s v="Black"/>
    <n v="58.98"/>
    <x v="306"/>
    <n v="48.3"/>
    <d v="2025-08-06T00:00:00"/>
    <n v="23"/>
    <n v="2.8"/>
    <x v="0"/>
    <m/>
    <s v="OK"/>
    <n v="10.675380000000001"/>
    <s v="Correct Price"/>
    <n v="1110.8999999999999"/>
  </r>
  <r>
    <s v="FB001892"/>
    <x v="0"/>
    <x v="7"/>
    <x v="0"/>
    <s v="L"/>
    <s v="Purple"/>
    <n v="224.91"/>
    <x v="183"/>
    <n v="182.4"/>
    <d v="2024-09-19T00:00:00"/>
    <n v="50"/>
    <m/>
    <x v="0"/>
    <m/>
    <s v="OK"/>
    <n v="42.507989999999999"/>
    <s v="Correct Price"/>
    <n v="9120"/>
  </r>
  <r>
    <s v="FB001893"/>
    <x v="0"/>
    <x v="2"/>
    <x v="0"/>
    <s v="XL"/>
    <s v="Brown"/>
    <n v="155.75"/>
    <x v="0"/>
    <n v="155.75"/>
    <d v="2025-03-25T00:00:00"/>
    <n v="0"/>
    <n v="2.4"/>
    <x v="0"/>
    <m/>
    <s v="OK"/>
    <n v="0"/>
    <s v="Correct Price"/>
    <n v="0"/>
  </r>
  <r>
    <s v="FB001894"/>
    <x v="3"/>
    <x v="4"/>
    <x v="1"/>
    <s v="XL"/>
    <s v="Blue"/>
    <n v="194.4"/>
    <x v="115"/>
    <n v="162.91"/>
    <d v="2025-08-06T00:00:00"/>
    <n v="36"/>
    <n v="1.5"/>
    <x v="0"/>
    <m/>
    <s v="OK"/>
    <n v="31.492799999999999"/>
    <s v="Correct Price"/>
    <n v="5864.76"/>
  </r>
  <r>
    <s v="FB001895"/>
    <x v="3"/>
    <x v="2"/>
    <x v="2"/>
    <s v="L"/>
    <s v="Red"/>
    <n v="169.77"/>
    <x v="0"/>
    <n v="169.77"/>
    <d v="2025-08-06T00:00:00"/>
    <n v="39"/>
    <n v="4.4000000000000004"/>
    <x v="0"/>
    <m/>
    <s v="OK"/>
    <n v="0"/>
    <s v="Correct Price"/>
    <n v="6621.0300000000007"/>
  </r>
  <r>
    <s v="FB001896"/>
    <x v="2"/>
    <x v="1"/>
    <x v="1"/>
    <m/>
    <s v="Blue"/>
    <n v="41.52"/>
    <x v="230"/>
    <n v="30.19"/>
    <d v="2025-08-06T00:00:00"/>
    <n v="48"/>
    <n v="3.4"/>
    <x v="0"/>
    <m/>
    <s v="OK"/>
    <n v="11.334960000000001"/>
    <s v="Correct Price"/>
    <n v="1449.1200000000001"/>
  </r>
  <r>
    <s v="FB001897"/>
    <x v="4"/>
    <x v="1"/>
    <x v="1"/>
    <s v="S"/>
    <s v="Green"/>
    <n v="29.5"/>
    <x v="0"/>
    <n v="29.5"/>
    <d v="2025-08-06T00:00:00"/>
    <n v="36"/>
    <n v="2.6"/>
    <x v="0"/>
    <m/>
    <s v="OK"/>
    <n v="0"/>
    <s v="Correct Price"/>
    <n v="1062"/>
  </r>
  <r>
    <s v="FB001898"/>
    <x v="0"/>
    <x v="2"/>
    <x v="0"/>
    <s v="S"/>
    <s v="Gray"/>
    <n v="224.47"/>
    <x v="428"/>
    <n v="218.41"/>
    <d v="2025-01-27T00:00:00"/>
    <n v="15"/>
    <n v="3.5"/>
    <x v="0"/>
    <m/>
    <s v="OK"/>
    <n v="6.060690000000001"/>
    <s v="Correct Price"/>
    <n v="3276.15"/>
  </r>
  <r>
    <s v="FB001899"/>
    <x v="4"/>
    <x v="7"/>
    <x v="3"/>
    <s v="S"/>
    <s v="Gray"/>
    <n v="101.45"/>
    <x v="404"/>
    <n v="93.54"/>
    <d v="2025-08-06T00:00:00"/>
    <n v="4"/>
    <n v="1.1000000000000001"/>
    <x v="0"/>
    <m/>
    <s v="OK"/>
    <n v="7.9131000000000009"/>
    <s v="Correct Price"/>
    <n v="374.16"/>
  </r>
  <r>
    <s v="FB001900"/>
    <x v="3"/>
    <x v="2"/>
    <x v="0"/>
    <s v="XXL"/>
    <s v="Red"/>
    <n v="84.65"/>
    <x v="0"/>
    <n v="84.65"/>
    <d v="2025-07-26T00:00:00"/>
    <n v="49"/>
    <n v="3.6"/>
    <x v="0"/>
    <m/>
    <s v="OK"/>
    <n v="0"/>
    <s v="Correct Price"/>
    <n v="4147.8500000000004"/>
  </r>
  <r>
    <s v="FB001901"/>
    <x v="0"/>
    <x v="5"/>
    <x v="3"/>
    <s v="S"/>
    <s v="Beige"/>
    <n v="155.85"/>
    <x v="0"/>
    <n v="155.85"/>
    <d v="2025-08-06T00:00:00"/>
    <n v="38"/>
    <m/>
    <x v="0"/>
    <m/>
    <s v="OK"/>
    <n v="0"/>
    <s v="Correct Price"/>
    <n v="5922.3"/>
  </r>
  <r>
    <s v="FB001902"/>
    <x v="1"/>
    <x v="0"/>
    <x v="1"/>
    <s v="XL"/>
    <s v="Blue"/>
    <n v="89.62"/>
    <x v="0"/>
    <n v="89.62"/>
    <d v="2025-08-06T00:00:00"/>
    <n v="0"/>
    <n v="4.5999999999999996"/>
    <x v="1"/>
    <s v="Color Mismatch"/>
    <s v="OK"/>
    <n v="0"/>
    <s v="Correct Price"/>
    <n v="0"/>
  </r>
  <r>
    <s v="FB001903"/>
    <x v="1"/>
    <x v="6"/>
    <x v="3"/>
    <s v="L"/>
    <s v="Green"/>
    <n v="62.79"/>
    <x v="164"/>
    <n v="39.119999999999997"/>
    <d v="2025-08-06T00:00:00"/>
    <n v="5"/>
    <n v="2.6"/>
    <x v="0"/>
    <m/>
    <s v="OK"/>
    <n v="23.67183"/>
    <s v="Correct Price"/>
    <n v="195.6"/>
  </r>
  <r>
    <s v="FB001904"/>
    <x v="4"/>
    <x v="6"/>
    <x v="3"/>
    <s v="XL"/>
    <s v="Beige"/>
    <n v="84.72"/>
    <x v="296"/>
    <n v="64.22"/>
    <d v="2025-08-06T00:00:00"/>
    <n v="44"/>
    <m/>
    <x v="1"/>
    <s v="Color Mismatch"/>
    <s v="OK"/>
    <n v="20.502239999999997"/>
    <s v="Correct Price"/>
    <n v="2825.68"/>
  </r>
  <r>
    <s v="FB001905"/>
    <x v="1"/>
    <x v="3"/>
    <x v="2"/>
    <s v="XL"/>
    <s v="Pink"/>
    <n v="50.9"/>
    <x v="0"/>
    <n v="50.9"/>
    <d v="2025-08-06T00:00:00"/>
    <n v="1"/>
    <n v="1.8"/>
    <x v="0"/>
    <m/>
    <s v="OK"/>
    <n v="0"/>
    <s v="Correct Price"/>
    <n v="50.9"/>
  </r>
  <r>
    <s v="FB001906"/>
    <x v="2"/>
    <x v="0"/>
    <x v="1"/>
    <m/>
    <s v="Pink"/>
    <n v="31.23"/>
    <x v="0"/>
    <n v="31.23"/>
    <d v="2025-08-06T00:00:00"/>
    <n v="25"/>
    <n v="2.8"/>
    <x v="0"/>
    <m/>
    <s v="OK"/>
    <n v="0"/>
    <s v="Correct Price"/>
    <n v="780.75"/>
  </r>
  <r>
    <s v="FB001907"/>
    <x v="1"/>
    <x v="0"/>
    <x v="0"/>
    <s v="XXL"/>
    <s v="Red"/>
    <n v="105.1"/>
    <x v="0"/>
    <n v="105.1"/>
    <d v="2024-08-28T00:00:00"/>
    <n v="39"/>
    <n v="4.4000000000000004"/>
    <x v="0"/>
    <m/>
    <s v="OK"/>
    <n v="0"/>
    <s v="Correct Price"/>
    <n v="4098.8999999999996"/>
  </r>
  <r>
    <s v="FB001908"/>
    <x v="5"/>
    <x v="7"/>
    <x v="3"/>
    <s v="XS"/>
    <s v="Brown"/>
    <n v="160.38"/>
    <x v="0"/>
    <n v="160.38"/>
    <d v="2025-08-06T00:00:00"/>
    <n v="27"/>
    <n v="2.7"/>
    <x v="1"/>
    <s v="Wrong Item"/>
    <s v="OK"/>
    <n v="0"/>
    <s v="Correct Price"/>
    <n v="4330.26"/>
  </r>
  <r>
    <s v="FB001909"/>
    <x v="4"/>
    <x v="1"/>
    <x v="0"/>
    <s v="XS"/>
    <s v="Pink"/>
    <n v="96.68"/>
    <x v="430"/>
    <n v="71.540000000000006"/>
    <d v="2024-09-21T00:00:00"/>
    <n v="16"/>
    <m/>
    <x v="0"/>
    <m/>
    <s v="OK"/>
    <n v="25.136800000000004"/>
    <s v="Correct Price"/>
    <n v="1144.6400000000001"/>
  </r>
  <r>
    <s v="FB001910"/>
    <x v="2"/>
    <x v="7"/>
    <x v="3"/>
    <m/>
    <s v="Beige"/>
    <n v="16.64"/>
    <x v="0"/>
    <n v="16.64"/>
    <d v="2025-08-06T00:00:00"/>
    <n v="8"/>
    <n v="4.8"/>
    <x v="0"/>
    <m/>
    <s v="OK"/>
    <n v="0"/>
    <s v="Correct Price"/>
    <n v="133.12"/>
  </r>
  <r>
    <s v="FB001911"/>
    <x v="0"/>
    <x v="5"/>
    <x v="2"/>
    <s v="S"/>
    <s v="Beige"/>
    <n v="160.05000000000001"/>
    <x v="253"/>
    <n v="74.099999999999994"/>
    <d v="2025-08-06T00:00:00"/>
    <n v="2"/>
    <n v="3.2"/>
    <x v="1"/>
    <s v="Quality Issue"/>
    <s v="OK"/>
    <n v="85.946850000000012"/>
    <s v="Correct Price"/>
    <n v="148.19999999999999"/>
  </r>
  <r>
    <s v="FB001912"/>
    <x v="2"/>
    <x v="3"/>
    <x v="2"/>
    <m/>
    <s v="Gray"/>
    <n v="23.56"/>
    <x v="0"/>
    <n v="23.56"/>
    <d v="2025-08-06T00:00:00"/>
    <n v="16"/>
    <n v="4.4000000000000004"/>
    <x v="0"/>
    <m/>
    <s v="OK"/>
    <n v="0"/>
    <s v="Correct Price"/>
    <n v="376.96"/>
  </r>
  <r>
    <s v="FB001913"/>
    <x v="3"/>
    <x v="0"/>
    <x v="2"/>
    <s v="XS"/>
    <s v="Black"/>
    <n v="68.37"/>
    <x v="296"/>
    <n v="51.82"/>
    <d v="2025-08-06T00:00:00"/>
    <n v="8"/>
    <n v="3.7"/>
    <x v="0"/>
    <m/>
    <s v="OK"/>
    <n v="16.545540000000003"/>
    <s v="Correct Price"/>
    <n v="414.56"/>
  </r>
  <r>
    <s v="FB001914"/>
    <x v="0"/>
    <x v="3"/>
    <x v="2"/>
    <s v="S"/>
    <s v="Green"/>
    <n v="184.24"/>
    <x v="0"/>
    <n v="184.24"/>
    <d v="2025-08-06T00:00:00"/>
    <n v="49"/>
    <n v="4"/>
    <x v="0"/>
    <m/>
    <s v="OK"/>
    <n v="0"/>
    <s v="Correct Price"/>
    <n v="9027.76"/>
  </r>
  <r>
    <s v="FB001915"/>
    <x v="3"/>
    <x v="2"/>
    <x v="0"/>
    <s v="XS"/>
    <s v="Green"/>
    <n v="94.83"/>
    <x v="0"/>
    <n v="94.83"/>
    <d v="2024-09-08T00:00:00"/>
    <n v="23"/>
    <n v="2.9"/>
    <x v="0"/>
    <m/>
    <s v="OK"/>
    <n v="0"/>
    <s v="Correct Price"/>
    <n v="2181.09"/>
  </r>
  <r>
    <s v="FB001916"/>
    <x v="1"/>
    <x v="5"/>
    <x v="3"/>
    <s v="M"/>
    <s v="Pink"/>
    <n v="115.58"/>
    <x v="0"/>
    <n v="115.58"/>
    <d v="2025-08-06T00:00:00"/>
    <n v="37"/>
    <n v="2.2000000000000002"/>
    <x v="0"/>
    <m/>
    <s v="OK"/>
    <n v="0"/>
    <s v="Correct Price"/>
    <n v="4276.46"/>
  </r>
  <r>
    <s v="FB001917"/>
    <x v="0"/>
    <x v="0"/>
    <x v="1"/>
    <s v="XXL"/>
    <s v="Green"/>
    <n v="116.29"/>
    <x v="431"/>
    <n v="48.03"/>
    <d v="2025-08-06T00:00:00"/>
    <n v="34"/>
    <n v="3.3"/>
    <x v="0"/>
    <m/>
    <s v="OK"/>
    <n v="68.262230000000002"/>
    <s v="Correct Price"/>
    <n v="1633.02"/>
  </r>
  <r>
    <s v="FB001918"/>
    <x v="2"/>
    <x v="2"/>
    <x v="3"/>
    <m/>
    <s v="Green"/>
    <n v="24.55"/>
    <x v="0"/>
    <n v="24.55"/>
    <d v="2025-08-06T00:00:00"/>
    <n v="43"/>
    <n v="2.2999999999999998"/>
    <x v="0"/>
    <m/>
    <s v="OK"/>
    <n v="0"/>
    <s v="Correct Price"/>
    <n v="1055.6500000000001"/>
  </r>
  <r>
    <s v="FB001919"/>
    <x v="5"/>
    <x v="0"/>
    <x v="0"/>
    <m/>
    <s v="Navy"/>
    <n v="81.56"/>
    <x v="0"/>
    <n v="81.56"/>
    <d v="2025-01-09T00:00:00"/>
    <n v="28"/>
    <n v="3"/>
    <x v="0"/>
    <m/>
    <s v="OK"/>
    <n v="0"/>
    <s v="Correct Price"/>
    <n v="2283.6800000000003"/>
  </r>
  <r>
    <s v="FB001920"/>
    <x v="0"/>
    <x v="2"/>
    <x v="0"/>
    <s v="M"/>
    <s v="White"/>
    <n v="234.63"/>
    <x v="0"/>
    <n v="234.63"/>
    <d v="2025-02-07T00:00:00"/>
    <n v="30"/>
    <n v="4.3"/>
    <x v="0"/>
    <m/>
    <s v="OK"/>
    <n v="0"/>
    <s v="Correct Price"/>
    <n v="7038.9"/>
  </r>
  <r>
    <s v="FB001921"/>
    <x v="2"/>
    <x v="0"/>
    <x v="2"/>
    <m/>
    <s v="White"/>
    <n v="27.6"/>
    <x v="0"/>
    <n v="27.6"/>
    <d v="2025-08-06T00:00:00"/>
    <n v="33"/>
    <n v="2.8"/>
    <x v="0"/>
    <m/>
    <s v="OK"/>
    <n v="0"/>
    <s v="Correct Price"/>
    <n v="910.80000000000007"/>
  </r>
  <r>
    <s v="FB001922"/>
    <x v="1"/>
    <x v="5"/>
    <x v="2"/>
    <s v="XS"/>
    <s v="Gray"/>
    <n v="114.76"/>
    <x v="106"/>
    <n v="86.87"/>
    <d v="2025-08-06T00:00:00"/>
    <n v="10"/>
    <n v="3.4"/>
    <x v="0"/>
    <m/>
    <s v="OK"/>
    <n v="27.886680000000002"/>
    <s v="Correct Price"/>
    <n v="868.7"/>
  </r>
  <r>
    <s v="FB001923"/>
    <x v="3"/>
    <x v="0"/>
    <x v="0"/>
    <s v="S"/>
    <s v="Green"/>
    <n v="133.52000000000001"/>
    <x v="0"/>
    <n v="133.52000000000001"/>
    <d v="2024-10-04T00:00:00"/>
    <n v="32"/>
    <m/>
    <x v="0"/>
    <m/>
    <s v="OK"/>
    <n v="0"/>
    <s v="Correct Price"/>
    <n v="4272.6400000000003"/>
  </r>
  <r>
    <s v="FB001924"/>
    <x v="1"/>
    <x v="2"/>
    <x v="1"/>
    <s v="XS"/>
    <s v="Blue"/>
    <n v="64.34"/>
    <x v="432"/>
    <n v="26.19"/>
    <d v="2025-08-06T00:00:00"/>
    <n v="34"/>
    <n v="1.2"/>
    <x v="0"/>
    <m/>
    <s v="OK"/>
    <n v="38.153620000000004"/>
    <s v="Correct Price"/>
    <n v="890.46"/>
  </r>
  <r>
    <s v="FB001925"/>
    <x v="4"/>
    <x v="7"/>
    <x v="2"/>
    <s v="L"/>
    <s v="Purple"/>
    <n v="117.81"/>
    <x v="0"/>
    <n v="117.81"/>
    <d v="2025-08-06T00:00:00"/>
    <n v="22"/>
    <n v="4.9000000000000004"/>
    <x v="0"/>
    <m/>
    <s v="OK"/>
    <n v="0"/>
    <s v="Correct Price"/>
    <n v="2591.8200000000002"/>
  </r>
  <r>
    <s v="FB001926"/>
    <x v="2"/>
    <x v="5"/>
    <x v="0"/>
    <m/>
    <s v="Blue"/>
    <n v="29.19"/>
    <x v="0"/>
    <n v="29.19"/>
    <d v="2025-03-15T00:00:00"/>
    <n v="20"/>
    <n v="1.9"/>
    <x v="0"/>
    <m/>
    <s v="OK"/>
    <n v="0"/>
    <s v="Correct Price"/>
    <n v="583.80000000000007"/>
  </r>
  <r>
    <s v="FB001927"/>
    <x v="1"/>
    <x v="1"/>
    <x v="2"/>
    <s v="M"/>
    <s v="Purple"/>
    <n v="34.72"/>
    <x v="0"/>
    <n v="34.72"/>
    <d v="2025-08-06T00:00:00"/>
    <n v="7"/>
    <m/>
    <x v="0"/>
    <m/>
    <s v="OK"/>
    <n v="0"/>
    <s v="Correct Price"/>
    <n v="243.04"/>
  </r>
  <r>
    <s v="FB001928"/>
    <x v="5"/>
    <x v="6"/>
    <x v="2"/>
    <s v="XL"/>
    <s v="Gray"/>
    <n v="107.49"/>
    <x v="0"/>
    <n v="107.49"/>
    <d v="2025-08-06T00:00:00"/>
    <n v="49"/>
    <n v="3.3"/>
    <x v="0"/>
    <m/>
    <s v="OK"/>
    <n v="0"/>
    <s v="Correct Price"/>
    <n v="5267.0099999999993"/>
  </r>
  <r>
    <s v="FB001929"/>
    <x v="4"/>
    <x v="1"/>
    <x v="1"/>
    <s v="XXL"/>
    <s v="Blue"/>
    <n v="38.700000000000003"/>
    <x v="0"/>
    <n v="38.700000000000003"/>
    <d v="2025-08-06T00:00:00"/>
    <n v="11"/>
    <n v="4"/>
    <x v="0"/>
    <m/>
    <s v="OK"/>
    <n v="0"/>
    <s v="Correct Price"/>
    <n v="425.70000000000005"/>
  </r>
  <r>
    <s v="FB001930"/>
    <x v="0"/>
    <x v="5"/>
    <x v="0"/>
    <s v="XS"/>
    <s v="Brown"/>
    <n v="152.63999999999999"/>
    <x v="0"/>
    <n v="152.63999999999999"/>
    <d v="2025-04-05T00:00:00"/>
    <n v="19"/>
    <n v="4.0999999999999996"/>
    <x v="0"/>
    <m/>
    <s v="OK"/>
    <n v="0"/>
    <s v="Correct Price"/>
    <n v="2900.16"/>
  </r>
  <r>
    <s v="FB001931"/>
    <x v="0"/>
    <x v="3"/>
    <x v="2"/>
    <s v="XS"/>
    <s v="Purple"/>
    <n v="181.66"/>
    <x v="43"/>
    <n v="79.2"/>
    <d v="2025-08-06T00:00:00"/>
    <n v="43"/>
    <n v="1.2"/>
    <x v="0"/>
    <m/>
    <s v="OK"/>
    <n v="102.45623999999999"/>
    <s v="Correct Price"/>
    <n v="3405.6"/>
  </r>
  <r>
    <s v="FB001932"/>
    <x v="1"/>
    <x v="1"/>
    <x v="0"/>
    <s v="XL"/>
    <s v="Green"/>
    <n v="114.8"/>
    <x v="413"/>
    <n v="94.82"/>
    <d v="2025-05-17T00:00:00"/>
    <n v="4"/>
    <n v="1.8"/>
    <x v="0"/>
    <m/>
    <s v="OK"/>
    <n v="19.975199999999997"/>
    <s v="Correct Price"/>
    <n v="379.28"/>
  </r>
  <r>
    <s v="FB001933"/>
    <x v="3"/>
    <x v="1"/>
    <x v="1"/>
    <s v="XXL"/>
    <s v="Green"/>
    <n v="102.95"/>
    <x v="0"/>
    <n v="102.95"/>
    <d v="2025-08-06T00:00:00"/>
    <n v="38"/>
    <n v="3.8"/>
    <x v="0"/>
    <m/>
    <s v="OK"/>
    <n v="0"/>
    <s v="Correct Price"/>
    <n v="3912.1"/>
  </r>
  <r>
    <s v="FB001934"/>
    <x v="1"/>
    <x v="7"/>
    <x v="1"/>
    <s v="XXL"/>
    <s v="Green"/>
    <n v="86.82"/>
    <x v="0"/>
    <n v="86.82"/>
    <d v="2025-08-06T00:00:00"/>
    <n v="0"/>
    <n v="4.8"/>
    <x v="0"/>
    <m/>
    <s v="OK"/>
    <n v="0"/>
    <s v="Correct Price"/>
    <n v="0"/>
  </r>
  <r>
    <s v="FB001935"/>
    <x v="0"/>
    <x v="4"/>
    <x v="3"/>
    <s v="L"/>
    <s v="Red"/>
    <n v="83.68"/>
    <x v="433"/>
    <n v="60.17"/>
    <d v="2025-08-06T00:00:00"/>
    <n v="46"/>
    <m/>
    <x v="1"/>
    <s v="Quality Issue"/>
    <s v="OK"/>
    <n v="23.514080000000003"/>
    <s v="Correct Price"/>
    <n v="2767.82"/>
  </r>
  <r>
    <s v="FB001936"/>
    <x v="0"/>
    <x v="2"/>
    <x v="2"/>
    <s v="S"/>
    <s v="Pink"/>
    <n v="167.31"/>
    <x v="232"/>
    <n v="82.48"/>
    <d v="2025-08-06T00:00:00"/>
    <n v="9"/>
    <n v="3.2"/>
    <x v="0"/>
    <m/>
    <s v="OK"/>
    <n v="84.826170000000005"/>
    <s v="Correct Price"/>
    <n v="742.32"/>
  </r>
  <r>
    <s v="FB001937"/>
    <x v="4"/>
    <x v="4"/>
    <x v="2"/>
    <s v="XS"/>
    <s v="Gray"/>
    <n v="114.64"/>
    <x v="320"/>
    <n v="108.79"/>
    <d v="2025-08-06T00:00:00"/>
    <n v="21"/>
    <n v="2"/>
    <x v="0"/>
    <m/>
    <s v="OK"/>
    <n v="5.8466399999999998"/>
    <s v="Correct Price"/>
    <n v="2284.59"/>
  </r>
  <r>
    <s v="FB001938"/>
    <x v="0"/>
    <x v="4"/>
    <x v="0"/>
    <s v="XXL"/>
    <s v="White"/>
    <n v="109.53"/>
    <x v="434"/>
    <n v="77.44"/>
    <d v="2024-11-02T00:00:00"/>
    <n v="35"/>
    <n v="1.3"/>
    <x v="0"/>
    <m/>
    <s v="OK"/>
    <n v="32.092290000000006"/>
    <s v="Correct Price"/>
    <n v="2710.4"/>
  </r>
  <r>
    <s v="FB001939"/>
    <x v="2"/>
    <x v="5"/>
    <x v="3"/>
    <m/>
    <s v="Beige"/>
    <n v="51.02"/>
    <x v="307"/>
    <n v="21.48"/>
    <d v="2025-08-06T00:00:00"/>
    <n v="36"/>
    <m/>
    <x v="0"/>
    <m/>
    <s v="OK"/>
    <n v="29.540579999999999"/>
    <s v="Correct Price"/>
    <n v="773.28"/>
  </r>
  <r>
    <s v="FB001940"/>
    <x v="3"/>
    <x v="4"/>
    <x v="2"/>
    <s v="M"/>
    <s v="Green"/>
    <n v="77.45"/>
    <x v="229"/>
    <n v="36.56"/>
    <d v="2025-08-06T00:00:00"/>
    <n v="6"/>
    <n v="2.7"/>
    <x v="0"/>
    <m/>
    <s v="OK"/>
    <n v="40.893599999999999"/>
    <s v="Correct Price"/>
    <n v="219.36"/>
  </r>
  <r>
    <s v="FB001941"/>
    <x v="3"/>
    <x v="5"/>
    <x v="2"/>
    <s v="XS"/>
    <s v="White"/>
    <n v="142.87"/>
    <x v="214"/>
    <n v="78.010000000000005"/>
    <d v="2025-08-06T00:00:00"/>
    <n v="20"/>
    <n v="1.7"/>
    <x v="0"/>
    <m/>
    <s v="OK"/>
    <n v="64.862979999999993"/>
    <s v="Correct Price"/>
    <n v="1560.2"/>
  </r>
  <r>
    <s v="FB001942"/>
    <x v="0"/>
    <x v="2"/>
    <x v="1"/>
    <s v="XS"/>
    <s v="White"/>
    <n v="138.87"/>
    <x v="0"/>
    <n v="138.87"/>
    <d v="2025-08-06T00:00:00"/>
    <n v="37"/>
    <n v="3.2"/>
    <x v="0"/>
    <m/>
    <s v="OK"/>
    <n v="0"/>
    <s v="Correct Price"/>
    <n v="5138.1900000000005"/>
  </r>
  <r>
    <s v="FB001943"/>
    <x v="3"/>
    <x v="5"/>
    <x v="0"/>
    <s v="S"/>
    <s v="Red"/>
    <n v="132.82"/>
    <x v="0"/>
    <n v="132.82"/>
    <d v="2025-03-17T00:00:00"/>
    <n v="40"/>
    <m/>
    <x v="1"/>
    <s v="Changed Mind"/>
    <s v="OK"/>
    <n v="0"/>
    <s v="Correct Price"/>
    <n v="5312.7999999999993"/>
  </r>
  <r>
    <s v="FB001944"/>
    <x v="3"/>
    <x v="4"/>
    <x v="3"/>
    <s v="L"/>
    <s v="Navy"/>
    <n v="110.54"/>
    <x v="0"/>
    <n v="110.54"/>
    <d v="2025-08-06T00:00:00"/>
    <n v="24"/>
    <m/>
    <x v="1"/>
    <s v="Size Issue"/>
    <s v="OK"/>
    <n v="0"/>
    <s v="Correct Price"/>
    <n v="2652.96"/>
  </r>
  <r>
    <s v="FB001945"/>
    <x v="4"/>
    <x v="0"/>
    <x v="3"/>
    <s v="XL"/>
    <s v="Beige"/>
    <n v="29.07"/>
    <x v="0"/>
    <n v="29.07"/>
    <d v="2025-08-06T00:00:00"/>
    <n v="41"/>
    <n v="2.8"/>
    <x v="0"/>
    <m/>
    <s v="OK"/>
    <n v="0"/>
    <s v="Correct Price"/>
    <n v="1191.8700000000001"/>
  </r>
  <r>
    <s v="FB001946"/>
    <x v="0"/>
    <x v="6"/>
    <x v="3"/>
    <s v="S"/>
    <s v="Navy"/>
    <n v="141.91999999999999"/>
    <x v="0"/>
    <n v="141.91999999999999"/>
    <d v="2025-08-06T00:00:00"/>
    <n v="37"/>
    <n v="1.7"/>
    <x v="0"/>
    <m/>
    <s v="OK"/>
    <n v="0"/>
    <s v="Correct Price"/>
    <n v="5251.04"/>
  </r>
  <r>
    <s v="FB001947"/>
    <x v="3"/>
    <x v="2"/>
    <x v="3"/>
    <s v="XL"/>
    <s v="Red"/>
    <n v="67.84"/>
    <x v="0"/>
    <n v="67.84"/>
    <d v="2025-08-06T00:00:00"/>
    <n v="24"/>
    <n v="1.2"/>
    <x v="0"/>
    <m/>
    <s v="OK"/>
    <n v="0"/>
    <s v="Correct Price"/>
    <n v="1628.16"/>
  </r>
  <r>
    <s v="FB001948"/>
    <x v="3"/>
    <x v="3"/>
    <x v="1"/>
    <s v="S"/>
    <s v="Brown"/>
    <n v="143.27000000000001"/>
    <x v="0"/>
    <n v="143.27000000000001"/>
    <d v="2025-08-06T00:00:00"/>
    <n v="0"/>
    <m/>
    <x v="0"/>
    <m/>
    <s v="OK"/>
    <n v="0"/>
    <s v="Correct Price"/>
    <n v="0"/>
  </r>
  <r>
    <s v="FB001949"/>
    <x v="2"/>
    <x v="2"/>
    <x v="1"/>
    <m/>
    <s v="Brown"/>
    <n v="20.97"/>
    <x v="0"/>
    <n v="20.97"/>
    <d v="2025-08-06T00:00:00"/>
    <n v="44"/>
    <n v="4.5999999999999996"/>
    <x v="0"/>
    <m/>
    <s v="OK"/>
    <n v="0"/>
    <s v="Correct Price"/>
    <n v="922.68"/>
  </r>
  <r>
    <s v="FB001950"/>
    <x v="5"/>
    <x v="0"/>
    <x v="3"/>
    <s v="XL"/>
    <s v="Purple"/>
    <n v="105.5"/>
    <x v="322"/>
    <n v="42.41"/>
    <d v="2025-08-06T00:00:00"/>
    <n v="34"/>
    <m/>
    <x v="0"/>
    <m/>
    <s v="OK"/>
    <n v="63.088999999999999"/>
    <s v="Correct Price"/>
    <n v="1441.9399999999998"/>
  </r>
  <r>
    <s v="FB001951"/>
    <x v="3"/>
    <x v="2"/>
    <x v="0"/>
    <s v="XXL"/>
    <s v="Green"/>
    <n v="184.7"/>
    <x v="0"/>
    <n v="184.7"/>
    <d v="2024-09-19T00:00:00"/>
    <n v="39"/>
    <n v="2.1"/>
    <x v="1"/>
    <s v="Size Issue"/>
    <s v="OK"/>
    <n v="0"/>
    <s v="Correct Price"/>
    <n v="7203.2999999999993"/>
  </r>
  <r>
    <s v="FB001952"/>
    <x v="3"/>
    <x v="4"/>
    <x v="0"/>
    <s v="XS"/>
    <s v="Blue"/>
    <n v="81.47"/>
    <x v="147"/>
    <n v="55.4"/>
    <d v="2024-09-01T00:00:00"/>
    <n v="2"/>
    <n v="1.1000000000000001"/>
    <x v="0"/>
    <m/>
    <s v="OK"/>
    <n v="26.070399999999999"/>
    <s v="Correct Price"/>
    <n v="110.8"/>
  </r>
  <r>
    <s v="FB001953"/>
    <x v="0"/>
    <x v="2"/>
    <x v="1"/>
    <s v="L"/>
    <s v="Blue"/>
    <n v="107.67"/>
    <x v="378"/>
    <n v="85.81"/>
    <d v="2025-08-06T00:00:00"/>
    <n v="16"/>
    <n v="4.3"/>
    <x v="0"/>
    <m/>
    <s v="OK"/>
    <n v="21.857009999999999"/>
    <s v="Correct Price"/>
    <n v="1372.96"/>
  </r>
  <r>
    <s v="FB001954"/>
    <x v="1"/>
    <x v="2"/>
    <x v="3"/>
    <s v="XL"/>
    <s v="Purple"/>
    <n v="88.64"/>
    <x v="0"/>
    <n v="88.64"/>
    <d v="2025-08-06T00:00:00"/>
    <n v="33"/>
    <m/>
    <x v="0"/>
    <m/>
    <s v="OK"/>
    <n v="0"/>
    <s v="Correct Price"/>
    <n v="2925.12"/>
  </r>
  <r>
    <s v="FB001955"/>
    <x v="2"/>
    <x v="0"/>
    <x v="1"/>
    <m/>
    <s v="Red"/>
    <n v="17.5"/>
    <x v="435"/>
    <n v="14.98"/>
    <d v="2025-08-06T00:00:00"/>
    <n v="16"/>
    <n v="3.1"/>
    <x v="0"/>
    <m/>
    <s v="OK"/>
    <n v="2.52"/>
    <s v="Correct Price"/>
    <n v="239.68"/>
  </r>
  <r>
    <s v="FB001956"/>
    <x v="0"/>
    <x v="4"/>
    <x v="1"/>
    <s v="XL"/>
    <s v="Gray"/>
    <n v="205.37"/>
    <x v="0"/>
    <n v="205.37"/>
    <d v="2025-08-06T00:00:00"/>
    <n v="25"/>
    <n v="2"/>
    <x v="1"/>
    <s v="Damaged"/>
    <s v="OK"/>
    <n v="0"/>
    <s v="Correct Price"/>
    <n v="5134.25"/>
  </r>
  <r>
    <s v="FB001957"/>
    <x v="5"/>
    <x v="3"/>
    <x v="1"/>
    <s v="XS"/>
    <s v="Beige"/>
    <n v="111.66"/>
    <x v="0"/>
    <n v="111.66"/>
    <d v="2025-08-06T00:00:00"/>
    <n v="26"/>
    <n v="1.4"/>
    <x v="0"/>
    <m/>
    <s v="OK"/>
    <n v="0"/>
    <s v="Correct Price"/>
    <n v="2903.16"/>
  </r>
  <r>
    <s v="FB001958"/>
    <x v="3"/>
    <x v="3"/>
    <x v="3"/>
    <s v="S"/>
    <s v="Pink"/>
    <n v="184.87"/>
    <x v="43"/>
    <n v="80.599999999999994"/>
    <d v="2025-08-06T00:00:00"/>
    <n v="10"/>
    <n v="3.7"/>
    <x v="0"/>
    <m/>
    <s v="OK"/>
    <n v="104.26667999999999"/>
    <s v="Correct Price"/>
    <n v="806"/>
  </r>
  <r>
    <s v="FB001959"/>
    <x v="4"/>
    <x v="0"/>
    <x v="0"/>
    <s v="L"/>
    <s v="Green"/>
    <n v="84.58"/>
    <x v="0"/>
    <n v="84.58"/>
    <d v="2025-01-17T00:00:00"/>
    <n v="33"/>
    <n v="4.5"/>
    <x v="0"/>
    <m/>
    <s v="OK"/>
    <n v="0"/>
    <s v="Correct Price"/>
    <n v="2791.14"/>
  </r>
  <r>
    <s v="FB001960"/>
    <x v="4"/>
    <x v="7"/>
    <x v="3"/>
    <s v="XXL"/>
    <s v="White"/>
    <n v="66.739999999999995"/>
    <x v="0"/>
    <n v="66.739999999999995"/>
    <d v="2025-08-06T00:00:00"/>
    <n v="26"/>
    <n v="4.5999999999999996"/>
    <x v="0"/>
    <m/>
    <s v="OK"/>
    <n v="0"/>
    <s v="Correct Price"/>
    <n v="1735.2399999999998"/>
  </r>
  <r>
    <s v="FB001961"/>
    <x v="3"/>
    <x v="4"/>
    <x v="3"/>
    <s v="M"/>
    <s v="Green"/>
    <n v="104.19"/>
    <x v="0"/>
    <n v="104.19"/>
    <d v="2025-08-06T00:00:00"/>
    <n v="4"/>
    <n v="4.7"/>
    <x v="0"/>
    <m/>
    <s v="OK"/>
    <n v="0"/>
    <s v="Correct Price"/>
    <n v="416.76"/>
  </r>
  <r>
    <s v="FB001962"/>
    <x v="0"/>
    <x v="1"/>
    <x v="3"/>
    <s v="M"/>
    <s v="Green"/>
    <n v="216.73"/>
    <x v="0"/>
    <n v="216.73"/>
    <d v="2025-08-06T00:00:00"/>
    <n v="5"/>
    <n v="2.7"/>
    <x v="1"/>
    <s v="Wrong Item"/>
    <s v="OK"/>
    <n v="0"/>
    <s v="Correct Price"/>
    <n v="1083.6499999999999"/>
  </r>
  <r>
    <s v="FB001963"/>
    <x v="5"/>
    <x v="3"/>
    <x v="3"/>
    <s v="XXL"/>
    <s v="Beige"/>
    <n v="87.82"/>
    <x v="0"/>
    <n v="87.82"/>
    <d v="2025-08-06T00:00:00"/>
    <n v="24"/>
    <n v="4.2"/>
    <x v="0"/>
    <m/>
    <s v="OK"/>
    <n v="0"/>
    <s v="Correct Price"/>
    <n v="2107.6799999999998"/>
  </r>
  <r>
    <s v="FB001964"/>
    <x v="3"/>
    <x v="0"/>
    <x v="3"/>
    <s v="L"/>
    <s v="Green"/>
    <n v="81.59"/>
    <x v="0"/>
    <n v="81.59"/>
    <d v="2025-08-06T00:00:00"/>
    <n v="5"/>
    <n v="2.5"/>
    <x v="0"/>
    <m/>
    <s v="OK"/>
    <n v="0"/>
    <s v="Correct Price"/>
    <n v="407.95000000000005"/>
  </r>
  <r>
    <s v="FB001965"/>
    <x v="0"/>
    <x v="6"/>
    <x v="3"/>
    <m/>
    <s v="Blue"/>
    <n v="93.14"/>
    <x v="436"/>
    <n v="62.59"/>
    <d v="2025-08-06T00:00:00"/>
    <n v="45"/>
    <n v="4.5"/>
    <x v="0"/>
    <m/>
    <s v="OK"/>
    <n v="30.549919999999997"/>
    <s v="Correct Price"/>
    <n v="2816.55"/>
  </r>
  <r>
    <s v="FB001966"/>
    <x v="4"/>
    <x v="6"/>
    <x v="0"/>
    <s v="XS"/>
    <s v="Gray"/>
    <n v="96.73"/>
    <x v="0"/>
    <n v="96.73"/>
    <d v="2024-11-09T00:00:00"/>
    <n v="18"/>
    <n v="4.8"/>
    <x v="0"/>
    <m/>
    <s v="OK"/>
    <n v="0"/>
    <s v="Correct Price"/>
    <n v="1741.14"/>
  </r>
  <r>
    <s v="FB001967"/>
    <x v="2"/>
    <x v="7"/>
    <x v="1"/>
    <m/>
    <s v="Blue"/>
    <n v="19.34"/>
    <x v="0"/>
    <n v="19.34"/>
    <d v="2025-08-06T00:00:00"/>
    <n v="19"/>
    <m/>
    <x v="0"/>
    <m/>
    <s v="OK"/>
    <n v="0"/>
    <s v="Correct Price"/>
    <n v="367.46"/>
  </r>
  <r>
    <s v="FB001968"/>
    <x v="3"/>
    <x v="0"/>
    <x v="0"/>
    <s v="S"/>
    <s v="Red"/>
    <n v="113.88"/>
    <x v="437"/>
    <n v="78.459999999999994"/>
    <d v="2025-06-10T00:00:00"/>
    <n v="22"/>
    <n v="3.1"/>
    <x v="0"/>
    <m/>
    <s v="OK"/>
    <n v="35.416679999999999"/>
    <s v="Correct Price"/>
    <n v="1726.12"/>
  </r>
  <r>
    <s v="FB001969"/>
    <x v="5"/>
    <x v="0"/>
    <x v="0"/>
    <s v="XL"/>
    <s v="Navy"/>
    <n v="90.32"/>
    <x v="0"/>
    <n v="90.32"/>
    <d v="2025-03-26T00:00:00"/>
    <n v="41"/>
    <n v="2.8"/>
    <x v="0"/>
    <m/>
    <s v="OK"/>
    <n v="0"/>
    <s v="Correct Price"/>
    <n v="3703.12"/>
  </r>
  <r>
    <s v="FB001970"/>
    <x v="1"/>
    <x v="2"/>
    <x v="3"/>
    <s v="L"/>
    <s v="Gray"/>
    <n v="38.119999999999997"/>
    <x v="0"/>
    <n v="38.119999999999997"/>
    <d v="2025-08-06T00:00:00"/>
    <n v="44"/>
    <m/>
    <x v="0"/>
    <m/>
    <s v="OK"/>
    <n v="0"/>
    <s v="Correct Price"/>
    <n v="1677.28"/>
  </r>
  <r>
    <s v="FB001971"/>
    <x v="3"/>
    <x v="2"/>
    <x v="3"/>
    <s v="S"/>
    <s v="Blue"/>
    <n v="175.31"/>
    <x v="0"/>
    <n v="175.31"/>
    <d v="2025-08-06T00:00:00"/>
    <n v="13"/>
    <m/>
    <x v="0"/>
    <m/>
    <s v="OK"/>
    <n v="0"/>
    <s v="Correct Price"/>
    <n v="2279.0300000000002"/>
  </r>
  <r>
    <s v="FB001972"/>
    <x v="5"/>
    <x v="0"/>
    <x v="0"/>
    <s v="L"/>
    <s v="Red"/>
    <n v="171.92"/>
    <x v="0"/>
    <n v="171.92"/>
    <d v="2025-06-08T00:00:00"/>
    <n v="12"/>
    <n v="1.3"/>
    <x v="0"/>
    <m/>
    <s v="OK"/>
    <n v="0"/>
    <s v="Correct Price"/>
    <n v="2063.04"/>
  </r>
  <r>
    <s v="FB001973"/>
    <x v="2"/>
    <x v="6"/>
    <x v="3"/>
    <m/>
    <s v="Blue"/>
    <n v="35.6"/>
    <x v="0"/>
    <n v="35.6"/>
    <d v="2025-08-06T00:00:00"/>
    <n v="24"/>
    <n v="3.1"/>
    <x v="0"/>
    <m/>
    <s v="OK"/>
    <n v="0"/>
    <s v="Correct Price"/>
    <n v="854.40000000000009"/>
  </r>
  <r>
    <s v="FB001974"/>
    <x v="4"/>
    <x v="4"/>
    <x v="3"/>
    <s v="M"/>
    <s v="Navy"/>
    <n v="81.7"/>
    <x v="0"/>
    <n v="81.7"/>
    <d v="2025-08-06T00:00:00"/>
    <n v="33"/>
    <m/>
    <x v="1"/>
    <s v="Wrong Item"/>
    <s v="OK"/>
    <n v="0"/>
    <s v="Correct Price"/>
    <n v="2696.1"/>
  </r>
  <r>
    <s v="FB001975"/>
    <x v="4"/>
    <x v="2"/>
    <x v="3"/>
    <m/>
    <s v="Purple"/>
    <n v="29.7"/>
    <x v="0"/>
    <n v="29.7"/>
    <d v="2025-08-06T00:00:00"/>
    <n v="16"/>
    <n v="2.7"/>
    <x v="0"/>
    <m/>
    <s v="OK"/>
    <n v="0"/>
    <s v="Correct Price"/>
    <n v="475.2"/>
  </r>
  <r>
    <s v="FB001976"/>
    <x v="0"/>
    <x v="3"/>
    <x v="1"/>
    <s v="S"/>
    <s v="Brown"/>
    <n v="239.65"/>
    <x v="0"/>
    <n v="239.65"/>
    <d v="2025-08-06T00:00:00"/>
    <n v="27"/>
    <n v="2.9"/>
    <x v="0"/>
    <m/>
    <s v="OK"/>
    <n v="0"/>
    <s v="Correct Price"/>
    <n v="6470.55"/>
  </r>
  <r>
    <s v="FB001977"/>
    <x v="1"/>
    <x v="4"/>
    <x v="2"/>
    <s v="M"/>
    <s v="Red"/>
    <n v="90.41"/>
    <x v="0"/>
    <n v="90.41"/>
    <d v="2025-08-06T00:00:00"/>
    <n v="11"/>
    <m/>
    <x v="0"/>
    <m/>
    <s v="OK"/>
    <n v="0"/>
    <s v="Correct Price"/>
    <n v="994.51"/>
  </r>
  <r>
    <s v="FB001978"/>
    <x v="5"/>
    <x v="5"/>
    <x v="1"/>
    <s v="XL"/>
    <s v="White"/>
    <n v="81.78"/>
    <x v="438"/>
    <n v="73.599999999999994"/>
    <d v="2025-08-06T00:00:00"/>
    <n v="24"/>
    <n v="1.2"/>
    <x v="0"/>
    <m/>
    <s v="OK"/>
    <n v="8.177999999999999"/>
    <s v="Correct Price"/>
    <n v="1766.3999999999999"/>
  </r>
  <r>
    <s v="FB001979"/>
    <x v="0"/>
    <x v="7"/>
    <x v="1"/>
    <s v="L"/>
    <s v="Black"/>
    <n v="142.55000000000001"/>
    <x v="0"/>
    <n v="142.55000000000001"/>
    <d v="2025-08-06T00:00:00"/>
    <n v="21"/>
    <n v="4.5"/>
    <x v="0"/>
    <m/>
    <s v="OK"/>
    <n v="0"/>
    <s v="Correct Price"/>
    <n v="2993.55"/>
  </r>
  <r>
    <s v="FB001980"/>
    <x v="5"/>
    <x v="6"/>
    <x v="2"/>
    <s v="S"/>
    <s v="Black"/>
    <n v="53.13"/>
    <x v="0"/>
    <n v="53.13"/>
    <d v="2025-08-06T00:00:00"/>
    <n v="5"/>
    <n v="4.5999999999999996"/>
    <x v="0"/>
    <m/>
    <s v="OK"/>
    <n v="0"/>
    <s v="Correct Price"/>
    <n v="265.65000000000003"/>
  </r>
  <r>
    <s v="FB001981"/>
    <x v="4"/>
    <x v="7"/>
    <x v="3"/>
    <s v="L"/>
    <s v="Navy"/>
    <n v="80.81"/>
    <x v="0"/>
    <n v="80.81"/>
    <d v="2025-08-06T00:00:00"/>
    <n v="15"/>
    <n v="4.5999999999999996"/>
    <x v="0"/>
    <m/>
    <s v="OK"/>
    <n v="0"/>
    <s v="Correct Price"/>
    <n v="1212.1500000000001"/>
  </r>
  <r>
    <s v="FB001982"/>
    <x v="1"/>
    <x v="1"/>
    <x v="2"/>
    <s v="M"/>
    <s v="Navy"/>
    <n v="89.39"/>
    <x v="0"/>
    <n v="89.39"/>
    <d v="2025-08-06T00:00:00"/>
    <n v="33"/>
    <n v="4.2"/>
    <x v="0"/>
    <m/>
    <s v="OK"/>
    <n v="0"/>
    <s v="Correct Price"/>
    <n v="2949.87"/>
  </r>
  <r>
    <s v="FB001983"/>
    <x v="4"/>
    <x v="3"/>
    <x v="3"/>
    <s v="S"/>
    <s v="Blue"/>
    <n v="37.9"/>
    <x v="385"/>
    <n v="23.54"/>
    <d v="2025-08-06T00:00:00"/>
    <n v="34"/>
    <n v="1.3"/>
    <x v="0"/>
    <m/>
    <s v="OK"/>
    <n v="14.364099999999999"/>
    <s v="Correct Price"/>
    <n v="800.36"/>
  </r>
  <r>
    <s v="FB001984"/>
    <x v="2"/>
    <x v="3"/>
    <x v="0"/>
    <m/>
    <s v="Brown"/>
    <n v="44.49"/>
    <x v="0"/>
    <n v="44.49"/>
    <d v="2025-06-27T00:00:00"/>
    <n v="34"/>
    <n v="2.1"/>
    <x v="0"/>
    <m/>
    <s v="OK"/>
    <n v="0"/>
    <s v="Correct Price"/>
    <n v="1512.66"/>
  </r>
  <r>
    <s v="FB001985"/>
    <x v="1"/>
    <x v="3"/>
    <x v="3"/>
    <s v="L"/>
    <s v="Beige"/>
    <n v="111.7"/>
    <x v="0"/>
    <n v="111.7"/>
    <d v="2025-08-06T00:00:00"/>
    <n v="2"/>
    <m/>
    <x v="1"/>
    <s v="Size Issue"/>
    <s v="OK"/>
    <n v="0"/>
    <s v="Correct Price"/>
    <n v="223.4"/>
  </r>
  <r>
    <s v="FB001986"/>
    <x v="1"/>
    <x v="4"/>
    <x v="0"/>
    <s v="L"/>
    <s v="Navy"/>
    <n v="109.76"/>
    <x v="0"/>
    <n v="109.76"/>
    <d v="2025-01-12T00:00:00"/>
    <n v="23"/>
    <n v="2"/>
    <x v="1"/>
    <s v="Quality Issue"/>
    <s v="OK"/>
    <n v="0"/>
    <s v="Correct Price"/>
    <n v="2524.48"/>
  </r>
  <r>
    <s v="FB001987"/>
    <x v="2"/>
    <x v="1"/>
    <x v="2"/>
    <m/>
    <s v="Navy"/>
    <n v="33"/>
    <x v="0"/>
    <n v="33"/>
    <d v="2025-08-06T00:00:00"/>
    <n v="50"/>
    <n v="4"/>
    <x v="0"/>
    <m/>
    <s v="OK"/>
    <n v="0"/>
    <s v="Correct Price"/>
    <n v="1650"/>
  </r>
  <r>
    <s v="FB001988"/>
    <x v="3"/>
    <x v="5"/>
    <x v="1"/>
    <s v="M"/>
    <s v="Green"/>
    <n v="150.65"/>
    <x v="391"/>
    <n v="137.24"/>
    <d v="2025-08-06T00:00:00"/>
    <n v="43"/>
    <n v="3.4"/>
    <x v="0"/>
    <m/>
    <s v="OK"/>
    <n v="13.407850000000002"/>
    <s v="Correct Price"/>
    <n v="5901.3200000000006"/>
  </r>
  <r>
    <s v="FB001989"/>
    <x v="4"/>
    <x v="0"/>
    <x v="2"/>
    <s v="S"/>
    <s v="Green"/>
    <n v="66.34"/>
    <x v="282"/>
    <n v="53.74"/>
    <d v="2025-08-06T00:00:00"/>
    <n v="42"/>
    <n v="1.9"/>
    <x v="0"/>
    <m/>
    <s v="OK"/>
    <n v="12.6046"/>
    <s v="Correct Price"/>
    <n v="2257.08"/>
  </r>
  <r>
    <s v="FB001990"/>
    <x v="4"/>
    <x v="6"/>
    <x v="0"/>
    <s v="M"/>
    <s v="Pink"/>
    <n v="27.89"/>
    <x v="413"/>
    <n v="23.04"/>
    <d v="2024-09-06T00:00:00"/>
    <n v="43"/>
    <n v="2.1"/>
    <x v="0"/>
    <m/>
    <s v="OK"/>
    <n v="4.8528599999999997"/>
    <s v="Correct Price"/>
    <n v="990.71999999999991"/>
  </r>
  <r>
    <s v="FB001991"/>
    <x v="2"/>
    <x v="1"/>
    <x v="3"/>
    <m/>
    <s v="Gray"/>
    <n v="60.18"/>
    <x v="0"/>
    <n v="60.18"/>
    <d v="2025-08-06T00:00:00"/>
    <n v="36"/>
    <n v="1.4"/>
    <x v="0"/>
    <m/>
    <s v="OK"/>
    <n v="0"/>
    <s v="Correct Price"/>
    <n v="2166.48"/>
  </r>
  <r>
    <s v="FB001992"/>
    <x v="1"/>
    <x v="0"/>
    <x v="2"/>
    <s v="XL"/>
    <s v="Red"/>
    <n v="54.26"/>
    <x v="85"/>
    <n v="44.28"/>
    <d v="2025-08-06T00:00:00"/>
    <n v="29"/>
    <n v="2.6"/>
    <x v="0"/>
    <m/>
    <s v="OK"/>
    <n v="9.9838399999999989"/>
    <s v="Correct Price"/>
    <n v="1284.1200000000001"/>
  </r>
  <r>
    <s v="FB001993"/>
    <x v="3"/>
    <x v="1"/>
    <x v="0"/>
    <s v="S"/>
    <s v="Red"/>
    <n v="78.44"/>
    <x v="0"/>
    <n v="78.44"/>
    <d v="2024-09-20T00:00:00"/>
    <n v="42"/>
    <m/>
    <x v="1"/>
    <s v="Quality Issue"/>
    <s v="OK"/>
    <n v="0"/>
    <s v="Correct Price"/>
    <n v="3294.48"/>
  </r>
  <r>
    <s v="FB001994"/>
    <x v="0"/>
    <x v="4"/>
    <x v="2"/>
    <s v="XS"/>
    <s v="Black"/>
    <n v="183.05"/>
    <x v="0"/>
    <n v="183.05"/>
    <d v="2025-08-06T00:00:00"/>
    <n v="4"/>
    <n v="4.5999999999999996"/>
    <x v="0"/>
    <m/>
    <s v="OK"/>
    <n v="0"/>
    <s v="Correct Price"/>
    <n v="732.2"/>
  </r>
  <r>
    <s v="FB001995"/>
    <x v="3"/>
    <x v="1"/>
    <x v="0"/>
    <s v="M"/>
    <s v="Gray"/>
    <n v="76.3"/>
    <x v="0"/>
    <n v="76.3"/>
    <d v="2025-07-03T00:00:00"/>
    <n v="35"/>
    <n v="2.6"/>
    <x v="0"/>
    <m/>
    <s v="OK"/>
    <n v="0"/>
    <s v="Correct Price"/>
    <n v="2670.5"/>
  </r>
  <r>
    <s v="FB001996"/>
    <x v="1"/>
    <x v="0"/>
    <x v="0"/>
    <s v="XS"/>
    <s v="Purple"/>
    <n v="84.21"/>
    <x v="0"/>
    <n v="84.21"/>
    <d v="2025-01-15T00:00:00"/>
    <n v="43"/>
    <n v="3.4"/>
    <x v="0"/>
    <m/>
    <s v="OK"/>
    <n v="0"/>
    <s v="Correct Price"/>
    <n v="3621.0299999999997"/>
  </r>
  <r>
    <s v="FB001997"/>
    <x v="2"/>
    <x v="5"/>
    <x v="0"/>
    <m/>
    <s v="Gray"/>
    <n v="77.34"/>
    <x v="0"/>
    <n v="77.34"/>
    <d v="2025-01-10T00:00:00"/>
    <n v="27"/>
    <m/>
    <x v="0"/>
    <m/>
    <s v="OK"/>
    <n v="0"/>
    <s v="Correct Price"/>
    <n v="2088.1800000000003"/>
  </r>
  <r>
    <s v="FB001998"/>
    <x v="5"/>
    <x v="0"/>
    <x v="0"/>
    <s v="S"/>
    <s v="Navy"/>
    <n v="122.82"/>
    <x v="214"/>
    <n v="67.06"/>
    <d v="2024-08-30T00:00:00"/>
    <n v="9"/>
    <n v="3.1"/>
    <x v="0"/>
    <m/>
    <s v="OK"/>
    <n v="55.760279999999995"/>
    <s v="Correct Price"/>
    <n v="603.54"/>
  </r>
  <r>
    <s v="FB001999"/>
    <x v="5"/>
    <x v="3"/>
    <x v="1"/>
    <s v="XXL"/>
    <s v="Blue"/>
    <n v="103.85"/>
    <x v="0"/>
    <n v="103.85"/>
    <d v="2025-08-06T00:00:00"/>
    <n v="26"/>
    <n v="3.1"/>
    <x v="0"/>
    <m/>
    <s v="OK"/>
    <n v="0"/>
    <s v="Correct Price"/>
    <n v="2700.1"/>
  </r>
  <r>
    <s v="FB002000"/>
    <x v="4"/>
    <x v="4"/>
    <x v="2"/>
    <s v="XXL"/>
    <s v="Red"/>
    <n v="117.73"/>
    <x v="301"/>
    <n v="69.11"/>
    <d v="2025-08-06T00:00:00"/>
    <n v="8"/>
    <m/>
    <x v="0"/>
    <m/>
    <s v="OK"/>
    <n v="48.622489999999999"/>
    <s v="Correct Price"/>
    <n v="552.88"/>
  </r>
  <r>
    <s v="FB002001"/>
    <x v="5"/>
    <x v="7"/>
    <x v="2"/>
    <s v="XL"/>
    <s v="Green"/>
    <n v="115.98"/>
    <x v="0"/>
    <n v="115.98"/>
    <d v="2025-08-06T00:00:00"/>
    <n v="42"/>
    <n v="3.7"/>
    <x v="0"/>
    <m/>
    <s v="OK"/>
    <n v="0"/>
    <s v="Correct Price"/>
    <n v="4871.16"/>
  </r>
  <r>
    <s v="FB002002"/>
    <x v="5"/>
    <x v="0"/>
    <x v="2"/>
    <s v="L"/>
    <s v="Navy"/>
    <n v="175.43"/>
    <x v="0"/>
    <n v="175.43"/>
    <d v="2025-08-06T00:00:00"/>
    <n v="3"/>
    <n v="1.8"/>
    <x v="1"/>
    <s v="Color Mismatch"/>
    <s v="OK"/>
    <n v="0"/>
    <s v="Correct Price"/>
    <n v="526.29"/>
  </r>
  <r>
    <s v="FB002003"/>
    <x v="0"/>
    <x v="6"/>
    <x v="0"/>
    <s v="S"/>
    <s v="Green"/>
    <n v="162.81"/>
    <x v="0"/>
    <n v="162.81"/>
    <d v="2025-01-10T00:00:00"/>
    <n v="40"/>
    <n v="2.1"/>
    <x v="0"/>
    <m/>
    <s v="OK"/>
    <n v="0"/>
    <s v="Correct Price"/>
    <n v="6512.4"/>
  </r>
  <r>
    <s v="FB002004"/>
    <x v="5"/>
    <x v="1"/>
    <x v="0"/>
    <s v="L"/>
    <s v="Purple"/>
    <n v="146.68"/>
    <x v="0"/>
    <n v="146.68"/>
    <d v="2024-08-07T00:00:00"/>
    <n v="8"/>
    <m/>
    <x v="0"/>
    <m/>
    <s v="OK"/>
    <n v="0"/>
    <s v="Correct Price"/>
    <n v="1173.44"/>
  </r>
  <r>
    <s v="FB002005"/>
    <x v="5"/>
    <x v="4"/>
    <x v="2"/>
    <s v="L"/>
    <s v="Pink"/>
    <n v="82.9"/>
    <x v="109"/>
    <n v="47.92"/>
    <d v="2025-08-06T00:00:00"/>
    <n v="4"/>
    <n v="2.1"/>
    <x v="0"/>
    <m/>
    <s v="OK"/>
    <n v="34.983800000000002"/>
    <s v="Correct Price"/>
    <n v="191.68"/>
  </r>
  <r>
    <s v="FB002006"/>
    <x v="1"/>
    <x v="0"/>
    <x v="2"/>
    <s v="XS"/>
    <s v="White"/>
    <n v="92.9"/>
    <x v="0"/>
    <n v="92.9"/>
    <d v="2025-08-06T00:00:00"/>
    <n v="30"/>
    <m/>
    <x v="0"/>
    <m/>
    <s v="OK"/>
    <n v="0"/>
    <s v="Correct Price"/>
    <n v="2787"/>
  </r>
  <r>
    <s v="FB002007"/>
    <x v="5"/>
    <x v="2"/>
    <x v="1"/>
    <s v="XXL"/>
    <s v="Blue"/>
    <n v="133.88999999999999"/>
    <x v="12"/>
    <n v="126.26"/>
    <d v="2025-08-06T00:00:00"/>
    <n v="17"/>
    <n v="3.4"/>
    <x v="1"/>
    <s v="Size Issue"/>
    <s v="OK"/>
    <n v="7.6317300000000001"/>
    <s v="Correct Price"/>
    <n v="2146.42"/>
  </r>
  <r>
    <s v="FB002008"/>
    <x v="5"/>
    <x v="5"/>
    <x v="1"/>
    <s v="XXL"/>
    <s v="Beige"/>
    <n v="89.1"/>
    <x v="0"/>
    <n v="89.1"/>
    <d v="2025-08-06T00:00:00"/>
    <n v="8"/>
    <n v="2.2000000000000002"/>
    <x v="0"/>
    <m/>
    <s v="OK"/>
    <n v="0"/>
    <s v="Correct Price"/>
    <n v="712.8"/>
  </r>
  <r>
    <s v="FB002009"/>
    <x v="0"/>
    <x v="2"/>
    <x v="1"/>
    <s v="XL"/>
    <s v="Beige"/>
    <n v="175.62"/>
    <x v="439"/>
    <n v="170"/>
    <d v="2025-08-06T00:00:00"/>
    <n v="46"/>
    <m/>
    <x v="0"/>
    <m/>
    <s v="OK"/>
    <n v="5.6198399999999999"/>
    <s v="Correct Price"/>
    <n v="7820"/>
  </r>
  <r>
    <s v="FB002010"/>
    <x v="5"/>
    <x v="4"/>
    <x v="3"/>
    <s v="L"/>
    <s v="Black"/>
    <n v="154.02000000000001"/>
    <x v="0"/>
    <n v="154.02000000000001"/>
    <d v="2025-08-06T00:00:00"/>
    <n v="21"/>
    <n v="3.3"/>
    <x v="0"/>
    <m/>
    <s v="OK"/>
    <n v="0"/>
    <s v="Correct Price"/>
    <n v="3234.42"/>
  </r>
  <r>
    <s v="FB002011"/>
    <x v="0"/>
    <x v="0"/>
    <x v="2"/>
    <s v="S"/>
    <s v="Beige"/>
    <n v="215.1"/>
    <x v="0"/>
    <n v="215.1"/>
    <d v="2025-08-06T00:00:00"/>
    <n v="16"/>
    <n v="2.5"/>
    <x v="0"/>
    <m/>
    <s v="OK"/>
    <n v="0"/>
    <s v="Correct Price"/>
    <n v="3441.6"/>
  </r>
  <r>
    <s v="FB002012"/>
    <x v="1"/>
    <x v="5"/>
    <x v="2"/>
    <s v="M"/>
    <s v="Brown"/>
    <n v="40.28"/>
    <x v="0"/>
    <n v="40.28"/>
    <d v="2025-08-06T00:00:00"/>
    <n v="35"/>
    <n v="3.8"/>
    <x v="0"/>
    <m/>
    <s v="OK"/>
    <n v="0"/>
    <s v="Correct Price"/>
    <n v="1409.8"/>
  </r>
  <r>
    <s v="FB002013"/>
    <x v="2"/>
    <x v="7"/>
    <x v="2"/>
    <m/>
    <s v="Gray"/>
    <n v="25.95"/>
    <x v="440"/>
    <n v="21.07"/>
    <d v="2025-08-06T00:00:00"/>
    <n v="1"/>
    <n v="4"/>
    <x v="0"/>
    <m/>
    <s v="OK"/>
    <n v="4.8786000000000005"/>
    <s v="Correct Price"/>
    <n v="21.07"/>
  </r>
  <r>
    <s v="FB002014"/>
    <x v="2"/>
    <x v="1"/>
    <x v="2"/>
    <m/>
    <s v="Navy"/>
    <n v="21.26"/>
    <x v="232"/>
    <n v="10.48"/>
    <d v="2025-08-06T00:00:00"/>
    <n v="39"/>
    <n v="4.3"/>
    <x v="0"/>
    <m/>
    <s v="OK"/>
    <n v="10.778820000000001"/>
    <s v="Correct Price"/>
    <n v="408.72"/>
  </r>
  <r>
    <s v="FB002015"/>
    <x v="5"/>
    <x v="0"/>
    <x v="0"/>
    <s v="XS"/>
    <s v="Blue"/>
    <n v="146.07"/>
    <x v="0"/>
    <n v="146.07"/>
    <d v="2025-07-09T00:00:00"/>
    <n v="33"/>
    <n v="3.7"/>
    <x v="0"/>
    <m/>
    <s v="OK"/>
    <n v="0"/>
    <s v="Correct Price"/>
    <n v="4820.3099999999995"/>
  </r>
  <r>
    <s v="FB002016"/>
    <x v="5"/>
    <x v="5"/>
    <x v="0"/>
    <s v="S"/>
    <s v="Gray"/>
    <n v="135.97"/>
    <x v="0"/>
    <n v="135.97"/>
    <d v="2024-09-10T00:00:00"/>
    <n v="30"/>
    <n v="1.1000000000000001"/>
    <x v="0"/>
    <m/>
    <s v="OK"/>
    <n v="0"/>
    <s v="Correct Price"/>
    <n v="4079.1"/>
  </r>
  <r>
    <s v="FB002017"/>
    <x v="3"/>
    <x v="0"/>
    <x v="0"/>
    <s v="L"/>
    <s v="Green"/>
    <n v="84.88"/>
    <x v="31"/>
    <n v="78.599999999999994"/>
    <d v="2025-03-26T00:00:00"/>
    <n v="42"/>
    <n v="3.4"/>
    <x v="0"/>
    <m/>
    <s v="OK"/>
    <n v="6.2811199999999996"/>
    <s v="Correct Price"/>
    <n v="3301.2"/>
  </r>
  <r>
    <s v="FB002018"/>
    <x v="3"/>
    <x v="4"/>
    <x v="1"/>
    <s v="XS"/>
    <s v="Beige"/>
    <n v="159.25"/>
    <x v="284"/>
    <n v="150.49"/>
    <d v="2025-08-06T00:00:00"/>
    <n v="8"/>
    <m/>
    <x v="0"/>
    <m/>
    <s v="OK"/>
    <n v="8.7587499999999991"/>
    <s v="Correct Price"/>
    <n v="1203.92"/>
  </r>
  <r>
    <s v="FB002019"/>
    <x v="4"/>
    <x v="5"/>
    <x v="1"/>
    <s v="M"/>
    <s v="Brown"/>
    <n v="84.29"/>
    <x v="0"/>
    <n v="84.29"/>
    <d v="2025-08-06T00:00:00"/>
    <n v="4"/>
    <n v="2.8"/>
    <x v="0"/>
    <m/>
    <s v="OK"/>
    <n v="0"/>
    <s v="Correct Price"/>
    <n v="337.16"/>
  </r>
  <r>
    <s v="FB002020"/>
    <x v="2"/>
    <x v="7"/>
    <x v="1"/>
    <m/>
    <s v="Red"/>
    <n v="38.86"/>
    <x v="0"/>
    <n v="38.86"/>
    <d v="2025-08-06T00:00:00"/>
    <n v="44"/>
    <m/>
    <x v="0"/>
    <m/>
    <s v="OK"/>
    <n v="0"/>
    <s v="Correct Price"/>
    <n v="1709.84"/>
  </r>
  <r>
    <s v="FB002021"/>
    <x v="1"/>
    <x v="2"/>
    <x v="3"/>
    <s v="M"/>
    <s v="Blue"/>
    <n v="38.72"/>
    <x v="0"/>
    <n v="38.72"/>
    <d v="2025-08-06T00:00:00"/>
    <n v="35"/>
    <n v="4"/>
    <x v="0"/>
    <m/>
    <s v="OK"/>
    <n v="0"/>
    <s v="Correct Price"/>
    <n v="1355.2"/>
  </r>
  <r>
    <s v="FB002022"/>
    <x v="5"/>
    <x v="0"/>
    <x v="1"/>
    <s v="XS"/>
    <s v="Black"/>
    <n v="177.1"/>
    <x v="0"/>
    <n v="177.1"/>
    <d v="2025-08-06T00:00:00"/>
    <n v="49"/>
    <n v="1.6"/>
    <x v="0"/>
    <m/>
    <s v="OK"/>
    <n v="0"/>
    <s v="Correct Price"/>
    <n v="8677.9"/>
  </r>
  <r>
    <s v="FB002023"/>
    <x v="4"/>
    <x v="7"/>
    <x v="0"/>
    <s v="XS"/>
    <s v="Gray"/>
    <n v="31.49"/>
    <x v="0"/>
    <n v="31.49"/>
    <d v="2024-10-19T00:00:00"/>
    <n v="28"/>
    <m/>
    <x v="0"/>
    <m/>
    <s v="OK"/>
    <n v="0"/>
    <s v="Correct Price"/>
    <n v="881.71999999999991"/>
  </r>
  <r>
    <s v="FB002024"/>
    <x v="1"/>
    <x v="1"/>
    <x v="3"/>
    <m/>
    <s v="Pink"/>
    <n v="118.14"/>
    <x v="0"/>
    <n v="118.14"/>
    <d v="2025-08-06T00:00:00"/>
    <n v="33"/>
    <n v="2.4"/>
    <x v="0"/>
    <m/>
    <s v="OK"/>
    <n v="0"/>
    <s v="Correct Price"/>
    <n v="3898.62"/>
  </r>
  <r>
    <s v="FB002025"/>
    <x v="1"/>
    <x v="6"/>
    <x v="0"/>
    <s v="S"/>
    <s v="Green"/>
    <n v="26.51"/>
    <x v="441"/>
    <n v="20.149999999999999"/>
    <d v="2025-05-24T00:00:00"/>
    <n v="1"/>
    <n v="4.7"/>
    <x v="0"/>
    <m/>
    <s v="OK"/>
    <n v="6.3624000000000001"/>
    <s v="Correct Price"/>
    <n v="20.149999999999999"/>
  </r>
  <r>
    <s v="FB002026"/>
    <x v="1"/>
    <x v="7"/>
    <x v="2"/>
    <s v="L"/>
    <s v="Blue"/>
    <n v="29.61"/>
    <x v="0"/>
    <n v="29.61"/>
    <d v="2025-08-06T00:00:00"/>
    <n v="9"/>
    <n v="1"/>
    <x v="0"/>
    <m/>
    <s v="OK"/>
    <n v="0"/>
    <s v="Correct Price"/>
    <n v="266.49"/>
  </r>
  <r>
    <s v="FB002027"/>
    <x v="0"/>
    <x v="5"/>
    <x v="3"/>
    <s v="S"/>
    <s v="Gray"/>
    <n v="244.13"/>
    <x v="0"/>
    <n v="244.13"/>
    <d v="2025-08-06T00:00:00"/>
    <n v="2"/>
    <n v="3.5"/>
    <x v="1"/>
    <s v="Size Issue"/>
    <s v="OK"/>
    <n v="0"/>
    <s v="Correct Price"/>
    <n v="488.26"/>
  </r>
  <r>
    <s v="FB002028"/>
    <x v="2"/>
    <x v="6"/>
    <x v="0"/>
    <m/>
    <s v="White"/>
    <n v="16.54"/>
    <x v="0"/>
    <n v="16.54"/>
    <d v="2025-04-26T00:00:00"/>
    <n v="30"/>
    <m/>
    <x v="0"/>
    <m/>
    <s v="OK"/>
    <n v="0"/>
    <s v="Correct Price"/>
    <n v="496.2"/>
  </r>
  <r>
    <s v="FB002029"/>
    <x v="1"/>
    <x v="0"/>
    <x v="2"/>
    <s v="S"/>
    <s v="White"/>
    <n v="100.98"/>
    <x v="0"/>
    <n v="100.98"/>
    <d v="2025-08-06T00:00:00"/>
    <n v="41"/>
    <m/>
    <x v="0"/>
    <m/>
    <s v="OK"/>
    <n v="0"/>
    <s v="Correct Price"/>
    <n v="4140.18"/>
  </r>
  <r>
    <s v="FB002030"/>
    <x v="0"/>
    <x v="1"/>
    <x v="1"/>
    <m/>
    <s v="Gray"/>
    <n v="175.42"/>
    <x v="0"/>
    <n v="175.42"/>
    <d v="2025-08-06T00:00:00"/>
    <n v="5"/>
    <n v="3.6"/>
    <x v="0"/>
    <m/>
    <s v="OK"/>
    <n v="0"/>
    <s v="Correct Price"/>
    <n v="877.09999999999991"/>
  </r>
  <r>
    <s v="FB002031"/>
    <x v="5"/>
    <x v="5"/>
    <x v="0"/>
    <s v="XXL"/>
    <s v="Pink"/>
    <n v="133.15"/>
    <x v="378"/>
    <n v="106.12"/>
    <d v="2025-06-03T00:00:00"/>
    <n v="9"/>
    <n v="3.2"/>
    <x v="0"/>
    <m/>
    <s v="OK"/>
    <n v="27.029450000000001"/>
    <s v="Correct Price"/>
    <n v="955.08"/>
  </r>
  <r>
    <s v="FB002032"/>
    <x v="5"/>
    <x v="1"/>
    <x v="2"/>
    <m/>
    <s v="Pink"/>
    <n v="94.21"/>
    <x v="98"/>
    <n v="52.1"/>
    <d v="2025-08-06T00:00:00"/>
    <n v="48"/>
    <n v="4.3"/>
    <x v="0"/>
    <m/>
    <s v="OK"/>
    <n v="42.111869999999996"/>
    <s v="Correct Price"/>
    <n v="2500.8000000000002"/>
  </r>
  <r>
    <s v="FB002033"/>
    <x v="1"/>
    <x v="7"/>
    <x v="1"/>
    <s v="M"/>
    <s v="Pink"/>
    <n v="115.44"/>
    <x v="0"/>
    <n v="115.44"/>
    <d v="2025-08-06T00:00:00"/>
    <n v="21"/>
    <n v="1.2"/>
    <x v="0"/>
    <m/>
    <s v="OK"/>
    <n v="0"/>
    <s v="Correct Price"/>
    <n v="2424.2399999999998"/>
  </r>
  <r>
    <s v="FB002034"/>
    <x v="0"/>
    <x v="0"/>
    <x v="0"/>
    <s v="S"/>
    <s v="White"/>
    <n v="194.39"/>
    <x v="442"/>
    <n v="142.88"/>
    <d v="2025-04-15T00:00:00"/>
    <n v="12"/>
    <n v="1.2"/>
    <x v="0"/>
    <m/>
    <s v="OK"/>
    <n v="51.513350000000003"/>
    <s v="Correct Price"/>
    <n v="1714.56"/>
  </r>
  <r>
    <s v="FB002035"/>
    <x v="3"/>
    <x v="2"/>
    <x v="0"/>
    <s v="L"/>
    <s v="White"/>
    <n v="132.38999999999999"/>
    <x v="163"/>
    <n v="95.85"/>
    <d v="2024-10-31T00:00:00"/>
    <n v="16"/>
    <m/>
    <x v="0"/>
    <m/>
    <s v="OK"/>
    <n v="36.539639999999999"/>
    <s v="Correct Price"/>
    <n v="1533.6"/>
  </r>
  <r>
    <s v="FB002036"/>
    <x v="2"/>
    <x v="1"/>
    <x v="0"/>
    <m/>
    <s v="Red"/>
    <n v="52.54"/>
    <x v="94"/>
    <n v="44.87"/>
    <d v="2024-09-17T00:00:00"/>
    <n v="7"/>
    <n v="1.4"/>
    <x v="0"/>
    <m/>
    <s v="OK"/>
    <n v="7.6708399999999992"/>
    <s v="Correct Price"/>
    <n v="314.08999999999997"/>
  </r>
  <r>
    <s v="FB002037"/>
    <x v="5"/>
    <x v="1"/>
    <x v="0"/>
    <s v="XL"/>
    <s v="Black"/>
    <n v="165.01"/>
    <x v="279"/>
    <n v="97.03"/>
    <d v="2024-10-19T00:00:00"/>
    <n v="22"/>
    <m/>
    <x v="0"/>
    <m/>
    <s v="OK"/>
    <n v="67.984120000000004"/>
    <s v="Correct Price"/>
    <n v="2134.66"/>
  </r>
  <r>
    <s v="FB002038"/>
    <x v="2"/>
    <x v="5"/>
    <x v="0"/>
    <m/>
    <s v="Purple"/>
    <n v="42.94"/>
    <x v="290"/>
    <n v="28.21"/>
    <d v="2024-12-22T00:00:00"/>
    <n v="41"/>
    <m/>
    <x v="0"/>
    <m/>
    <s v="OK"/>
    <n v="14.728419999999998"/>
    <s v="Correct Price"/>
    <n v="1156.6100000000001"/>
  </r>
  <r>
    <s v="FB002039"/>
    <x v="1"/>
    <x v="1"/>
    <x v="2"/>
    <s v="XL"/>
    <s v="Beige"/>
    <n v="72.78"/>
    <x v="0"/>
    <n v="72.78"/>
    <d v="2025-08-06T00:00:00"/>
    <n v="49"/>
    <n v="3.1"/>
    <x v="0"/>
    <m/>
    <s v="OK"/>
    <n v="0"/>
    <s v="Correct Price"/>
    <n v="3566.2200000000003"/>
  </r>
  <r>
    <s v="FB002040"/>
    <x v="3"/>
    <x v="1"/>
    <x v="2"/>
    <s v="S"/>
    <s v="Red"/>
    <n v="189.32"/>
    <x v="0"/>
    <n v="189.32"/>
    <d v="2025-08-06T00:00:00"/>
    <n v="35"/>
    <n v="2.5"/>
    <x v="0"/>
    <m/>
    <s v="OK"/>
    <n v="0"/>
    <s v="Correct Price"/>
    <n v="6626.2"/>
  </r>
  <r>
    <s v="FB002041"/>
    <x v="5"/>
    <x v="5"/>
    <x v="3"/>
    <s v="XL"/>
    <s v="White"/>
    <n v="157"/>
    <x v="443"/>
    <n v="69.55"/>
    <d v="2025-08-06T00:00:00"/>
    <n v="6"/>
    <n v="2.1"/>
    <x v="0"/>
    <m/>
    <s v="OK"/>
    <n v="87.448999999999998"/>
    <s v="Correct Price"/>
    <n v="417.29999999999995"/>
  </r>
  <r>
    <s v="FB002042"/>
    <x v="1"/>
    <x v="6"/>
    <x v="0"/>
    <s v="S"/>
    <s v="Purple"/>
    <n v="28.73"/>
    <x v="208"/>
    <n v="21.15"/>
    <d v="2024-10-10T00:00:00"/>
    <n v="47"/>
    <n v="2.2999999999999998"/>
    <x v="1"/>
    <s v="Size Issue"/>
    <s v="OK"/>
    <n v="7.5847199999999999"/>
    <s v="Correct Price"/>
    <n v="994.05"/>
  </r>
  <r>
    <s v="FB002043"/>
    <x v="0"/>
    <x v="7"/>
    <x v="1"/>
    <s v="L"/>
    <s v="Gray"/>
    <n v="144.63999999999999"/>
    <x v="0"/>
    <n v="144.63999999999999"/>
    <d v="2025-08-06T00:00:00"/>
    <n v="0"/>
    <n v="4.5"/>
    <x v="0"/>
    <m/>
    <s v="OK"/>
    <n v="0"/>
    <s v="Correct Price"/>
    <n v="0"/>
  </r>
  <r>
    <s v="FB002044"/>
    <x v="3"/>
    <x v="2"/>
    <x v="2"/>
    <s v="L"/>
    <s v="Blue"/>
    <n v="180.99"/>
    <x v="0"/>
    <n v="180.99"/>
    <d v="2025-08-06T00:00:00"/>
    <n v="0"/>
    <n v="4.5"/>
    <x v="0"/>
    <m/>
    <s v="OK"/>
    <n v="0"/>
    <s v="Correct Price"/>
    <n v="0"/>
  </r>
  <r>
    <s v="FB002045"/>
    <x v="1"/>
    <x v="5"/>
    <x v="2"/>
    <s v="M"/>
    <s v="Green"/>
    <n v="74.959999999999994"/>
    <x v="78"/>
    <n v="32.909999999999997"/>
    <d v="2025-08-06T00:00:00"/>
    <n v="16"/>
    <m/>
    <x v="1"/>
    <s v="Wrong Item"/>
    <s v="OK"/>
    <n v="42.052559999999993"/>
    <s v="Correct Price"/>
    <n v="526.55999999999995"/>
  </r>
  <r>
    <s v="FB002046"/>
    <x v="5"/>
    <x v="5"/>
    <x v="2"/>
    <s v="XXL"/>
    <s v="Navy"/>
    <n v="63.46"/>
    <x v="0"/>
    <n v="63.46"/>
    <d v="2025-08-06T00:00:00"/>
    <n v="36"/>
    <n v="1.2"/>
    <x v="0"/>
    <m/>
    <s v="OK"/>
    <n v="0"/>
    <s v="Correct Price"/>
    <n v="2284.56"/>
  </r>
  <r>
    <s v="FB002047"/>
    <x v="3"/>
    <x v="3"/>
    <x v="0"/>
    <s v="S"/>
    <s v="Black"/>
    <n v="105.95"/>
    <x v="359"/>
    <n v="72.47"/>
    <d v="2025-04-01T00:00:00"/>
    <n v="38"/>
    <n v="3.5"/>
    <x v="0"/>
    <m/>
    <s v="OK"/>
    <n v="33.480200000000004"/>
    <s v="Correct Price"/>
    <n v="2753.86"/>
  </r>
  <r>
    <s v="FB002048"/>
    <x v="5"/>
    <x v="3"/>
    <x v="3"/>
    <s v="S"/>
    <s v="Navy"/>
    <n v="86.55"/>
    <x v="444"/>
    <n v="65.349999999999994"/>
    <d v="2025-08-06T00:00:00"/>
    <n v="40"/>
    <n v="3.5"/>
    <x v="0"/>
    <m/>
    <s v="OK"/>
    <n v="21.204750000000001"/>
    <s v="Correct Price"/>
    <n v="2614"/>
  </r>
  <r>
    <s v="FB002049"/>
    <x v="4"/>
    <x v="6"/>
    <x v="2"/>
    <s v="M"/>
    <s v="Navy"/>
    <n v="90.97"/>
    <x v="116"/>
    <n v="81.150000000000006"/>
    <d v="2025-08-06T00:00:00"/>
    <n v="33"/>
    <n v="2.2000000000000002"/>
    <x v="1"/>
    <s v="Damaged"/>
    <s v="OK"/>
    <n v="9.8247599999999995"/>
    <s v="Correct Price"/>
    <n v="2677.9500000000003"/>
  </r>
  <r>
    <s v="FB002050"/>
    <x v="5"/>
    <x v="3"/>
    <x v="1"/>
    <s v="L"/>
    <s v="Beige"/>
    <n v="122.41"/>
    <x v="175"/>
    <n v="63.41"/>
    <d v="2025-08-06T00:00:00"/>
    <n v="49"/>
    <n v="4.5"/>
    <x v="0"/>
    <m/>
    <s v="OK"/>
    <n v="59.001620000000003"/>
    <s v="Correct Price"/>
    <n v="3107.0899999999997"/>
  </r>
  <r>
    <s v="FB002051"/>
    <x v="3"/>
    <x v="2"/>
    <x v="1"/>
    <s v="XXL"/>
    <s v="Gray"/>
    <n v="198.22"/>
    <x v="0"/>
    <n v="198.22"/>
    <d v="2025-08-06T00:00:00"/>
    <n v="12"/>
    <m/>
    <x v="0"/>
    <m/>
    <s v="OK"/>
    <n v="0"/>
    <s v="Correct Price"/>
    <n v="2378.64"/>
  </r>
  <r>
    <s v="FB002052"/>
    <x v="3"/>
    <x v="0"/>
    <x v="1"/>
    <s v="M"/>
    <s v="Beige"/>
    <n v="129.56"/>
    <x v="445"/>
    <n v="102.61"/>
    <d v="2025-08-06T00:00:00"/>
    <n v="3"/>
    <n v="2.9"/>
    <x v="0"/>
    <m/>
    <s v="OK"/>
    <n v="26.94848"/>
    <s v="Correct Price"/>
    <n v="307.83"/>
  </r>
  <r>
    <s v="FB002053"/>
    <x v="2"/>
    <x v="0"/>
    <x v="3"/>
    <m/>
    <s v="Pink"/>
    <n v="49.31"/>
    <x v="0"/>
    <n v="49.31"/>
    <d v="2025-08-06T00:00:00"/>
    <n v="49"/>
    <n v="3.4"/>
    <x v="0"/>
    <m/>
    <s v="OK"/>
    <n v="0"/>
    <s v="Correct Price"/>
    <n v="2416.19"/>
  </r>
  <r>
    <s v="FB002054"/>
    <x v="0"/>
    <x v="1"/>
    <x v="3"/>
    <s v="S"/>
    <s v="Pink"/>
    <n v="206.94"/>
    <x v="0"/>
    <n v="206.94"/>
    <d v="2025-08-06T00:00:00"/>
    <n v="43"/>
    <n v="3.3"/>
    <x v="0"/>
    <m/>
    <s v="OK"/>
    <n v="0"/>
    <s v="Correct Price"/>
    <n v="8898.42"/>
  </r>
  <r>
    <s v="FB002055"/>
    <x v="2"/>
    <x v="2"/>
    <x v="3"/>
    <m/>
    <s v="Black"/>
    <n v="36.93"/>
    <x v="0"/>
    <n v="36.93"/>
    <d v="2025-08-06T00:00:00"/>
    <n v="18"/>
    <m/>
    <x v="0"/>
    <m/>
    <s v="OK"/>
    <n v="0"/>
    <s v="Correct Price"/>
    <n v="664.74"/>
  </r>
  <r>
    <s v="FB002056"/>
    <x v="2"/>
    <x v="1"/>
    <x v="3"/>
    <m/>
    <s v="Green"/>
    <n v="21.85"/>
    <x v="393"/>
    <n v="19.23"/>
    <d v="2025-08-06T00:00:00"/>
    <n v="18"/>
    <n v="4.8"/>
    <x v="0"/>
    <m/>
    <s v="OK"/>
    <n v="2.6220000000000003"/>
    <s v="Correct Price"/>
    <n v="346.14"/>
  </r>
  <r>
    <s v="FB002057"/>
    <x v="3"/>
    <x v="2"/>
    <x v="1"/>
    <s v="S"/>
    <s v="Brown"/>
    <n v="174.65"/>
    <x v="174"/>
    <n v="98.15"/>
    <d v="2025-08-06T00:00:00"/>
    <n v="28"/>
    <n v="3.3"/>
    <x v="0"/>
    <m/>
    <s v="OK"/>
    <n v="76.496700000000004"/>
    <s v="Correct Price"/>
    <n v="2748.2000000000003"/>
  </r>
  <r>
    <s v="FB002058"/>
    <x v="2"/>
    <x v="3"/>
    <x v="0"/>
    <m/>
    <s v="Pink"/>
    <n v="19.96"/>
    <x v="0"/>
    <n v="19.96"/>
    <d v="2025-06-19T00:00:00"/>
    <n v="16"/>
    <n v="1.4"/>
    <x v="0"/>
    <m/>
    <s v="OK"/>
    <n v="0"/>
    <s v="Correct Price"/>
    <n v="319.36"/>
  </r>
  <r>
    <s v="FB002059"/>
    <x v="1"/>
    <x v="4"/>
    <x v="2"/>
    <s v="M"/>
    <s v="Green"/>
    <n v="90.46"/>
    <x v="161"/>
    <n v="41.52"/>
    <d v="2025-08-06T00:00:00"/>
    <n v="15"/>
    <n v="2.5"/>
    <x v="0"/>
    <m/>
    <s v="OK"/>
    <n v="48.938859999999998"/>
    <s v="Correct Price"/>
    <n v="622.80000000000007"/>
  </r>
  <r>
    <s v="FB002060"/>
    <x v="3"/>
    <x v="4"/>
    <x v="2"/>
    <s v="L"/>
    <s v="Blue"/>
    <n v="189.24"/>
    <x v="0"/>
    <n v="189.24"/>
    <d v="2025-08-06T00:00:00"/>
    <n v="25"/>
    <n v="3.6"/>
    <x v="1"/>
    <s v="Color Mismatch"/>
    <s v="OK"/>
    <n v="0"/>
    <s v="Correct Price"/>
    <n v="4731"/>
  </r>
  <r>
    <s v="FB002061"/>
    <x v="0"/>
    <x v="2"/>
    <x v="3"/>
    <s v="XXL"/>
    <s v="Black"/>
    <n v="231.24"/>
    <x v="146"/>
    <n v="128.11000000000001"/>
    <d v="2025-08-06T00:00:00"/>
    <n v="15"/>
    <n v="3.7"/>
    <x v="0"/>
    <m/>
    <s v="OK"/>
    <n v="103.13303999999999"/>
    <s v="Correct Price"/>
    <n v="1921.65"/>
  </r>
  <r>
    <s v="FB002062"/>
    <x v="2"/>
    <x v="3"/>
    <x v="2"/>
    <m/>
    <s v="Beige"/>
    <n v="66.48"/>
    <x v="0"/>
    <n v="66.48"/>
    <d v="2025-08-06T00:00:00"/>
    <n v="38"/>
    <n v="1.4"/>
    <x v="0"/>
    <m/>
    <s v="OK"/>
    <n v="0"/>
    <s v="Correct Price"/>
    <n v="2526.2400000000002"/>
  </r>
  <r>
    <s v="FB002063"/>
    <x v="2"/>
    <x v="4"/>
    <x v="2"/>
    <m/>
    <s v="Beige"/>
    <n v="37.270000000000003"/>
    <x v="0"/>
    <n v="37.270000000000003"/>
    <d v="2025-08-06T00:00:00"/>
    <n v="15"/>
    <n v="3.8"/>
    <x v="0"/>
    <m/>
    <s v="OK"/>
    <n v="0"/>
    <s v="Correct Price"/>
    <n v="559.05000000000007"/>
  </r>
  <r>
    <s v="FB002064"/>
    <x v="3"/>
    <x v="1"/>
    <x v="0"/>
    <s v="L"/>
    <s v="Brown"/>
    <n v="178.05"/>
    <x v="0"/>
    <n v="178.05"/>
    <d v="2025-03-08T00:00:00"/>
    <n v="24"/>
    <m/>
    <x v="0"/>
    <m/>
    <s v="OK"/>
    <n v="0"/>
    <s v="Correct Price"/>
    <n v="4273.2000000000007"/>
  </r>
  <r>
    <s v="FB002065"/>
    <x v="1"/>
    <x v="7"/>
    <x v="0"/>
    <s v="XS"/>
    <s v="Pink"/>
    <n v="73.760000000000005"/>
    <x v="0"/>
    <n v="73.760000000000005"/>
    <d v="2024-08-19T00:00:00"/>
    <n v="25"/>
    <n v="1.3"/>
    <x v="0"/>
    <m/>
    <s v="OK"/>
    <n v="0"/>
    <s v="Correct Price"/>
    <n v="1844.0000000000002"/>
  </r>
  <r>
    <s v="FB002066"/>
    <x v="4"/>
    <x v="0"/>
    <x v="1"/>
    <s v="XL"/>
    <s v="Pink"/>
    <n v="36.229999999999997"/>
    <x v="0"/>
    <n v="36.229999999999997"/>
    <d v="2025-08-06T00:00:00"/>
    <n v="49"/>
    <m/>
    <x v="0"/>
    <m/>
    <s v="OK"/>
    <n v="0"/>
    <s v="Correct Price"/>
    <n v="1775.2699999999998"/>
  </r>
  <r>
    <s v="FB002067"/>
    <x v="4"/>
    <x v="4"/>
    <x v="0"/>
    <s v="S"/>
    <s v="Purple"/>
    <n v="48.89"/>
    <x v="0"/>
    <n v="48.89"/>
    <d v="2024-12-10T00:00:00"/>
    <n v="9"/>
    <n v="3.1"/>
    <x v="0"/>
    <m/>
    <s v="OK"/>
    <n v="0"/>
    <s v="Correct Price"/>
    <n v="440.01"/>
  </r>
  <r>
    <s v="FB002068"/>
    <x v="1"/>
    <x v="4"/>
    <x v="1"/>
    <s v="XL"/>
    <s v="Pink"/>
    <n v="94.15"/>
    <x v="261"/>
    <n v="64.959999999999994"/>
    <d v="2025-08-06T00:00:00"/>
    <n v="25"/>
    <m/>
    <x v="0"/>
    <m/>
    <s v="OK"/>
    <n v="29.186500000000002"/>
    <s v="Correct Price"/>
    <n v="1623.9999999999998"/>
  </r>
  <r>
    <s v="FB002069"/>
    <x v="2"/>
    <x v="7"/>
    <x v="3"/>
    <m/>
    <s v="Brown"/>
    <n v="27.7"/>
    <x v="0"/>
    <n v="27.7"/>
    <d v="2025-08-06T00:00:00"/>
    <n v="27"/>
    <n v="4.8"/>
    <x v="0"/>
    <m/>
    <s v="OK"/>
    <n v="0"/>
    <s v="Correct Price"/>
    <n v="747.9"/>
  </r>
  <r>
    <s v="FB002070"/>
    <x v="3"/>
    <x v="4"/>
    <x v="0"/>
    <s v="XXL"/>
    <s v="Gray"/>
    <n v="122.55"/>
    <x v="305"/>
    <n v="108.82"/>
    <d v="2024-10-02T00:00:00"/>
    <n v="23"/>
    <m/>
    <x v="0"/>
    <m/>
    <s v="OK"/>
    <n v="13.7256"/>
    <s v="Correct Price"/>
    <n v="2502.8599999999997"/>
  </r>
  <r>
    <s v="FB002071"/>
    <x v="5"/>
    <x v="3"/>
    <x v="0"/>
    <s v="XL"/>
    <s v="Pink"/>
    <n v="173.77"/>
    <x v="80"/>
    <n v="144.22999999999999"/>
    <d v="2024-11-20T00:00:00"/>
    <n v="5"/>
    <n v="1.9"/>
    <x v="0"/>
    <m/>
    <s v="OK"/>
    <n v="29.540900000000001"/>
    <s v="Correct Price"/>
    <n v="721.15"/>
  </r>
  <r>
    <s v="FB002072"/>
    <x v="2"/>
    <x v="1"/>
    <x v="3"/>
    <m/>
    <s v="Pink"/>
    <n v="77.45"/>
    <x v="0"/>
    <n v="77.45"/>
    <d v="2025-08-06T00:00:00"/>
    <n v="0"/>
    <n v="3.1"/>
    <x v="0"/>
    <m/>
    <s v="OK"/>
    <n v="0"/>
    <s v="Correct Price"/>
    <n v="0"/>
  </r>
  <r>
    <s v="FB002073"/>
    <x v="4"/>
    <x v="1"/>
    <x v="1"/>
    <s v="M"/>
    <s v="Black"/>
    <n v="34.159999999999997"/>
    <x v="0"/>
    <n v="34.159999999999997"/>
    <d v="2025-08-06T00:00:00"/>
    <n v="37"/>
    <n v="1.3"/>
    <x v="0"/>
    <m/>
    <s v="OK"/>
    <n v="0"/>
    <s v="Correct Price"/>
    <n v="1263.9199999999998"/>
  </r>
  <r>
    <s v="FB002074"/>
    <x v="2"/>
    <x v="7"/>
    <x v="3"/>
    <m/>
    <s v="White"/>
    <n v="71.3"/>
    <x v="0"/>
    <n v="71.3"/>
    <d v="2025-08-06T00:00:00"/>
    <n v="21"/>
    <n v="1.6"/>
    <x v="0"/>
    <m/>
    <s v="OK"/>
    <n v="0"/>
    <s v="Correct Price"/>
    <n v="1497.3"/>
  </r>
  <r>
    <s v="FB002075"/>
    <x v="1"/>
    <x v="4"/>
    <x v="3"/>
    <s v="M"/>
    <s v="Brown"/>
    <n v="63.67"/>
    <x v="0"/>
    <n v="63.67"/>
    <d v="2025-08-06T00:00:00"/>
    <n v="18"/>
    <n v="1.6"/>
    <x v="0"/>
    <m/>
    <s v="OK"/>
    <n v="0"/>
    <s v="Correct Price"/>
    <n v="1146.06"/>
  </r>
  <r>
    <s v="FB002076"/>
    <x v="0"/>
    <x v="7"/>
    <x v="2"/>
    <s v="S"/>
    <s v="Gray"/>
    <n v="249.98"/>
    <x v="0"/>
    <n v="249.98"/>
    <d v="2025-08-06T00:00:00"/>
    <n v="46"/>
    <n v="3.6"/>
    <x v="0"/>
    <m/>
    <s v="OK"/>
    <n v="0"/>
    <s v="Correct Price"/>
    <n v="11499.08"/>
  </r>
  <r>
    <s v="FB002077"/>
    <x v="0"/>
    <x v="5"/>
    <x v="0"/>
    <s v="XL"/>
    <s v="Green"/>
    <n v="103.92"/>
    <x v="0"/>
    <n v="103.92"/>
    <d v="2024-10-24T00:00:00"/>
    <n v="5"/>
    <m/>
    <x v="0"/>
    <m/>
    <s v="OK"/>
    <n v="0"/>
    <s v="Correct Price"/>
    <n v="519.6"/>
  </r>
  <r>
    <s v="FB002078"/>
    <x v="3"/>
    <x v="1"/>
    <x v="3"/>
    <s v="XL"/>
    <s v="Black"/>
    <n v="116.76"/>
    <x v="0"/>
    <n v="116.76"/>
    <d v="2025-08-06T00:00:00"/>
    <n v="13"/>
    <m/>
    <x v="0"/>
    <m/>
    <s v="OK"/>
    <n v="0"/>
    <s v="Correct Price"/>
    <n v="1517.88"/>
  </r>
  <r>
    <s v="FB002079"/>
    <x v="3"/>
    <x v="6"/>
    <x v="1"/>
    <s v="XXL"/>
    <s v="White"/>
    <n v="102.61"/>
    <x v="0"/>
    <n v="102.61"/>
    <d v="2025-08-06T00:00:00"/>
    <n v="47"/>
    <n v="3.5"/>
    <x v="0"/>
    <m/>
    <s v="OK"/>
    <n v="0"/>
    <s v="Correct Price"/>
    <n v="4822.67"/>
  </r>
  <r>
    <s v="FB002080"/>
    <x v="2"/>
    <x v="5"/>
    <x v="0"/>
    <m/>
    <s v="Pink"/>
    <n v="43.48"/>
    <x v="0"/>
    <n v="43.48"/>
    <d v="2024-08-23T00:00:00"/>
    <n v="11"/>
    <n v="4.7"/>
    <x v="0"/>
    <m/>
    <s v="OK"/>
    <n v="0"/>
    <s v="Correct Price"/>
    <n v="478.28"/>
  </r>
  <r>
    <s v="FB002081"/>
    <x v="2"/>
    <x v="7"/>
    <x v="1"/>
    <m/>
    <s v="Pink"/>
    <n v="39.9"/>
    <x v="0"/>
    <n v="39.9"/>
    <d v="2025-08-06T00:00:00"/>
    <n v="6"/>
    <n v="2.4"/>
    <x v="1"/>
    <s v="Damaged"/>
    <s v="OK"/>
    <n v="0"/>
    <s v="Correct Price"/>
    <n v="239.39999999999998"/>
  </r>
  <r>
    <s v="FB002082"/>
    <x v="4"/>
    <x v="0"/>
    <x v="0"/>
    <s v="S"/>
    <s v="Pink"/>
    <n v="86"/>
    <x v="176"/>
    <n v="54.44"/>
    <d v="2025-04-23T00:00:00"/>
    <n v="18"/>
    <n v="2.4"/>
    <x v="1"/>
    <s v="Size Issue"/>
    <s v="OK"/>
    <n v="31.562000000000001"/>
    <s v="Correct Price"/>
    <n v="979.92"/>
  </r>
  <r>
    <s v="FB002083"/>
    <x v="3"/>
    <x v="6"/>
    <x v="3"/>
    <s v="XXL"/>
    <s v="Blue"/>
    <n v="154.47999999999999"/>
    <x v="6"/>
    <n v="64.11"/>
    <d v="2025-08-06T00:00:00"/>
    <n v="19"/>
    <n v="3.2"/>
    <x v="0"/>
    <m/>
    <s v="OK"/>
    <n v="90.370800000000003"/>
    <s v="Correct Price"/>
    <n v="1218.0899999999999"/>
  </r>
  <r>
    <s v="FB002084"/>
    <x v="5"/>
    <x v="6"/>
    <x v="3"/>
    <s v="S"/>
    <s v="Red"/>
    <n v="141.97"/>
    <x v="233"/>
    <n v="91.85"/>
    <d v="2025-08-06T00:00:00"/>
    <n v="12"/>
    <n v="2.6"/>
    <x v="0"/>
    <m/>
    <s v="OK"/>
    <n v="50.11540999999999"/>
    <s v="Correct Price"/>
    <n v="1102.1999999999998"/>
  </r>
  <r>
    <s v="FB002085"/>
    <x v="0"/>
    <x v="6"/>
    <x v="0"/>
    <s v="XS"/>
    <s v="Red"/>
    <n v="119.36"/>
    <x v="0"/>
    <n v="119.36"/>
    <d v="2025-07-02T00:00:00"/>
    <n v="30"/>
    <n v="2.7"/>
    <x v="1"/>
    <s v="Size Issue"/>
    <s v="OK"/>
    <n v="0"/>
    <s v="Correct Price"/>
    <n v="3580.8"/>
  </r>
  <r>
    <s v="FB002086"/>
    <x v="2"/>
    <x v="7"/>
    <x v="3"/>
    <m/>
    <s v="Navy"/>
    <n v="15.71"/>
    <x v="91"/>
    <n v="8.23"/>
    <d v="2025-08-06T00:00:00"/>
    <n v="42"/>
    <n v="2"/>
    <x v="0"/>
    <m/>
    <s v="OK"/>
    <n v="7.4779600000000004"/>
    <s v="Correct Price"/>
    <n v="345.66"/>
  </r>
  <r>
    <s v="FB002087"/>
    <x v="3"/>
    <x v="3"/>
    <x v="1"/>
    <s v="M"/>
    <s v="Black"/>
    <n v="89.12"/>
    <x v="0"/>
    <n v="89.12"/>
    <d v="2025-08-06T00:00:00"/>
    <n v="27"/>
    <m/>
    <x v="1"/>
    <s v="Damaged"/>
    <s v="OK"/>
    <n v="0"/>
    <s v="Correct Price"/>
    <n v="2406.2400000000002"/>
  </r>
  <r>
    <s v="FB002088"/>
    <x v="4"/>
    <x v="4"/>
    <x v="2"/>
    <s v="S"/>
    <s v="Blue"/>
    <n v="30.43"/>
    <x v="0"/>
    <n v="30.43"/>
    <d v="2025-08-06T00:00:00"/>
    <n v="32"/>
    <n v="3.1"/>
    <x v="0"/>
    <m/>
    <s v="OK"/>
    <n v="0"/>
    <s v="Correct Price"/>
    <n v="973.76"/>
  </r>
  <r>
    <s v="FB002089"/>
    <x v="5"/>
    <x v="7"/>
    <x v="1"/>
    <s v="XS"/>
    <s v="Pink"/>
    <n v="115.4"/>
    <x v="0"/>
    <n v="115.4"/>
    <d v="2025-08-06T00:00:00"/>
    <n v="7"/>
    <n v="4.5"/>
    <x v="0"/>
    <m/>
    <s v="OK"/>
    <n v="0"/>
    <s v="Correct Price"/>
    <n v="807.80000000000007"/>
  </r>
  <r>
    <s v="FB002090"/>
    <x v="0"/>
    <x v="6"/>
    <x v="1"/>
    <s v="S"/>
    <s v="Red"/>
    <n v="155.19999999999999"/>
    <x v="0"/>
    <n v="155.19999999999999"/>
    <d v="2025-08-06T00:00:00"/>
    <n v="5"/>
    <n v="4.8"/>
    <x v="0"/>
    <m/>
    <s v="OK"/>
    <n v="0"/>
    <s v="Correct Price"/>
    <n v="776"/>
  </r>
  <r>
    <s v="FB002091"/>
    <x v="4"/>
    <x v="7"/>
    <x v="2"/>
    <s v="L"/>
    <s v="Gray"/>
    <n v="104.83"/>
    <x v="0"/>
    <n v="104.83"/>
    <d v="2025-08-06T00:00:00"/>
    <n v="26"/>
    <n v="4"/>
    <x v="0"/>
    <m/>
    <s v="OK"/>
    <n v="0"/>
    <s v="Correct Price"/>
    <n v="2725.58"/>
  </r>
  <r>
    <s v="FB002092"/>
    <x v="2"/>
    <x v="6"/>
    <x v="3"/>
    <m/>
    <s v="Gray"/>
    <n v="41.62"/>
    <x v="0"/>
    <n v="41.62"/>
    <d v="2025-08-06T00:00:00"/>
    <n v="33"/>
    <m/>
    <x v="0"/>
    <m/>
    <s v="OK"/>
    <n v="0"/>
    <s v="Correct Price"/>
    <n v="1373.4599999999998"/>
  </r>
  <r>
    <s v="FB002093"/>
    <x v="4"/>
    <x v="5"/>
    <x v="0"/>
    <s v="M"/>
    <s v="Beige"/>
    <n v="94.92"/>
    <x v="0"/>
    <n v="94.92"/>
    <d v="2024-09-29T00:00:00"/>
    <n v="20"/>
    <n v="2.2999999999999998"/>
    <x v="0"/>
    <m/>
    <s v="OK"/>
    <n v="0"/>
    <s v="Correct Price"/>
    <n v="1898.4"/>
  </r>
  <r>
    <s v="FB002094"/>
    <x v="4"/>
    <x v="3"/>
    <x v="2"/>
    <s v="XXL"/>
    <s v="Red"/>
    <n v="107.92"/>
    <x v="446"/>
    <n v="83.96"/>
    <d v="2025-08-06T00:00:00"/>
    <n v="35"/>
    <n v="3.7"/>
    <x v="0"/>
    <m/>
    <s v="OK"/>
    <n v="23.95824"/>
    <s v="Correct Price"/>
    <n v="2938.6"/>
  </r>
  <r>
    <s v="FB002095"/>
    <x v="2"/>
    <x v="7"/>
    <x v="3"/>
    <m/>
    <s v="Green"/>
    <n v="45.52"/>
    <x v="0"/>
    <n v="45.52"/>
    <d v="2025-08-06T00:00:00"/>
    <n v="41"/>
    <n v="1.6"/>
    <x v="0"/>
    <m/>
    <s v="OK"/>
    <n v="0"/>
    <s v="Correct Price"/>
    <n v="1866.3200000000002"/>
  </r>
  <r>
    <s v="FB002096"/>
    <x v="4"/>
    <x v="6"/>
    <x v="1"/>
    <s v="M"/>
    <s v="Green"/>
    <n v="112.1"/>
    <x v="447"/>
    <n v="77.69"/>
    <d v="2025-08-06T00:00:00"/>
    <n v="10"/>
    <n v="1"/>
    <x v="0"/>
    <m/>
    <s v="OK"/>
    <n v="34.414699999999996"/>
    <s v="Correct Price"/>
    <n v="776.9"/>
  </r>
  <r>
    <s v="FB002097"/>
    <x v="3"/>
    <x v="1"/>
    <x v="0"/>
    <s v="L"/>
    <s v="Purple"/>
    <n v="103.9"/>
    <x v="0"/>
    <n v="103.9"/>
    <d v="2025-07-23T00:00:00"/>
    <n v="27"/>
    <n v="2.1"/>
    <x v="0"/>
    <m/>
    <s v="OK"/>
    <n v="0"/>
    <s v="Correct Price"/>
    <n v="2805.3"/>
  </r>
  <r>
    <s v="FB002098"/>
    <x v="0"/>
    <x v="2"/>
    <x v="1"/>
    <s v="L"/>
    <s v="Pink"/>
    <n v="168.02"/>
    <x v="0"/>
    <n v="168.02"/>
    <d v="2025-08-06T00:00:00"/>
    <n v="30"/>
    <n v="1.6"/>
    <x v="1"/>
    <s v="Size Issue"/>
    <s v="OK"/>
    <n v="0"/>
    <s v="Correct Price"/>
    <n v="5040.6000000000004"/>
  </r>
  <r>
    <s v="FB002099"/>
    <x v="3"/>
    <x v="3"/>
    <x v="2"/>
    <s v="M"/>
    <s v="Brown"/>
    <n v="80.41"/>
    <x v="0"/>
    <n v="80.41"/>
    <d v="2025-08-06T00:00:00"/>
    <n v="46"/>
    <n v="2.8"/>
    <x v="0"/>
    <m/>
    <s v="OK"/>
    <n v="0"/>
    <s v="Correct Price"/>
    <n v="3698.8599999999997"/>
  </r>
  <r>
    <s v="FB002100"/>
    <x v="4"/>
    <x v="7"/>
    <x v="0"/>
    <s v="XL"/>
    <s v="Green"/>
    <n v="102.76"/>
    <x v="0"/>
    <n v="102.76"/>
    <d v="2024-11-16T00:00:00"/>
    <n v="35"/>
    <n v="2.2000000000000002"/>
    <x v="0"/>
    <m/>
    <s v="OK"/>
    <n v="0"/>
    <s v="Correct Price"/>
    <n v="3596.6000000000004"/>
  </r>
  <r>
    <s v="FB002101"/>
    <x v="1"/>
    <x v="7"/>
    <x v="2"/>
    <s v="XXL"/>
    <s v="Black"/>
    <n v="81.2"/>
    <x v="0"/>
    <n v="81.2"/>
    <d v="2025-08-06T00:00:00"/>
    <n v="27"/>
    <n v="1.7"/>
    <x v="0"/>
    <m/>
    <s v="OK"/>
    <n v="0"/>
    <s v="Correct Price"/>
    <n v="2192.4"/>
  </r>
  <r>
    <s v="FB002102"/>
    <x v="2"/>
    <x v="1"/>
    <x v="2"/>
    <m/>
    <s v="Gray"/>
    <n v="68.95"/>
    <x v="0"/>
    <n v="68.95"/>
    <d v="2025-08-06T00:00:00"/>
    <n v="47"/>
    <n v="3.6"/>
    <x v="0"/>
    <m/>
    <s v="OK"/>
    <n v="0"/>
    <s v="Correct Price"/>
    <n v="3240.65"/>
  </r>
  <r>
    <s v="FB002103"/>
    <x v="4"/>
    <x v="0"/>
    <x v="3"/>
    <s v="XS"/>
    <s v="Purple"/>
    <n v="43.04"/>
    <x v="0"/>
    <n v="43.04"/>
    <d v="2025-08-06T00:00:00"/>
    <n v="26"/>
    <n v="4.8"/>
    <x v="1"/>
    <s v="Wrong Item"/>
    <s v="OK"/>
    <n v="0"/>
    <s v="Correct Price"/>
    <n v="1119.04"/>
  </r>
  <r>
    <s v="FB002104"/>
    <x v="1"/>
    <x v="0"/>
    <x v="0"/>
    <s v="XS"/>
    <s v="Beige"/>
    <n v="81.819999999999993"/>
    <x v="0"/>
    <n v="81.819999999999993"/>
    <d v="2025-05-09T00:00:00"/>
    <n v="1"/>
    <n v="3.5"/>
    <x v="0"/>
    <m/>
    <s v="OK"/>
    <n v="0"/>
    <s v="Correct Price"/>
    <n v="81.819999999999993"/>
  </r>
  <r>
    <s v="FB002105"/>
    <x v="2"/>
    <x v="3"/>
    <x v="3"/>
    <m/>
    <s v="Blue"/>
    <n v="53.7"/>
    <x v="0"/>
    <n v="53.7"/>
    <d v="2025-08-06T00:00:00"/>
    <n v="16"/>
    <n v="1.4"/>
    <x v="1"/>
    <s v="Damaged"/>
    <s v="OK"/>
    <n v="0"/>
    <s v="Correct Price"/>
    <n v="859.2"/>
  </r>
  <r>
    <s v="FB002106"/>
    <x v="1"/>
    <x v="3"/>
    <x v="3"/>
    <s v="L"/>
    <s v="Red"/>
    <n v="100.11"/>
    <x v="0"/>
    <n v="100.11"/>
    <d v="2025-08-06T00:00:00"/>
    <n v="41"/>
    <n v="4.7"/>
    <x v="0"/>
    <m/>
    <s v="OK"/>
    <n v="0"/>
    <s v="Correct Price"/>
    <n v="4104.51"/>
  </r>
  <r>
    <s v="FB002107"/>
    <x v="2"/>
    <x v="5"/>
    <x v="1"/>
    <m/>
    <s v="Gray"/>
    <n v="24.08"/>
    <x v="448"/>
    <n v="14.81"/>
    <d v="2025-08-06T00:00:00"/>
    <n v="43"/>
    <n v="4.0999999999999996"/>
    <x v="0"/>
    <m/>
    <s v="OK"/>
    <n v="9.2707999999999995"/>
    <s v="Correct Price"/>
    <n v="636.83000000000004"/>
  </r>
  <r>
    <s v="FB002108"/>
    <x v="2"/>
    <x v="5"/>
    <x v="0"/>
    <m/>
    <s v="Red"/>
    <n v="74.77"/>
    <x v="0"/>
    <n v="74.77"/>
    <d v="2025-03-18T00:00:00"/>
    <n v="26"/>
    <n v="2.9"/>
    <x v="0"/>
    <m/>
    <s v="OK"/>
    <n v="0"/>
    <s v="Correct Price"/>
    <n v="1944.02"/>
  </r>
  <r>
    <s v="FB002109"/>
    <x v="5"/>
    <x v="4"/>
    <x v="0"/>
    <s v="XL"/>
    <s v="Navy"/>
    <n v="105.98"/>
    <x v="0"/>
    <n v="105.98"/>
    <d v="2024-10-02T00:00:00"/>
    <n v="32"/>
    <n v="2.5"/>
    <x v="1"/>
    <s v="Size Issue"/>
    <s v="OK"/>
    <n v="0"/>
    <s v="Correct Price"/>
    <n v="3391.36"/>
  </r>
  <r>
    <s v="FB002110"/>
    <x v="3"/>
    <x v="0"/>
    <x v="3"/>
    <s v="L"/>
    <s v="White"/>
    <n v="81.650000000000006"/>
    <x v="449"/>
    <n v="75.36"/>
    <d v="2025-08-06T00:00:00"/>
    <n v="23"/>
    <n v="2.6"/>
    <x v="0"/>
    <m/>
    <s v="OK"/>
    <n v="6.2870500000000007"/>
    <s v="Correct Price"/>
    <n v="1733.28"/>
  </r>
  <r>
    <s v="FB002111"/>
    <x v="3"/>
    <x v="7"/>
    <x v="2"/>
    <s v="S"/>
    <s v="Black"/>
    <n v="92.66"/>
    <x v="333"/>
    <n v="84.97"/>
    <d v="2025-08-06T00:00:00"/>
    <n v="5"/>
    <n v="3.3"/>
    <x v="0"/>
    <m/>
    <s v="OK"/>
    <n v="7.6907800000000011"/>
    <s v="Correct Price"/>
    <n v="424.85"/>
  </r>
  <r>
    <s v="FB002112"/>
    <x v="2"/>
    <x v="3"/>
    <x v="3"/>
    <m/>
    <s v="Brown"/>
    <n v="41.04"/>
    <x v="0"/>
    <n v="41.04"/>
    <d v="2025-08-06T00:00:00"/>
    <n v="43"/>
    <m/>
    <x v="0"/>
    <m/>
    <s v="OK"/>
    <n v="0"/>
    <s v="Correct Price"/>
    <n v="1764.72"/>
  </r>
  <r>
    <s v="FB002113"/>
    <x v="0"/>
    <x v="7"/>
    <x v="2"/>
    <s v="M"/>
    <s v="Pink"/>
    <n v="169.98"/>
    <x v="450"/>
    <n v="160.12"/>
    <d v="2025-08-06T00:00:00"/>
    <n v="12"/>
    <n v="2.1"/>
    <x v="0"/>
    <m/>
    <s v="OK"/>
    <n v="9.8588399999999989"/>
    <s v="Correct Price"/>
    <n v="1921.44"/>
  </r>
  <r>
    <s v="FB002114"/>
    <x v="2"/>
    <x v="3"/>
    <x v="1"/>
    <m/>
    <s v="Red"/>
    <n v="66.12"/>
    <x v="451"/>
    <n v="32.4"/>
    <d v="2025-08-06T00:00:00"/>
    <n v="17"/>
    <n v="2.2000000000000002"/>
    <x v="0"/>
    <m/>
    <s v="OK"/>
    <n v="33.721200000000003"/>
    <s v="Correct Price"/>
    <n v="550.79999999999995"/>
  </r>
  <r>
    <s v="FB002115"/>
    <x v="5"/>
    <x v="2"/>
    <x v="0"/>
    <s v="S"/>
    <s v="Purple"/>
    <n v="139.87"/>
    <x v="452"/>
    <n v="119.59"/>
    <d v="2024-09-13T00:00:00"/>
    <n v="13"/>
    <n v="1.3"/>
    <x v="0"/>
    <m/>
    <s v="OK"/>
    <n v="20.28115"/>
    <s v="Correct Price"/>
    <n v="1554.67"/>
  </r>
  <r>
    <s v="FB002116"/>
    <x v="2"/>
    <x v="0"/>
    <x v="1"/>
    <m/>
    <s v="Pink"/>
    <n v="70.23"/>
    <x v="372"/>
    <n v="35.19"/>
    <d v="2025-08-06T00:00:00"/>
    <n v="0"/>
    <n v="4.5999999999999996"/>
    <x v="1"/>
    <s v="Damaged"/>
    <s v="OK"/>
    <n v="35.04477"/>
    <s v="Correct Price"/>
    <n v="0"/>
  </r>
  <r>
    <s v="FB002117"/>
    <x v="3"/>
    <x v="0"/>
    <x v="1"/>
    <s v="XL"/>
    <s v="Blue"/>
    <n v="129.9"/>
    <x v="384"/>
    <n v="78.069999999999993"/>
    <d v="2025-08-06T00:00:00"/>
    <n v="28"/>
    <n v="1.3"/>
    <x v="0"/>
    <m/>
    <s v="OK"/>
    <n v="51.830100000000002"/>
    <s v="Correct Price"/>
    <n v="2185.96"/>
  </r>
  <r>
    <s v="FB002118"/>
    <x v="4"/>
    <x v="0"/>
    <x v="0"/>
    <s v="L"/>
    <s v="Beige"/>
    <n v="75.78"/>
    <x v="0"/>
    <n v="75.78"/>
    <d v="2025-01-28T00:00:00"/>
    <n v="12"/>
    <n v="3.6"/>
    <x v="0"/>
    <m/>
    <s v="OK"/>
    <n v="0"/>
    <s v="Correct Price"/>
    <n v="909.36"/>
  </r>
  <r>
    <s v="FB002119"/>
    <x v="4"/>
    <x v="4"/>
    <x v="1"/>
    <s v="M"/>
    <s v="Beige"/>
    <n v="93.41"/>
    <x v="0"/>
    <n v="93.41"/>
    <d v="2025-08-06T00:00:00"/>
    <n v="4"/>
    <n v="3.2"/>
    <x v="1"/>
    <s v="Size Issue"/>
    <s v="OK"/>
    <n v="0"/>
    <s v="Correct Price"/>
    <n v="373.64"/>
  </r>
  <r>
    <s v="FB002120"/>
    <x v="1"/>
    <x v="2"/>
    <x v="0"/>
    <s v="L"/>
    <s v="Red"/>
    <n v="66.900000000000006"/>
    <x v="0"/>
    <n v="66.900000000000006"/>
    <d v="2025-05-07T00:00:00"/>
    <n v="1"/>
    <n v="2.8"/>
    <x v="0"/>
    <m/>
    <s v="OK"/>
    <n v="0"/>
    <s v="Correct Price"/>
    <n v="66.900000000000006"/>
  </r>
  <r>
    <s v="FB002121"/>
    <x v="1"/>
    <x v="3"/>
    <x v="2"/>
    <s v="L"/>
    <s v="Green"/>
    <n v="110.45"/>
    <x v="24"/>
    <n v="103.16"/>
    <d v="2025-08-06T00:00:00"/>
    <n v="6"/>
    <m/>
    <x v="0"/>
    <m/>
    <s v="OK"/>
    <n v="7.2896999999999998"/>
    <s v="Correct Price"/>
    <n v="618.96"/>
  </r>
  <r>
    <s v="FB002122"/>
    <x v="4"/>
    <x v="0"/>
    <x v="2"/>
    <s v="L"/>
    <s v="Gray"/>
    <n v="52.73"/>
    <x v="0"/>
    <n v="52.73"/>
    <d v="2025-08-06T00:00:00"/>
    <n v="10"/>
    <n v="4.5"/>
    <x v="0"/>
    <m/>
    <s v="OK"/>
    <n v="0"/>
    <s v="Correct Price"/>
    <n v="527.29999999999995"/>
  </r>
  <r>
    <s v="FB002123"/>
    <x v="0"/>
    <x v="5"/>
    <x v="2"/>
    <s v="L"/>
    <s v="Blue"/>
    <n v="89.13"/>
    <x v="0"/>
    <n v="89.13"/>
    <d v="2025-08-06T00:00:00"/>
    <n v="17"/>
    <n v="4.0999999999999996"/>
    <x v="0"/>
    <m/>
    <s v="OK"/>
    <n v="0"/>
    <s v="Correct Price"/>
    <n v="1515.21"/>
  </r>
  <r>
    <s v="FB002124"/>
    <x v="0"/>
    <x v="2"/>
    <x v="3"/>
    <s v="L"/>
    <s v="Green"/>
    <n v="171.78"/>
    <x v="256"/>
    <n v="96.03"/>
    <d v="2025-08-06T00:00:00"/>
    <n v="25"/>
    <m/>
    <x v="1"/>
    <s v="Color Mismatch"/>
    <s v="OK"/>
    <n v="75.754980000000003"/>
    <s v="Correct Price"/>
    <n v="2400.75"/>
  </r>
  <r>
    <s v="FB002125"/>
    <x v="3"/>
    <x v="6"/>
    <x v="1"/>
    <s v="M"/>
    <s v="Pink"/>
    <n v="129"/>
    <x v="0"/>
    <n v="129"/>
    <d v="2025-08-06T00:00:00"/>
    <n v="13"/>
    <n v="3.8"/>
    <x v="1"/>
    <s v="Changed Mind"/>
    <s v="OK"/>
    <n v="0"/>
    <s v="Correct Price"/>
    <n v="1677"/>
  </r>
  <r>
    <s v="FB002126"/>
    <x v="3"/>
    <x v="0"/>
    <x v="3"/>
    <s v="XS"/>
    <s v="Brown"/>
    <n v="160.59"/>
    <x v="0"/>
    <n v="160.59"/>
    <d v="2025-08-06T00:00:00"/>
    <n v="8"/>
    <n v="2.9"/>
    <x v="0"/>
    <m/>
    <s v="OK"/>
    <n v="0"/>
    <s v="Correct Price"/>
    <n v="1284.72"/>
  </r>
  <r>
    <s v="FB002127"/>
    <x v="1"/>
    <x v="2"/>
    <x v="3"/>
    <s v="L"/>
    <s v="Red"/>
    <n v="56.38"/>
    <x v="0"/>
    <n v="56.38"/>
    <d v="2025-08-06T00:00:00"/>
    <n v="9"/>
    <m/>
    <x v="0"/>
    <m/>
    <s v="OK"/>
    <n v="0"/>
    <s v="Correct Price"/>
    <n v="507.42"/>
  </r>
  <r>
    <s v="FB002128"/>
    <x v="0"/>
    <x v="6"/>
    <x v="1"/>
    <s v="L"/>
    <s v="Green"/>
    <n v="109.2"/>
    <x v="453"/>
    <n v="80.150000000000006"/>
    <d v="2025-08-06T00:00:00"/>
    <n v="21"/>
    <n v="3.9"/>
    <x v="1"/>
    <s v="Quality Issue"/>
    <s v="OK"/>
    <n v="29.047200000000004"/>
    <s v="Correct Price"/>
    <n v="1683.15"/>
  </r>
  <r>
    <s v="FB002129"/>
    <x v="2"/>
    <x v="1"/>
    <x v="0"/>
    <m/>
    <s v="Pink"/>
    <n v="21.43"/>
    <x v="0"/>
    <n v="21.43"/>
    <d v="2025-02-03T00:00:00"/>
    <n v="38"/>
    <n v="1.9"/>
    <x v="0"/>
    <m/>
    <s v="OK"/>
    <n v="0"/>
    <s v="Correct Price"/>
    <n v="814.34"/>
  </r>
  <r>
    <s v="FB002130"/>
    <x v="3"/>
    <x v="4"/>
    <x v="1"/>
    <s v="M"/>
    <s v="Purple"/>
    <n v="87.11"/>
    <x v="0"/>
    <n v="87.11"/>
    <d v="2025-08-06T00:00:00"/>
    <n v="36"/>
    <n v="2.2999999999999998"/>
    <x v="0"/>
    <m/>
    <s v="OK"/>
    <n v="0"/>
    <s v="Correct Price"/>
    <n v="3135.96"/>
  </r>
  <r>
    <s v="FB002131"/>
    <x v="2"/>
    <x v="7"/>
    <x v="2"/>
    <m/>
    <s v="Navy"/>
    <n v="36.29"/>
    <x v="0"/>
    <n v="36.29"/>
    <d v="2025-08-06T00:00:00"/>
    <n v="47"/>
    <n v="2.8"/>
    <x v="0"/>
    <m/>
    <s v="OK"/>
    <n v="0"/>
    <s v="Correct Price"/>
    <n v="1705.6299999999999"/>
  </r>
  <r>
    <s v="FB002132"/>
    <x v="5"/>
    <x v="4"/>
    <x v="0"/>
    <s v="M"/>
    <s v="Green"/>
    <n v="105.59"/>
    <x v="0"/>
    <n v="105.59"/>
    <d v="2025-06-27T00:00:00"/>
    <n v="37"/>
    <n v="4.7"/>
    <x v="0"/>
    <m/>
    <s v="OK"/>
    <n v="0"/>
    <s v="Correct Price"/>
    <n v="3906.83"/>
  </r>
  <r>
    <s v="FB002133"/>
    <x v="5"/>
    <x v="0"/>
    <x v="2"/>
    <s v="S"/>
    <s v="Black"/>
    <n v="93.5"/>
    <x v="0"/>
    <n v="93.5"/>
    <d v="2025-08-06T00:00:00"/>
    <n v="4"/>
    <n v="3.7"/>
    <x v="0"/>
    <m/>
    <s v="OK"/>
    <n v="0"/>
    <s v="Correct Price"/>
    <n v="374"/>
  </r>
  <r>
    <s v="FB002134"/>
    <x v="2"/>
    <x v="5"/>
    <x v="1"/>
    <m/>
    <s v="Black"/>
    <n v="41.72"/>
    <x v="29"/>
    <n v="37.76"/>
    <d v="2025-08-06T00:00:00"/>
    <n v="9"/>
    <n v="3.9"/>
    <x v="0"/>
    <m/>
    <s v="OK"/>
    <n v="3.9633999999999996"/>
    <s v="Correct Price"/>
    <n v="339.84"/>
  </r>
  <r>
    <s v="FB002135"/>
    <x v="2"/>
    <x v="3"/>
    <x v="3"/>
    <m/>
    <s v="Red"/>
    <n v="74.540000000000006"/>
    <x v="429"/>
    <n v="31.23"/>
    <d v="2025-08-06T00:00:00"/>
    <n v="35"/>
    <n v="4.8"/>
    <x v="0"/>
    <m/>
    <s v="OK"/>
    <n v="43.307740000000003"/>
    <s v="Correct Price"/>
    <n v="1093.05"/>
  </r>
  <r>
    <s v="FB002136"/>
    <x v="5"/>
    <x v="1"/>
    <x v="0"/>
    <m/>
    <s v="Blue"/>
    <n v="85.49"/>
    <x v="0"/>
    <n v="85.49"/>
    <d v="2024-12-16T00:00:00"/>
    <n v="0"/>
    <n v="3.7"/>
    <x v="0"/>
    <m/>
    <s v="OK"/>
    <n v="0"/>
    <s v="Correct Price"/>
    <n v="0"/>
  </r>
  <r>
    <s v="FB002137"/>
    <x v="5"/>
    <x v="0"/>
    <x v="3"/>
    <s v="M"/>
    <s v="Green"/>
    <n v="131.05000000000001"/>
    <x v="0"/>
    <n v="131.05000000000001"/>
    <d v="2025-08-06T00:00:00"/>
    <n v="23"/>
    <n v="4.9000000000000004"/>
    <x v="0"/>
    <m/>
    <s v="OK"/>
    <n v="0"/>
    <s v="Correct Price"/>
    <n v="3014.15"/>
  </r>
  <r>
    <s v="FB002138"/>
    <x v="4"/>
    <x v="7"/>
    <x v="3"/>
    <s v="XL"/>
    <s v="Pink"/>
    <n v="63.5"/>
    <x v="0"/>
    <n v="63.5"/>
    <d v="2025-08-06T00:00:00"/>
    <n v="17"/>
    <n v="2.6"/>
    <x v="0"/>
    <m/>
    <s v="OK"/>
    <n v="0"/>
    <s v="Correct Price"/>
    <n v="1079.5"/>
  </r>
  <r>
    <s v="FB002139"/>
    <x v="1"/>
    <x v="1"/>
    <x v="2"/>
    <s v="M"/>
    <s v="Beige"/>
    <n v="75.540000000000006"/>
    <x v="0"/>
    <n v="75.540000000000006"/>
    <d v="2025-08-06T00:00:00"/>
    <n v="7"/>
    <n v="3.3"/>
    <x v="0"/>
    <m/>
    <s v="OK"/>
    <n v="0"/>
    <s v="Correct Price"/>
    <n v="528.78000000000009"/>
  </r>
  <r>
    <s v="FB002140"/>
    <x v="1"/>
    <x v="3"/>
    <x v="2"/>
    <s v="XXL"/>
    <s v="Beige"/>
    <n v="110.77"/>
    <x v="0"/>
    <n v="110.77"/>
    <d v="2025-08-06T00:00:00"/>
    <n v="48"/>
    <n v="2.6"/>
    <x v="0"/>
    <m/>
    <s v="OK"/>
    <n v="0"/>
    <s v="Correct Price"/>
    <n v="5316.96"/>
  </r>
  <r>
    <s v="FB002141"/>
    <x v="3"/>
    <x v="3"/>
    <x v="3"/>
    <s v="M"/>
    <s v="White"/>
    <n v="190.71"/>
    <x v="165"/>
    <n v="178.7"/>
    <d v="2025-08-06T00:00:00"/>
    <n v="1"/>
    <n v="2"/>
    <x v="0"/>
    <m/>
    <s v="OK"/>
    <n v="12.01473"/>
    <s v="Correct Price"/>
    <n v="178.7"/>
  </r>
  <r>
    <s v="FB002142"/>
    <x v="1"/>
    <x v="3"/>
    <x v="2"/>
    <s v="L"/>
    <s v="White"/>
    <n v="100.56"/>
    <x v="235"/>
    <n v="83.16"/>
    <d v="2025-08-06T00:00:00"/>
    <n v="21"/>
    <n v="3.6"/>
    <x v="0"/>
    <m/>
    <s v="OK"/>
    <n v="17.396879999999999"/>
    <s v="Correct Price"/>
    <n v="1746.36"/>
  </r>
  <r>
    <s v="FB002143"/>
    <x v="0"/>
    <x v="7"/>
    <x v="3"/>
    <s v="XXL"/>
    <s v="Pink"/>
    <n v="221.59"/>
    <x v="454"/>
    <n v="202.53"/>
    <d v="2025-08-06T00:00:00"/>
    <n v="5"/>
    <m/>
    <x v="0"/>
    <m/>
    <s v="OK"/>
    <n v="19.056740000000001"/>
    <s v="Correct Price"/>
    <n v="1012.65"/>
  </r>
  <r>
    <s v="FB002144"/>
    <x v="4"/>
    <x v="6"/>
    <x v="3"/>
    <s v="L"/>
    <s v="Beige"/>
    <n v="55.21"/>
    <x v="0"/>
    <n v="55.21"/>
    <d v="2025-08-06T00:00:00"/>
    <n v="21"/>
    <n v="1.8"/>
    <x v="1"/>
    <s v="Wrong Item"/>
    <s v="OK"/>
    <n v="0"/>
    <s v="Correct Price"/>
    <n v="1159.4100000000001"/>
  </r>
  <r>
    <s v="FB002145"/>
    <x v="2"/>
    <x v="1"/>
    <x v="2"/>
    <m/>
    <s v="Black"/>
    <n v="17.87"/>
    <x v="0"/>
    <n v="17.87"/>
    <d v="2025-08-06T00:00:00"/>
    <n v="47"/>
    <m/>
    <x v="0"/>
    <m/>
    <s v="OK"/>
    <n v="0"/>
    <s v="Correct Price"/>
    <n v="839.8900000000001"/>
  </r>
  <r>
    <s v="FB002146"/>
    <x v="4"/>
    <x v="1"/>
    <x v="3"/>
    <s v="XS"/>
    <s v="Pink"/>
    <n v="56.57"/>
    <x v="0"/>
    <n v="56.57"/>
    <d v="2025-08-06T00:00:00"/>
    <n v="43"/>
    <n v="4.4000000000000004"/>
    <x v="1"/>
    <s v="Size Issue"/>
    <s v="OK"/>
    <n v="0"/>
    <s v="Correct Price"/>
    <n v="2432.5100000000002"/>
  </r>
  <r>
    <s v="FB002147"/>
    <x v="2"/>
    <x v="6"/>
    <x v="0"/>
    <m/>
    <s v="Purple"/>
    <n v="47.74"/>
    <x v="0"/>
    <n v="47.74"/>
    <d v="2024-12-25T00:00:00"/>
    <n v="17"/>
    <n v="2.9"/>
    <x v="0"/>
    <m/>
    <s v="OK"/>
    <n v="0"/>
    <s v="Correct Price"/>
    <n v="811.58"/>
  </r>
  <r>
    <s v="FB002148"/>
    <x v="5"/>
    <x v="2"/>
    <x v="2"/>
    <s v="M"/>
    <s v="Navy"/>
    <n v="152.88"/>
    <x v="391"/>
    <n v="139.27000000000001"/>
    <d v="2025-08-06T00:00:00"/>
    <n v="19"/>
    <n v="2.2000000000000002"/>
    <x v="0"/>
    <m/>
    <s v="OK"/>
    <n v="13.60632"/>
    <s v="Correct Price"/>
    <n v="2646.13"/>
  </r>
  <r>
    <s v="FB002149"/>
    <x v="0"/>
    <x v="2"/>
    <x v="1"/>
    <s v="M"/>
    <s v="Beige"/>
    <n v="199.61"/>
    <x v="164"/>
    <n v="124.36"/>
    <d v="2025-08-06T00:00:00"/>
    <n v="6"/>
    <m/>
    <x v="0"/>
    <m/>
    <s v="OK"/>
    <n v="75.252970000000019"/>
    <s v="Correct Price"/>
    <n v="746.16"/>
  </r>
  <r>
    <s v="FB002150"/>
    <x v="2"/>
    <x v="6"/>
    <x v="3"/>
    <m/>
    <s v="Gray"/>
    <n v="57.25"/>
    <x v="0"/>
    <n v="57.25"/>
    <d v="2025-08-06T00:00:00"/>
    <n v="22"/>
    <n v="5"/>
    <x v="0"/>
    <m/>
    <s v="OK"/>
    <n v="0"/>
    <s v="Correct Price"/>
    <n v="1259.5"/>
  </r>
  <r>
    <s v="FB002151"/>
    <x v="5"/>
    <x v="4"/>
    <x v="2"/>
    <s v="XL"/>
    <s v="Blue"/>
    <n v="134.41"/>
    <x v="38"/>
    <n v="60.08"/>
    <d v="2025-08-06T00:00:00"/>
    <n v="12"/>
    <n v="3.2"/>
    <x v="0"/>
    <m/>
    <s v="OK"/>
    <n v="74.328729999999993"/>
    <s v="Correct Price"/>
    <n v="720.96"/>
  </r>
  <r>
    <s v="FB002152"/>
    <x v="4"/>
    <x v="5"/>
    <x v="2"/>
    <s v="S"/>
    <s v="Brown"/>
    <n v="111.43"/>
    <x v="380"/>
    <n v="62.96"/>
    <d v="2025-08-06T00:00:00"/>
    <n v="22"/>
    <n v="4.8"/>
    <x v="0"/>
    <m/>
    <s v="OK"/>
    <n v="48.472049999999996"/>
    <s v="Correct Price"/>
    <n v="1385.1200000000001"/>
  </r>
  <r>
    <s v="FB002153"/>
    <x v="2"/>
    <x v="1"/>
    <x v="0"/>
    <m/>
    <s v="Brown"/>
    <n v="15.36"/>
    <x v="117"/>
    <n v="9.7100000000000009"/>
    <d v="2025-04-29T00:00:00"/>
    <n v="46"/>
    <n v="2.2999999999999998"/>
    <x v="0"/>
    <m/>
    <s v="OK"/>
    <n v="5.6524799999999997"/>
    <s v="Correct Price"/>
    <n v="446.66"/>
  </r>
  <r>
    <s v="FB002154"/>
    <x v="1"/>
    <x v="6"/>
    <x v="2"/>
    <s v="XL"/>
    <s v="Black"/>
    <n v="100.03"/>
    <x v="455"/>
    <n v="48.21"/>
    <d v="2025-08-06T00:00:00"/>
    <n v="43"/>
    <n v="5"/>
    <x v="0"/>
    <m/>
    <s v="OK"/>
    <n v="51.815539999999999"/>
    <s v="Correct Price"/>
    <n v="2073.0300000000002"/>
  </r>
  <r>
    <s v="FB002155"/>
    <x v="3"/>
    <x v="1"/>
    <x v="3"/>
    <s v="S"/>
    <s v="Black"/>
    <n v="173.75"/>
    <x v="347"/>
    <n v="140.38999999999999"/>
    <d v="2025-08-06T00:00:00"/>
    <n v="38"/>
    <m/>
    <x v="0"/>
    <m/>
    <s v="OK"/>
    <n v="33.36"/>
    <s v="Correct Price"/>
    <n v="5334.82"/>
  </r>
  <r>
    <s v="FB002156"/>
    <x v="4"/>
    <x v="6"/>
    <x v="1"/>
    <s v="XL"/>
    <s v="Green"/>
    <n v="37.979999999999997"/>
    <x v="21"/>
    <n v="32.21"/>
    <d v="2025-08-06T00:00:00"/>
    <n v="25"/>
    <n v="3.6"/>
    <x v="0"/>
    <m/>
    <s v="OK"/>
    <n v="5.7729599999999994"/>
    <s v="Correct Price"/>
    <n v="805.25"/>
  </r>
  <r>
    <s v="FB002157"/>
    <x v="5"/>
    <x v="7"/>
    <x v="3"/>
    <s v="M"/>
    <s v="Black"/>
    <n v="154.11000000000001"/>
    <x v="0"/>
    <n v="154.11000000000001"/>
    <d v="2025-08-06T00:00:00"/>
    <n v="50"/>
    <n v="3.1"/>
    <x v="0"/>
    <m/>
    <s v="OK"/>
    <n v="0"/>
    <s v="Correct Price"/>
    <n v="7705.5000000000009"/>
  </r>
  <r>
    <s v="FB002158"/>
    <x v="2"/>
    <x v="5"/>
    <x v="0"/>
    <m/>
    <s v="Purple"/>
    <n v="69.8"/>
    <x v="456"/>
    <n v="37.06"/>
    <d v="2024-10-21T00:00:00"/>
    <n v="26"/>
    <n v="3.8"/>
    <x v="0"/>
    <m/>
    <s v="OK"/>
    <n v="32.736199999999997"/>
    <s v="Correct Price"/>
    <n v="963.56000000000006"/>
  </r>
  <r>
    <s v="FB002159"/>
    <x v="5"/>
    <x v="6"/>
    <x v="1"/>
    <s v="XXL"/>
    <s v="Gray"/>
    <n v="171.16"/>
    <x v="0"/>
    <n v="171.16"/>
    <d v="2025-08-06T00:00:00"/>
    <n v="26"/>
    <n v="4.3"/>
    <x v="0"/>
    <m/>
    <s v="OK"/>
    <n v="0"/>
    <s v="Correct Price"/>
    <n v="4450.16"/>
  </r>
  <r>
    <s v="FB002160"/>
    <x v="0"/>
    <x v="0"/>
    <x v="3"/>
    <s v="XXL"/>
    <s v="White"/>
    <n v="118.57"/>
    <x v="0"/>
    <n v="118.57"/>
    <d v="2025-08-06T00:00:00"/>
    <n v="6"/>
    <n v="1.4"/>
    <x v="1"/>
    <s v="Quality Issue"/>
    <s v="OK"/>
    <n v="0"/>
    <s v="Correct Price"/>
    <n v="711.42"/>
  </r>
  <r>
    <s v="FB002161"/>
    <x v="5"/>
    <x v="3"/>
    <x v="1"/>
    <s v="XXL"/>
    <s v="Pink"/>
    <n v="118.46"/>
    <x v="0"/>
    <n v="118.46"/>
    <d v="2025-08-06T00:00:00"/>
    <n v="40"/>
    <n v="2.2999999999999998"/>
    <x v="0"/>
    <m/>
    <s v="OK"/>
    <n v="0"/>
    <s v="Correct Price"/>
    <n v="4738.3999999999996"/>
  </r>
  <r>
    <s v="FB002162"/>
    <x v="3"/>
    <x v="0"/>
    <x v="3"/>
    <s v="L"/>
    <s v="Green"/>
    <n v="122.7"/>
    <x v="0"/>
    <n v="122.7"/>
    <d v="2025-08-06T00:00:00"/>
    <n v="9"/>
    <m/>
    <x v="0"/>
    <m/>
    <s v="OK"/>
    <n v="0"/>
    <s v="Correct Price"/>
    <n v="1104.3"/>
  </r>
  <r>
    <s v="FB002163"/>
    <x v="2"/>
    <x v="6"/>
    <x v="0"/>
    <m/>
    <s v="Black"/>
    <n v="68.2"/>
    <x v="0"/>
    <n v="68.2"/>
    <d v="2025-04-05T00:00:00"/>
    <n v="2"/>
    <n v="3.8"/>
    <x v="0"/>
    <m/>
    <s v="OK"/>
    <n v="0"/>
    <s v="Correct Price"/>
    <n v="136.4"/>
  </r>
  <r>
    <s v="FB002164"/>
    <x v="3"/>
    <x v="4"/>
    <x v="0"/>
    <s v="XL"/>
    <s v="White"/>
    <n v="178.56"/>
    <x v="0"/>
    <n v="178.56"/>
    <d v="2025-03-16T00:00:00"/>
    <n v="46"/>
    <n v="2.6"/>
    <x v="0"/>
    <m/>
    <s v="OK"/>
    <n v="0"/>
    <s v="Correct Price"/>
    <n v="8213.76"/>
  </r>
  <r>
    <s v="FB002165"/>
    <x v="2"/>
    <x v="1"/>
    <x v="3"/>
    <m/>
    <s v="Green"/>
    <n v="30.46"/>
    <x v="457"/>
    <n v="20.9"/>
    <d v="2025-08-06T00:00:00"/>
    <n v="40"/>
    <n v="2.4"/>
    <x v="0"/>
    <m/>
    <s v="OK"/>
    <n v="9.5644399999999994"/>
    <s v="Correct Price"/>
    <n v="836"/>
  </r>
  <r>
    <s v="FB002166"/>
    <x v="2"/>
    <x v="2"/>
    <x v="3"/>
    <m/>
    <s v="Black"/>
    <n v="76.08"/>
    <x v="0"/>
    <n v="76.08"/>
    <d v="2025-08-06T00:00:00"/>
    <n v="6"/>
    <n v="4.9000000000000004"/>
    <x v="0"/>
    <m/>
    <s v="OK"/>
    <n v="0"/>
    <s v="Correct Price"/>
    <n v="456.48"/>
  </r>
  <r>
    <s v="FB002167"/>
    <x v="3"/>
    <x v="2"/>
    <x v="1"/>
    <s v="M"/>
    <s v="Brown"/>
    <n v="116.15"/>
    <x v="303"/>
    <n v="96.99"/>
    <d v="2025-08-06T00:00:00"/>
    <n v="11"/>
    <n v="3"/>
    <x v="0"/>
    <m/>
    <s v="OK"/>
    <n v="19.164750000000002"/>
    <s v="Correct Price"/>
    <n v="1066.8899999999999"/>
  </r>
  <r>
    <s v="FB002168"/>
    <x v="3"/>
    <x v="4"/>
    <x v="1"/>
    <s v="XS"/>
    <s v="White"/>
    <n v="98.22"/>
    <x v="0"/>
    <n v="98.22"/>
    <d v="2025-08-06T00:00:00"/>
    <n v="27"/>
    <n v="3.3"/>
    <x v="0"/>
    <m/>
    <s v="OK"/>
    <n v="0"/>
    <s v="Correct Price"/>
    <n v="2651.94"/>
  </r>
  <r>
    <s v="FB002169"/>
    <x v="3"/>
    <x v="5"/>
    <x v="1"/>
    <m/>
    <s v="Beige"/>
    <n v="66.58"/>
    <x v="0"/>
    <n v="66.58"/>
    <d v="2025-08-06T00:00:00"/>
    <n v="45"/>
    <n v="3.4"/>
    <x v="0"/>
    <m/>
    <s v="OK"/>
    <n v="0"/>
    <s v="Correct Price"/>
    <n v="2996.1"/>
  </r>
  <r>
    <s v="FB002170"/>
    <x v="2"/>
    <x v="1"/>
    <x v="0"/>
    <m/>
    <s v="Beige"/>
    <n v="69.22"/>
    <x v="0"/>
    <n v="69.22"/>
    <d v="2024-09-05T00:00:00"/>
    <n v="42"/>
    <n v="3.8"/>
    <x v="0"/>
    <m/>
    <s v="OK"/>
    <n v="0"/>
    <s v="Correct Price"/>
    <n v="2907.24"/>
  </r>
  <r>
    <s v="FB002171"/>
    <x v="1"/>
    <x v="1"/>
    <x v="1"/>
    <s v="XL"/>
    <s v="Black"/>
    <n v="85.01"/>
    <x v="0"/>
    <n v="85.01"/>
    <d v="2025-08-06T00:00:00"/>
    <n v="39"/>
    <n v="4.3"/>
    <x v="0"/>
    <m/>
    <s v="OK"/>
    <n v="0"/>
    <s v="Correct Price"/>
    <n v="3315.3900000000003"/>
  </r>
  <r>
    <s v="FB002172"/>
    <x v="1"/>
    <x v="3"/>
    <x v="3"/>
    <s v="XL"/>
    <s v="Black"/>
    <n v="31.41"/>
    <x v="0"/>
    <n v="31.41"/>
    <d v="2025-08-06T00:00:00"/>
    <n v="10"/>
    <n v="2.1"/>
    <x v="0"/>
    <m/>
    <s v="OK"/>
    <n v="0"/>
    <s v="Correct Price"/>
    <n v="314.10000000000002"/>
  </r>
  <r>
    <s v="FB002173"/>
    <x v="5"/>
    <x v="2"/>
    <x v="1"/>
    <s v="L"/>
    <s v="Brown"/>
    <n v="50.58"/>
    <x v="0"/>
    <n v="50.58"/>
    <d v="2025-08-06T00:00:00"/>
    <n v="1"/>
    <n v="3.1"/>
    <x v="1"/>
    <s v="Changed Mind"/>
    <s v="OK"/>
    <n v="0"/>
    <s v="Correct Price"/>
    <n v="50.58"/>
  </r>
  <r>
    <s v="FB002174"/>
    <x v="2"/>
    <x v="2"/>
    <x v="1"/>
    <m/>
    <s v="Beige"/>
    <n v="79.37"/>
    <x v="86"/>
    <n v="35.880000000000003"/>
    <d v="2025-08-06T00:00:00"/>
    <n v="40"/>
    <n v="2.6"/>
    <x v="0"/>
    <m/>
    <s v="OK"/>
    <n v="43.494759999999999"/>
    <s v="Correct Price"/>
    <n v="1435.2"/>
  </r>
  <r>
    <s v="FB002175"/>
    <x v="4"/>
    <x v="5"/>
    <x v="3"/>
    <s v="XL"/>
    <s v="Pink"/>
    <n v="105.52"/>
    <x v="0"/>
    <n v="105.52"/>
    <d v="2025-08-06T00:00:00"/>
    <n v="20"/>
    <n v="4.9000000000000004"/>
    <x v="1"/>
    <s v="Size Issue"/>
    <s v="OK"/>
    <n v="0"/>
    <s v="Correct Price"/>
    <n v="2110.4"/>
  </r>
  <r>
    <s v="FB002176"/>
    <x v="3"/>
    <x v="5"/>
    <x v="3"/>
    <s v="XXL"/>
    <s v="White"/>
    <n v="154.02000000000001"/>
    <x v="0"/>
    <n v="154.02000000000001"/>
    <d v="2025-08-06T00:00:00"/>
    <n v="23"/>
    <n v="1.3"/>
    <x v="0"/>
    <m/>
    <s v="OK"/>
    <n v="0"/>
    <s v="Correct Price"/>
    <n v="3542.4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1888C3-4300-4E35-8C37-22AA47836FAB}" name="PivotTable11" cacheId="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Brands">
  <location ref="D59:E68" firstHeaderRow="1" firstDataRow="1" firstDataCol="1"/>
  <pivotFields count="18">
    <pivotField showAll="0"/>
    <pivotField showAll="0"/>
    <pivotField axis="axisRow" showAll="0" sortType="descending">
      <items count="9">
        <item x="5"/>
        <item x="2"/>
        <item x="7"/>
        <item x="6"/>
        <item x="4"/>
        <item x="3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64" showAll="0"/>
    <pivotField numFmtId="2" showAll="0"/>
    <pivotField numFmtId="164" showAll="0"/>
    <pivotField numFmtId="14" showAll="0"/>
    <pivotField numFmtId="1" showAll="0"/>
    <pivotField showAll="0"/>
    <pivotField showAll="0"/>
    <pivotField showAll="0"/>
    <pivotField showAll="0"/>
    <pivotField numFmtId="164" showAll="0"/>
    <pivotField showAll="0"/>
    <pivotField dataField="1" numFmtId="164" showAll="0"/>
  </pivotFields>
  <rowFields count="1">
    <field x="2"/>
  </rowFields>
  <rowItems count="9">
    <i>
      <x v="7"/>
    </i>
    <i>
      <x v="5"/>
    </i>
    <i>
      <x v="1"/>
    </i>
    <i>
      <x v="6"/>
    </i>
    <i>
      <x v="4"/>
    </i>
    <i>
      <x/>
    </i>
    <i>
      <x v="2"/>
    </i>
    <i>
      <x v="3"/>
    </i>
    <i t="grand">
      <x/>
    </i>
  </rowItems>
  <colItems count="1">
    <i/>
  </colItems>
  <dataFields count="1">
    <dataField name="Total Revenue" fld="17" baseField="2" baseItem="7" numFmtId="164"/>
  </dataFields>
  <chartFormats count="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061D7F-266F-4D47-9D81-47391652715E}" name="PivotTable7" cacheId="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 rowHeaderCaption="Category">
  <location ref="A59:B66" firstHeaderRow="1" firstDataRow="1" firstDataCol="1"/>
  <pivotFields count="18">
    <pivotField showAll="0"/>
    <pivotField axis="axisRow" showAll="0" sortType="descending">
      <items count="7">
        <item x="2"/>
        <item x="4"/>
        <item x="5"/>
        <item x="0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164" showAll="0"/>
    <pivotField dataField="1" numFmtId="2" showAll="0"/>
    <pivotField numFmtId="164" showAll="0"/>
    <pivotField numFmtId="14" showAll="0"/>
    <pivotField numFmtId="1" showAll="0"/>
    <pivotField showAll="0"/>
    <pivotField showAll="0"/>
    <pivotField showAll="0"/>
    <pivotField showAll="0"/>
    <pivotField numFmtId="164" showAll="0"/>
    <pivotField showAll="0"/>
    <pivotField numFmtId="164" showAll="0"/>
  </pivotFields>
  <rowFields count="1">
    <field x="1"/>
  </rowFields>
  <rowItems count="7">
    <i>
      <x v="1"/>
    </i>
    <i>
      <x v="2"/>
    </i>
    <i>
      <x v="4"/>
    </i>
    <i>
      <x/>
    </i>
    <i>
      <x v="5"/>
    </i>
    <i>
      <x v="3"/>
    </i>
    <i t="grand">
      <x/>
    </i>
  </rowItems>
  <colItems count="1">
    <i/>
  </colItems>
  <dataFields count="1">
    <dataField name="Average markdown percent" fld="7" subtotal="average" baseField="1" baseItem="0" numFmtId="1"/>
  </dataFields>
  <chartFormats count="1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8358D1-6C70-459D-B48F-F83739771730}" name="PivotTable6" cacheId="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G31:H36" firstHeaderRow="1" firstDataRow="1" firstDataCol="1" rowPageCount="1" colPageCount="1"/>
  <pivotFields count="18">
    <pivotField showAll="0"/>
    <pivotField showAll="0"/>
    <pivotField showAll="0"/>
    <pivotField axis="axisRow" showAll="0" sortType="descending">
      <items count="5">
        <item x="2"/>
        <item x="0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64" showAll="0"/>
    <pivotField numFmtId="2" showAll="0"/>
    <pivotField numFmtId="164" showAll="0"/>
    <pivotField numFmtId="14" showAll="0"/>
    <pivotField numFmtId="1" showAll="0"/>
    <pivotField showAll="0"/>
    <pivotField axis="axisPage" dataField="1" showAll="0">
      <items count="3">
        <item x="0"/>
        <item x="1"/>
        <item t="default"/>
      </items>
    </pivotField>
    <pivotField showAll="0"/>
    <pivotField showAll="0"/>
    <pivotField numFmtId="164" showAll="0"/>
    <pivotField showAll="0"/>
    <pivotField numFmtId="164" showAll="0"/>
  </pivotFields>
  <rowFields count="1">
    <field x="3"/>
  </rowFields>
  <rowItems count="5">
    <i>
      <x v="2"/>
    </i>
    <i>
      <x v="3"/>
    </i>
    <i>
      <x v="1"/>
    </i>
    <i>
      <x/>
    </i>
    <i t="grand">
      <x/>
    </i>
  </rowItems>
  <colItems count="1">
    <i/>
  </colItems>
  <pageFields count="1">
    <pageField fld="12" item="1" hier="-1"/>
  </pageFields>
  <dataFields count="1">
    <dataField name="Number of returns" fld="12" subtotal="count" baseField="3" baseItem="2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C7225D-0855-4FD0-91B5-F9C26A324F3C}" name="PivotTable5" cacheId="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Brands">
  <location ref="D31:E40" firstHeaderRow="1" firstDataRow="1" firstDataCol="1"/>
  <pivotFields count="18">
    <pivotField showAll="0"/>
    <pivotField showAll="0"/>
    <pivotField axis="axisRow" showAll="0" sortType="descending">
      <items count="9">
        <item x="5"/>
        <item x="2"/>
        <item x="7"/>
        <item x="6"/>
        <item x="4"/>
        <item x="3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64" showAll="0"/>
    <pivotField numFmtId="2" showAll="0"/>
    <pivotField numFmtId="164" showAll="0"/>
    <pivotField numFmtId="14" showAll="0"/>
    <pivotField numFmtId="1" showAll="0"/>
    <pivotField dataField="1" showAll="0"/>
    <pivotField showAll="0"/>
    <pivotField showAll="0"/>
    <pivotField showAll="0"/>
    <pivotField numFmtId="164" showAll="0"/>
    <pivotField showAll="0"/>
    <pivotField numFmtId="164" showAll="0"/>
  </pivotFields>
  <rowFields count="1">
    <field x="2"/>
  </rowFields>
  <rowItems count="9">
    <i>
      <x v="6"/>
    </i>
    <i>
      <x/>
    </i>
    <i>
      <x v="4"/>
    </i>
    <i>
      <x v="3"/>
    </i>
    <i>
      <x v="1"/>
    </i>
    <i>
      <x v="2"/>
    </i>
    <i>
      <x v="7"/>
    </i>
    <i>
      <x v="5"/>
    </i>
    <i t="grand">
      <x/>
    </i>
  </rowItems>
  <colItems count="1">
    <i/>
  </colItems>
  <dataFields count="1">
    <dataField name="Average Customer Rating" fld="11" subtotal="average" baseField="2" baseItem="6"/>
  </dataFields>
  <chartFormats count="1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D96028-AE26-43C8-80B2-4E197B08CAED}" name="PivotTable4" cacheId="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Categories">
  <location ref="A31:B38" firstHeaderRow="1" firstDataRow="1" firstDataCol="1"/>
  <pivotFields count="18">
    <pivotField showAll="0"/>
    <pivotField axis="axisRow" showAll="0" sortType="descending">
      <items count="7">
        <item x="2"/>
        <item x="4"/>
        <item x="5"/>
        <item x="0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164" showAll="0"/>
    <pivotField numFmtId="2" showAll="0"/>
    <pivotField numFmtId="164" showAll="0"/>
    <pivotField numFmtId="14" showAll="0"/>
    <pivotField dataField="1" numFmtId="1" showAll="0"/>
    <pivotField showAll="0"/>
    <pivotField showAll="0"/>
    <pivotField showAll="0"/>
    <pivotField showAll="0"/>
    <pivotField numFmtId="164" showAll="0"/>
    <pivotField showAll="0"/>
    <pivotField numFmtId="164" showAll="0"/>
  </pivotFields>
  <rowFields count="1">
    <field x="1"/>
  </rowFields>
  <rowItems count="7">
    <i>
      <x/>
    </i>
    <i>
      <x v="1"/>
    </i>
    <i>
      <x v="4"/>
    </i>
    <i>
      <x v="5"/>
    </i>
    <i>
      <x v="3"/>
    </i>
    <i>
      <x v="2"/>
    </i>
    <i t="grand">
      <x/>
    </i>
  </rowItems>
  <colItems count="1">
    <i/>
  </colItems>
  <dataFields count="1">
    <dataField name="Total Number of Stocks" fld="10" baseField="1" baseItem="0" numFmtId="1"/>
  </dataFields>
  <chartFormats count="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DCD08D-AE8D-4296-8959-53FDDE1C1444}" name="PivotTable3" cacheId="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 rowHeaderCaption="Markdown Percent">
  <location ref="G3:H10" firstHeaderRow="1" firstDataRow="1" firstDataCol="1" rowPageCount="1" colPageCount="1"/>
  <pivotFields count="18">
    <pivotField showAll="0"/>
    <pivotField showAll="0"/>
    <pivotField showAll="0"/>
    <pivotField showAll="0"/>
    <pivotField showAll="0"/>
    <pivotField showAll="0"/>
    <pivotField numFmtId="164" showAll="0"/>
    <pivotField axis="axisRow" numFmtId="2" showAll="0" sortType="descending">
      <items count="9">
        <item x="0"/>
        <item x="1"/>
        <item x="2"/>
        <item x="3"/>
        <item x="4"/>
        <item x="5"/>
        <item x="6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4" showAll="0"/>
    <pivotField numFmtId="14" showAll="0"/>
    <pivotField numFmtId="1" showAll="0"/>
    <pivotField showAll="0"/>
    <pivotField axis="axisPage" dataField="1" showAll="0">
      <items count="3">
        <item x="0"/>
        <item x="1"/>
        <item t="default"/>
      </items>
    </pivotField>
    <pivotField showAll="0"/>
    <pivotField showAll="0"/>
    <pivotField numFmtId="164" showAll="0"/>
    <pivotField showAll="0"/>
    <pivotField numFmtId="164" showAll="0"/>
  </pivotFields>
  <rowFields count="1">
    <field x="7"/>
  </rowFields>
  <rowItems count="7">
    <i>
      <x v="1"/>
    </i>
    <i>
      <x v="3"/>
    </i>
    <i>
      <x v="5"/>
    </i>
    <i>
      <x v="2"/>
    </i>
    <i>
      <x v="6"/>
    </i>
    <i>
      <x v="4"/>
    </i>
    <i t="grand">
      <x/>
    </i>
  </rowItems>
  <colItems count="1">
    <i/>
  </colItems>
  <pageFields count="1">
    <pageField fld="12" item="1" hier="-1"/>
  </pageFields>
  <dataFields count="1">
    <dataField name="Number of Returns" fld="12" subtotal="count" baseField="7" baseItem="1"/>
  </dataFields>
  <chartFormats count="1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0BD927-8D3C-479B-8943-1327EDCD6870}" name="PivotTable2" cacheId="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Categories">
  <location ref="D3:E10" firstHeaderRow="1" firstDataRow="1" firstDataCol="1"/>
  <pivotFields count="18">
    <pivotField showAll="0"/>
    <pivotField axis="axisRow" showAll="0" sortType="descending">
      <items count="7">
        <item x="2"/>
        <item x="4"/>
        <item x="5"/>
        <item x="0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164" showAll="0"/>
    <pivotField numFmtId="2" showAll="0"/>
    <pivotField numFmtId="164" showAll="0"/>
    <pivotField numFmtId="14" showAll="0"/>
    <pivotField numFmtId="1" showAll="0"/>
    <pivotField dataField="1" showAll="0"/>
    <pivotField showAll="0"/>
    <pivotField showAll="0"/>
    <pivotField showAll="0"/>
    <pivotField numFmtId="164" showAll="0"/>
    <pivotField showAll="0"/>
    <pivotField numFmtId="164" showAll="0"/>
  </pivotFields>
  <rowFields count="1">
    <field x="1"/>
  </rowFields>
  <rowItems count="7">
    <i>
      <x v="4"/>
    </i>
    <i>
      <x v="1"/>
    </i>
    <i>
      <x v="2"/>
    </i>
    <i>
      <x v="5"/>
    </i>
    <i>
      <x/>
    </i>
    <i>
      <x v="3"/>
    </i>
    <i t="grand">
      <x/>
    </i>
  </rowItems>
  <colItems count="1">
    <i/>
  </colItems>
  <dataFields count="1">
    <dataField name="Average Customer Rating" fld="11" subtotal="average" baseField="1" baseItem="4"/>
  </dataFields>
  <chartFormats count="1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8EAF30-983E-4EEF-ADCF-2B08EE33B83F}" name="PivotTable1" cacheId="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Brands">
  <location ref="A3:B12" firstHeaderRow="1" firstDataRow="1" firstDataCol="1"/>
  <pivotFields count="18">
    <pivotField showAll="0"/>
    <pivotField showAll="0"/>
    <pivotField axis="axisRow" showAll="0" sortType="descending">
      <items count="9">
        <item x="5"/>
        <item x="2"/>
        <item x="7"/>
        <item x="6"/>
        <item x="4"/>
        <item x="3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64" showAll="0"/>
    <pivotField numFmtId="2" showAll="0"/>
    <pivotField numFmtId="164" showAll="0"/>
    <pivotField numFmtId="14" showAll="0"/>
    <pivotField numFmtId="1" showAll="0"/>
    <pivotField showAll="0"/>
    <pivotField dataField="1" showAll="0"/>
    <pivotField showAll="0"/>
    <pivotField showAll="0"/>
    <pivotField numFmtId="164" showAll="0"/>
    <pivotField showAll="0"/>
    <pivotField numFmtId="164" showAll="0"/>
  </pivotFields>
  <rowFields count="1">
    <field x="2"/>
  </rowFields>
  <rowItems count="9">
    <i>
      <x v="7"/>
    </i>
    <i>
      <x v="1"/>
    </i>
    <i>
      <x v="5"/>
    </i>
    <i>
      <x v="4"/>
    </i>
    <i>
      <x v="6"/>
    </i>
    <i>
      <x/>
    </i>
    <i>
      <x v="2"/>
    </i>
    <i>
      <x v="3"/>
    </i>
    <i t="grand">
      <x/>
    </i>
  </rowItems>
  <colItems count="1">
    <i/>
  </colItems>
  <dataFields count="1">
    <dataField name="Number of Returns" fld="12" subtotal="count" baseField="2" baseItem="7"/>
  </dataFields>
  <chartFormats count="1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BAFF78-147E-4F15-B3CF-5F8E59313E37}" name="Table1" displayName="Table1" ref="A1:R2177" totalsRowShown="0" headerRowDxfId="18" headerRowBorderDxfId="20" tableBorderDxfId="21" totalsRowBorderDxfId="19">
  <autoFilter ref="A1:R2177" xr:uid="{19BAFF78-147E-4F15-B3CF-5F8E59313E37}"/>
  <tableColumns count="18">
    <tableColumn id="1" xr3:uid="{DC5FA07F-41B7-430F-BF16-24FB2538E0C3}" name="product_id" dataDxfId="17"/>
    <tableColumn id="2" xr3:uid="{838B1269-0341-4C86-A177-75D057EB01CF}" name="category" dataDxfId="16"/>
    <tableColumn id="3" xr3:uid="{62EB412A-AB01-4C80-8F38-10A87BE01582}" name="brand" dataDxfId="15"/>
    <tableColumn id="4" xr3:uid="{89BAA474-DD16-49AC-B4B5-A32C3A4547A9}" name="season" dataDxfId="14"/>
    <tableColumn id="5" xr3:uid="{D3F415D8-6765-456E-A946-61A50CB7B9DC}" name="size" dataDxfId="13"/>
    <tableColumn id="6" xr3:uid="{1B40037A-2FA2-48BC-938C-A16C53F76A7E}" name="color" dataDxfId="12"/>
    <tableColumn id="7" xr3:uid="{3788B16C-1AFC-4D16-A9D6-BB6C6D6773E8}" name="original_price" dataDxfId="11"/>
    <tableColumn id="8" xr3:uid="{CFF58C2B-9100-4E78-BB25-93D3D544A926}" name="markdown_percentage" dataDxfId="10"/>
    <tableColumn id="9" xr3:uid="{60BC8138-FC43-478D-9905-F839E6B1358A}" name="current_price" dataDxfId="9"/>
    <tableColumn id="10" xr3:uid="{2E1973CD-4890-4449-8703-C7464F1861A7}" name="purchase_date" dataDxfId="8"/>
    <tableColumn id="11" xr3:uid="{552464D4-29BF-4388-8E27-D403399D45EE}" name="stock_quantity" dataDxfId="7"/>
    <tableColumn id="12" xr3:uid="{A14C4905-7F5A-413D-A105-AE2C4B5C9ED7}" name="customer_rating" dataDxfId="6"/>
    <tableColumn id="13" xr3:uid="{54643810-1478-4E30-8719-F0699BF778E8}" name="is_returned" dataDxfId="5"/>
    <tableColumn id="14" xr3:uid="{B0336F15-F3B3-482F-8688-2DE1662ED6D6}" name="return_reason" dataDxfId="4"/>
    <tableColumn id="15" xr3:uid="{9BD8341D-C382-4665-AF9F-BDDA4DAF5E39}" name="return_status_check" dataDxfId="3">
      <calculatedColumnFormula>IF(Table1[[#This Row],[is_returned]]=TRUE,IF(Table1[[#This Row],[return_reason]]="","Error","OK"),"OK")</calculatedColumnFormula>
    </tableColumn>
    <tableColumn id="17" xr3:uid="{0E50989C-54FA-48DF-B731-02C628DE2629}" name="amount_disscounted" dataDxfId="2">
      <calculatedColumnFormula>Table1[[#This Row],[original_price]]*Table1[[#This Row],[markdown_percentage]]/100</calculatedColumnFormula>
    </tableColumn>
    <tableColumn id="16" xr3:uid="{C6617A93-7C22-4406-A70E-630DC6E52051}" name="price_check" dataDxfId="1">
      <calculatedColumnFormula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calculatedColumnFormula>
    </tableColumn>
    <tableColumn id="18" xr3:uid="{C2E0F236-36E1-49D4-907C-E18C7F177ECE}" name="revenue" dataDxfId="0" dataCellStyle="Currency">
      <calculatedColumnFormula>Table1[[#This Row],[current_price]]*Table1[[#This Row],[stock_quantity]]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DEE9C-B055-408C-ACF7-C2025755A389}">
  <dimension ref="A1:N2177"/>
  <sheetViews>
    <sheetView workbookViewId="0">
      <selection activeCell="I3" sqref="I3"/>
    </sheetView>
  </sheetViews>
  <sheetFormatPr defaultRowHeight="15" x14ac:dyDescent="0.25"/>
  <cols>
    <col min="10" max="10" width="10.425781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196.01</v>
      </c>
      <c r="H2">
        <v>0</v>
      </c>
      <c r="I2">
        <v>196.01</v>
      </c>
      <c r="J2" s="1">
        <v>45843</v>
      </c>
      <c r="K2">
        <v>37</v>
      </c>
      <c r="L2">
        <v>3</v>
      </c>
      <c r="M2" t="b">
        <v>0</v>
      </c>
    </row>
    <row r="3" spans="1:14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>
        <v>119.64</v>
      </c>
      <c r="H3">
        <v>0</v>
      </c>
      <c r="I3">
        <v>119.64</v>
      </c>
      <c r="J3" s="1">
        <v>45875</v>
      </c>
      <c r="K3">
        <v>2</v>
      </c>
      <c r="L3">
        <v>2.5</v>
      </c>
      <c r="M3" t="b">
        <v>0</v>
      </c>
    </row>
    <row r="4" spans="1:14" x14ac:dyDescent="0.25">
      <c r="A4" t="s">
        <v>26</v>
      </c>
      <c r="B4" t="s">
        <v>27</v>
      </c>
      <c r="C4" t="s">
        <v>22</v>
      </c>
      <c r="D4" t="s">
        <v>23</v>
      </c>
      <c r="F4" t="s">
        <v>28</v>
      </c>
      <c r="G4">
        <v>33.799999999999997</v>
      </c>
      <c r="H4">
        <v>0</v>
      </c>
      <c r="I4">
        <v>33.799999999999997</v>
      </c>
      <c r="J4" s="1">
        <v>45875</v>
      </c>
      <c r="K4">
        <v>22</v>
      </c>
      <c r="L4">
        <v>4.3</v>
      </c>
      <c r="M4" t="b">
        <v>0</v>
      </c>
    </row>
    <row r="5" spans="1:14" x14ac:dyDescent="0.25">
      <c r="A5" t="s">
        <v>29</v>
      </c>
      <c r="B5" t="s">
        <v>30</v>
      </c>
      <c r="C5" t="s">
        <v>22</v>
      </c>
      <c r="D5" t="s">
        <v>17</v>
      </c>
      <c r="E5" t="s">
        <v>18</v>
      </c>
      <c r="F5" t="s">
        <v>28</v>
      </c>
      <c r="G5">
        <v>75.36</v>
      </c>
      <c r="H5">
        <v>0</v>
      </c>
      <c r="I5">
        <v>75.36</v>
      </c>
      <c r="J5" s="1">
        <v>45845</v>
      </c>
      <c r="K5">
        <v>48</v>
      </c>
      <c r="L5">
        <v>2.6</v>
      </c>
      <c r="M5" t="b">
        <v>0</v>
      </c>
    </row>
    <row r="6" spans="1:14" x14ac:dyDescent="0.25">
      <c r="A6" t="s">
        <v>31</v>
      </c>
      <c r="B6" t="s">
        <v>21</v>
      </c>
      <c r="C6" t="s">
        <v>32</v>
      </c>
      <c r="D6" t="s">
        <v>23</v>
      </c>
      <c r="E6" t="s">
        <v>18</v>
      </c>
      <c r="F6" t="s">
        <v>28</v>
      </c>
      <c r="G6">
        <v>105.02</v>
      </c>
      <c r="H6">
        <v>0</v>
      </c>
      <c r="I6">
        <v>105.02</v>
      </c>
      <c r="J6" s="1">
        <v>45875</v>
      </c>
      <c r="K6">
        <v>10</v>
      </c>
      <c r="M6" t="b">
        <v>0</v>
      </c>
    </row>
    <row r="7" spans="1:14" x14ac:dyDescent="0.25">
      <c r="A7" t="s">
        <v>33</v>
      </c>
      <c r="B7" t="s">
        <v>27</v>
      </c>
      <c r="C7" t="s">
        <v>16</v>
      </c>
      <c r="D7" t="s">
        <v>34</v>
      </c>
      <c r="F7" t="s">
        <v>35</v>
      </c>
      <c r="G7">
        <v>35.03</v>
      </c>
      <c r="H7">
        <v>35.4</v>
      </c>
      <c r="I7">
        <v>22.63</v>
      </c>
      <c r="J7" s="1">
        <v>45875</v>
      </c>
      <c r="K7">
        <v>38</v>
      </c>
      <c r="L7">
        <v>2.9</v>
      </c>
      <c r="M7" t="b">
        <v>1</v>
      </c>
      <c r="N7" t="s">
        <v>36</v>
      </c>
    </row>
    <row r="8" spans="1:14" x14ac:dyDescent="0.25">
      <c r="A8" t="s">
        <v>37</v>
      </c>
      <c r="B8" t="s">
        <v>38</v>
      </c>
      <c r="C8" t="s">
        <v>16</v>
      </c>
      <c r="D8" t="s">
        <v>17</v>
      </c>
      <c r="E8" t="s">
        <v>39</v>
      </c>
      <c r="F8" t="s">
        <v>40</v>
      </c>
      <c r="G8">
        <v>53.83</v>
      </c>
      <c r="H8">
        <v>54.5</v>
      </c>
      <c r="I8">
        <v>24.49</v>
      </c>
      <c r="J8" s="1">
        <v>45594</v>
      </c>
      <c r="K8">
        <v>38</v>
      </c>
      <c r="L8">
        <v>2.6</v>
      </c>
      <c r="M8" t="b">
        <v>0</v>
      </c>
    </row>
    <row r="9" spans="1:14" x14ac:dyDescent="0.25">
      <c r="A9" t="s">
        <v>41</v>
      </c>
      <c r="B9" t="s">
        <v>42</v>
      </c>
      <c r="C9" t="s">
        <v>43</v>
      </c>
      <c r="D9" t="s">
        <v>23</v>
      </c>
      <c r="E9" t="s">
        <v>18</v>
      </c>
      <c r="F9" t="s">
        <v>44</v>
      </c>
      <c r="G9">
        <v>91.55</v>
      </c>
      <c r="H9">
        <v>22.1</v>
      </c>
      <c r="I9">
        <v>71.319999999999993</v>
      </c>
      <c r="J9" s="1">
        <v>45875</v>
      </c>
      <c r="K9">
        <v>47</v>
      </c>
      <c r="L9">
        <v>1.6</v>
      </c>
      <c r="M9" t="b">
        <v>0</v>
      </c>
    </row>
    <row r="10" spans="1:14" x14ac:dyDescent="0.25">
      <c r="A10" t="s">
        <v>45</v>
      </c>
      <c r="B10" t="s">
        <v>15</v>
      </c>
      <c r="C10" t="s">
        <v>22</v>
      </c>
      <c r="D10" t="s">
        <v>17</v>
      </c>
      <c r="E10" t="s">
        <v>18</v>
      </c>
      <c r="F10" t="s">
        <v>46</v>
      </c>
      <c r="G10">
        <v>227.73</v>
      </c>
      <c r="H10">
        <v>12.8</v>
      </c>
      <c r="I10">
        <v>198.58</v>
      </c>
      <c r="J10" s="1">
        <v>45740</v>
      </c>
      <c r="K10">
        <v>14</v>
      </c>
      <c r="M10" t="b">
        <v>0</v>
      </c>
    </row>
    <row r="11" spans="1:14" x14ac:dyDescent="0.25">
      <c r="A11" t="s">
        <v>47</v>
      </c>
      <c r="B11" t="s">
        <v>15</v>
      </c>
      <c r="C11" t="s">
        <v>48</v>
      </c>
      <c r="D11" t="s">
        <v>34</v>
      </c>
      <c r="E11" t="s">
        <v>49</v>
      </c>
      <c r="F11" t="s">
        <v>25</v>
      </c>
      <c r="G11">
        <v>248.41</v>
      </c>
      <c r="H11">
        <v>10.9</v>
      </c>
      <c r="I11">
        <v>221.33</v>
      </c>
      <c r="J11" s="1">
        <v>45875</v>
      </c>
      <c r="K11">
        <v>37</v>
      </c>
      <c r="M11" t="b">
        <v>0</v>
      </c>
    </row>
    <row r="12" spans="1:14" x14ac:dyDescent="0.25">
      <c r="A12" t="s">
        <v>50</v>
      </c>
      <c r="B12" t="s">
        <v>21</v>
      </c>
      <c r="C12" t="s">
        <v>43</v>
      </c>
      <c r="D12" t="s">
        <v>17</v>
      </c>
      <c r="E12" t="s">
        <v>24</v>
      </c>
      <c r="F12" t="s">
        <v>28</v>
      </c>
      <c r="G12">
        <v>116.84</v>
      </c>
      <c r="H12">
        <v>0</v>
      </c>
      <c r="I12">
        <v>116.84</v>
      </c>
      <c r="J12" s="1">
        <v>45772</v>
      </c>
      <c r="K12">
        <v>3</v>
      </c>
      <c r="L12">
        <v>4.4000000000000004</v>
      </c>
      <c r="M12" t="b">
        <v>0</v>
      </c>
    </row>
    <row r="13" spans="1:14" x14ac:dyDescent="0.25">
      <c r="A13" t="s">
        <v>51</v>
      </c>
      <c r="B13" t="s">
        <v>30</v>
      </c>
      <c r="C13" t="s">
        <v>22</v>
      </c>
      <c r="D13" t="s">
        <v>23</v>
      </c>
      <c r="E13" t="s">
        <v>39</v>
      </c>
      <c r="F13" t="s">
        <v>44</v>
      </c>
      <c r="G13">
        <v>146.97999999999999</v>
      </c>
      <c r="H13">
        <v>0</v>
      </c>
      <c r="I13">
        <v>146.97999999999999</v>
      </c>
      <c r="J13" s="1">
        <v>45875</v>
      </c>
      <c r="K13">
        <v>2</v>
      </c>
      <c r="L13">
        <v>3.4</v>
      </c>
      <c r="M13" t="b">
        <v>0</v>
      </c>
    </row>
    <row r="14" spans="1:14" x14ac:dyDescent="0.25">
      <c r="A14" t="s">
        <v>52</v>
      </c>
      <c r="B14" t="s">
        <v>38</v>
      </c>
      <c r="C14" t="s">
        <v>53</v>
      </c>
      <c r="D14" t="s">
        <v>17</v>
      </c>
      <c r="E14" t="s">
        <v>39</v>
      </c>
      <c r="F14" t="s">
        <v>35</v>
      </c>
      <c r="G14">
        <v>37.51</v>
      </c>
      <c r="H14">
        <v>0</v>
      </c>
      <c r="I14">
        <v>37.51</v>
      </c>
      <c r="J14" s="1">
        <v>45661</v>
      </c>
      <c r="K14">
        <v>43</v>
      </c>
      <c r="M14" t="b">
        <v>0</v>
      </c>
    </row>
    <row r="15" spans="1:14" x14ac:dyDescent="0.25">
      <c r="A15" t="s">
        <v>54</v>
      </c>
      <c r="B15" t="s">
        <v>42</v>
      </c>
      <c r="C15" t="s">
        <v>22</v>
      </c>
      <c r="D15" t="s">
        <v>34</v>
      </c>
      <c r="E15" t="s">
        <v>55</v>
      </c>
      <c r="F15" t="s">
        <v>56</v>
      </c>
      <c r="G15">
        <v>48.15</v>
      </c>
      <c r="H15">
        <v>0</v>
      </c>
      <c r="I15">
        <v>48.15</v>
      </c>
      <c r="J15" s="1">
        <v>45875</v>
      </c>
      <c r="K15">
        <v>39</v>
      </c>
      <c r="L15">
        <v>1.6</v>
      </c>
      <c r="M15" t="b">
        <v>0</v>
      </c>
    </row>
    <row r="16" spans="1:14" x14ac:dyDescent="0.25">
      <c r="A16" t="s">
        <v>57</v>
      </c>
      <c r="B16" t="s">
        <v>21</v>
      </c>
      <c r="C16" t="s">
        <v>43</v>
      </c>
      <c r="D16" t="s">
        <v>23</v>
      </c>
      <c r="E16" t="s">
        <v>58</v>
      </c>
      <c r="F16" t="s">
        <v>56</v>
      </c>
      <c r="G16">
        <v>79.66</v>
      </c>
      <c r="H16">
        <v>0</v>
      </c>
      <c r="I16">
        <v>79.66</v>
      </c>
      <c r="J16" s="1">
        <v>45875</v>
      </c>
      <c r="K16">
        <v>7</v>
      </c>
      <c r="L16">
        <v>1.7</v>
      </c>
      <c r="M16" t="b">
        <v>0</v>
      </c>
    </row>
    <row r="17" spans="1:14" x14ac:dyDescent="0.25">
      <c r="A17" t="s">
        <v>59</v>
      </c>
      <c r="B17" t="s">
        <v>27</v>
      </c>
      <c r="C17" t="s">
        <v>43</v>
      </c>
      <c r="D17" t="s">
        <v>23</v>
      </c>
      <c r="F17" t="s">
        <v>46</v>
      </c>
      <c r="G17">
        <v>67.569999999999993</v>
      </c>
      <c r="H17">
        <v>0</v>
      </c>
      <c r="I17">
        <v>67.569999999999993</v>
      </c>
      <c r="J17" s="1">
        <v>45875</v>
      </c>
      <c r="K17">
        <v>17</v>
      </c>
      <c r="L17">
        <v>2.4</v>
      </c>
      <c r="M17" t="b">
        <v>0</v>
      </c>
    </row>
    <row r="18" spans="1:14" x14ac:dyDescent="0.25">
      <c r="A18" t="s">
        <v>60</v>
      </c>
      <c r="B18" t="s">
        <v>30</v>
      </c>
      <c r="C18" t="s">
        <v>61</v>
      </c>
      <c r="D18" t="s">
        <v>62</v>
      </c>
      <c r="E18" t="s">
        <v>39</v>
      </c>
      <c r="F18" t="s">
        <v>56</v>
      </c>
      <c r="G18">
        <v>123.53</v>
      </c>
      <c r="H18">
        <v>0</v>
      </c>
      <c r="I18">
        <v>123.53</v>
      </c>
      <c r="J18" s="1">
        <v>45875</v>
      </c>
      <c r="K18">
        <v>14</v>
      </c>
      <c r="L18">
        <v>4.5999999999999996</v>
      </c>
      <c r="M18" t="b">
        <v>0</v>
      </c>
    </row>
    <row r="19" spans="1:14" x14ac:dyDescent="0.25">
      <c r="A19" t="s">
        <v>63</v>
      </c>
      <c r="B19" t="s">
        <v>21</v>
      </c>
      <c r="C19" t="s">
        <v>53</v>
      </c>
      <c r="D19" t="s">
        <v>23</v>
      </c>
      <c r="E19" t="s">
        <v>24</v>
      </c>
      <c r="F19" t="s">
        <v>64</v>
      </c>
      <c r="G19">
        <v>102.35</v>
      </c>
      <c r="H19">
        <v>0</v>
      </c>
      <c r="I19">
        <v>102.35</v>
      </c>
      <c r="J19" s="1">
        <v>45875</v>
      </c>
      <c r="K19">
        <v>14</v>
      </c>
      <c r="L19">
        <v>3.5</v>
      </c>
      <c r="M19" t="b">
        <v>0</v>
      </c>
    </row>
    <row r="20" spans="1:14" x14ac:dyDescent="0.25">
      <c r="A20" t="s">
        <v>65</v>
      </c>
      <c r="B20" t="s">
        <v>15</v>
      </c>
      <c r="C20" t="s">
        <v>43</v>
      </c>
      <c r="D20" t="s">
        <v>62</v>
      </c>
      <c r="E20" t="s">
        <v>58</v>
      </c>
      <c r="F20" t="s">
        <v>66</v>
      </c>
      <c r="G20">
        <v>137.94999999999999</v>
      </c>
      <c r="H20">
        <v>58.5</v>
      </c>
      <c r="I20">
        <v>57.25</v>
      </c>
      <c r="J20" s="1">
        <v>45875</v>
      </c>
      <c r="K20">
        <v>16</v>
      </c>
      <c r="L20">
        <v>4.0999999999999996</v>
      </c>
      <c r="M20" t="b">
        <v>0</v>
      </c>
    </row>
    <row r="21" spans="1:14" x14ac:dyDescent="0.25">
      <c r="A21" t="s">
        <v>67</v>
      </c>
      <c r="B21" t="s">
        <v>15</v>
      </c>
      <c r="C21" t="s">
        <v>32</v>
      </c>
      <c r="D21" t="s">
        <v>62</v>
      </c>
      <c r="E21" t="s">
        <v>49</v>
      </c>
      <c r="F21" t="s">
        <v>40</v>
      </c>
      <c r="G21">
        <v>142.59</v>
      </c>
      <c r="H21">
        <v>0</v>
      </c>
      <c r="I21">
        <v>142.59</v>
      </c>
      <c r="J21" s="1">
        <v>45875</v>
      </c>
      <c r="K21">
        <v>1</v>
      </c>
      <c r="L21">
        <v>3.7</v>
      </c>
      <c r="M21" t="b">
        <v>0</v>
      </c>
    </row>
    <row r="22" spans="1:14" x14ac:dyDescent="0.25">
      <c r="A22" t="s">
        <v>68</v>
      </c>
      <c r="B22" t="s">
        <v>38</v>
      </c>
      <c r="C22" t="s">
        <v>43</v>
      </c>
      <c r="D22" t="s">
        <v>34</v>
      </c>
      <c r="E22" t="s">
        <v>24</v>
      </c>
      <c r="F22" t="s">
        <v>56</v>
      </c>
      <c r="G22">
        <v>33.33</v>
      </c>
      <c r="H22">
        <v>21.8</v>
      </c>
      <c r="I22">
        <v>26.06</v>
      </c>
      <c r="J22" s="1">
        <v>45875</v>
      </c>
      <c r="K22">
        <v>42</v>
      </c>
      <c r="M22" t="b">
        <v>0</v>
      </c>
    </row>
    <row r="23" spans="1:14" x14ac:dyDescent="0.25">
      <c r="A23" t="s">
        <v>69</v>
      </c>
      <c r="B23" t="s">
        <v>27</v>
      </c>
      <c r="C23" t="s">
        <v>16</v>
      </c>
      <c r="D23" t="s">
        <v>17</v>
      </c>
      <c r="F23" t="s">
        <v>70</v>
      </c>
      <c r="G23">
        <v>62.3</v>
      </c>
      <c r="H23">
        <v>0</v>
      </c>
      <c r="I23">
        <v>62.3</v>
      </c>
      <c r="J23" s="1">
        <v>45559</v>
      </c>
      <c r="K23">
        <v>10</v>
      </c>
      <c r="L23">
        <v>2.5</v>
      </c>
      <c r="M23" t="b">
        <v>0</v>
      </c>
    </row>
    <row r="24" spans="1:14" x14ac:dyDescent="0.25">
      <c r="A24" t="s">
        <v>71</v>
      </c>
      <c r="B24" t="s">
        <v>27</v>
      </c>
      <c r="C24" t="s">
        <v>16</v>
      </c>
      <c r="D24" t="s">
        <v>23</v>
      </c>
      <c r="F24" t="s">
        <v>25</v>
      </c>
      <c r="G24">
        <v>38.479999999999997</v>
      </c>
      <c r="H24">
        <v>0</v>
      </c>
      <c r="I24">
        <v>38.479999999999997</v>
      </c>
      <c r="J24" s="1">
        <v>45875</v>
      </c>
      <c r="K24">
        <v>46</v>
      </c>
      <c r="L24">
        <v>1.2</v>
      </c>
      <c r="M24" t="b">
        <v>0</v>
      </c>
    </row>
    <row r="25" spans="1:14" x14ac:dyDescent="0.25">
      <c r="A25" t="s">
        <v>72</v>
      </c>
      <c r="B25" t="s">
        <v>42</v>
      </c>
      <c r="C25" t="s">
        <v>32</v>
      </c>
      <c r="D25" t="s">
        <v>62</v>
      </c>
      <c r="E25" t="s">
        <v>18</v>
      </c>
      <c r="F25" t="s">
        <v>46</v>
      </c>
      <c r="G25">
        <v>91.36</v>
      </c>
      <c r="H25">
        <v>0</v>
      </c>
      <c r="I25">
        <v>91.36</v>
      </c>
      <c r="J25" s="1">
        <v>45875</v>
      </c>
      <c r="K25">
        <v>37</v>
      </c>
      <c r="L25">
        <v>1.2</v>
      </c>
      <c r="M25" t="b">
        <v>1</v>
      </c>
      <c r="N25" t="s">
        <v>73</v>
      </c>
    </row>
    <row r="26" spans="1:14" x14ac:dyDescent="0.25">
      <c r="A26" t="s">
        <v>74</v>
      </c>
      <c r="B26" t="s">
        <v>21</v>
      </c>
      <c r="C26" t="s">
        <v>75</v>
      </c>
      <c r="D26" t="s">
        <v>34</v>
      </c>
      <c r="E26" t="s">
        <v>55</v>
      </c>
      <c r="F26" t="s">
        <v>44</v>
      </c>
      <c r="G26">
        <v>80.47</v>
      </c>
      <c r="H26">
        <v>29.1</v>
      </c>
      <c r="I26">
        <v>57.05</v>
      </c>
      <c r="J26" s="1">
        <v>45875</v>
      </c>
      <c r="K26">
        <v>38</v>
      </c>
      <c r="L26">
        <v>3.6</v>
      </c>
      <c r="M26" t="b">
        <v>0</v>
      </c>
    </row>
    <row r="27" spans="1:14" x14ac:dyDescent="0.25">
      <c r="A27" t="s">
        <v>76</v>
      </c>
      <c r="B27" t="s">
        <v>38</v>
      </c>
      <c r="C27" t="s">
        <v>22</v>
      </c>
      <c r="D27" t="s">
        <v>17</v>
      </c>
      <c r="E27" t="s">
        <v>58</v>
      </c>
      <c r="F27" t="s">
        <v>19</v>
      </c>
      <c r="G27">
        <v>40.89</v>
      </c>
      <c r="H27">
        <v>34</v>
      </c>
      <c r="I27">
        <v>26.99</v>
      </c>
      <c r="J27" s="1">
        <v>45819</v>
      </c>
      <c r="K27">
        <v>16</v>
      </c>
      <c r="L27">
        <v>3.7</v>
      </c>
      <c r="M27" t="b">
        <v>0</v>
      </c>
    </row>
    <row r="28" spans="1:14" x14ac:dyDescent="0.25">
      <c r="A28" t="s">
        <v>77</v>
      </c>
      <c r="B28" t="s">
        <v>38</v>
      </c>
      <c r="C28" t="s">
        <v>32</v>
      </c>
      <c r="D28" t="s">
        <v>62</v>
      </c>
      <c r="E28" t="s">
        <v>24</v>
      </c>
      <c r="F28" t="s">
        <v>19</v>
      </c>
      <c r="G28">
        <v>47.04</v>
      </c>
      <c r="H28">
        <v>36</v>
      </c>
      <c r="I28">
        <v>30.11</v>
      </c>
      <c r="J28" s="1">
        <v>45875</v>
      </c>
      <c r="K28">
        <v>25</v>
      </c>
      <c r="L28">
        <v>1.1000000000000001</v>
      </c>
      <c r="M28" t="b">
        <v>1</v>
      </c>
      <c r="N28" t="s">
        <v>78</v>
      </c>
    </row>
    <row r="29" spans="1:14" x14ac:dyDescent="0.25">
      <c r="A29" t="s">
        <v>79</v>
      </c>
      <c r="B29" t="s">
        <v>38</v>
      </c>
      <c r="C29" t="s">
        <v>61</v>
      </c>
      <c r="D29" t="s">
        <v>62</v>
      </c>
      <c r="E29" t="s">
        <v>58</v>
      </c>
      <c r="F29" t="s">
        <v>44</v>
      </c>
      <c r="G29">
        <v>53.37</v>
      </c>
      <c r="H29">
        <v>0</v>
      </c>
      <c r="I29">
        <v>53.37</v>
      </c>
      <c r="J29" s="1">
        <v>45875</v>
      </c>
      <c r="K29">
        <v>28</v>
      </c>
      <c r="L29">
        <v>3.8</v>
      </c>
      <c r="M29" t="b">
        <v>0</v>
      </c>
    </row>
    <row r="30" spans="1:14" x14ac:dyDescent="0.25">
      <c r="A30" t="s">
        <v>80</v>
      </c>
      <c r="B30" t="s">
        <v>42</v>
      </c>
      <c r="C30" t="s">
        <v>53</v>
      </c>
      <c r="D30" t="s">
        <v>62</v>
      </c>
      <c r="E30" t="s">
        <v>24</v>
      </c>
      <c r="F30" t="s">
        <v>35</v>
      </c>
      <c r="G30">
        <v>114.35</v>
      </c>
      <c r="H30">
        <v>0</v>
      </c>
      <c r="I30">
        <v>114.35</v>
      </c>
      <c r="J30" s="1">
        <v>45875</v>
      </c>
      <c r="K30">
        <v>6</v>
      </c>
      <c r="L30">
        <v>1.2</v>
      </c>
      <c r="M30" t="b">
        <v>0</v>
      </c>
    </row>
    <row r="31" spans="1:14" x14ac:dyDescent="0.25">
      <c r="A31" t="s">
        <v>81</v>
      </c>
      <c r="B31" t="s">
        <v>30</v>
      </c>
      <c r="C31" t="s">
        <v>61</v>
      </c>
      <c r="D31" t="s">
        <v>17</v>
      </c>
      <c r="E31" t="s">
        <v>18</v>
      </c>
      <c r="F31" t="s">
        <v>19</v>
      </c>
      <c r="G31">
        <v>77.63</v>
      </c>
      <c r="H31">
        <v>0</v>
      </c>
      <c r="I31">
        <v>77.63</v>
      </c>
      <c r="J31" s="1">
        <v>45589</v>
      </c>
      <c r="K31">
        <v>1</v>
      </c>
      <c r="M31" t="b">
        <v>0</v>
      </c>
    </row>
    <row r="32" spans="1:14" x14ac:dyDescent="0.25">
      <c r="A32" t="s">
        <v>82</v>
      </c>
      <c r="B32" t="s">
        <v>30</v>
      </c>
      <c r="C32" t="s">
        <v>22</v>
      </c>
      <c r="D32" t="s">
        <v>62</v>
      </c>
      <c r="E32" t="s">
        <v>39</v>
      </c>
      <c r="F32" t="s">
        <v>19</v>
      </c>
      <c r="G32">
        <v>71.290000000000006</v>
      </c>
      <c r="H32">
        <v>0</v>
      </c>
      <c r="I32">
        <v>71.290000000000006</v>
      </c>
      <c r="J32" s="1">
        <v>45875</v>
      </c>
      <c r="K32">
        <v>37</v>
      </c>
      <c r="L32">
        <v>4.0999999999999996</v>
      </c>
      <c r="M32" t="b">
        <v>1</v>
      </c>
      <c r="N32" t="s">
        <v>83</v>
      </c>
    </row>
    <row r="33" spans="1:13" x14ac:dyDescent="0.25">
      <c r="A33" t="s">
        <v>84</v>
      </c>
      <c r="B33" t="s">
        <v>21</v>
      </c>
      <c r="C33" t="s">
        <v>61</v>
      </c>
      <c r="D33" t="s">
        <v>17</v>
      </c>
      <c r="E33" t="s">
        <v>24</v>
      </c>
      <c r="F33" t="s">
        <v>66</v>
      </c>
      <c r="G33">
        <v>37.43</v>
      </c>
      <c r="H33">
        <v>24.4</v>
      </c>
      <c r="I33">
        <v>28.3</v>
      </c>
      <c r="J33" s="1">
        <v>45763</v>
      </c>
      <c r="K33">
        <v>5</v>
      </c>
      <c r="M33" t="b">
        <v>0</v>
      </c>
    </row>
    <row r="34" spans="1:13" x14ac:dyDescent="0.25">
      <c r="A34" t="s">
        <v>85</v>
      </c>
      <c r="B34" t="s">
        <v>30</v>
      </c>
      <c r="C34" t="s">
        <v>16</v>
      </c>
      <c r="D34" t="s">
        <v>17</v>
      </c>
      <c r="E34" t="s">
        <v>18</v>
      </c>
      <c r="F34" t="s">
        <v>66</v>
      </c>
      <c r="G34">
        <v>143.78</v>
      </c>
      <c r="H34">
        <v>0</v>
      </c>
      <c r="I34">
        <v>143.78</v>
      </c>
      <c r="J34" s="1">
        <v>45581</v>
      </c>
      <c r="K34">
        <v>43</v>
      </c>
      <c r="L34">
        <v>1.1000000000000001</v>
      </c>
      <c r="M34" t="b">
        <v>0</v>
      </c>
    </row>
    <row r="35" spans="1:13" x14ac:dyDescent="0.25">
      <c r="A35" t="s">
        <v>86</v>
      </c>
      <c r="B35" t="s">
        <v>21</v>
      </c>
      <c r="C35" t="s">
        <v>32</v>
      </c>
      <c r="D35" t="s">
        <v>62</v>
      </c>
      <c r="E35" t="s">
        <v>18</v>
      </c>
      <c r="F35" t="s">
        <v>40</v>
      </c>
      <c r="G35">
        <v>88.23</v>
      </c>
      <c r="H35">
        <v>0</v>
      </c>
      <c r="I35">
        <v>88.23</v>
      </c>
      <c r="J35" s="1">
        <v>45875</v>
      </c>
      <c r="K35">
        <v>44</v>
      </c>
      <c r="L35">
        <v>1.6</v>
      </c>
      <c r="M35" t="b">
        <v>0</v>
      </c>
    </row>
    <row r="36" spans="1:13" x14ac:dyDescent="0.25">
      <c r="A36" t="s">
        <v>87</v>
      </c>
      <c r="B36" t="s">
        <v>27</v>
      </c>
      <c r="C36" t="s">
        <v>75</v>
      </c>
      <c r="D36" t="s">
        <v>34</v>
      </c>
      <c r="F36" t="s">
        <v>64</v>
      </c>
      <c r="G36">
        <v>58.57</v>
      </c>
      <c r="H36">
        <v>0</v>
      </c>
      <c r="I36">
        <v>58.57</v>
      </c>
      <c r="J36" s="1">
        <v>45875</v>
      </c>
      <c r="K36">
        <v>38</v>
      </c>
      <c r="L36">
        <v>1.5</v>
      </c>
      <c r="M36" t="b">
        <v>0</v>
      </c>
    </row>
    <row r="37" spans="1:13" x14ac:dyDescent="0.25">
      <c r="A37" t="s">
        <v>88</v>
      </c>
      <c r="B37" t="s">
        <v>21</v>
      </c>
      <c r="C37" t="s">
        <v>22</v>
      </c>
      <c r="D37" t="s">
        <v>23</v>
      </c>
      <c r="E37" t="s">
        <v>49</v>
      </c>
      <c r="F37" t="s">
        <v>35</v>
      </c>
      <c r="G37">
        <v>119.7</v>
      </c>
      <c r="H37">
        <v>5.7</v>
      </c>
      <c r="I37">
        <v>112.88</v>
      </c>
      <c r="J37" s="1">
        <v>45875</v>
      </c>
      <c r="K37">
        <v>37</v>
      </c>
      <c r="L37">
        <v>4.9000000000000004</v>
      </c>
      <c r="M37" t="b">
        <v>0</v>
      </c>
    </row>
    <row r="38" spans="1:13" x14ac:dyDescent="0.25">
      <c r="A38" t="s">
        <v>89</v>
      </c>
      <c r="B38" t="s">
        <v>38</v>
      </c>
      <c r="C38" t="s">
        <v>32</v>
      </c>
      <c r="D38" t="s">
        <v>34</v>
      </c>
      <c r="E38" t="s">
        <v>49</v>
      </c>
      <c r="F38" t="s">
        <v>46</v>
      </c>
      <c r="G38">
        <v>97.06</v>
      </c>
      <c r="H38">
        <v>47.8</v>
      </c>
      <c r="I38">
        <v>50.67</v>
      </c>
      <c r="J38" s="1">
        <v>45875</v>
      </c>
      <c r="K38">
        <v>31</v>
      </c>
      <c r="L38">
        <v>4.0999999999999996</v>
      </c>
      <c r="M38" t="b">
        <v>0</v>
      </c>
    </row>
    <row r="39" spans="1:13" x14ac:dyDescent="0.25">
      <c r="A39" t="s">
        <v>90</v>
      </c>
      <c r="B39" t="s">
        <v>42</v>
      </c>
      <c r="C39" t="s">
        <v>32</v>
      </c>
      <c r="D39" t="s">
        <v>62</v>
      </c>
      <c r="E39" t="s">
        <v>24</v>
      </c>
      <c r="F39" t="s">
        <v>35</v>
      </c>
      <c r="G39">
        <v>110.09</v>
      </c>
      <c r="H39">
        <v>0</v>
      </c>
      <c r="I39">
        <v>110.09</v>
      </c>
      <c r="J39" s="1">
        <v>45875</v>
      </c>
      <c r="K39">
        <v>32</v>
      </c>
      <c r="L39">
        <v>3.4</v>
      </c>
      <c r="M39" t="b">
        <v>0</v>
      </c>
    </row>
    <row r="40" spans="1:13" x14ac:dyDescent="0.25">
      <c r="A40" t="s">
        <v>91</v>
      </c>
      <c r="B40" t="s">
        <v>30</v>
      </c>
      <c r="C40" t="s">
        <v>16</v>
      </c>
      <c r="D40" t="s">
        <v>23</v>
      </c>
      <c r="E40" t="s">
        <v>55</v>
      </c>
      <c r="F40" t="s">
        <v>46</v>
      </c>
      <c r="G40">
        <v>198.42</v>
      </c>
      <c r="H40">
        <v>14.2</v>
      </c>
      <c r="I40">
        <v>170.24</v>
      </c>
      <c r="J40" s="1">
        <v>45875</v>
      </c>
      <c r="K40">
        <v>10</v>
      </c>
      <c r="M40" t="b">
        <v>0</v>
      </c>
    </row>
    <row r="41" spans="1:13" x14ac:dyDescent="0.25">
      <c r="A41" t="s">
        <v>92</v>
      </c>
      <c r="B41" t="s">
        <v>38</v>
      </c>
      <c r="C41" t="s">
        <v>32</v>
      </c>
      <c r="D41" t="s">
        <v>23</v>
      </c>
      <c r="F41" t="s">
        <v>66</v>
      </c>
      <c r="G41">
        <v>101.72</v>
      </c>
      <c r="H41">
        <v>0</v>
      </c>
      <c r="I41">
        <v>101.72</v>
      </c>
      <c r="J41" s="1">
        <v>45875</v>
      </c>
      <c r="K41">
        <v>40</v>
      </c>
      <c r="M41" t="b">
        <v>0</v>
      </c>
    </row>
    <row r="42" spans="1:13" x14ac:dyDescent="0.25">
      <c r="A42" t="s">
        <v>93</v>
      </c>
      <c r="B42" t="s">
        <v>21</v>
      </c>
      <c r="C42" t="s">
        <v>22</v>
      </c>
      <c r="D42" t="s">
        <v>62</v>
      </c>
      <c r="E42" t="s">
        <v>39</v>
      </c>
      <c r="F42" t="s">
        <v>35</v>
      </c>
      <c r="G42">
        <v>117.86</v>
      </c>
      <c r="H42">
        <v>0</v>
      </c>
      <c r="I42">
        <v>117.86</v>
      </c>
      <c r="J42" s="1">
        <v>45875</v>
      </c>
      <c r="K42">
        <v>6</v>
      </c>
      <c r="M42" t="b">
        <v>0</v>
      </c>
    </row>
    <row r="43" spans="1:13" x14ac:dyDescent="0.25">
      <c r="A43" t="s">
        <v>94</v>
      </c>
      <c r="B43" t="s">
        <v>21</v>
      </c>
      <c r="C43" t="s">
        <v>53</v>
      </c>
      <c r="D43" t="s">
        <v>62</v>
      </c>
      <c r="E43" t="s">
        <v>58</v>
      </c>
      <c r="F43" t="s">
        <v>46</v>
      </c>
      <c r="G43">
        <v>78.86</v>
      </c>
      <c r="H43">
        <v>0</v>
      </c>
      <c r="I43">
        <v>78.86</v>
      </c>
      <c r="J43" s="1">
        <v>45875</v>
      </c>
      <c r="K43">
        <v>22</v>
      </c>
      <c r="L43">
        <v>4.3</v>
      </c>
      <c r="M43" t="b">
        <v>0</v>
      </c>
    </row>
    <row r="44" spans="1:13" x14ac:dyDescent="0.25">
      <c r="A44" t="s">
        <v>95</v>
      </c>
      <c r="B44" t="s">
        <v>15</v>
      </c>
      <c r="C44" t="s">
        <v>16</v>
      </c>
      <c r="D44" t="s">
        <v>23</v>
      </c>
      <c r="E44" t="s">
        <v>55</v>
      </c>
      <c r="F44" t="s">
        <v>64</v>
      </c>
      <c r="G44">
        <v>216.16</v>
      </c>
      <c r="H44">
        <v>51.4</v>
      </c>
      <c r="I44">
        <v>105.05</v>
      </c>
      <c r="J44" s="1">
        <v>45875</v>
      </c>
      <c r="K44">
        <v>36</v>
      </c>
      <c r="L44">
        <v>4</v>
      </c>
      <c r="M44" t="b">
        <v>0</v>
      </c>
    </row>
    <row r="45" spans="1:13" x14ac:dyDescent="0.25">
      <c r="A45" t="s">
        <v>96</v>
      </c>
      <c r="B45" t="s">
        <v>30</v>
      </c>
      <c r="C45" t="s">
        <v>16</v>
      </c>
      <c r="D45" t="s">
        <v>17</v>
      </c>
      <c r="E45" t="s">
        <v>18</v>
      </c>
      <c r="F45" t="s">
        <v>25</v>
      </c>
      <c r="G45">
        <v>129.85</v>
      </c>
      <c r="H45">
        <v>0</v>
      </c>
      <c r="I45">
        <v>129.85</v>
      </c>
      <c r="J45" s="1">
        <v>45772</v>
      </c>
      <c r="K45">
        <v>36</v>
      </c>
      <c r="L45">
        <v>3.3</v>
      </c>
      <c r="M45" t="b">
        <v>0</v>
      </c>
    </row>
    <row r="46" spans="1:13" x14ac:dyDescent="0.25">
      <c r="A46" t="s">
        <v>97</v>
      </c>
      <c r="B46" t="s">
        <v>21</v>
      </c>
      <c r="C46" t="s">
        <v>32</v>
      </c>
      <c r="D46" t="s">
        <v>23</v>
      </c>
      <c r="E46" t="s">
        <v>49</v>
      </c>
      <c r="F46" t="s">
        <v>46</v>
      </c>
      <c r="G46">
        <v>111.3</v>
      </c>
      <c r="H46">
        <v>0</v>
      </c>
      <c r="I46">
        <v>111.3</v>
      </c>
      <c r="J46" s="1">
        <v>45875</v>
      </c>
      <c r="K46">
        <v>11</v>
      </c>
      <c r="L46">
        <v>1.7</v>
      </c>
      <c r="M46" t="b">
        <v>0</v>
      </c>
    </row>
    <row r="47" spans="1:13" x14ac:dyDescent="0.25">
      <c r="A47" t="s">
        <v>98</v>
      </c>
      <c r="B47" t="s">
        <v>42</v>
      </c>
      <c r="C47" t="s">
        <v>22</v>
      </c>
      <c r="D47" t="s">
        <v>62</v>
      </c>
      <c r="E47" t="s">
        <v>18</v>
      </c>
      <c r="F47" t="s">
        <v>70</v>
      </c>
      <c r="G47">
        <v>73.650000000000006</v>
      </c>
      <c r="H47">
        <v>0</v>
      </c>
      <c r="I47">
        <v>73.650000000000006</v>
      </c>
      <c r="J47" s="1">
        <v>45875</v>
      </c>
      <c r="K47">
        <v>33</v>
      </c>
      <c r="L47">
        <v>3.6</v>
      </c>
      <c r="M47" t="b">
        <v>0</v>
      </c>
    </row>
    <row r="48" spans="1:13" x14ac:dyDescent="0.25">
      <c r="A48" t="s">
        <v>99</v>
      </c>
      <c r="B48" t="s">
        <v>30</v>
      </c>
      <c r="C48" t="s">
        <v>43</v>
      </c>
      <c r="D48" t="s">
        <v>62</v>
      </c>
      <c r="E48" t="s">
        <v>24</v>
      </c>
      <c r="F48" t="s">
        <v>25</v>
      </c>
      <c r="G48">
        <v>147.13</v>
      </c>
      <c r="H48">
        <v>30.3</v>
      </c>
      <c r="I48">
        <v>102.55</v>
      </c>
      <c r="J48" s="1">
        <v>45875</v>
      </c>
      <c r="K48">
        <v>13</v>
      </c>
      <c r="L48">
        <v>4.4000000000000004</v>
      </c>
      <c r="M48" t="b">
        <v>0</v>
      </c>
    </row>
    <row r="49" spans="1:14" x14ac:dyDescent="0.25">
      <c r="A49" t="s">
        <v>100</v>
      </c>
      <c r="B49" t="s">
        <v>27</v>
      </c>
      <c r="C49" t="s">
        <v>53</v>
      </c>
      <c r="D49" t="s">
        <v>23</v>
      </c>
      <c r="F49" t="s">
        <v>46</v>
      </c>
      <c r="G49">
        <v>44.6</v>
      </c>
      <c r="H49">
        <v>53.9</v>
      </c>
      <c r="I49">
        <v>20.56</v>
      </c>
      <c r="J49" s="1">
        <v>45875</v>
      </c>
      <c r="K49">
        <v>42</v>
      </c>
      <c r="L49">
        <v>2.4</v>
      </c>
      <c r="M49" t="b">
        <v>0</v>
      </c>
    </row>
    <row r="50" spans="1:14" x14ac:dyDescent="0.25">
      <c r="A50" t="s">
        <v>101</v>
      </c>
      <c r="B50" t="s">
        <v>38</v>
      </c>
      <c r="C50" t="s">
        <v>75</v>
      </c>
      <c r="D50" t="s">
        <v>62</v>
      </c>
      <c r="E50" t="s">
        <v>18</v>
      </c>
      <c r="F50" t="s">
        <v>35</v>
      </c>
      <c r="G50">
        <v>101.8</v>
      </c>
      <c r="H50">
        <v>0</v>
      </c>
      <c r="I50">
        <v>101.8</v>
      </c>
      <c r="J50" s="1">
        <v>45875</v>
      </c>
      <c r="K50">
        <v>7</v>
      </c>
      <c r="L50">
        <v>2.8</v>
      </c>
      <c r="M50" t="b">
        <v>0</v>
      </c>
    </row>
    <row r="51" spans="1:14" x14ac:dyDescent="0.25">
      <c r="A51" t="s">
        <v>102</v>
      </c>
      <c r="B51" t="s">
        <v>27</v>
      </c>
      <c r="C51" t="s">
        <v>32</v>
      </c>
      <c r="D51" t="s">
        <v>62</v>
      </c>
      <c r="F51" t="s">
        <v>70</v>
      </c>
      <c r="G51">
        <v>16.52</v>
      </c>
      <c r="H51">
        <v>55.9</v>
      </c>
      <c r="I51">
        <v>7.29</v>
      </c>
      <c r="J51" s="1">
        <v>45875</v>
      </c>
      <c r="K51">
        <v>43</v>
      </c>
      <c r="M51" t="b">
        <v>0</v>
      </c>
    </row>
    <row r="52" spans="1:14" x14ac:dyDescent="0.25">
      <c r="A52" t="s">
        <v>103</v>
      </c>
      <c r="B52" t="s">
        <v>38</v>
      </c>
      <c r="C52" t="s">
        <v>48</v>
      </c>
      <c r="D52" t="s">
        <v>34</v>
      </c>
      <c r="E52" t="s">
        <v>58</v>
      </c>
      <c r="F52" t="s">
        <v>56</v>
      </c>
      <c r="G52">
        <v>50.91</v>
      </c>
      <c r="H52">
        <v>0</v>
      </c>
      <c r="I52">
        <v>50.91</v>
      </c>
      <c r="J52" s="1">
        <v>45875</v>
      </c>
      <c r="K52">
        <v>3</v>
      </c>
      <c r="L52">
        <v>1.8</v>
      </c>
      <c r="M52" t="b">
        <v>0</v>
      </c>
    </row>
    <row r="53" spans="1:14" x14ac:dyDescent="0.25">
      <c r="A53" t="s">
        <v>104</v>
      </c>
      <c r="B53" t="s">
        <v>15</v>
      </c>
      <c r="C53" t="s">
        <v>75</v>
      </c>
      <c r="D53" t="s">
        <v>17</v>
      </c>
      <c r="E53" t="s">
        <v>39</v>
      </c>
      <c r="F53" t="s">
        <v>35</v>
      </c>
      <c r="G53">
        <v>222.26</v>
      </c>
      <c r="H53">
        <v>0</v>
      </c>
      <c r="I53">
        <v>222.26</v>
      </c>
      <c r="J53" s="1">
        <v>45780</v>
      </c>
      <c r="K53">
        <v>50</v>
      </c>
      <c r="L53">
        <v>4.5</v>
      </c>
      <c r="M53" t="b">
        <v>0</v>
      </c>
    </row>
    <row r="54" spans="1:14" x14ac:dyDescent="0.25">
      <c r="A54" t="s">
        <v>105</v>
      </c>
      <c r="B54" t="s">
        <v>30</v>
      </c>
      <c r="C54" t="s">
        <v>61</v>
      </c>
      <c r="D54" t="s">
        <v>62</v>
      </c>
      <c r="E54" t="s">
        <v>39</v>
      </c>
      <c r="F54" t="s">
        <v>64</v>
      </c>
      <c r="G54">
        <v>104.14</v>
      </c>
      <c r="H54">
        <v>57.1</v>
      </c>
      <c r="I54">
        <v>44.68</v>
      </c>
      <c r="J54" s="1">
        <v>45875</v>
      </c>
      <c r="K54">
        <v>14</v>
      </c>
      <c r="L54">
        <v>1.8</v>
      </c>
      <c r="M54" t="b">
        <v>0</v>
      </c>
    </row>
    <row r="55" spans="1:14" x14ac:dyDescent="0.25">
      <c r="A55" t="s">
        <v>106</v>
      </c>
      <c r="B55" t="s">
        <v>15</v>
      </c>
      <c r="C55" t="s">
        <v>16</v>
      </c>
      <c r="D55" t="s">
        <v>17</v>
      </c>
      <c r="E55" t="s">
        <v>39</v>
      </c>
      <c r="F55" t="s">
        <v>35</v>
      </c>
      <c r="G55">
        <v>166.76</v>
      </c>
      <c r="H55">
        <v>0</v>
      </c>
      <c r="I55">
        <v>166.76</v>
      </c>
      <c r="J55" s="1">
        <v>45820</v>
      </c>
      <c r="K55">
        <v>21</v>
      </c>
      <c r="L55">
        <v>4.2</v>
      </c>
      <c r="M55" t="b">
        <v>0</v>
      </c>
    </row>
    <row r="56" spans="1:14" x14ac:dyDescent="0.25">
      <c r="A56" t="s">
        <v>107</v>
      </c>
      <c r="B56" t="s">
        <v>27</v>
      </c>
      <c r="C56" t="s">
        <v>32</v>
      </c>
      <c r="D56" t="s">
        <v>34</v>
      </c>
      <c r="F56" t="s">
        <v>28</v>
      </c>
      <c r="G56">
        <v>44.13</v>
      </c>
      <c r="H56">
        <v>50.9</v>
      </c>
      <c r="I56">
        <v>21.67</v>
      </c>
      <c r="J56" s="1">
        <v>45875</v>
      </c>
      <c r="K56">
        <v>21</v>
      </c>
      <c r="L56">
        <v>3</v>
      </c>
      <c r="M56" t="b">
        <v>0</v>
      </c>
    </row>
    <row r="57" spans="1:14" x14ac:dyDescent="0.25">
      <c r="A57" t="s">
        <v>108</v>
      </c>
      <c r="B57" t="s">
        <v>15</v>
      </c>
      <c r="C57" t="s">
        <v>61</v>
      </c>
      <c r="D57" t="s">
        <v>62</v>
      </c>
      <c r="E57" t="s">
        <v>39</v>
      </c>
      <c r="F57" t="s">
        <v>46</v>
      </c>
      <c r="G57">
        <v>121.29</v>
      </c>
      <c r="H57">
        <v>15.2</v>
      </c>
      <c r="I57">
        <v>102.85</v>
      </c>
      <c r="J57" s="1">
        <v>45875</v>
      </c>
      <c r="K57">
        <v>42</v>
      </c>
      <c r="M57" t="b">
        <v>0</v>
      </c>
    </row>
    <row r="58" spans="1:14" x14ac:dyDescent="0.25">
      <c r="A58" t="s">
        <v>109</v>
      </c>
      <c r="B58" t="s">
        <v>21</v>
      </c>
      <c r="C58" t="s">
        <v>48</v>
      </c>
      <c r="D58" t="s">
        <v>17</v>
      </c>
      <c r="E58" t="s">
        <v>39</v>
      </c>
      <c r="F58" t="s">
        <v>56</v>
      </c>
      <c r="G58">
        <v>73.709999999999994</v>
      </c>
      <c r="H58">
        <v>0</v>
      </c>
      <c r="I58">
        <v>73.709999999999994</v>
      </c>
      <c r="J58" s="1">
        <v>45848</v>
      </c>
      <c r="K58">
        <v>35</v>
      </c>
      <c r="L58">
        <v>3.9</v>
      </c>
      <c r="M58" t="b">
        <v>1</v>
      </c>
      <c r="N58" t="s">
        <v>83</v>
      </c>
    </row>
    <row r="59" spans="1:14" x14ac:dyDescent="0.25">
      <c r="A59" t="s">
        <v>110</v>
      </c>
      <c r="B59" t="s">
        <v>38</v>
      </c>
      <c r="C59" t="s">
        <v>16</v>
      </c>
      <c r="D59" t="s">
        <v>17</v>
      </c>
      <c r="E59" t="s">
        <v>18</v>
      </c>
      <c r="F59" t="s">
        <v>70</v>
      </c>
      <c r="G59">
        <v>84.07</v>
      </c>
      <c r="H59">
        <v>26.3</v>
      </c>
      <c r="I59">
        <v>61.96</v>
      </c>
      <c r="J59" s="1">
        <v>45590</v>
      </c>
      <c r="K59">
        <v>19</v>
      </c>
      <c r="L59">
        <v>2.2999999999999998</v>
      </c>
      <c r="M59" t="b">
        <v>1</v>
      </c>
      <c r="N59" t="s">
        <v>73</v>
      </c>
    </row>
    <row r="60" spans="1:14" x14ac:dyDescent="0.25">
      <c r="A60" t="s">
        <v>111</v>
      </c>
      <c r="B60" t="s">
        <v>21</v>
      </c>
      <c r="C60" t="s">
        <v>43</v>
      </c>
      <c r="D60" t="s">
        <v>62</v>
      </c>
      <c r="E60" t="s">
        <v>55</v>
      </c>
      <c r="F60" t="s">
        <v>28</v>
      </c>
      <c r="G60">
        <v>28.59</v>
      </c>
      <c r="H60">
        <v>0</v>
      </c>
      <c r="I60">
        <v>28.59</v>
      </c>
      <c r="J60" s="1">
        <v>45875</v>
      </c>
      <c r="K60">
        <v>39</v>
      </c>
      <c r="L60">
        <v>1.4</v>
      </c>
      <c r="M60" t="b">
        <v>0</v>
      </c>
    </row>
    <row r="61" spans="1:14" x14ac:dyDescent="0.25">
      <c r="A61" t="s">
        <v>112</v>
      </c>
      <c r="B61" t="s">
        <v>30</v>
      </c>
      <c r="C61" t="s">
        <v>43</v>
      </c>
      <c r="D61" t="s">
        <v>23</v>
      </c>
      <c r="E61" t="s">
        <v>49</v>
      </c>
      <c r="F61" t="s">
        <v>44</v>
      </c>
      <c r="G61">
        <v>166.49</v>
      </c>
      <c r="H61">
        <v>2.6</v>
      </c>
      <c r="I61">
        <v>162.16</v>
      </c>
      <c r="J61" s="1">
        <v>45875</v>
      </c>
      <c r="K61">
        <v>27</v>
      </c>
      <c r="M61" t="b">
        <v>0</v>
      </c>
    </row>
    <row r="62" spans="1:14" x14ac:dyDescent="0.25">
      <c r="A62" t="s">
        <v>113</v>
      </c>
      <c r="B62" t="s">
        <v>30</v>
      </c>
      <c r="C62" t="s">
        <v>53</v>
      </c>
      <c r="D62" t="s">
        <v>62</v>
      </c>
      <c r="E62" t="s">
        <v>58</v>
      </c>
      <c r="F62" t="s">
        <v>35</v>
      </c>
      <c r="G62">
        <v>145.94999999999999</v>
      </c>
      <c r="H62">
        <v>6.6</v>
      </c>
      <c r="I62">
        <v>136.32</v>
      </c>
      <c r="J62" s="1">
        <v>45875</v>
      </c>
      <c r="K62">
        <v>15</v>
      </c>
      <c r="L62">
        <v>4</v>
      </c>
      <c r="M62" t="b">
        <v>0</v>
      </c>
    </row>
    <row r="63" spans="1:14" x14ac:dyDescent="0.25">
      <c r="A63" t="s">
        <v>114</v>
      </c>
      <c r="B63" t="s">
        <v>15</v>
      </c>
      <c r="C63" t="s">
        <v>61</v>
      </c>
      <c r="D63" t="s">
        <v>34</v>
      </c>
      <c r="E63" t="s">
        <v>58</v>
      </c>
      <c r="F63" t="s">
        <v>66</v>
      </c>
      <c r="G63">
        <v>218.42</v>
      </c>
      <c r="H63">
        <v>0</v>
      </c>
      <c r="I63">
        <v>218.42</v>
      </c>
      <c r="J63" s="1">
        <v>45875</v>
      </c>
      <c r="K63">
        <v>33</v>
      </c>
      <c r="L63">
        <v>4.4000000000000004</v>
      </c>
      <c r="M63" t="b">
        <v>1</v>
      </c>
      <c r="N63" t="s">
        <v>115</v>
      </c>
    </row>
    <row r="64" spans="1:14" x14ac:dyDescent="0.25">
      <c r="A64" t="s">
        <v>116</v>
      </c>
      <c r="B64" t="s">
        <v>27</v>
      </c>
      <c r="C64" t="s">
        <v>75</v>
      </c>
      <c r="D64" t="s">
        <v>23</v>
      </c>
      <c r="F64" t="s">
        <v>35</v>
      </c>
      <c r="G64">
        <v>46.17</v>
      </c>
      <c r="H64">
        <v>1.1000000000000001</v>
      </c>
      <c r="I64">
        <v>45.66</v>
      </c>
      <c r="J64" s="1">
        <v>45875</v>
      </c>
      <c r="K64">
        <v>30</v>
      </c>
      <c r="L64">
        <v>1.9</v>
      </c>
      <c r="M64" t="b">
        <v>0</v>
      </c>
    </row>
    <row r="65" spans="1:14" x14ac:dyDescent="0.25">
      <c r="A65" t="s">
        <v>117</v>
      </c>
      <c r="B65" t="s">
        <v>30</v>
      </c>
      <c r="C65" t="s">
        <v>48</v>
      </c>
      <c r="D65" t="s">
        <v>62</v>
      </c>
      <c r="F65" t="s">
        <v>46</v>
      </c>
      <c r="G65">
        <v>106.18</v>
      </c>
      <c r="H65">
        <v>18</v>
      </c>
      <c r="I65">
        <v>87.07</v>
      </c>
      <c r="J65" s="1">
        <v>45875</v>
      </c>
      <c r="K65">
        <v>11</v>
      </c>
      <c r="L65">
        <v>4.5</v>
      </c>
      <c r="M65" t="b">
        <v>0</v>
      </c>
    </row>
    <row r="66" spans="1:14" x14ac:dyDescent="0.25">
      <c r="A66" t="s">
        <v>118</v>
      </c>
      <c r="B66" t="s">
        <v>21</v>
      </c>
      <c r="C66" t="s">
        <v>16</v>
      </c>
      <c r="D66" t="s">
        <v>23</v>
      </c>
      <c r="E66" t="s">
        <v>55</v>
      </c>
      <c r="F66" t="s">
        <v>40</v>
      </c>
      <c r="G66">
        <v>93.33</v>
      </c>
      <c r="H66">
        <v>2.4</v>
      </c>
      <c r="I66">
        <v>91.09</v>
      </c>
      <c r="J66" s="1">
        <v>45875</v>
      </c>
      <c r="K66">
        <v>20</v>
      </c>
      <c r="L66">
        <v>4.2</v>
      </c>
      <c r="M66" t="b">
        <v>0</v>
      </c>
    </row>
    <row r="67" spans="1:14" x14ac:dyDescent="0.25">
      <c r="A67" t="s">
        <v>119</v>
      </c>
      <c r="B67" t="s">
        <v>38</v>
      </c>
      <c r="C67" t="s">
        <v>43</v>
      </c>
      <c r="D67" t="s">
        <v>17</v>
      </c>
      <c r="E67" t="s">
        <v>55</v>
      </c>
      <c r="F67" t="s">
        <v>35</v>
      </c>
      <c r="G67">
        <v>86.54</v>
      </c>
      <c r="H67">
        <v>21.7</v>
      </c>
      <c r="I67">
        <v>67.760000000000005</v>
      </c>
      <c r="J67" s="1">
        <v>45809</v>
      </c>
      <c r="K67">
        <v>21</v>
      </c>
      <c r="L67">
        <v>3.6</v>
      </c>
      <c r="M67" t="b">
        <v>1</v>
      </c>
      <c r="N67" t="s">
        <v>115</v>
      </c>
    </row>
    <row r="68" spans="1:14" x14ac:dyDescent="0.25">
      <c r="A68" t="s">
        <v>120</v>
      </c>
      <c r="B68" t="s">
        <v>27</v>
      </c>
      <c r="C68" t="s">
        <v>53</v>
      </c>
      <c r="D68" t="s">
        <v>62</v>
      </c>
      <c r="F68" t="s">
        <v>46</v>
      </c>
      <c r="G68">
        <v>55.57</v>
      </c>
      <c r="H68">
        <v>0</v>
      </c>
      <c r="I68">
        <v>55.57</v>
      </c>
      <c r="J68" s="1">
        <v>45875</v>
      </c>
      <c r="K68">
        <v>44</v>
      </c>
      <c r="L68">
        <v>3.8</v>
      </c>
      <c r="M68" t="b">
        <v>0</v>
      </c>
    </row>
    <row r="69" spans="1:14" x14ac:dyDescent="0.25">
      <c r="A69" t="s">
        <v>121</v>
      </c>
      <c r="B69" t="s">
        <v>21</v>
      </c>
      <c r="C69" t="s">
        <v>75</v>
      </c>
      <c r="D69" t="s">
        <v>17</v>
      </c>
      <c r="E69" t="s">
        <v>18</v>
      </c>
      <c r="F69" t="s">
        <v>28</v>
      </c>
      <c r="G69">
        <v>76.5</v>
      </c>
      <c r="H69">
        <v>0</v>
      </c>
      <c r="I69">
        <v>76.5</v>
      </c>
      <c r="J69" s="1">
        <v>45683</v>
      </c>
      <c r="K69">
        <v>17</v>
      </c>
      <c r="L69">
        <v>4.5999999999999996</v>
      </c>
      <c r="M69" t="b">
        <v>0</v>
      </c>
    </row>
    <row r="70" spans="1:14" x14ac:dyDescent="0.25">
      <c r="A70" t="s">
        <v>122</v>
      </c>
      <c r="B70" t="s">
        <v>42</v>
      </c>
      <c r="C70" t="s">
        <v>75</v>
      </c>
      <c r="D70" t="s">
        <v>17</v>
      </c>
      <c r="E70" t="s">
        <v>55</v>
      </c>
      <c r="F70" t="s">
        <v>46</v>
      </c>
      <c r="G70">
        <v>137.19</v>
      </c>
      <c r="H70">
        <v>9.5</v>
      </c>
      <c r="I70">
        <v>124.16</v>
      </c>
      <c r="J70" s="1">
        <v>45748</v>
      </c>
      <c r="K70">
        <v>17</v>
      </c>
      <c r="M70" t="b">
        <v>0</v>
      </c>
    </row>
    <row r="71" spans="1:14" x14ac:dyDescent="0.25">
      <c r="A71" t="s">
        <v>123</v>
      </c>
      <c r="B71" t="s">
        <v>21</v>
      </c>
      <c r="C71" t="s">
        <v>16</v>
      </c>
      <c r="D71" t="s">
        <v>62</v>
      </c>
      <c r="E71" t="s">
        <v>18</v>
      </c>
      <c r="F71" t="s">
        <v>66</v>
      </c>
      <c r="G71">
        <v>48.92</v>
      </c>
      <c r="H71">
        <v>19.8</v>
      </c>
      <c r="I71">
        <v>39.229999999999997</v>
      </c>
      <c r="J71" s="1">
        <v>45875</v>
      </c>
      <c r="K71">
        <v>17</v>
      </c>
      <c r="L71">
        <v>2.6</v>
      </c>
      <c r="M71" t="b">
        <v>0</v>
      </c>
    </row>
    <row r="72" spans="1:14" x14ac:dyDescent="0.25">
      <c r="A72" t="s">
        <v>124</v>
      </c>
      <c r="B72" t="s">
        <v>30</v>
      </c>
      <c r="C72" t="s">
        <v>53</v>
      </c>
      <c r="D72" t="s">
        <v>23</v>
      </c>
      <c r="E72" t="s">
        <v>18</v>
      </c>
      <c r="F72" t="s">
        <v>35</v>
      </c>
      <c r="G72">
        <v>69.819999999999993</v>
      </c>
      <c r="H72">
        <v>0</v>
      </c>
      <c r="I72">
        <v>69.819999999999993</v>
      </c>
      <c r="J72" s="1">
        <v>45875</v>
      </c>
      <c r="K72">
        <v>46</v>
      </c>
      <c r="M72" t="b">
        <v>1</v>
      </c>
      <c r="N72" t="s">
        <v>125</v>
      </c>
    </row>
    <row r="73" spans="1:14" x14ac:dyDescent="0.25">
      <c r="A73" t="s">
        <v>126</v>
      </c>
      <c r="B73" t="s">
        <v>15</v>
      </c>
      <c r="C73" t="s">
        <v>43</v>
      </c>
      <c r="D73" t="s">
        <v>62</v>
      </c>
      <c r="E73" t="s">
        <v>49</v>
      </c>
      <c r="F73" t="s">
        <v>19</v>
      </c>
      <c r="G73">
        <v>199.39</v>
      </c>
      <c r="H73">
        <v>7.4</v>
      </c>
      <c r="I73">
        <v>184.64</v>
      </c>
      <c r="J73" s="1">
        <v>45875</v>
      </c>
      <c r="K73">
        <v>49</v>
      </c>
      <c r="M73" t="b">
        <v>0</v>
      </c>
    </row>
    <row r="74" spans="1:14" x14ac:dyDescent="0.25">
      <c r="A74" t="s">
        <v>127</v>
      </c>
      <c r="B74" t="s">
        <v>15</v>
      </c>
      <c r="C74" t="s">
        <v>32</v>
      </c>
      <c r="D74" t="s">
        <v>62</v>
      </c>
      <c r="E74" t="s">
        <v>58</v>
      </c>
      <c r="F74" t="s">
        <v>35</v>
      </c>
      <c r="G74">
        <v>222.09</v>
      </c>
      <c r="H74">
        <v>55.2</v>
      </c>
      <c r="I74">
        <v>99.5</v>
      </c>
      <c r="J74" s="1">
        <v>45875</v>
      </c>
      <c r="K74">
        <v>21</v>
      </c>
      <c r="L74">
        <v>4.5</v>
      </c>
      <c r="M74" t="b">
        <v>0</v>
      </c>
    </row>
    <row r="75" spans="1:14" x14ac:dyDescent="0.25">
      <c r="A75" t="s">
        <v>128</v>
      </c>
      <c r="B75" t="s">
        <v>21</v>
      </c>
      <c r="C75" t="s">
        <v>43</v>
      </c>
      <c r="D75" t="s">
        <v>34</v>
      </c>
      <c r="E75" t="s">
        <v>55</v>
      </c>
      <c r="F75" t="s">
        <v>19</v>
      </c>
      <c r="G75">
        <v>112.86</v>
      </c>
      <c r="H75">
        <v>0</v>
      </c>
      <c r="I75">
        <v>112.86</v>
      </c>
      <c r="J75" s="1">
        <v>45875</v>
      </c>
      <c r="K75">
        <v>8</v>
      </c>
      <c r="L75">
        <v>2.9</v>
      </c>
      <c r="M75" t="b">
        <v>0</v>
      </c>
    </row>
    <row r="76" spans="1:14" x14ac:dyDescent="0.25">
      <c r="A76" t="s">
        <v>129</v>
      </c>
      <c r="B76" t="s">
        <v>42</v>
      </c>
      <c r="C76" t="s">
        <v>43</v>
      </c>
      <c r="D76" t="s">
        <v>17</v>
      </c>
      <c r="E76" t="s">
        <v>55</v>
      </c>
      <c r="F76" t="s">
        <v>46</v>
      </c>
      <c r="G76">
        <v>100.96</v>
      </c>
      <c r="H76">
        <v>0</v>
      </c>
      <c r="I76">
        <v>100.96</v>
      </c>
      <c r="J76" s="1">
        <v>45787</v>
      </c>
      <c r="K76">
        <v>32</v>
      </c>
      <c r="L76">
        <v>3.3</v>
      </c>
      <c r="M76" t="b">
        <v>0</v>
      </c>
    </row>
    <row r="77" spans="1:14" x14ac:dyDescent="0.25">
      <c r="A77" t="s">
        <v>130</v>
      </c>
      <c r="B77" t="s">
        <v>15</v>
      </c>
      <c r="C77" t="s">
        <v>61</v>
      </c>
      <c r="D77" t="s">
        <v>17</v>
      </c>
      <c r="E77" t="s">
        <v>18</v>
      </c>
      <c r="F77" t="s">
        <v>46</v>
      </c>
      <c r="G77">
        <v>243.56</v>
      </c>
      <c r="H77">
        <v>48</v>
      </c>
      <c r="I77">
        <v>126.65</v>
      </c>
      <c r="J77" s="1">
        <v>45579</v>
      </c>
      <c r="K77">
        <v>22</v>
      </c>
      <c r="L77">
        <v>4.4000000000000004</v>
      </c>
      <c r="M77" t="b">
        <v>1</v>
      </c>
      <c r="N77" t="s">
        <v>115</v>
      </c>
    </row>
    <row r="78" spans="1:14" x14ac:dyDescent="0.25">
      <c r="A78" t="s">
        <v>131</v>
      </c>
      <c r="B78" t="s">
        <v>42</v>
      </c>
      <c r="C78" t="s">
        <v>43</v>
      </c>
      <c r="D78" t="s">
        <v>17</v>
      </c>
      <c r="E78" t="s">
        <v>49</v>
      </c>
      <c r="F78" t="s">
        <v>19</v>
      </c>
      <c r="G78">
        <v>153.32</v>
      </c>
      <c r="H78">
        <v>0</v>
      </c>
      <c r="I78">
        <v>153.32</v>
      </c>
      <c r="J78" s="1">
        <v>45548</v>
      </c>
      <c r="K78">
        <v>43</v>
      </c>
      <c r="L78">
        <v>2.9</v>
      </c>
      <c r="M78" t="b">
        <v>0</v>
      </c>
    </row>
    <row r="79" spans="1:14" x14ac:dyDescent="0.25">
      <c r="A79" t="s">
        <v>132</v>
      </c>
      <c r="B79" t="s">
        <v>27</v>
      </c>
      <c r="C79" t="s">
        <v>22</v>
      </c>
      <c r="D79" t="s">
        <v>34</v>
      </c>
      <c r="F79" t="s">
        <v>66</v>
      </c>
      <c r="G79">
        <v>42.95</v>
      </c>
      <c r="H79">
        <v>22.5</v>
      </c>
      <c r="I79">
        <v>33.29</v>
      </c>
      <c r="J79" s="1">
        <v>45875</v>
      </c>
      <c r="K79">
        <v>7</v>
      </c>
      <c r="L79">
        <v>1.9</v>
      </c>
      <c r="M79" t="b">
        <v>1</v>
      </c>
      <c r="N79" t="s">
        <v>73</v>
      </c>
    </row>
    <row r="80" spans="1:14" x14ac:dyDescent="0.25">
      <c r="A80" t="s">
        <v>133</v>
      </c>
      <c r="B80" t="s">
        <v>21</v>
      </c>
      <c r="C80" t="s">
        <v>48</v>
      </c>
      <c r="D80" t="s">
        <v>62</v>
      </c>
      <c r="E80" t="s">
        <v>39</v>
      </c>
      <c r="F80" t="s">
        <v>46</v>
      </c>
      <c r="G80">
        <v>30.79</v>
      </c>
      <c r="H80">
        <v>0</v>
      </c>
      <c r="I80">
        <v>30.79</v>
      </c>
      <c r="J80" s="1">
        <v>45875</v>
      </c>
      <c r="K80">
        <v>36</v>
      </c>
      <c r="L80">
        <v>3.4</v>
      </c>
      <c r="M80" t="b">
        <v>0</v>
      </c>
    </row>
    <row r="81" spans="1:14" x14ac:dyDescent="0.25">
      <c r="A81" t="s">
        <v>134</v>
      </c>
      <c r="B81" t="s">
        <v>27</v>
      </c>
      <c r="C81" t="s">
        <v>22</v>
      </c>
      <c r="D81" t="s">
        <v>34</v>
      </c>
      <c r="F81" t="s">
        <v>70</v>
      </c>
      <c r="G81">
        <v>59.85</v>
      </c>
      <c r="H81">
        <v>0</v>
      </c>
      <c r="I81">
        <v>59.85</v>
      </c>
      <c r="J81" s="1">
        <v>45875</v>
      </c>
      <c r="K81">
        <v>38</v>
      </c>
      <c r="L81">
        <v>4</v>
      </c>
      <c r="M81" t="b">
        <v>0</v>
      </c>
    </row>
    <row r="82" spans="1:14" x14ac:dyDescent="0.25">
      <c r="A82" t="s">
        <v>135</v>
      </c>
      <c r="B82" t="s">
        <v>21</v>
      </c>
      <c r="C82" t="s">
        <v>32</v>
      </c>
      <c r="D82" t="s">
        <v>17</v>
      </c>
      <c r="E82" t="s">
        <v>39</v>
      </c>
      <c r="F82" t="s">
        <v>64</v>
      </c>
      <c r="G82">
        <v>78.16</v>
      </c>
      <c r="H82">
        <v>19.100000000000001</v>
      </c>
      <c r="I82">
        <v>63.23</v>
      </c>
      <c r="J82" s="1">
        <v>45863</v>
      </c>
      <c r="K82">
        <v>23</v>
      </c>
      <c r="M82" t="b">
        <v>0</v>
      </c>
    </row>
    <row r="83" spans="1:14" x14ac:dyDescent="0.25">
      <c r="A83" t="s">
        <v>136</v>
      </c>
      <c r="B83" t="s">
        <v>21</v>
      </c>
      <c r="C83" t="s">
        <v>53</v>
      </c>
      <c r="D83" t="s">
        <v>34</v>
      </c>
      <c r="E83" t="s">
        <v>58</v>
      </c>
      <c r="F83" t="s">
        <v>35</v>
      </c>
      <c r="G83">
        <v>113.17</v>
      </c>
      <c r="H83">
        <v>19.100000000000001</v>
      </c>
      <c r="I83">
        <v>91.55</v>
      </c>
      <c r="J83" s="1">
        <v>45875</v>
      </c>
      <c r="K83">
        <v>15</v>
      </c>
      <c r="L83">
        <v>4.9000000000000004</v>
      </c>
      <c r="M83" t="b">
        <v>0</v>
      </c>
    </row>
    <row r="84" spans="1:14" x14ac:dyDescent="0.25">
      <c r="A84" t="s">
        <v>137</v>
      </c>
      <c r="B84" t="s">
        <v>42</v>
      </c>
      <c r="C84" t="s">
        <v>53</v>
      </c>
      <c r="D84" t="s">
        <v>23</v>
      </c>
      <c r="E84" t="s">
        <v>39</v>
      </c>
      <c r="F84" t="s">
        <v>44</v>
      </c>
      <c r="G84">
        <v>174.13</v>
      </c>
      <c r="H84">
        <v>0</v>
      </c>
      <c r="I84">
        <v>174.13</v>
      </c>
      <c r="J84" s="1">
        <v>45875</v>
      </c>
      <c r="K84">
        <v>34</v>
      </c>
      <c r="L84">
        <v>3.7</v>
      </c>
      <c r="M84" t="b">
        <v>0</v>
      </c>
    </row>
    <row r="85" spans="1:14" x14ac:dyDescent="0.25">
      <c r="A85" t="s">
        <v>138</v>
      </c>
      <c r="B85" t="s">
        <v>30</v>
      </c>
      <c r="C85" t="s">
        <v>16</v>
      </c>
      <c r="D85" t="s">
        <v>62</v>
      </c>
      <c r="E85" t="s">
        <v>55</v>
      </c>
      <c r="F85" t="s">
        <v>66</v>
      </c>
      <c r="G85">
        <v>191.96</v>
      </c>
      <c r="H85">
        <v>0</v>
      </c>
      <c r="I85">
        <v>191.96</v>
      </c>
      <c r="J85" s="1">
        <v>45875</v>
      </c>
      <c r="K85">
        <v>50</v>
      </c>
      <c r="M85" t="b">
        <v>0</v>
      </c>
    </row>
    <row r="86" spans="1:14" x14ac:dyDescent="0.25">
      <c r="A86" t="s">
        <v>139</v>
      </c>
      <c r="B86" t="s">
        <v>15</v>
      </c>
      <c r="C86" t="s">
        <v>53</v>
      </c>
      <c r="D86" t="s">
        <v>17</v>
      </c>
      <c r="E86" t="s">
        <v>18</v>
      </c>
      <c r="F86" t="s">
        <v>56</v>
      </c>
      <c r="G86">
        <v>222.55</v>
      </c>
      <c r="H86">
        <v>22.6</v>
      </c>
      <c r="I86">
        <v>172.25</v>
      </c>
      <c r="J86" s="1">
        <v>45698</v>
      </c>
      <c r="K86">
        <v>50</v>
      </c>
      <c r="M86" t="b">
        <v>0</v>
      </c>
    </row>
    <row r="87" spans="1:14" x14ac:dyDescent="0.25">
      <c r="A87" t="s">
        <v>140</v>
      </c>
      <c r="B87" t="s">
        <v>38</v>
      </c>
      <c r="C87" t="s">
        <v>75</v>
      </c>
      <c r="D87" t="s">
        <v>23</v>
      </c>
      <c r="E87" t="s">
        <v>55</v>
      </c>
      <c r="F87" t="s">
        <v>28</v>
      </c>
      <c r="G87">
        <v>37.85</v>
      </c>
      <c r="H87">
        <v>11.9</v>
      </c>
      <c r="I87">
        <v>33.35</v>
      </c>
      <c r="J87" s="1">
        <v>45875</v>
      </c>
      <c r="K87">
        <v>45</v>
      </c>
      <c r="L87">
        <v>3.4</v>
      </c>
      <c r="M87" t="b">
        <v>1</v>
      </c>
      <c r="N87" t="s">
        <v>115</v>
      </c>
    </row>
    <row r="88" spans="1:14" x14ac:dyDescent="0.25">
      <c r="A88" t="s">
        <v>141</v>
      </c>
      <c r="B88" t="s">
        <v>15</v>
      </c>
      <c r="C88" t="s">
        <v>22</v>
      </c>
      <c r="D88" t="s">
        <v>62</v>
      </c>
      <c r="E88" t="s">
        <v>58</v>
      </c>
      <c r="F88" t="s">
        <v>40</v>
      </c>
      <c r="G88">
        <v>241.09</v>
      </c>
      <c r="H88">
        <v>0</v>
      </c>
      <c r="I88">
        <v>241.09</v>
      </c>
      <c r="J88" s="1">
        <v>45875</v>
      </c>
      <c r="K88">
        <v>26</v>
      </c>
      <c r="M88" t="b">
        <v>0</v>
      </c>
    </row>
    <row r="89" spans="1:14" x14ac:dyDescent="0.25">
      <c r="A89" t="s">
        <v>142</v>
      </c>
      <c r="B89" t="s">
        <v>42</v>
      </c>
      <c r="C89" t="s">
        <v>32</v>
      </c>
      <c r="D89" t="s">
        <v>17</v>
      </c>
      <c r="E89" t="s">
        <v>39</v>
      </c>
      <c r="F89" t="s">
        <v>64</v>
      </c>
      <c r="G89">
        <v>136.97</v>
      </c>
      <c r="H89">
        <v>0</v>
      </c>
      <c r="I89">
        <v>136.97</v>
      </c>
      <c r="J89" s="1">
        <v>45590</v>
      </c>
      <c r="K89">
        <v>17</v>
      </c>
      <c r="L89">
        <v>4.4000000000000004</v>
      </c>
      <c r="M89" t="b">
        <v>1</v>
      </c>
      <c r="N89" t="s">
        <v>83</v>
      </c>
    </row>
    <row r="90" spans="1:14" x14ac:dyDescent="0.25">
      <c r="A90" t="s">
        <v>143</v>
      </c>
      <c r="B90" t="s">
        <v>30</v>
      </c>
      <c r="C90" t="s">
        <v>48</v>
      </c>
      <c r="D90" t="s">
        <v>17</v>
      </c>
      <c r="E90" t="s">
        <v>58</v>
      </c>
      <c r="F90" t="s">
        <v>44</v>
      </c>
      <c r="G90">
        <v>113.79</v>
      </c>
      <c r="H90">
        <v>55.3</v>
      </c>
      <c r="I90">
        <v>50.86</v>
      </c>
      <c r="J90" s="1">
        <v>45655</v>
      </c>
      <c r="K90">
        <v>47</v>
      </c>
      <c r="L90">
        <v>4.0999999999999996</v>
      </c>
      <c r="M90" t="b">
        <v>0</v>
      </c>
    </row>
    <row r="91" spans="1:14" x14ac:dyDescent="0.25">
      <c r="A91" t="s">
        <v>144</v>
      </c>
      <c r="B91" t="s">
        <v>38</v>
      </c>
      <c r="C91" t="s">
        <v>48</v>
      </c>
      <c r="D91" t="s">
        <v>62</v>
      </c>
      <c r="E91" t="s">
        <v>49</v>
      </c>
      <c r="F91" t="s">
        <v>35</v>
      </c>
      <c r="G91">
        <v>93.23</v>
      </c>
      <c r="H91">
        <v>40</v>
      </c>
      <c r="I91">
        <v>55.94</v>
      </c>
      <c r="J91" s="1">
        <v>45875</v>
      </c>
      <c r="K91">
        <v>46</v>
      </c>
      <c r="L91">
        <v>1.9</v>
      </c>
      <c r="M91" t="b">
        <v>0</v>
      </c>
    </row>
    <row r="92" spans="1:14" x14ac:dyDescent="0.25">
      <c r="A92" t="s">
        <v>145</v>
      </c>
      <c r="B92" t="s">
        <v>30</v>
      </c>
      <c r="C92" t="s">
        <v>22</v>
      </c>
      <c r="D92" t="s">
        <v>17</v>
      </c>
      <c r="E92" t="s">
        <v>39</v>
      </c>
      <c r="F92" t="s">
        <v>64</v>
      </c>
      <c r="G92">
        <v>106.24</v>
      </c>
      <c r="H92">
        <v>6.4</v>
      </c>
      <c r="I92">
        <v>99.44</v>
      </c>
      <c r="J92" s="1">
        <v>45544</v>
      </c>
      <c r="K92">
        <v>50</v>
      </c>
      <c r="L92">
        <v>1.5</v>
      </c>
      <c r="M92" t="b">
        <v>0</v>
      </c>
    </row>
    <row r="93" spans="1:14" x14ac:dyDescent="0.25">
      <c r="A93" t="s">
        <v>146</v>
      </c>
      <c r="B93" t="s">
        <v>27</v>
      </c>
      <c r="C93" t="s">
        <v>16</v>
      </c>
      <c r="D93" t="s">
        <v>23</v>
      </c>
      <c r="F93" t="s">
        <v>70</v>
      </c>
      <c r="G93">
        <v>30.95</v>
      </c>
      <c r="H93">
        <v>0</v>
      </c>
      <c r="I93">
        <v>30.95</v>
      </c>
      <c r="J93" s="1">
        <v>45875</v>
      </c>
      <c r="K93">
        <v>27</v>
      </c>
      <c r="L93">
        <v>3.1</v>
      </c>
      <c r="M93" t="b">
        <v>1</v>
      </c>
      <c r="N93" t="s">
        <v>115</v>
      </c>
    </row>
    <row r="94" spans="1:14" x14ac:dyDescent="0.25">
      <c r="A94" t="s">
        <v>147</v>
      </c>
      <c r="B94" t="s">
        <v>30</v>
      </c>
      <c r="C94" t="s">
        <v>16</v>
      </c>
      <c r="D94" t="s">
        <v>62</v>
      </c>
      <c r="E94" t="s">
        <v>39</v>
      </c>
      <c r="F94" t="s">
        <v>28</v>
      </c>
      <c r="G94">
        <v>76.92</v>
      </c>
      <c r="H94">
        <v>49.5</v>
      </c>
      <c r="I94">
        <v>38.840000000000003</v>
      </c>
      <c r="J94" s="1">
        <v>45875</v>
      </c>
      <c r="K94">
        <v>7</v>
      </c>
      <c r="L94">
        <v>1.1000000000000001</v>
      </c>
      <c r="M94" t="b">
        <v>0</v>
      </c>
    </row>
    <row r="95" spans="1:14" x14ac:dyDescent="0.25">
      <c r="A95" t="s">
        <v>148</v>
      </c>
      <c r="B95" t="s">
        <v>38</v>
      </c>
      <c r="C95" t="s">
        <v>48</v>
      </c>
      <c r="D95" t="s">
        <v>34</v>
      </c>
      <c r="E95" t="s">
        <v>55</v>
      </c>
      <c r="F95" t="s">
        <v>56</v>
      </c>
      <c r="G95">
        <v>80.64</v>
      </c>
      <c r="H95">
        <v>0</v>
      </c>
      <c r="I95">
        <v>80.64</v>
      </c>
      <c r="J95" s="1">
        <v>45875</v>
      </c>
      <c r="K95">
        <v>26</v>
      </c>
      <c r="M95" t="b">
        <v>0</v>
      </c>
    </row>
    <row r="96" spans="1:14" x14ac:dyDescent="0.25">
      <c r="A96" t="s">
        <v>149</v>
      </c>
      <c r="B96" t="s">
        <v>38</v>
      </c>
      <c r="C96" t="s">
        <v>16</v>
      </c>
      <c r="D96" t="s">
        <v>34</v>
      </c>
      <c r="E96" t="s">
        <v>55</v>
      </c>
      <c r="F96" t="s">
        <v>56</v>
      </c>
      <c r="G96">
        <v>32.46</v>
      </c>
      <c r="H96">
        <v>52.4</v>
      </c>
      <c r="I96">
        <v>15.45</v>
      </c>
      <c r="J96" s="1">
        <v>45875</v>
      </c>
      <c r="K96">
        <v>14</v>
      </c>
      <c r="L96">
        <v>3.9</v>
      </c>
      <c r="M96" t="b">
        <v>0</v>
      </c>
    </row>
    <row r="97" spans="1:13" x14ac:dyDescent="0.25">
      <c r="A97" t="s">
        <v>150</v>
      </c>
      <c r="B97" t="s">
        <v>27</v>
      </c>
      <c r="C97" t="s">
        <v>61</v>
      </c>
      <c r="D97" t="s">
        <v>62</v>
      </c>
      <c r="F97" t="s">
        <v>28</v>
      </c>
      <c r="G97">
        <v>54.79</v>
      </c>
      <c r="H97">
        <v>0</v>
      </c>
      <c r="I97">
        <v>54.79</v>
      </c>
      <c r="J97" s="1">
        <v>45875</v>
      </c>
      <c r="K97">
        <v>12</v>
      </c>
      <c r="L97">
        <v>4.5</v>
      </c>
      <c r="M97" t="b">
        <v>0</v>
      </c>
    </row>
    <row r="98" spans="1:13" x14ac:dyDescent="0.25">
      <c r="A98" t="s">
        <v>151</v>
      </c>
      <c r="B98" t="s">
        <v>38</v>
      </c>
      <c r="C98" t="s">
        <v>48</v>
      </c>
      <c r="D98" t="s">
        <v>23</v>
      </c>
      <c r="E98" t="s">
        <v>58</v>
      </c>
      <c r="F98" t="s">
        <v>25</v>
      </c>
      <c r="G98">
        <v>71.14</v>
      </c>
      <c r="H98">
        <v>56.4</v>
      </c>
      <c r="I98">
        <v>31.02</v>
      </c>
      <c r="J98" s="1">
        <v>45875</v>
      </c>
      <c r="K98">
        <v>12</v>
      </c>
      <c r="L98">
        <v>3.4</v>
      </c>
      <c r="M98" t="b">
        <v>0</v>
      </c>
    </row>
    <row r="99" spans="1:13" x14ac:dyDescent="0.25">
      <c r="A99" t="s">
        <v>152</v>
      </c>
      <c r="B99" t="s">
        <v>38</v>
      </c>
      <c r="C99" t="s">
        <v>53</v>
      </c>
      <c r="D99" t="s">
        <v>62</v>
      </c>
      <c r="E99" t="s">
        <v>49</v>
      </c>
      <c r="F99" t="s">
        <v>64</v>
      </c>
      <c r="G99">
        <v>57.85</v>
      </c>
      <c r="H99">
        <v>0</v>
      </c>
      <c r="I99">
        <v>57.85</v>
      </c>
      <c r="J99" s="1">
        <v>45875</v>
      </c>
      <c r="K99">
        <v>36</v>
      </c>
      <c r="L99">
        <v>3.5</v>
      </c>
      <c r="M99" t="b">
        <v>0</v>
      </c>
    </row>
    <row r="100" spans="1:13" x14ac:dyDescent="0.25">
      <c r="A100" t="s">
        <v>153</v>
      </c>
      <c r="B100" t="s">
        <v>38</v>
      </c>
      <c r="C100" t="s">
        <v>16</v>
      </c>
      <c r="D100" t="s">
        <v>62</v>
      </c>
      <c r="E100" t="s">
        <v>55</v>
      </c>
      <c r="F100" t="s">
        <v>46</v>
      </c>
      <c r="G100">
        <v>33.369999999999997</v>
      </c>
      <c r="H100">
        <v>3</v>
      </c>
      <c r="I100">
        <v>32.369999999999997</v>
      </c>
      <c r="J100" s="1">
        <v>45875</v>
      </c>
      <c r="K100">
        <v>40</v>
      </c>
      <c r="L100">
        <v>1.3</v>
      </c>
      <c r="M100" t="b">
        <v>0</v>
      </c>
    </row>
    <row r="101" spans="1:13" x14ac:dyDescent="0.25">
      <c r="A101" t="s">
        <v>154</v>
      </c>
      <c r="B101" t="s">
        <v>21</v>
      </c>
      <c r="C101" t="s">
        <v>61</v>
      </c>
      <c r="D101" t="s">
        <v>62</v>
      </c>
      <c r="E101" t="s">
        <v>24</v>
      </c>
      <c r="F101" t="s">
        <v>28</v>
      </c>
      <c r="G101">
        <v>91.83</v>
      </c>
      <c r="H101">
        <v>0</v>
      </c>
      <c r="I101">
        <v>91.83</v>
      </c>
      <c r="J101" s="1">
        <v>45875</v>
      </c>
      <c r="K101">
        <v>39</v>
      </c>
      <c r="L101">
        <v>4.9000000000000004</v>
      </c>
      <c r="M101" t="b">
        <v>0</v>
      </c>
    </row>
    <row r="102" spans="1:13" x14ac:dyDescent="0.25">
      <c r="A102" t="s">
        <v>155</v>
      </c>
      <c r="B102" t="s">
        <v>38</v>
      </c>
      <c r="C102" t="s">
        <v>16</v>
      </c>
      <c r="D102" t="s">
        <v>34</v>
      </c>
      <c r="E102" t="s">
        <v>24</v>
      </c>
      <c r="F102" t="s">
        <v>35</v>
      </c>
      <c r="G102">
        <v>60.12</v>
      </c>
      <c r="H102">
        <v>19.5</v>
      </c>
      <c r="I102">
        <v>48.4</v>
      </c>
      <c r="J102" s="1">
        <v>45875</v>
      </c>
      <c r="K102">
        <v>42</v>
      </c>
      <c r="L102">
        <v>1</v>
      </c>
      <c r="M102" t="b">
        <v>0</v>
      </c>
    </row>
    <row r="103" spans="1:13" x14ac:dyDescent="0.25">
      <c r="A103" t="s">
        <v>156</v>
      </c>
      <c r="B103" t="s">
        <v>42</v>
      </c>
      <c r="C103" t="s">
        <v>32</v>
      </c>
      <c r="D103" t="s">
        <v>23</v>
      </c>
      <c r="E103" t="s">
        <v>39</v>
      </c>
      <c r="F103" t="s">
        <v>35</v>
      </c>
      <c r="G103">
        <v>163.5</v>
      </c>
      <c r="H103">
        <v>0</v>
      </c>
      <c r="I103">
        <v>163.5</v>
      </c>
      <c r="J103" s="1">
        <v>45875</v>
      </c>
      <c r="K103">
        <v>34</v>
      </c>
      <c r="L103">
        <v>4.9000000000000004</v>
      </c>
      <c r="M103" t="b">
        <v>0</v>
      </c>
    </row>
    <row r="104" spans="1:13" x14ac:dyDescent="0.25">
      <c r="A104" t="s">
        <v>157</v>
      </c>
      <c r="B104" t="s">
        <v>42</v>
      </c>
      <c r="C104" t="s">
        <v>22</v>
      </c>
      <c r="D104" t="s">
        <v>17</v>
      </c>
      <c r="E104" t="s">
        <v>39</v>
      </c>
      <c r="F104" t="s">
        <v>56</v>
      </c>
      <c r="G104">
        <v>126.37</v>
      </c>
      <c r="H104">
        <v>0</v>
      </c>
      <c r="I104">
        <v>126.37</v>
      </c>
      <c r="J104" s="1">
        <v>45604</v>
      </c>
      <c r="K104">
        <v>25</v>
      </c>
      <c r="L104">
        <v>1.8</v>
      </c>
      <c r="M104" t="b">
        <v>0</v>
      </c>
    </row>
    <row r="105" spans="1:13" x14ac:dyDescent="0.25">
      <c r="A105" t="s">
        <v>158</v>
      </c>
      <c r="B105" t="s">
        <v>38</v>
      </c>
      <c r="C105" t="s">
        <v>22</v>
      </c>
      <c r="D105" t="s">
        <v>23</v>
      </c>
      <c r="E105" t="s">
        <v>24</v>
      </c>
      <c r="F105" t="s">
        <v>64</v>
      </c>
      <c r="G105">
        <v>50.01</v>
      </c>
      <c r="H105">
        <v>58.2</v>
      </c>
      <c r="I105">
        <v>20.9</v>
      </c>
      <c r="J105" s="1">
        <v>45875</v>
      </c>
      <c r="K105">
        <v>32</v>
      </c>
      <c r="L105">
        <v>4.8</v>
      </c>
      <c r="M105" t="b">
        <v>0</v>
      </c>
    </row>
    <row r="106" spans="1:13" x14ac:dyDescent="0.25">
      <c r="A106" t="s">
        <v>159</v>
      </c>
      <c r="B106" t="s">
        <v>30</v>
      </c>
      <c r="C106" t="s">
        <v>48</v>
      </c>
      <c r="D106" t="s">
        <v>23</v>
      </c>
      <c r="E106" t="s">
        <v>39</v>
      </c>
      <c r="F106" t="s">
        <v>19</v>
      </c>
      <c r="G106">
        <v>84.31</v>
      </c>
      <c r="H106">
        <v>0</v>
      </c>
      <c r="I106">
        <v>84.31</v>
      </c>
      <c r="J106" s="1">
        <v>45875</v>
      </c>
      <c r="K106">
        <v>10</v>
      </c>
      <c r="L106">
        <v>3.9</v>
      </c>
      <c r="M106" t="b">
        <v>0</v>
      </c>
    </row>
    <row r="107" spans="1:13" x14ac:dyDescent="0.25">
      <c r="A107" t="s">
        <v>160</v>
      </c>
      <c r="B107" t="s">
        <v>38</v>
      </c>
      <c r="C107" t="s">
        <v>32</v>
      </c>
      <c r="D107" t="s">
        <v>17</v>
      </c>
      <c r="E107" t="s">
        <v>18</v>
      </c>
      <c r="F107" t="s">
        <v>56</v>
      </c>
      <c r="G107">
        <v>100.98</v>
      </c>
      <c r="H107">
        <v>0</v>
      </c>
      <c r="I107">
        <v>100.98</v>
      </c>
      <c r="J107" s="1">
        <v>45825</v>
      </c>
      <c r="K107">
        <v>21</v>
      </c>
      <c r="L107">
        <v>2.8</v>
      </c>
      <c r="M107" t="b">
        <v>0</v>
      </c>
    </row>
    <row r="108" spans="1:13" x14ac:dyDescent="0.25">
      <c r="A108" t="s">
        <v>161</v>
      </c>
      <c r="B108" t="s">
        <v>38</v>
      </c>
      <c r="C108" t="s">
        <v>32</v>
      </c>
      <c r="D108" t="s">
        <v>62</v>
      </c>
      <c r="E108" t="s">
        <v>58</v>
      </c>
      <c r="F108" t="s">
        <v>56</v>
      </c>
      <c r="G108">
        <v>38.020000000000003</v>
      </c>
      <c r="H108">
        <v>0</v>
      </c>
      <c r="I108">
        <v>38.020000000000003</v>
      </c>
      <c r="J108" s="1">
        <v>45875</v>
      </c>
      <c r="K108">
        <v>44</v>
      </c>
      <c r="L108">
        <v>4.7</v>
      </c>
      <c r="M108" t="b">
        <v>0</v>
      </c>
    </row>
    <row r="109" spans="1:13" x14ac:dyDescent="0.25">
      <c r="A109" t="s">
        <v>162</v>
      </c>
      <c r="B109" t="s">
        <v>38</v>
      </c>
      <c r="C109" t="s">
        <v>48</v>
      </c>
      <c r="D109" t="s">
        <v>34</v>
      </c>
      <c r="E109" t="s">
        <v>18</v>
      </c>
      <c r="F109" t="s">
        <v>44</v>
      </c>
      <c r="G109">
        <v>63.85</v>
      </c>
      <c r="H109">
        <v>0</v>
      </c>
      <c r="I109">
        <v>63.85</v>
      </c>
      <c r="J109" s="1">
        <v>45875</v>
      </c>
      <c r="K109">
        <v>41</v>
      </c>
      <c r="M109" t="b">
        <v>0</v>
      </c>
    </row>
    <row r="110" spans="1:13" x14ac:dyDescent="0.25">
      <c r="A110" t="s">
        <v>163</v>
      </c>
      <c r="B110" t="s">
        <v>30</v>
      </c>
      <c r="C110" t="s">
        <v>48</v>
      </c>
      <c r="D110" t="s">
        <v>34</v>
      </c>
      <c r="E110" t="s">
        <v>55</v>
      </c>
      <c r="F110" t="s">
        <v>64</v>
      </c>
      <c r="G110">
        <v>183.15</v>
      </c>
      <c r="H110">
        <v>0</v>
      </c>
      <c r="I110">
        <v>183.15</v>
      </c>
      <c r="J110" s="1">
        <v>45875</v>
      </c>
      <c r="K110">
        <v>23</v>
      </c>
      <c r="L110">
        <v>4.0999999999999996</v>
      </c>
      <c r="M110" t="b">
        <v>0</v>
      </c>
    </row>
    <row r="111" spans="1:13" x14ac:dyDescent="0.25">
      <c r="A111" t="s">
        <v>164</v>
      </c>
      <c r="B111" t="s">
        <v>42</v>
      </c>
      <c r="C111" t="s">
        <v>16</v>
      </c>
      <c r="D111" t="s">
        <v>23</v>
      </c>
      <c r="E111" t="s">
        <v>39</v>
      </c>
      <c r="F111" t="s">
        <v>40</v>
      </c>
      <c r="G111">
        <v>91</v>
      </c>
      <c r="H111">
        <v>59.5</v>
      </c>
      <c r="I111">
        <v>36.86</v>
      </c>
      <c r="J111" s="1">
        <v>45875</v>
      </c>
      <c r="K111">
        <v>5</v>
      </c>
      <c r="L111">
        <v>3.9</v>
      </c>
      <c r="M111" t="b">
        <v>0</v>
      </c>
    </row>
    <row r="112" spans="1:13" x14ac:dyDescent="0.25">
      <c r="A112" t="s">
        <v>165</v>
      </c>
      <c r="B112" t="s">
        <v>15</v>
      </c>
      <c r="C112" t="s">
        <v>22</v>
      </c>
      <c r="D112" t="s">
        <v>17</v>
      </c>
      <c r="E112" t="s">
        <v>24</v>
      </c>
      <c r="F112" t="s">
        <v>28</v>
      </c>
      <c r="G112">
        <v>92.83</v>
      </c>
      <c r="H112">
        <v>0</v>
      </c>
      <c r="I112">
        <v>92.83</v>
      </c>
      <c r="J112" s="1">
        <v>45858</v>
      </c>
      <c r="K112">
        <v>9</v>
      </c>
      <c r="L112">
        <v>1.2</v>
      </c>
      <c r="M112" t="b">
        <v>0</v>
      </c>
    </row>
    <row r="113" spans="1:14" x14ac:dyDescent="0.25">
      <c r="A113" t="s">
        <v>166</v>
      </c>
      <c r="B113" t="s">
        <v>27</v>
      </c>
      <c r="C113" t="s">
        <v>32</v>
      </c>
      <c r="D113" t="s">
        <v>23</v>
      </c>
      <c r="F113" t="s">
        <v>70</v>
      </c>
      <c r="G113">
        <v>34.450000000000003</v>
      </c>
      <c r="H113">
        <v>0</v>
      </c>
      <c r="I113">
        <v>34.450000000000003</v>
      </c>
      <c r="J113" s="1">
        <v>45875</v>
      </c>
      <c r="K113">
        <v>4</v>
      </c>
      <c r="L113">
        <v>4.5</v>
      </c>
      <c r="M113" t="b">
        <v>0</v>
      </c>
    </row>
    <row r="114" spans="1:14" x14ac:dyDescent="0.25">
      <c r="A114" t="s">
        <v>167</v>
      </c>
      <c r="B114" t="s">
        <v>42</v>
      </c>
      <c r="C114" t="s">
        <v>48</v>
      </c>
      <c r="D114" t="s">
        <v>34</v>
      </c>
      <c r="E114" t="s">
        <v>39</v>
      </c>
      <c r="F114" t="s">
        <v>66</v>
      </c>
      <c r="G114">
        <v>128.15</v>
      </c>
      <c r="H114">
        <v>50</v>
      </c>
      <c r="I114">
        <v>64.08</v>
      </c>
      <c r="J114" s="1">
        <v>45875</v>
      </c>
      <c r="K114">
        <v>28</v>
      </c>
      <c r="L114">
        <v>3.2</v>
      </c>
      <c r="M114" t="b">
        <v>0</v>
      </c>
    </row>
    <row r="115" spans="1:14" x14ac:dyDescent="0.25">
      <c r="A115" t="s">
        <v>168</v>
      </c>
      <c r="B115" t="s">
        <v>21</v>
      </c>
      <c r="C115" t="s">
        <v>43</v>
      </c>
      <c r="D115" t="s">
        <v>62</v>
      </c>
      <c r="E115" t="s">
        <v>49</v>
      </c>
      <c r="F115" t="s">
        <v>19</v>
      </c>
      <c r="G115">
        <v>99.62</v>
      </c>
      <c r="H115">
        <v>33.799999999999997</v>
      </c>
      <c r="I115">
        <v>65.95</v>
      </c>
      <c r="J115" s="1">
        <v>45875</v>
      </c>
      <c r="K115">
        <v>27</v>
      </c>
      <c r="L115">
        <v>2.1</v>
      </c>
      <c r="M115" t="b">
        <v>0</v>
      </c>
    </row>
    <row r="116" spans="1:14" x14ac:dyDescent="0.25">
      <c r="A116" t="s">
        <v>169</v>
      </c>
      <c r="B116" t="s">
        <v>38</v>
      </c>
      <c r="C116" t="s">
        <v>75</v>
      </c>
      <c r="D116" t="s">
        <v>23</v>
      </c>
      <c r="E116" t="s">
        <v>39</v>
      </c>
      <c r="F116" t="s">
        <v>25</v>
      </c>
      <c r="G116">
        <v>87.39</v>
      </c>
      <c r="H116">
        <v>25.5</v>
      </c>
      <c r="I116">
        <v>65.11</v>
      </c>
      <c r="J116" s="1">
        <v>45875</v>
      </c>
      <c r="K116">
        <v>8</v>
      </c>
      <c r="L116">
        <v>2.2999999999999998</v>
      </c>
      <c r="M116" t="b">
        <v>0</v>
      </c>
    </row>
    <row r="117" spans="1:14" x14ac:dyDescent="0.25">
      <c r="A117" t="s">
        <v>170</v>
      </c>
      <c r="B117" t="s">
        <v>21</v>
      </c>
      <c r="C117" t="s">
        <v>16</v>
      </c>
      <c r="D117" t="s">
        <v>17</v>
      </c>
      <c r="E117" t="s">
        <v>49</v>
      </c>
      <c r="F117" t="s">
        <v>70</v>
      </c>
      <c r="G117">
        <v>49.67</v>
      </c>
      <c r="H117">
        <v>0</v>
      </c>
      <c r="I117">
        <v>49.67</v>
      </c>
      <c r="J117" s="1">
        <v>45541</v>
      </c>
      <c r="K117">
        <v>37</v>
      </c>
      <c r="L117">
        <v>2.2999999999999998</v>
      </c>
      <c r="M117" t="b">
        <v>0</v>
      </c>
    </row>
    <row r="118" spans="1:14" x14ac:dyDescent="0.25">
      <c r="A118" t="s">
        <v>171</v>
      </c>
      <c r="B118" t="s">
        <v>27</v>
      </c>
      <c r="C118" t="s">
        <v>22</v>
      </c>
      <c r="D118" t="s">
        <v>34</v>
      </c>
      <c r="F118" t="s">
        <v>70</v>
      </c>
      <c r="G118">
        <v>72.040000000000006</v>
      </c>
      <c r="H118">
        <v>0</v>
      </c>
      <c r="I118">
        <v>72.040000000000006</v>
      </c>
      <c r="J118" s="1">
        <v>45875</v>
      </c>
      <c r="K118">
        <v>48</v>
      </c>
      <c r="M118" t="b">
        <v>1</v>
      </c>
      <c r="N118" t="s">
        <v>125</v>
      </c>
    </row>
    <row r="119" spans="1:14" x14ac:dyDescent="0.25">
      <c r="A119" t="s">
        <v>172</v>
      </c>
      <c r="B119" t="s">
        <v>42</v>
      </c>
      <c r="C119" t="s">
        <v>16</v>
      </c>
      <c r="D119" t="s">
        <v>17</v>
      </c>
      <c r="E119" t="s">
        <v>58</v>
      </c>
      <c r="F119" t="s">
        <v>64</v>
      </c>
      <c r="G119">
        <v>133.82</v>
      </c>
      <c r="H119">
        <v>0</v>
      </c>
      <c r="I119">
        <v>133.82</v>
      </c>
      <c r="J119" s="1">
        <v>45621</v>
      </c>
      <c r="K119">
        <v>12</v>
      </c>
      <c r="L119">
        <v>1.7</v>
      </c>
      <c r="M119" t="b">
        <v>0</v>
      </c>
    </row>
    <row r="120" spans="1:14" x14ac:dyDescent="0.25">
      <c r="A120" t="s">
        <v>173</v>
      </c>
      <c r="B120" t="s">
        <v>38</v>
      </c>
      <c r="C120" t="s">
        <v>22</v>
      </c>
      <c r="D120" t="s">
        <v>23</v>
      </c>
      <c r="E120" t="s">
        <v>39</v>
      </c>
      <c r="F120" t="s">
        <v>28</v>
      </c>
      <c r="G120">
        <v>62.93</v>
      </c>
      <c r="H120">
        <v>0</v>
      </c>
      <c r="I120">
        <v>62.93</v>
      </c>
      <c r="J120" s="1">
        <v>45875</v>
      </c>
      <c r="K120">
        <v>49</v>
      </c>
      <c r="M120" t="b">
        <v>0</v>
      </c>
    </row>
    <row r="121" spans="1:14" x14ac:dyDescent="0.25">
      <c r="A121" t="s">
        <v>174</v>
      </c>
      <c r="B121" t="s">
        <v>15</v>
      </c>
      <c r="C121" t="s">
        <v>16</v>
      </c>
      <c r="D121" t="s">
        <v>17</v>
      </c>
      <c r="E121" t="s">
        <v>24</v>
      </c>
      <c r="F121" t="s">
        <v>19</v>
      </c>
      <c r="G121">
        <v>248.58</v>
      </c>
      <c r="H121">
        <v>0</v>
      </c>
      <c r="I121">
        <v>248.58</v>
      </c>
      <c r="J121" s="1">
        <v>45842</v>
      </c>
      <c r="K121">
        <v>27</v>
      </c>
      <c r="L121">
        <v>1.5</v>
      </c>
      <c r="M121" t="b">
        <v>0</v>
      </c>
    </row>
    <row r="122" spans="1:14" x14ac:dyDescent="0.25">
      <c r="A122" t="s">
        <v>175</v>
      </c>
      <c r="B122" t="s">
        <v>30</v>
      </c>
      <c r="C122" t="s">
        <v>22</v>
      </c>
      <c r="D122" t="s">
        <v>34</v>
      </c>
      <c r="E122" t="s">
        <v>49</v>
      </c>
      <c r="F122" t="s">
        <v>64</v>
      </c>
      <c r="G122">
        <v>61.08</v>
      </c>
      <c r="H122">
        <v>0</v>
      </c>
      <c r="I122">
        <v>61.08</v>
      </c>
      <c r="J122" s="1">
        <v>45875</v>
      </c>
      <c r="K122">
        <v>27</v>
      </c>
      <c r="M122" t="b">
        <v>1</v>
      </c>
      <c r="N122" t="s">
        <v>115</v>
      </c>
    </row>
    <row r="123" spans="1:14" x14ac:dyDescent="0.25">
      <c r="A123" t="s">
        <v>176</v>
      </c>
      <c r="B123" t="s">
        <v>38</v>
      </c>
      <c r="C123" t="s">
        <v>61</v>
      </c>
      <c r="D123" t="s">
        <v>23</v>
      </c>
      <c r="E123" t="s">
        <v>39</v>
      </c>
      <c r="F123" t="s">
        <v>19</v>
      </c>
      <c r="G123">
        <v>109.12</v>
      </c>
      <c r="H123">
        <v>0</v>
      </c>
      <c r="I123">
        <v>109.12</v>
      </c>
      <c r="J123" s="1">
        <v>45875</v>
      </c>
      <c r="K123">
        <v>34</v>
      </c>
      <c r="M123" t="b">
        <v>0</v>
      </c>
    </row>
    <row r="124" spans="1:14" x14ac:dyDescent="0.25">
      <c r="A124" t="s">
        <v>177</v>
      </c>
      <c r="B124" t="s">
        <v>15</v>
      </c>
      <c r="C124" t="s">
        <v>16</v>
      </c>
      <c r="D124" t="s">
        <v>23</v>
      </c>
      <c r="E124" t="s">
        <v>49</v>
      </c>
      <c r="F124" t="s">
        <v>66</v>
      </c>
      <c r="G124">
        <v>82.91</v>
      </c>
      <c r="H124">
        <v>45.9</v>
      </c>
      <c r="I124">
        <v>44.85</v>
      </c>
      <c r="J124" s="1">
        <v>45875</v>
      </c>
      <c r="K124">
        <v>24</v>
      </c>
      <c r="M124" t="b">
        <v>1</v>
      </c>
      <c r="N124" t="s">
        <v>83</v>
      </c>
    </row>
    <row r="125" spans="1:14" x14ac:dyDescent="0.25">
      <c r="A125" t="s">
        <v>178</v>
      </c>
      <c r="B125" t="s">
        <v>30</v>
      </c>
      <c r="C125" t="s">
        <v>48</v>
      </c>
      <c r="D125" t="s">
        <v>62</v>
      </c>
      <c r="E125" t="s">
        <v>55</v>
      </c>
      <c r="F125" t="s">
        <v>66</v>
      </c>
      <c r="G125">
        <v>113.53</v>
      </c>
      <c r="H125">
        <v>10.9</v>
      </c>
      <c r="I125">
        <v>101.16</v>
      </c>
      <c r="J125" s="1">
        <v>45875</v>
      </c>
      <c r="K125">
        <v>40</v>
      </c>
      <c r="L125">
        <v>2.8</v>
      </c>
      <c r="M125" t="b">
        <v>0</v>
      </c>
    </row>
    <row r="126" spans="1:14" x14ac:dyDescent="0.25">
      <c r="A126" t="s">
        <v>179</v>
      </c>
      <c r="B126" t="s">
        <v>27</v>
      </c>
      <c r="C126" t="s">
        <v>22</v>
      </c>
      <c r="D126" t="s">
        <v>23</v>
      </c>
      <c r="F126" t="s">
        <v>70</v>
      </c>
      <c r="G126">
        <v>38.89</v>
      </c>
      <c r="H126">
        <v>51.5</v>
      </c>
      <c r="I126">
        <v>18.86</v>
      </c>
      <c r="J126" s="1">
        <v>45875</v>
      </c>
      <c r="K126">
        <v>28</v>
      </c>
      <c r="L126">
        <v>4.3</v>
      </c>
      <c r="M126" t="b">
        <v>0</v>
      </c>
    </row>
    <row r="127" spans="1:14" x14ac:dyDescent="0.25">
      <c r="A127" t="s">
        <v>180</v>
      </c>
      <c r="B127" t="s">
        <v>42</v>
      </c>
      <c r="C127" t="s">
        <v>61</v>
      </c>
      <c r="D127" t="s">
        <v>17</v>
      </c>
      <c r="E127" t="s">
        <v>49</v>
      </c>
      <c r="F127" t="s">
        <v>28</v>
      </c>
      <c r="G127">
        <v>53.01</v>
      </c>
      <c r="H127">
        <v>45.9</v>
      </c>
      <c r="I127">
        <v>28.68</v>
      </c>
      <c r="J127" s="1">
        <v>45671</v>
      </c>
      <c r="K127">
        <v>37</v>
      </c>
      <c r="L127">
        <v>3.7</v>
      </c>
      <c r="M127" t="b">
        <v>0</v>
      </c>
    </row>
    <row r="128" spans="1:14" x14ac:dyDescent="0.25">
      <c r="A128" t="s">
        <v>181</v>
      </c>
      <c r="B128" t="s">
        <v>30</v>
      </c>
      <c r="C128" t="s">
        <v>53</v>
      </c>
      <c r="D128" t="s">
        <v>17</v>
      </c>
      <c r="E128" t="s">
        <v>49</v>
      </c>
      <c r="F128" t="s">
        <v>44</v>
      </c>
      <c r="G128">
        <v>81.64</v>
      </c>
      <c r="H128">
        <v>0</v>
      </c>
      <c r="I128">
        <v>81.64</v>
      </c>
      <c r="J128" s="1">
        <v>45632</v>
      </c>
      <c r="K128">
        <v>50</v>
      </c>
      <c r="L128">
        <v>1.1000000000000001</v>
      </c>
      <c r="M128" t="b">
        <v>0</v>
      </c>
    </row>
    <row r="129" spans="1:14" x14ac:dyDescent="0.25">
      <c r="A129" t="s">
        <v>182</v>
      </c>
      <c r="B129" t="s">
        <v>30</v>
      </c>
      <c r="C129" t="s">
        <v>53</v>
      </c>
      <c r="D129" t="s">
        <v>17</v>
      </c>
      <c r="E129" t="s">
        <v>49</v>
      </c>
      <c r="F129" t="s">
        <v>35</v>
      </c>
      <c r="G129">
        <v>125.24</v>
      </c>
      <c r="H129">
        <v>21.5</v>
      </c>
      <c r="I129">
        <v>98.31</v>
      </c>
      <c r="J129" s="1">
        <v>45541</v>
      </c>
      <c r="K129">
        <v>7</v>
      </c>
      <c r="L129">
        <v>2.9</v>
      </c>
      <c r="M129" t="b">
        <v>0</v>
      </c>
    </row>
    <row r="130" spans="1:14" x14ac:dyDescent="0.25">
      <c r="A130" t="s">
        <v>183</v>
      </c>
      <c r="B130" t="s">
        <v>15</v>
      </c>
      <c r="C130" t="s">
        <v>53</v>
      </c>
      <c r="D130" t="s">
        <v>17</v>
      </c>
      <c r="E130" t="s">
        <v>55</v>
      </c>
      <c r="F130" t="s">
        <v>25</v>
      </c>
      <c r="G130">
        <v>98.61</v>
      </c>
      <c r="H130">
        <v>0</v>
      </c>
      <c r="I130">
        <v>98.61</v>
      </c>
      <c r="J130" s="1">
        <v>45721</v>
      </c>
      <c r="K130">
        <v>1</v>
      </c>
      <c r="L130">
        <v>2.6</v>
      </c>
      <c r="M130" t="b">
        <v>0</v>
      </c>
    </row>
    <row r="131" spans="1:14" x14ac:dyDescent="0.25">
      <c r="A131" t="s">
        <v>184</v>
      </c>
      <c r="B131" t="s">
        <v>30</v>
      </c>
      <c r="C131" t="s">
        <v>61</v>
      </c>
      <c r="D131" t="s">
        <v>34</v>
      </c>
      <c r="E131" t="s">
        <v>55</v>
      </c>
      <c r="F131" t="s">
        <v>44</v>
      </c>
      <c r="G131">
        <v>77.540000000000006</v>
      </c>
      <c r="H131">
        <v>0</v>
      </c>
      <c r="I131">
        <v>77.540000000000006</v>
      </c>
      <c r="J131" s="1">
        <v>45875</v>
      </c>
      <c r="K131">
        <v>36</v>
      </c>
      <c r="L131">
        <v>3.4</v>
      </c>
      <c r="M131" t="b">
        <v>0</v>
      </c>
    </row>
    <row r="132" spans="1:14" x14ac:dyDescent="0.25">
      <c r="A132" t="s">
        <v>185</v>
      </c>
      <c r="B132" t="s">
        <v>42</v>
      </c>
      <c r="C132" t="s">
        <v>32</v>
      </c>
      <c r="D132" t="s">
        <v>17</v>
      </c>
      <c r="E132" t="s">
        <v>18</v>
      </c>
      <c r="F132" t="s">
        <v>66</v>
      </c>
      <c r="G132">
        <v>79.13</v>
      </c>
      <c r="H132">
        <v>0</v>
      </c>
      <c r="I132">
        <v>79.13</v>
      </c>
      <c r="J132" s="1">
        <v>45612</v>
      </c>
      <c r="K132">
        <v>11</v>
      </c>
      <c r="L132">
        <v>3.6</v>
      </c>
      <c r="M132" t="b">
        <v>0</v>
      </c>
    </row>
    <row r="133" spans="1:14" x14ac:dyDescent="0.25">
      <c r="A133" t="s">
        <v>186</v>
      </c>
      <c r="B133" t="s">
        <v>38</v>
      </c>
      <c r="C133" t="s">
        <v>43</v>
      </c>
      <c r="D133" t="s">
        <v>17</v>
      </c>
      <c r="E133" t="s">
        <v>39</v>
      </c>
      <c r="F133" t="s">
        <v>46</v>
      </c>
      <c r="G133">
        <v>96.11</v>
      </c>
      <c r="H133">
        <v>0</v>
      </c>
      <c r="I133">
        <v>96.11</v>
      </c>
      <c r="J133" s="1">
        <v>45759</v>
      </c>
      <c r="K133">
        <v>13</v>
      </c>
      <c r="L133">
        <v>4.2</v>
      </c>
      <c r="M133" t="b">
        <v>0</v>
      </c>
    </row>
    <row r="134" spans="1:14" x14ac:dyDescent="0.25">
      <c r="A134" t="s">
        <v>187</v>
      </c>
      <c r="B134" t="s">
        <v>21</v>
      </c>
      <c r="C134" t="s">
        <v>43</v>
      </c>
      <c r="D134" t="s">
        <v>17</v>
      </c>
      <c r="E134" t="s">
        <v>18</v>
      </c>
      <c r="F134" t="s">
        <v>35</v>
      </c>
      <c r="G134">
        <v>116.61</v>
      </c>
      <c r="H134">
        <v>0</v>
      </c>
      <c r="I134">
        <v>116.61</v>
      </c>
      <c r="J134" s="1">
        <v>45600</v>
      </c>
      <c r="K134">
        <v>31</v>
      </c>
      <c r="M134" t="b">
        <v>0</v>
      </c>
    </row>
    <row r="135" spans="1:14" x14ac:dyDescent="0.25">
      <c r="A135" t="s">
        <v>188</v>
      </c>
      <c r="B135" t="s">
        <v>27</v>
      </c>
      <c r="C135" t="s">
        <v>53</v>
      </c>
      <c r="D135" t="s">
        <v>23</v>
      </c>
      <c r="F135" t="s">
        <v>44</v>
      </c>
      <c r="G135">
        <v>57.8</v>
      </c>
      <c r="H135">
        <v>27</v>
      </c>
      <c r="I135">
        <v>42.19</v>
      </c>
      <c r="J135" s="1">
        <v>45875</v>
      </c>
      <c r="K135">
        <v>9</v>
      </c>
      <c r="L135">
        <v>1.8</v>
      </c>
      <c r="M135" t="b">
        <v>0</v>
      </c>
    </row>
    <row r="136" spans="1:14" x14ac:dyDescent="0.25">
      <c r="A136" t="s">
        <v>189</v>
      </c>
      <c r="B136" t="s">
        <v>21</v>
      </c>
      <c r="C136" t="s">
        <v>48</v>
      </c>
      <c r="D136" t="s">
        <v>17</v>
      </c>
      <c r="E136" t="s">
        <v>39</v>
      </c>
      <c r="F136" t="s">
        <v>35</v>
      </c>
      <c r="G136">
        <v>110.78</v>
      </c>
      <c r="H136">
        <v>0</v>
      </c>
      <c r="I136">
        <v>110.78</v>
      </c>
      <c r="J136" s="1">
        <v>45670</v>
      </c>
      <c r="K136">
        <v>9</v>
      </c>
      <c r="L136">
        <v>1.4</v>
      </c>
      <c r="M136" t="b">
        <v>0</v>
      </c>
    </row>
    <row r="137" spans="1:14" x14ac:dyDescent="0.25">
      <c r="A137" t="s">
        <v>190</v>
      </c>
      <c r="B137" t="s">
        <v>21</v>
      </c>
      <c r="C137" t="s">
        <v>61</v>
      </c>
      <c r="D137" t="s">
        <v>17</v>
      </c>
      <c r="E137" t="s">
        <v>24</v>
      </c>
      <c r="F137" t="s">
        <v>28</v>
      </c>
      <c r="G137">
        <v>112.63</v>
      </c>
      <c r="H137">
        <v>0</v>
      </c>
      <c r="I137">
        <v>112.63</v>
      </c>
      <c r="J137" s="1">
        <v>45579</v>
      </c>
      <c r="K137">
        <v>50</v>
      </c>
      <c r="L137">
        <v>3.6</v>
      </c>
      <c r="M137" t="b">
        <v>1</v>
      </c>
      <c r="N137" t="s">
        <v>83</v>
      </c>
    </row>
    <row r="138" spans="1:14" x14ac:dyDescent="0.25">
      <c r="A138" t="s">
        <v>191</v>
      </c>
      <c r="B138" t="s">
        <v>21</v>
      </c>
      <c r="C138" t="s">
        <v>48</v>
      </c>
      <c r="D138" t="s">
        <v>62</v>
      </c>
      <c r="E138" t="s">
        <v>55</v>
      </c>
      <c r="F138" t="s">
        <v>66</v>
      </c>
      <c r="G138">
        <v>89.36</v>
      </c>
      <c r="H138">
        <v>0</v>
      </c>
      <c r="I138">
        <v>89.36</v>
      </c>
      <c r="J138" s="1">
        <v>45875</v>
      </c>
      <c r="K138">
        <v>24</v>
      </c>
      <c r="L138">
        <v>4.3</v>
      </c>
      <c r="M138" t="b">
        <v>1</v>
      </c>
      <c r="N138" t="s">
        <v>78</v>
      </c>
    </row>
    <row r="139" spans="1:14" x14ac:dyDescent="0.25">
      <c r="A139" t="s">
        <v>192</v>
      </c>
      <c r="B139" t="s">
        <v>15</v>
      </c>
      <c r="C139" t="s">
        <v>75</v>
      </c>
      <c r="D139" t="s">
        <v>34</v>
      </c>
      <c r="E139" t="s">
        <v>58</v>
      </c>
      <c r="F139" t="s">
        <v>25</v>
      </c>
      <c r="G139">
        <v>127.99</v>
      </c>
      <c r="H139">
        <v>0</v>
      </c>
      <c r="I139">
        <v>127.99</v>
      </c>
      <c r="J139" s="1">
        <v>45875</v>
      </c>
      <c r="K139">
        <v>16</v>
      </c>
      <c r="M139" t="b">
        <v>0</v>
      </c>
    </row>
    <row r="140" spans="1:14" x14ac:dyDescent="0.25">
      <c r="A140" t="s">
        <v>193</v>
      </c>
      <c r="B140" t="s">
        <v>38</v>
      </c>
      <c r="C140" t="s">
        <v>16</v>
      </c>
      <c r="D140" t="s">
        <v>23</v>
      </c>
      <c r="E140" t="s">
        <v>49</v>
      </c>
      <c r="F140" t="s">
        <v>56</v>
      </c>
      <c r="G140">
        <v>54.88</v>
      </c>
      <c r="H140">
        <v>58.8</v>
      </c>
      <c r="I140">
        <v>22.61</v>
      </c>
      <c r="J140" s="1">
        <v>45875</v>
      </c>
      <c r="K140">
        <v>50</v>
      </c>
      <c r="L140">
        <v>3.5</v>
      </c>
      <c r="M140" t="b">
        <v>0</v>
      </c>
    </row>
    <row r="141" spans="1:14" x14ac:dyDescent="0.25">
      <c r="A141" t="s">
        <v>194</v>
      </c>
      <c r="B141" t="s">
        <v>30</v>
      </c>
      <c r="C141" t="s">
        <v>22</v>
      </c>
      <c r="D141" t="s">
        <v>17</v>
      </c>
      <c r="E141" t="s">
        <v>24</v>
      </c>
      <c r="F141" t="s">
        <v>35</v>
      </c>
      <c r="G141">
        <v>154.13</v>
      </c>
      <c r="H141">
        <v>0</v>
      </c>
      <c r="I141">
        <v>154.13</v>
      </c>
      <c r="J141" s="1">
        <v>45566</v>
      </c>
      <c r="K141">
        <v>31</v>
      </c>
      <c r="L141">
        <v>4.0999999999999996</v>
      </c>
      <c r="M141" t="b">
        <v>1</v>
      </c>
      <c r="N141" t="s">
        <v>73</v>
      </c>
    </row>
    <row r="142" spans="1:14" x14ac:dyDescent="0.25">
      <c r="A142" t="s">
        <v>195</v>
      </c>
      <c r="B142" t="s">
        <v>42</v>
      </c>
      <c r="C142" t="s">
        <v>53</v>
      </c>
      <c r="D142" t="s">
        <v>17</v>
      </c>
      <c r="E142" t="s">
        <v>55</v>
      </c>
      <c r="F142" t="s">
        <v>40</v>
      </c>
      <c r="G142">
        <v>131.5</v>
      </c>
      <c r="H142">
        <v>0</v>
      </c>
      <c r="I142">
        <v>131.5</v>
      </c>
      <c r="J142" s="1">
        <v>45599</v>
      </c>
      <c r="K142">
        <v>5</v>
      </c>
      <c r="M142" t="b">
        <v>0</v>
      </c>
    </row>
    <row r="143" spans="1:14" x14ac:dyDescent="0.25">
      <c r="A143" t="s">
        <v>196</v>
      </c>
      <c r="B143" t="s">
        <v>15</v>
      </c>
      <c r="C143" t="s">
        <v>61</v>
      </c>
      <c r="D143" t="s">
        <v>62</v>
      </c>
      <c r="E143" t="s">
        <v>58</v>
      </c>
      <c r="F143" t="s">
        <v>44</v>
      </c>
      <c r="G143">
        <v>133.26</v>
      </c>
      <c r="H143">
        <v>0</v>
      </c>
      <c r="I143">
        <v>133.26</v>
      </c>
      <c r="J143" s="1">
        <v>45875</v>
      </c>
      <c r="K143">
        <v>29</v>
      </c>
      <c r="L143">
        <v>1.3</v>
      </c>
      <c r="M143" t="b">
        <v>0</v>
      </c>
    </row>
    <row r="144" spans="1:14" x14ac:dyDescent="0.25">
      <c r="A144" t="s">
        <v>197</v>
      </c>
      <c r="B144" t="s">
        <v>30</v>
      </c>
      <c r="C144" t="s">
        <v>75</v>
      </c>
      <c r="D144" t="s">
        <v>23</v>
      </c>
      <c r="E144" t="s">
        <v>18</v>
      </c>
      <c r="F144" t="s">
        <v>19</v>
      </c>
      <c r="G144">
        <v>173.91</v>
      </c>
      <c r="H144">
        <v>0</v>
      </c>
      <c r="I144">
        <v>173.91</v>
      </c>
      <c r="J144" s="1">
        <v>45875</v>
      </c>
      <c r="K144">
        <v>21</v>
      </c>
      <c r="M144" t="b">
        <v>0</v>
      </c>
    </row>
    <row r="145" spans="1:14" x14ac:dyDescent="0.25">
      <c r="A145" t="s">
        <v>198</v>
      </c>
      <c r="B145" t="s">
        <v>21</v>
      </c>
      <c r="C145" t="s">
        <v>48</v>
      </c>
      <c r="D145" t="s">
        <v>17</v>
      </c>
      <c r="E145" t="s">
        <v>24</v>
      </c>
      <c r="F145" t="s">
        <v>56</v>
      </c>
      <c r="G145">
        <v>102.99</v>
      </c>
      <c r="H145">
        <v>0</v>
      </c>
      <c r="I145">
        <v>102.99</v>
      </c>
      <c r="J145" s="1">
        <v>45854</v>
      </c>
      <c r="K145">
        <v>41</v>
      </c>
      <c r="L145">
        <v>3.9</v>
      </c>
      <c r="M145" t="b">
        <v>0</v>
      </c>
    </row>
    <row r="146" spans="1:14" x14ac:dyDescent="0.25">
      <c r="A146" t="s">
        <v>199</v>
      </c>
      <c r="B146" t="s">
        <v>15</v>
      </c>
      <c r="C146" t="s">
        <v>16</v>
      </c>
      <c r="D146" t="s">
        <v>17</v>
      </c>
      <c r="E146" t="s">
        <v>24</v>
      </c>
      <c r="F146" t="s">
        <v>56</v>
      </c>
      <c r="G146">
        <v>87.78</v>
      </c>
      <c r="H146">
        <v>45.3</v>
      </c>
      <c r="I146">
        <v>48.02</v>
      </c>
      <c r="J146" s="1">
        <v>45705</v>
      </c>
      <c r="K146">
        <v>34</v>
      </c>
      <c r="L146">
        <v>1.8</v>
      </c>
      <c r="M146" t="b">
        <v>0</v>
      </c>
    </row>
    <row r="147" spans="1:14" x14ac:dyDescent="0.25">
      <c r="A147" t="s">
        <v>200</v>
      </c>
      <c r="B147" t="s">
        <v>21</v>
      </c>
      <c r="C147" t="s">
        <v>22</v>
      </c>
      <c r="D147" t="s">
        <v>23</v>
      </c>
      <c r="F147" t="s">
        <v>56</v>
      </c>
      <c r="G147">
        <v>91.8</v>
      </c>
      <c r="H147">
        <v>15.8</v>
      </c>
      <c r="I147">
        <v>77.3</v>
      </c>
      <c r="J147" s="1">
        <v>45875</v>
      </c>
      <c r="K147">
        <v>30</v>
      </c>
      <c r="L147">
        <v>4.2</v>
      </c>
      <c r="M147" t="b">
        <v>0</v>
      </c>
    </row>
    <row r="148" spans="1:14" x14ac:dyDescent="0.25">
      <c r="A148" t="s">
        <v>201</v>
      </c>
      <c r="B148" t="s">
        <v>21</v>
      </c>
      <c r="C148" t="s">
        <v>16</v>
      </c>
      <c r="D148" t="s">
        <v>23</v>
      </c>
      <c r="E148" t="s">
        <v>24</v>
      </c>
      <c r="F148" t="s">
        <v>35</v>
      </c>
      <c r="G148">
        <v>107.32</v>
      </c>
      <c r="H148">
        <v>25.4</v>
      </c>
      <c r="I148">
        <v>80.06</v>
      </c>
      <c r="J148" s="1">
        <v>45875</v>
      </c>
      <c r="K148">
        <v>50</v>
      </c>
      <c r="L148">
        <v>4.4000000000000004</v>
      </c>
      <c r="M148" t="b">
        <v>0</v>
      </c>
    </row>
    <row r="149" spans="1:14" x14ac:dyDescent="0.25">
      <c r="A149" t="s">
        <v>202</v>
      </c>
      <c r="B149" t="s">
        <v>38</v>
      </c>
      <c r="C149" t="s">
        <v>32</v>
      </c>
      <c r="D149" t="s">
        <v>17</v>
      </c>
      <c r="E149" t="s">
        <v>49</v>
      </c>
      <c r="F149" t="s">
        <v>70</v>
      </c>
      <c r="G149">
        <v>67.69</v>
      </c>
      <c r="H149">
        <v>57.3</v>
      </c>
      <c r="I149">
        <v>28.9</v>
      </c>
      <c r="J149" s="1">
        <v>45862</v>
      </c>
      <c r="K149">
        <v>50</v>
      </c>
      <c r="L149">
        <v>4.5999999999999996</v>
      </c>
      <c r="M149" t="b">
        <v>0</v>
      </c>
    </row>
    <row r="150" spans="1:14" x14ac:dyDescent="0.25">
      <c r="A150" t="s">
        <v>203</v>
      </c>
      <c r="B150" t="s">
        <v>21</v>
      </c>
      <c r="C150" t="s">
        <v>53</v>
      </c>
      <c r="D150" t="s">
        <v>62</v>
      </c>
      <c r="E150" t="s">
        <v>58</v>
      </c>
      <c r="F150" t="s">
        <v>56</v>
      </c>
      <c r="G150">
        <v>68.11</v>
      </c>
      <c r="H150">
        <v>46</v>
      </c>
      <c r="I150">
        <v>36.78</v>
      </c>
      <c r="J150" s="1">
        <v>45875</v>
      </c>
      <c r="K150">
        <v>3</v>
      </c>
      <c r="L150">
        <v>2.5</v>
      </c>
      <c r="M150" t="b">
        <v>0</v>
      </c>
    </row>
    <row r="151" spans="1:14" x14ac:dyDescent="0.25">
      <c r="A151" t="s">
        <v>204</v>
      </c>
      <c r="B151" t="s">
        <v>30</v>
      </c>
      <c r="C151" t="s">
        <v>32</v>
      </c>
      <c r="D151" t="s">
        <v>17</v>
      </c>
      <c r="E151" t="s">
        <v>24</v>
      </c>
      <c r="F151" t="s">
        <v>44</v>
      </c>
      <c r="G151">
        <v>94.29</v>
      </c>
      <c r="H151">
        <v>0</v>
      </c>
      <c r="I151">
        <v>94.29</v>
      </c>
      <c r="J151" s="1">
        <v>45550</v>
      </c>
      <c r="K151">
        <v>18</v>
      </c>
      <c r="L151">
        <v>1.7</v>
      </c>
      <c r="M151" t="b">
        <v>0</v>
      </c>
    </row>
    <row r="152" spans="1:14" x14ac:dyDescent="0.25">
      <c r="A152" t="s">
        <v>205</v>
      </c>
      <c r="B152" t="s">
        <v>21</v>
      </c>
      <c r="C152" t="s">
        <v>53</v>
      </c>
      <c r="D152" t="s">
        <v>23</v>
      </c>
      <c r="E152" t="s">
        <v>18</v>
      </c>
      <c r="F152" t="s">
        <v>40</v>
      </c>
      <c r="G152">
        <v>94.97</v>
      </c>
      <c r="H152">
        <v>0</v>
      </c>
      <c r="I152">
        <v>94.97</v>
      </c>
      <c r="J152" s="1">
        <v>45875</v>
      </c>
      <c r="K152">
        <v>46</v>
      </c>
      <c r="L152">
        <v>4.3</v>
      </c>
      <c r="M152" t="b">
        <v>0</v>
      </c>
    </row>
    <row r="153" spans="1:14" x14ac:dyDescent="0.25">
      <c r="A153" t="s">
        <v>206</v>
      </c>
      <c r="B153" t="s">
        <v>30</v>
      </c>
      <c r="C153" t="s">
        <v>32</v>
      </c>
      <c r="D153" t="s">
        <v>23</v>
      </c>
      <c r="E153" t="s">
        <v>58</v>
      </c>
      <c r="F153" t="s">
        <v>64</v>
      </c>
      <c r="G153">
        <v>65.87</v>
      </c>
      <c r="H153">
        <v>11.4</v>
      </c>
      <c r="I153">
        <v>58.36</v>
      </c>
      <c r="J153" s="1">
        <v>45875</v>
      </c>
      <c r="K153">
        <v>15</v>
      </c>
      <c r="L153">
        <v>3.9</v>
      </c>
      <c r="M153" t="b">
        <v>0</v>
      </c>
    </row>
    <row r="154" spans="1:14" x14ac:dyDescent="0.25">
      <c r="A154" t="s">
        <v>207</v>
      </c>
      <c r="B154" t="s">
        <v>42</v>
      </c>
      <c r="C154" t="s">
        <v>16</v>
      </c>
      <c r="D154" t="s">
        <v>23</v>
      </c>
      <c r="E154" t="s">
        <v>49</v>
      </c>
      <c r="F154" t="s">
        <v>44</v>
      </c>
      <c r="G154">
        <v>155.06</v>
      </c>
      <c r="H154">
        <v>29.4</v>
      </c>
      <c r="I154">
        <v>109.47</v>
      </c>
      <c r="J154" s="1">
        <v>45875</v>
      </c>
      <c r="K154">
        <v>5</v>
      </c>
      <c r="L154">
        <v>3.6</v>
      </c>
      <c r="M154" t="b">
        <v>0</v>
      </c>
    </row>
    <row r="155" spans="1:14" x14ac:dyDescent="0.25">
      <c r="A155" t="s">
        <v>208</v>
      </c>
      <c r="B155" t="s">
        <v>15</v>
      </c>
      <c r="C155" t="s">
        <v>16</v>
      </c>
      <c r="D155" t="s">
        <v>23</v>
      </c>
      <c r="E155" t="s">
        <v>24</v>
      </c>
      <c r="F155" t="s">
        <v>70</v>
      </c>
      <c r="G155">
        <v>172.59</v>
      </c>
      <c r="H155">
        <v>0</v>
      </c>
      <c r="I155">
        <v>172.59</v>
      </c>
      <c r="J155" s="1">
        <v>45875</v>
      </c>
      <c r="K155">
        <v>1</v>
      </c>
      <c r="L155">
        <v>2.1</v>
      </c>
      <c r="M155" t="b">
        <v>0</v>
      </c>
    </row>
    <row r="156" spans="1:14" x14ac:dyDescent="0.25">
      <c r="A156" t="s">
        <v>209</v>
      </c>
      <c r="B156" t="s">
        <v>42</v>
      </c>
      <c r="C156" t="s">
        <v>48</v>
      </c>
      <c r="D156" t="s">
        <v>62</v>
      </c>
      <c r="E156" t="s">
        <v>58</v>
      </c>
      <c r="F156" t="s">
        <v>44</v>
      </c>
      <c r="G156">
        <v>68.72</v>
      </c>
      <c r="H156">
        <v>0</v>
      </c>
      <c r="I156">
        <v>68.72</v>
      </c>
      <c r="J156" s="1">
        <v>45875</v>
      </c>
      <c r="K156">
        <v>28</v>
      </c>
      <c r="L156">
        <v>1.7</v>
      </c>
      <c r="M156" t="b">
        <v>1</v>
      </c>
      <c r="N156" t="s">
        <v>83</v>
      </c>
    </row>
    <row r="157" spans="1:14" x14ac:dyDescent="0.25">
      <c r="A157" t="s">
        <v>210</v>
      </c>
      <c r="B157" t="s">
        <v>21</v>
      </c>
      <c r="C157" t="s">
        <v>32</v>
      </c>
      <c r="D157" t="s">
        <v>17</v>
      </c>
      <c r="E157" t="s">
        <v>18</v>
      </c>
      <c r="F157" t="s">
        <v>44</v>
      </c>
      <c r="G157">
        <v>28.78</v>
      </c>
      <c r="H157">
        <v>0</v>
      </c>
      <c r="I157">
        <v>28.78</v>
      </c>
      <c r="J157" s="1">
        <v>45568</v>
      </c>
      <c r="K157">
        <v>21</v>
      </c>
      <c r="M157" t="b">
        <v>0</v>
      </c>
    </row>
    <row r="158" spans="1:14" x14ac:dyDescent="0.25">
      <c r="A158" t="s">
        <v>211</v>
      </c>
      <c r="B158" t="s">
        <v>15</v>
      </c>
      <c r="C158" t="s">
        <v>48</v>
      </c>
      <c r="D158" t="s">
        <v>23</v>
      </c>
      <c r="E158" t="s">
        <v>49</v>
      </c>
      <c r="F158" t="s">
        <v>28</v>
      </c>
      <c r="G158">
        <v>110.32</v>
      </c>
      <c r="H158">
        <v>28.3</v>
      </c>
      <c r="I158">
        <v>79.099999999999994</v>
      </c>
      <c r="J158" s="1">
        <v>45875</v>
      </c>
      <c r="K158">
        <v>49</v>
      </c>
      <c r="L158">
        <v>3.3</v>
      </c>
      <c r="M158" t="b">
        <v>0</v>
      </c>
    </row>
    <row r="159" spans="1:14" x14ac:dyDescent="0.25">
      <c r="A159" t="s">
        <v>212</v>
      </c>
      <c r="B159" t="s">
        <v>30</v>
      </c>
      <c r="C159" t="s">
        <v>43</v>
      </c>
      <c r="D159" t="s">
        <v>62</v>
      </c>
      <c r="E159" t="s">
        <v>49</v>
      </c>
      <c r="F159" t="s">
        <v>28</v>
      </c>
      <c r="G159">
        <v>194.24</v>
      </c>
      <c r="H159">
        <v>0</v>
      </c>
      <c r="I159">
        <v>194.24</v>
      </c>
      <c r="J159" s="1">
        <v>45875</v>
      </c>
      <c r="K159">
        <v>17</v>
      </c>
      <c r="L159">
        <v>1.2</v>
      </c>
      <c r="M159" t="b">
        <v>1</v>
      </c>
      <c r="N159" t="s">
        <v>115</v>
      </c>
    </row>
    <row r="160" spans="1:14" x14ac:dyDescent="0.25">
      <c r="A160" t="s">
        <v>213</v>
      </c>
      <c r="B160" t="s">
        <v>30</v>
      </c>
      <c r="C160" t="s">
        <v>61</v>
      </c>
      <c r="D160" t="s">
        <v>34</v>
      </c>
      <c r="E160" t="s">
        <v>55</v>
      </c>
      <c r="F160" t="s">
        <v>56</v>
      </c>
      <c r="G160">
        <v>175.91</v>
      </c>
      <c r="H160">
        <v>0</v>
      </c>
      <c r="I160">
        <v>175.91</v>
      </c>
      <c r="J160" s="1">
        <v>45875</v>
      </c>
      <c r="K160">
        <v>4</v>
      </c>
      <c r="L160">
        <v>2.8</v>
      </c>
      <c r="M160" t="b">
        <v>0</v>
      </c>
    </row>
    <row r="161" spans="1:14" x14ac:dyDescent="0.25">
      <c r="A161" t="s">
        <v>214</v>
      </c>
      <c r="B161" t="s">
        <v>38</v>
      </c>
      <c r="C161" t="s">
        <v>43</v>
      </c>
      <c r="D161" t="s">
        <v>23</v>
      </c>
      <c r="E161" t="s">
        <v>49</v>
      </c>
      <c r="F161" t="s">
        <v>40</v>
      </c>
      <c r="G161">
        <v>79.34</v>
      </c>
      <c r="H161">
        <v>0</v>
      </c>
      <c r="I161">
        <v>79.34</v>
      </c>
      <c r="J161" s="1">
        <v>45875</v>
      </c>
      <c r="K161">
        <v>30</v>
      </c>
      <c r="L161">
        <v>4.4000000000000004</v>
      </c>
      <c r="M161" t="b">
        <v>0</v>
      </c>
    </row>
    <row r="162" spans="1:14" x14ac:dyDescent="0.25">
      <c r="A162" t="s">
        <v>215</v>
      </c>
      <c r="B162" t="s">
        <v>38</v>
      </c>
      <c r="C162" t="s">
        <v>48</v>
      </c>
      <c r="D162" t="s">
        <v>62</v>
      </c>
      <c r="E162" t="s">
        <v>58</v>
      </c>
      <c r="F162" t="s">
        <v>46</v>
      </c>
      <c r="G162">
        <v>111.88</v>
      </c>
      <c r="H162">
        <v>0</v>
      </c>
      <c r="I162">
        <v>111.88</v>
      </c>
      <c r="J162" s="1">
        <v>45875</v>
      </c>
      <c r="K162">
        <v>41</v>
      </c>
      <c r="L162">
        <v>4.5</v>
      </c>
      <c r="M162" t="b">
        <v>0</v>
      </c>
    </row>
    <row r="163" spans="1:14" x14ac:dyDescent="0.25">
      <c r="A163" t="s">
        <v>216</v>
      </c>
      <c r="B163" t="s">
        <v>27</v>
      </c>
      <c r="C163" t="s">
        <v>61</v>
      </c>
      <c r="D163" t="s">
        <v>17</v>
      </c>
      <c r="F163" t="s">
        <v>64</v>
      </c>
      <c r="G163">
        <v>42.84</v>
      </c>
      <c r="H163">
        <v>40.6</v>
      </c>
      <c r="I163">
        <v>25.45</v>
      </c>
      <c r="J163" s="1">
        <v>45547</v>
      </c>
      <c r="K163">
        <v>18</v>
      </c>
      <c r="L163">
        <v>2.6</v>
      </c>
      <c r="M163" t="b">
        <v>0</v>
      </c>
    </row>
    <row r="164" spans="1:14" x14ac:dyDescent="0.25">
      <c r="A164" t="s">
        <v>217</v>
      </c>
      <c r="B164" t="s">
        <v>38</v>
      </c>
      <c r="C164" t="s">
        <v>61</v>
      </c>
      <c r="D164" t="s">
        <v>17</v>
      </c>
      <c r="E164" t="s">
        <v>49</v>
      </c>
      <c r="F164" t="s">
        <v>64</v>
      </c>
      <c r="G164">
        <v>26.28</v>
      </c>
      <c r="H164">
        <v>1.1000000000000001</v>
      </c>
      <c r="I164">
        <v>25.99</v>
      </c>
      <c r="J164" s="1">
        <v>45828</v>
      </c>
      <c r="K164">
        <v>35</v>
      </c>
      <c r="L164">
        <v>5</v>
      </c>
      <c r="M164" t="b">
        <v>0</v>
      </c>
    </row>
    <row r="165" spans="1:14" x14ac:dyDescent="0.25">
      <c r="A165" t="s">
        <v>218</v>
      </c>
      <c r="B165" t="s">
        <v>27</v>
      </c>
      <c r="C165" t="s">
        <v>48</v>
      </c>
      <c r="D165" t="s">
        <v>17</v>
      </c>
      <c r="F165" t="s">
        <v>46</v>
      </c>
      <c r="G165">
        <v>23.11</v>
      </c>
      <c r="H165">
        <v>0</v>
      </c>
      <c r="I165">
        <v>23.11</v>
      </c>
      <c r="J165" s="1">
        <v>45552</v>
      </c>
      <c r="K165">
        <v>2</v>
      </c>
      <c r="L165">
        <v>1.4</v>
      </c>
      <c r="M165" t="b">
        <v>0</v>
      </c>
    </row>
    <row r="166" spans="1:14" x14ac:dyDescent="0.25">
      <c r="A166" t="s">
        <v>219</v>
      </c>
      <c r="B166" t="s">
        <v>30</v>
      </c>
      <c r="C166" t="s">
        <v>16</v>
      </c>
      <c r="D166" t="s">
        <v>23</v>
      </c>
      <c r="E166" t="s">
        <v>58</v>
      </c>
      <c r="F166" t="s">
        <v>35</v>
      </c>
      <c r="G166">
        <v>168.36</v>
      </c>
      <c r="H166">
        <v>0</v>
      </c>
      <c r="I166">
        <v>168.36</v>
      </c>
      <c r="J166" s="1">
        <v>45875</v>
      </c>
      <c r="K166">
        <v>47</v>
      </c>
      <c r="M166" t="b">
        <v>1</v>
      </c>
      <c r="N166" t="s">
        <v>78</v>
      </c>
    </row>
    <row r="167" spans="1:14" x14ac:dyDescent="0.25">
      <c r="A167" t="s">
        <v>220</v>
      </c>
      <c r="B167" t="s">
        <v>30</v>
      </c>
      <c r="C167" t="s">
        <v>61</v>
      </c>
      <c r="D167" t="s">
        <v>34</v>
      </c>
      <c r="E167" t="s">
        <v>18</v>
      </c>
      <c r="F167" t="s">
        <v>46</v>
      </c>
      <c r="G167">
        <v>99.26</v>
      </c>
      <c r="H167">
        <v>0</v>
      </c>
      <c r="I167">
        <v>99.26</v>
      </c>
      <c r="J167" s="1">
        <v>45875</v>
      </c>
      <c r="K167">
        <v>33</v>
      </c>
      <c r="M167" t="b">
        <v>1</v>
      </c>
      <c r="N167" t="s">
        <v>83</v>
      </c>
    </row>
    <row r="168" spans="1:14" x14ac:dyDescent="0.25">
      <c r="A168" t="s">
        <v>221</v>
      </c>
      <c r="B168" t="s">
        <v>27</v>
      </c>
      <c r="C168" t="s">
        <v>43</v>
      </c>
      <c r="D168" t="s">
        <v>17</v>
      </c>
      <c r="F168" t="s">
        <v>28</v>
      </c>
      <c r="G168">
        <v>53.66</v>
      </c>
      <c r="H168">
        <v>0</v>
      </c>
      <c r="I168">
        <v>53.66</v>
      </c>
      <c r="J168" s="1">
        <v>45645</v>
      </c>
      <c r="K168">
        <v>40</v>
      </c>
      <c r="L168">
        <v>2.8</v>
      </c>
      <c r="M168" t="b">
        <v>0</v>
      </c>
    </row>
    <row r="169" spans="1:14" x14ac:dyDescent="0.25">
      <c r="A169" t="s">
        <v>222</v>
      </c>
      <c r="B169" t="s">
        <v>27</v>
      </c>
      <c r="C169" t="s">
        <v>53</v>
      </c>
      <c r="D169" t="s">
        <v>62</v>
      </c>
      <c r="F169" t="s">
        <v>40</v>
      </c>
      <c r="G169">
        <v>69.709999999999994</v>
      </c>
      <c r="H169">
        <v>18</v>
      </c>
      <c r="I169">
        <v>57.16</v>
      </c>
      <c r="J169" s="1">
        <v>45875</v>
      </c>
      <c r="K169">
        <v>34</v>
      </c>
      <c r="L169">
        <v>4.2</v>
      </c>
      <c r="M169" t="b">
        <v>1</v>
      </c>
      <c r="N169" t="s">
        <v>36</v>
      </c>
    </row>
    <row r="170" spans="1:14" x14ac:dyDescent="0.25">
      <c r="A170" t="s">
        <v>223</v>
      </c>
      <c r="B170" t="s">
        <v>42</v>
      </c>
      <c r="C170" t="s">
        <v>75</v>
      </c>
      <c r="D170" t="s">
        <v>34</v>
      </c>
      <c r="E170" t="s">
        <v>49</v>
      </c>
      <c r="F170" t="s">
        <v>40</v>
      </c>
      <c r="G170">
        <v>60.3</v>
      </c>
      <c r="H170">
        <v>21.4</v>
      </c>
      <c r="I170">
        <v>47.4</v>
      </c>
      <c r="J170" s="1">
        <v>45875</v>
      </c>
      <c r="K170">
        <v>4</v>
      </c>
      <c r="L170">
        <v>3.6</v>
      </c>
      <c r="M170" t="b">
        <v>0</v>
      </c>
    </row>
    <row r="171" spans="1:14" x14ac:dyDescent="0.25">
      <c r="A171" t="s">
        <v>224</v>
      </c>
      <c r="B171" t="s">
        <v>30</v>
      </c>
      <c r="C171" t="s">
        <v>32</v>
      </c>
      <c r="D171" t="s">
        <v>23</v>
      </c>
      <c r="E171" t="s">
        <v>49</v>
      </c>
      <c r="F171" t="s">
        <v>19</v>
      </c>
      <c r="G171">
        <v>113.58</v>
      </c>
      <c r="H171">
        <v>0</v>
      </c>
      <c r="I171">
        <v>113.58</v>
      </c>
      <c r="J171" s="1">
        <v>45875</v>
      </c>
      <c r="K171">
        <v>33</v>
      </c>
      <c r="L171">
        <v>4.9000000000000004</v>
      </c>
      <c r="M171" t="b">
        <v>1</v>
      </c>
      <c r="N171" t="s">
        <v>125</v>
      </c>
    </row>
    <row r="172" spans="1:14" x14ac:dyDescent="0.25">
      <c r="A172" t="s">
        <v>225</v>
      </c>
      <c r="B172" t="s">
        <v>38</v>
      </c>
      <c r="C172" t="s">
        <v>53</v>
      </c>
      <c r="D172" t="s">
        <v>34</v>
      </c>
      <c r="E172" t="s">
        <v>55</v>
      </c>
      <c r="F172" t="s">
        <v>70</v>
      </c>
      <c r="G172">
        <v>54.86</v>
      </c>
      <c r="H172">
        <v>1.7</v>
      </c>
      <c r="I172">
        <v>53.93</v>
      </c>
      <c r="J172" s="1">
        <v>45875</v>
      </c>
      <c r="K172">
        <v>40</v>
      </c>
      <c r="L172">
        <v>2.5</v>
      </c>
      <c r="M172" t="b">
        <v>0</v>
      </c>
    </row>
    <row r="173" spans="1:14" x14ac:dyDescent="0.25">
      <c r="A173" t="s">
        <v>226</v>
      </c>
      <c r="B173" t="s">
        <v>21</v>
      </c>
      <c r="C173" t="s">
        <v>16</v>
      </c>
      <c r="D173" t="s">
        <v>23</v>
      </c>
      <c r="E173" t="s">
        <v>55</v>
      </c>
      <c r="F173" t="s">
        <v>19</v>
      </c>
      <c r="G173">
        <v>92.25</v>
      </c>
      <c r="H173">
        <v>0</v>
      </c>
      <c r="I173">
        <v>92.25</v>
      </c>
      <c r="J173" s="1">
        <v>45875</v>
      </c>
      <c r="K173">
        <v>13</v>
      </c>
      <c r="L173">
        <v>2.8</v>
      </c>
      <c r="M173" t="b">
        <v>1</v>
      </c>
      <c r="N173" t="s">
        <v>78</v>
      </c>
    </row>
    <row r="174" spans="1:14" x14ac:dyDescent="0.25">
      <c r="A174" t="s">
        <v>227</v>
      </c>
      <c r="B174" t="s">
        <v>27</v>
      </c>
      <c r="C174" t="s">
        <v>53</v>
      </c>
      <c r="D174" t="s">
        <v>23</v>
      </c>
      <c r="F174" t="s">
        <v>35</v>
      </c>
      <c r="G174">
        <v>54.07</v>
      </c>
      <c r="H174">
        <v>0</v>
      </c>
      <c r="I174">
        <v>54.07</v>
      </c>
      <c r="J174" s="1">
        <v>45875</v>
      </c>
      <c r="K174">
        <v>47</v>
      </c>
      <c r="L174">
        <v>4.5999999999999996</v>
      </c>
      <c r="M174" t="b">
        <v>0</v>
      </c>
    </row>
    <row r="175" spans="1:14" x14ac:dyDescent="0.25">
      <c r="A175" t="s">
        <v>228</v>
      </c>
      <c r="B175" t="s">
        <v>30</v>
      </c>
      <c r="C175" t="s">
        <v>32</v>
      </c>
      <c r="D175" t="s">
        <v>23</v>
      </c>
      <c r="E175" t="s">
        <v>18</v>
      </c>
      <c r="F175" t="s">
        <v>19</v>
      </c>
      <c r="G175">
        <v>104.4</v>
      </c>
      <c r="H175">
        <v>0</v>
      </c>
      <c r="I175">
        <v>104.4</v>
      </c>
      <c r="J175" s="1">
        <v>45875</v>
      </c>
      <c r="K175">
        <v>41</v>
      </c>
      <c r="L175">
        <v>3.4</v>
      </c>
      <c r="M175" t="b">
        <v>0</v>
      </c>
    </row>
    <row r="176" spans="1:14" x14ac:dyDescent="0.25">
      <c r="A176" t="s">
        <v>229</v>
      </c>
      <c r="B176" t="s">
        <v>42</v>
      </c>
      <c r="C176" t="s">
        <v>53</v>
      </c>
      <c r="D176" t="s">
        <v>17</v>
      </c>
      <c r="E176" t="s">
        <v>58</v>
      </c>
      <c r="F176" t="s">
        <v>40</v>
      </c>
      <c r="G176">
        <v>45.97</v>
      </c>
      <c r="H176">
        <v>0</v>
      </c>
      <c r="I176">
        <v>45.97</v>
      </c>
      <c r="J176" s="1">
        <v>45532</v>
      </c>
      <c r="K176">
        <v>37</v>
      </c>
      <c r="L176">
        <v>3.2</v>
      </c>
      <c r="M176" t="b">
        <v>1</v>
      </c>
      <c r="N176" t="s">
        <v>83</v>
      </c>
    </row>
    <row r="177" spans="1:13" x14ac:dyDescent="0.25">
      <c r="A177" t="s">
        <v>230</v>
      </c>
      <c r="B177" t="s">
        <v>21</v>
      </c>
      <c r="C177" t="s">
        <v>53</v>
      </c>
      <c r="D177" t="s">
        <v>62</v>
      </c>
      <c r="E177" t="s">
        <v>49</v>
      </c>
      <c r="F177" t="s">
        <v>28</v>
      </c>
      <c r="G177">
        <v>28.79</v>
      </c>
      <c r="H177">
        <v>0</v>
      </c>
      <c r="I177">
        <v>28.79</v>
      </c>
      <c r="J177" s="1">
        <v>45875</v>
      </c>
      <c r="K177">
        <v>4</v>
      </c>
      <c r="L177">
        <v>4.4000000000000004</v>
      </c>
      <c r="M177" t="b">
        <v>0</v>
      </c>
    </row>
    <row r="178" spans="1:13" x14ac:dyDescent="0.25">
      <c r="A178" t="s">
        <v>231</v>
      </c>
      <c r="B178" t="s">
        <v>15</v>
      </c>
      <c r="C178" t="s">
        <v>22</v>
      </c>
      <c r="D178" t="s">
        <v>23</v>
      </c>
      <c r="E178" t="s">
        <v>58</v>
      </c>
      <c r="F178" t="s">
        <v>40</v>
      </c>
      <c r="G178">
        <v>204.21</v>
      </c>
      <c r="H178">
        <v>0</v>
      </c>
      <c r="I178">
        <v>204.21</v>
      </c>
      <c r="J178" s="1">
        <v>45875</v>
      </c>
      <c r="K178">
        <v>5</v>
      </c>
      <c r="L178">
        <v>3.3</v>
      </c>
      <c r="M178" t="b">
        <v>0</v>
      </c>
    </row>
    <row r="179" spans="1:13" x14ac:dyDescent="0.25">
      <c r="A179" t="s">
        <v>232</v>
      </c>
      <c r="B179" t="s">
        <v>30</v>
      </c>
      <c r="C179" t="s">
        <v>43</v>
      </c>
      <c r="D179" t="s">
        <v>34</v>
      </c>
      <c r="E179" t="s">
        <v>49</v>
      </c>
      <c r="F179" t="s">
        <v>25</v>
      </c>
      <c r="G179">
        <v>190.75</v>
      </c>
      <c r="H179">
        <v>20</v>
      </c>
      <c r="I179">
        <v>152.6</v>
      </c>
      <c r="J179" s="1">
        <v>45875</v>
      </c>
      <c r="K179">
        <v>47</v>
      </c>
      <c r="M179" t="b">
        <v>0</v>
      </c>
    </row>
    <row r="180" spans="1:13" x14ac:dyDescent="0.25">
      <c r="A180" t="s">
        <v>233</v>
      </c>
      <c r="B180" t="s">
        <v>21</v>
      </c>
      <c r="C180" t="s">
        <v>75</v>
      </c>
      <c r="D180" t="s">
        <v>23</v>
      </c>
      <c r="E180" t="s">
        <v>55</v>
      </c>
      <c r="F180" t="s">
        <v>70</v>
      </c>
      <c r="G180">
        <v>33.01</v>
      </c>
      <c r="H180">
        <v>39.200000000000003</v>
      </c>
      <c r="I180">
        <v>20.07</v>
      </c>
      <c r="J180" s="1">
        <v>45875</v>
      </c>
      <c r="K180">
        <v>16</v>
      </c>
      <c r="L180">
        <v>3.7</v>
      </c>
      <c r="M180" t="b">
        <v>0</v>
      </c>
    </row>
    <row r="181" spans="1:13" x14ac:dyDescent="0.25">
      <c r="A181" t="s">
        <v>234</v>
      </c>
      <c r="B181" t="s">
        <v>27</v>
      </c>
      <c r="C181" t="s">
        <v>32</v>
      </c>
      <c r="D181" t="s">
        <v>17</v>
      </c>
      <c r="F181" t="s">
        <v>44</v>
      </c>
      <c r="G181">
        <v>47.61</v>
      </c>
      <c r="H181">
        <v>39.799999999999997</v>
      </c>
      <c r="I181">
        <v>28.66</v>
      </c>
      <c r="J181" s="1">
        <v>45629</v>
      </c>
      <c r="K181">
        <v>18</v>
      </c>
      <c r="L181">
        <v>1.3</v>
      </c>
      <c r="M181" t="b">
        <v>0</v>
      </c>
    </row>
    <row r="182" spans="1:13" x14ac:dyDescent="0.25">
      <c r="A182" t="s">
        <v>235</v>
      </c>
      <c r="B182" t="s">
        <v>15</v>
      </c>
      <c r="C182" t="s">
        <v>48</v>
      </c>
      <c r="D182" t="s">
        <v>17</v>
      </c>
      <c r="E182" t="s">
        <v>55</v>
      </c>
      <c r="F182" t="s">
        <v>19</v>
      </c>
      <c r="G182">
        <v>137.16</v>
      </c>
      <c r="H182">
        <v>0</v>
      </c>
      <c r="I182">
        <v>137.16</v>
      </c>
      <c r="J182" s="1">
        <v>45561</v>
      </c>
      <c r="K182">
        <v>34</v>
      </c>
      <c r="L182">
        <v>3.2</v>
      </c>
      <c r="M182" t="b">
        <v>0</v>
      </c>
    </row>
    <row r="183" spans="1:13" x14ac:dyDescent="0.25">
      <c r="A183" t="s">
        <v>236</v>
      </c>
      <c r="B183" t="s">
        <v>21</v>
      </c>
      <c r="C183" t="s">
        <v>61</v>
      </c>
      <c r="D183" t="s">
        <v>34</v>
      </c>
      <c r="E183" t="s">
        <v>58</v>
      </c>
      <c r="F183" t="s">
        <v>64</v>
      </c>
      <c r="G183">
        <v>108.49</v>
      </c>
      <c r="H183">
        <v>0</v>
      </c>
      <c r="I183">
        <v>108.49</v>
      </c>
      <c r="J183" s="1">
        <v>45875</v>
      </c>
      <c r="K183">
        <v>7</v>
      </c>
      <c r="L183">
        <v>3.3</v>
      </c>
      <c r="M183" t="b">
        <v>0</v>
      </c>
    </row>
    <row r="184" spans="1:13" x14ac:dyDescent="0.25">
      <c r="A184" t="s">
        <v>237</v>
      </c>
      <c r="B184" t="s">
        <v>21</v>
      </c>
      <c r="C184" t="s">
        <v>32</v>
      </c>
      <c r="D184" t="s">
        <v>23</v>
      </c>
      <c r="E184" t="s">
        <v>18</v>
      </c>
      <c r="F184" t="s">
        <v>46</v>
      </c>
      <c r="G184">
        <v>106.49</v>
      </c>
      <c r="H184">
        <v>0</v>
      </c>
      <c r="I184">
        <v>106.49</v>
      </c>
      <c r="J184" s="1">
        <v>45875</v>
      </c>
      <c r="K184">
        <v>23</v>
      </c>
      <c r="L184">
        <v>4</v>
      </c>
      <c r="M184" t="b">
        <v>0</v>
      </c>
    </row>
    <row r="185" spans="1:13" x14ac:dyDescent="0.25">
      <c r="A185" t="s">
        <v>238</v>
      </c>
      <c r="B185" t="s">
        <v>21</v>
      </c>
      <c r="C185" t="s">
        <v>43</v>
      </c>
      <c r="D185" t="s">
        <v>23</v>
      </c>
      <c r="E185" t="s">
        <v>49</v>
      </c>
      <c r="F185" t="s">
        <v>25</v>
      </c>
      <c r="G185">
        <v>114.86</v>
      </c>
      <c r="H185">
        <v>0</v>
      </c>
      <c r="I185">
        <v>114.86</v>
      </c>
      <c r="J185" s="1">
        <v>45875</v>
      </c>
      <c r="K185">
        <v>48</v>
      </c>
      <c r="L185">
        <v>1.1000000000000001</v>
      </c>
      <c r="M185" t="b">
        <v>0</v>
      </c>
    </row>
    <row r="186" spans="1:13" x14ac:dyDescent="0.25">
      <c r="A186" t="s">
        <v>239</v>
      </c>
      <c r="B186" t="s">
        <v>42</v>
      </c>
      <c r="C186" t="s">
        <v>16</v>
      </c>
      <c r="D186" t="s">
        <v>34</v>
      </c>
      <c r="E186" t="s">
        <v>24</v>
      </c>
      <c r="F186" t="s">
        <v>44</v>
      </c>
      <c r="G186">
        <v>121.68</v>
      </c>
      <c r="H186">
        <v>0</v>
      </c>
      <c r="I186">
        <v>121.68</v>
      </c>
      <c r="J186" s="1">
        <v>45875</v>
      </c>
      <c r="K186">
        <v>9</v>
      </c>
      <c r="L186">
        <v>1.5</v>
      </c>
      <c r="M186" t="b">
        <v>0</v>
      </c>
    </row>
    <row r="187" spans="1:13" x14ac:dyDescent="0.25">
      <c r="A187" t="s">
        <v>240</v>
      </c>
      <c r="B187" t="s">
        <v>38</v>
      </c>
      <c r="C187" t="s">
        <v>16</v>
      </c>
      <c r="D187" t="s">
        <v>62</v>
      </c>
      <c r="E187" t="s">
        <v>49</v>
      </c>
      <c r="F187" t="s">
        <v>28</v>
      </c>
      <c r="G187">
        <v>74.08</v>
      </c>
      <c r="H187">
        <v>3.9</v>
      </c>
      <c r="I187">
        <v>71.19</v>
      </c>
      <c r="J187" s="1">
        <v>45875</v>
      </c>
      <c r="K187">
        <v>37</v>
      </c>
      <c r="L187">
        <v>1.7</v>
      </c>
      <c r="M187" t="b">
        <v>0</v>
      </c>
    </row>
    <row r="188" spans="1:13" x14ac:dyDescent="0.25">
      <c r="A188" t="s">
        <v>241</v>
      </c>
      <c r="B188" t="s">
        <v>21</v>
      </c>
      <c r="C188" t="s">
        <v>61</v>
      </c>
      <c r="D188" t="s">
        <v>34</v>
      </c>
      <c r="E188" t="s">
        <v>58</v>
      </c>
      <c r="F188" t="s">
        <v>44</v>
      </c>
      <c r="G188">
        <v>92.37</v>
      </c>
      <c r="H188">
        <v>35.9</v>
      </c>
      <c r="I188">
        <v>59.21</v>
      </c>
      <c r="J188" s="1">
        <v>45875</v>
      </c>
      <c r="K188">
        <v>20</v>
      </c>
      <c r="M188" t="b">
        <v>0</v>
      </c>
    </row>
    <row r="189" spans="1:13" x14ac:dyDescent="0.25">
      <c r="A189" t="s">
        <v>242</v>
      </c>
      <c r="B189" t="s">
        <v>21</v>
      </c>
      <c r="C189" t="s">
        <v>22</v>
      </c>
      <c r="D189" t="s">
        <v>62</v>
      </c>
      <c r="E189" t="s">
        <v>49</v>
      </c>
      <c r="F189" t="s">
        <v>56</v>
      </c>
      <c r="G189">
        <v>34.06</v>
      </c>
      <c r="H189">
        <v>0</v>
      </c>
      <c r="I189">
        <v>34.06</v>
      </c>
      <c r="J189" s="1">
        <v>45875</v>
      </c>
      <c r="K189">
        <v>39</v>
      </c>
      <c r="L189">
        <v>4.5</v>
      </c>
      <c r="M189" t="b">
        <v>0</v>
      </c>
    </row>
    <row r="190" spans="1:13" x14ac:dyDescent="0.25">
      <c r="A190" t="s">
        <v>243</v>
      </c>
      <c r="B190" t="s">
        <v>42</v>
      </c>
      <c r="C190" t="s">
        <v>16</v>
      </c>
      <c r="D190" t="s">
        <v>62</v>
      </c>
      <c r="E190" t="s">
        <v>24</v>
      </c>
      <c r="F190" t="s">
        <v>25</v>
      </c>
      <c r="G190">
        <v>173.42</v>
      </c>
      <c r="H190">
        <v>0</v>
      </c>
      <c r="I190">
        <v>173.42</v>
      </c>
      <c r="J190" s="1">
        <v>45875</v>
      </c>
      <c r="K190">
        <v>47</v>
      </c>
      <c r="L190">
        <v>4.2</v>
      </c>
      <c r="M190" t="b">
        <v>0</v>
      </c>
    </row>
    <row r="191" spans="1:13" x14ac:dyDescent="0.25">
      <c r="A191" t="s">
        <v>244</v>
      </c>
      <c r="B191" t="s">
        <v>38</v>
      </c>
      <c r="C191" t="s">
        <v>22</v>
      </c>
      <c r="D191" t="s">
        <v>17</v>
      </c>
      <c r="E191" t="s">
        <v>49</v>
      </c>
      <c r="F191" t="s">
        <v>70</v>
      </c>
      <c r="G191">
        <v>66.510000000000005</v>
      </c>
      <c r="H191">
        <v>0</v>
      </c>
      <c r="I191">
        <v>66.510000000000005</v>
      </c>
      <c r="J191" s="1">
        <v>45569</v>
      </c>
      <c r="K191">
        <v>32</v>
      </c>
      <c r="L191">
        <v>2.1</v>
      </c>
      <c r="M191" t="b">
        <v>0</v>
      </c>
    </row>
    <row r="192" spans="1:13" x14ac:dyDescent="0.25">
      <c r="A192" t="s">
        <v>245</v>
      </c>
      <c r="B192" t="s">
        <v>38</v>
      </c>
      <c r="C192" t="s">
        <v>22</v>
      </c>
      <c r="D192" t="s">
        <v>34</v>
      </c>
      <c r="E192" t="s">
        <v>49</v>
      </c>
      <c r="F192" t="s">
        <v>44</v>
      </c>
      <c r="G192">
        <v>72.44</v>
      </c>
      <c r="H192">
        <v>7.1</v>
      </c>
      <c r="I192">
        <v>67.3</v>
      </c>
      <c r="J192" s="1">
        <v>45875</v>
      </c>
      <c r="K192">
        <v>10</v>
      </c>
      <c r="L192">
        <v>1.8</v>
      </c>
      <c r="M192" t="b">
        <v>0</v>
      </c>
    </row>
    <row r="193" spans="1:14" x14ac:dyDescent="0.25">
      <c r="A193" t="s">
        <v>246</v>
      </c>
      <c r="B193" t="s">
        <v>21</v>
      </c>
      <c r="C193" t="s">
        <v>53</v>
      </c>
      <c r="D193" t="s">
        <v>34</v>
      </c>
      <c r="E193" t="s">
        <v>39</v>
      </c>
      <c r="F193" t="s">
        <v>28</v>
      </c>
      <c r="G193">
        <v>81.2</v>
      </c>
      <c r="H193">
        <v>0</v>
      </c>
      <c r="I193">
        <v>81.2</v>
      </c>
      <c r="J193" s="1">
        <v>45875</v>
      </c>
      <c r="K193">
        <v>3</v>
      </c>
      <c r="L193">
        <v>1.5</v>
      </c>
      <c r="M193" t="b">
        <v>0</v>
      </c>
    </row>
    <row r="194" spans="1:14" x14ac:dyDescent="0.25">
      <c r="A194" t="s">
        <v>247</v>
      </c>
      <c r="B194" t="s">
        <v>15</v>
      </c>
      <c r="C194" t="s">
        <v>61</v>
      </c>
      <c r="D194" t="s">
        <v>62</v>
      </c>
      <c r="E194" t="s">
        <v>49</v>
      </c>
      <c r="F194" t="s">
        <v>19</v>
      </c>
      <c r="G194">
        <v>104.5</v>
      </c>
      <c r="H194">
        <v>12.3</v>
      </c>
      <c r="I194">
        <v>91.65</v>
      </c>
      <c r="J194" s="1">
        <v>45875</v>
      </c>
      <c r="K194">
        <v>42</v>
      </c>
      <c r="M194" t="b">
        <v>0</v>
      </c>
    </row>
    <row r="195" spans="1:14" x14ac:dyDescent="0.25">
      <c r="A195" t="s">
        <v>248</v>
      </c>
      <c r="B195" t="s">
        <v>42</v>
      </c>
      <c r="C195" t="s">
        <v>61</v>
      </c>
      <c r="D195" t="s">
        <v>23</v>
      </c>
      <c r="E195" t="s">
        <v>18</v>
      </c>
      <c r="F195" t="s">
        <v>25</v>
      </c>
      <c r="G195">
        <v>57.53</v>
      </c>
      <c r="H195">
        <v>13</v>
      </c>
      <c r="I195">
        <v>50.05</v>
      </c>
      <c r="J195" s="1">
        <v>45875</v>
      </c>
      <c r="K195">
        <v>12</v>
      </c>
      <c r="L195">
        <v>4.0999999999999996</v>
      </c>
      <c r="M195" t="b">
        <v>0</v>
      </c>
    </row>
    <row r="196" spans="1:14" x14ac:dyDescent="0.25">
      <c r="A196" t="s">
        <v>249</v>
      </c>
      <c r="B196" t="s">
        <v>30</v>
      </c>
      <c r="C196" t="s">
        <v>32</v>
      </c>
      <c r="D196" t="s">
        <v>62</v>
      </c>
      <c r="E196" t="s">
        <v>49</v>
      </c>
      <c r="F196" t="s">
        <v>40</v>
      </c>
      <c r="G196">
        <v>142.58000000000001</v>
      </c>
      <c r="H196">
        <v>0</v>
      </c>
      <c r="I196">
        <v>142.58000000000001</v>
      </c>
      <c r="J196" s="1">
        <v>45875</v>
      </c>
      <c r="K196">
        <v>25</v>
      </c>
      <c r="L196">
        <v>4.8</v>
      </c>
      <c r="M196" t="b">
        <v>1</v>
      </c>
      <c r="N196" t="s">
        <v>83</v>
      </c>
    </row>
    <row r="197" spans="1:14" x14ac:dyDescent="0.25">
      <c r="A197" t="s">
        <v>250</v>
      </c>
      <c r="B197" t="s">
        <v>42</v>
      </c>
      <c r="C197" t="s">
        <v>16</v>
      </c>
      <c r="D197" t="s">
        <v>34</v>
      </c>
      <c r="E197" t="s">
        <v>49</v>
      </c>
      <c r="F197" t="s">
        <v>46</v>
      </c>
      <c r="G197">
        <v>162.22999999999999</v>
      </c>
      <c r="H197">
        <v>29.4</v>
      </c>
      <c r="I197">
        <v>114.53</v>
      </c>
      <c r="J197" s="1">
        <v>45875</v>
      </c>
      <c r="K197">
        <v>41</v>
      </c>
      <c r="L197">
        <v>4</v>
      </c>
      <c r="M197" t="b">
        <v>1</v>
      </c>
      <c r="N197" t="s">
        <v>83</v>
      </c>
    </row>
    <row r="198" spans="1:14" x14ac:dyDescent="0.25">
      <c r="A198" t="s">
        <v>251</v>
      </c>
      <c r="B198" t="s">
        <v>38</v>
      </c>
      <c r="C198" t="s">
        <v>53</v>
      </c>
      <c r="D198" t="s">
        <v>17</v>
      </c>
      <c r="E198" t="s">
        <v>49</v>
      </c>
      <c r="F198" t="s">
        <v>19</v>
      </c>
      <c r="G198">
        <v>32.1</v>
      </c>
      <c r="H198">
        <v>51.7</v>
      </c>
      <c r="I198">
        <v>15.5</v>
      </c>
      <c r="J198" s="1">
        <v>45619</v>
      </c>
      <c r="K198">
        <v>27</v>
      </c>
      <c r="M198" t="b">
        <v>0</v>
      </c>
    </row>
    <row r="199" spans="1:14" x14ac:dyDescent="0.25">
      <c r="A199" t="s">
        <v>252</v>
      </c>
      <c r="B199" t="s">
        <v>30</v>
      </c>
      <c r="C199" t="s">
        <v>22</v>
      </c>
      <c r="D199" t="s">
        <v>34</v>
      </c>
      <c r="E199" t="s">
        <v>24</v>
      </c>
      <c r="F199" t="s">
        <v>28</v>
      </c>
      <c r="G199">
        <v>162.41</v>
      </c>
      <c r="H199">
        <v>42.7</v>
      </c>
      <c r="I199">
        <v>93.06</v>
      </c>
      <c r="J199" s="1">
        <v>45875</v>
      </c>
      <c r="K199">
        <v>22</v>
      </c>
      <c r="L199">
        <v>4.8</v>
      </c>
      <c r="M199" t="b">
        <v>0</v>
      </c>
    </row>
    <row r="200" spans="1:14" x14ac:dyDescent="0.25">
      <c r="A200" t="s">
        <v>253</v>
      </c>
      <c r="B200" t="s">
        <v>21</v>
      </c>
      <c r="C200" t="s">
        <v>32</v>
      </c>
      <c r="D200" t="s">
        <v>34</v>
      </c>
      <c r="E200" t="s">
        <v>58</v>
      </c>
      <c r="F200" t="s">
        <v>40</v>
      </c>
      <c r="G200">
        <v>77.459999999999994</v>
      </c>
      <c r="H200">
        <v>57.5</v>
      </c>
      <c r="I200">
        <v>32.92</v>
      </c>
      <c r="J200" s="1">
        <v>45875</v>
      </c>
      <c r="K200">
        <v>23</v>
      </c>
      <c r="L200">
        <v>4</v>
      </c>
      <c r="M200" t="b">
        <v>0</v>
      </c>
    </row>
    <row r="201" spans="1:14" x14ac:dyDescent="0.25">
      <c r="A201" t="s">
        <v>254</v>
      </c>
      <c r="B201" t="s">
        <v>21</v>
      </c>
      <c r="C201" t="s">
        <v>48</v>
      </c>
      <c r="D201" t="s">
        <v>34</v>
      </c>
      <c r="E201" t="s">
        <v>49</v>
      </c>
      <c r="F201" t="s">
        <v>44</v>
      </c>
      <c r="G201">
        <v>103.42</v>
      </c>
      <c r="H201">
        <v>56.1</v>
      </c>
      <c r="I201">
        <v>45.4</v>
      </c>
      <c r="J201" s="1">
        <v>45875</v>
      </c>
      <c r="K201">
        <v>4</v>
      </c>
      <c r="L201">
        <v>4.7</v>
      </c>
      <c r="M201" t="b">
        <v>0</v>
      </c>
    </row>
    <row r="202" spans="1:14" x14ac:dyDescent="0.25">
      <c r="A202" t="s">
        <v>255</v>
      </c>
      <c r="B202" t="s">
        <v>38</v>
      </c>
      <c r="C202" t="s">
        <v>16</v>
      </c>
      <c r="D202" t="s">
        <v>17</v>
      </c>
      <c r="E202" t="s">
        <v>55</v>
      </c>
      <c r="F202" t="s">
        <v>46</v>
      </c>
      <c r="G202">
        <v>42.91</v>
      </c>
      <c r="H202">
        <v>33.299999999999997</v>
      </c>
      <c r="I202">
        <v>28.62</v>
      </c>
      <c r="J202" s="1">
        <v>45619</v>
      </c>
      <c r="K202">
        <v>18</v>
      </c>
      <c r="M202" t="b">
        <v>0</v>
      </c>
    </row>
    <row r="203" spans="1:14" x14ac:dyDescent="0.25">
      <c r="A203" t="s">
        <v>256</v>
      </c>
      <c r="B203" t="s">
        <v>30</v>
      </c>
      <c r="C203" t="s">
        <v>16</v>
      </c>
      <c r="D203" t="s">
        <v>62</v>
      </c>
      <c r="E203" t="s">
        <v>18</v>
      </c>
      <c r="F203" t="s">
        <v>46</v>
      </c>
      <c r="G203">
        <v>144.91999999999999</v>
      </c>
      <c r="H203">
        <v>17</v>
      </c>
      <c r="I203">
        <v>120.28</v>
      </c>
      <c r="J203" s="1">
        <v>45875</v>
      </c>
      <c r="K203">
        <v>32</v>
      </c>
      <c r="L203">
        <v>2</v>
      </c>
      <c r="M203" t="b">
        <v>0</v>
      </c>
    </row>
    <row r="204" spans="1:14" x14ac:dyDescent="0.25">
      <c r="A204" t="s">
        <v>257</v>
      </c>
      <c r="B204" t="s">
        <v>30</v>
      </c>
      <c r="C204" t="s">
        <v>32</v>
      </c>
      <c r="D204" t="s">
        <v>62</v>
      </c>
      <c r="E204" t="s">
        <v>55</v>
      </c>
      <c r="F204" t="s">
        <v>28</v>
      </c>
      <c r="G204">
        <v>93.07</v>
      </c>
      <c r="H204">
        <v>23.9</v>
      </c>
      <c r="I204">
        <v>70.83</v>
      </c>
      <c r="J204" s="1">
        <v>45875</v>
      </c>
      <c r="K204">
        <v>10</v>
      </c>
      <c r="L204">
        <v>3.5</v>
      </c>
      <c r="M204" t="b">
        <v>1</v>
      </c>
      <c r="N204" t="s">
        <v>115</v>
      </c>
    </row>
    <row r="205" spans="1:14" x14ac:dyDescent="0.25">
      <c r="A205" t="s">
        <v>258</v>
      </c>
      <c r="B205" t="s">
        <v>15</v>
      </c>
      <c r="C205" t="s">
        <v>48</v>
      </c>
      <c r="D205" t="s">
        <v>62</v>
      </c>
      <c r="E205" t="s">
        <v>39</v>
      </c>
      <c r="F205" t="s">
        <v>19</v>
      </c>
      <c r="G205">
        <v>119.96</v>
      </c>
      <c r="H205">
        <v>0</v>
      </c>
      <c r="I205">
        <v>119.96</v>
      </c>
      <c r="J205" s="1">
        <v>45875</v>
      </c>
      <c r="K205">
        <v>20</v>
      </c>
      <c r="L205">
        <v>1.1000000000000001</v>
      </c>
      <c r="M205" t="b">
        <v>0</v>
      </c>
    </row>
    <row r="206" spans="1:14" x14ac:dyDescent="0.25">
      <c r="A206" t="s">
        <v>259</v>
      </c>
      <c r="B206" t="s">
        <v>27</v>
      </c>
      <c r="C206" t="s">
        <v>75</v>
      </c>
      <c r="D206" t="s">
        <v>62</v>
      </c>
      <c r="F206" t="s">
        <v>40</v>
      </c>
      <c r="G206">
        <v>42.04</v>
      </c>
      <c r="H206">
        <v>50.9</v>
      </c>
      <c r="I206">
        <v>20.64</v>
      </c>
      <c r="J206" s="1">
        <v>45875</v>
      </c>
      <c r="K206">
        <v>43</v>
      </c>
      <c r="L206">
        <v>2.2999999999999998</v>
      </c>
      <c r="M206" t="b">
        <v>1</v>
      </c>
      <c r="N206" t="s">
        <v>125</v>
      </c>
    </row>
    <row r="207" spans="1:14" x14ac:dyDescent="0.25">
      <c r="A207" t="s">
        <v>260</v>
      </c>
      <c r="B207" t="s">
        <v>27</v>
      </c>
      <c r="C207" t="s">
        <v>32</v>
      </c>
      <c r="D207" t="s">
        <v>23</v>
      </c>
      <c r="F207" t="s">
        <v>19</v>
      </c>
      <c r="G207">
        <v>54.45</v>
      </c>
      <c r="H207">
        <v>0</v>
      </c>
      <c r="I207">
        <v>54.45</v>
      </c>
      <c r="J207" s="1">
        <v>45875</v>
      </c>
      <c r="K207">
        <v>12</v>
      </c>
      <c r="L207">
        <v>2.7</v>
      </c>
      <c r="M207" t="b">
        <v>0</v>
      </c>
    </row>
    <row r="208" spans="1:14" x14ac:dyDescent="0.25">
      <c r="A208" t="s">
        <v>261</v>
      </c>
      <c r="B208" t="s">
        <v>21</v>
      </c>
      <c r="C208" t="s">
        <v>43</v>
      </c>
      <c r="D208" t="s">
        <v>17</v>
      </c>
      <c r="E208" t="s">
        <v>58</v>
      </c>
      <c r="F208" t="s">
        <v>46</v>
      </c>
      <c r="G208">
        <v>66.95</v>
      </c>
      <c r="H208">
        <v>36.4</v>
      </c>
      <c r="I208">
        <v>42.58</v>
      </c>
      <c r="J208" s="1">
        <v>45563</v>
      </c>
      <c r="K208">
        <v>44</v>
      </c>
      <c r="L208">
        <v>1.9</v>
      </c>
      <c r="M208" t="b">
        <v>1</v>
      </c>
      <c r="N208" t="s">
        <v>83</v>
      </c>
    </row>
    <row r="209" spans="1:14" x14ac:dyDescent="0.25">
      <c r="A209" t="s">
        <v>262</v>
      </c>
      <c r="B209" t="s">
        <v>21</v>
      </c>
      <c r="C209" t="s">
        <v>53</v>
      </c>
      <c r="D209" t="s">
        <v>17</v>
      </c>
      <c r="E209" t="s">
        <v>18</v>
      </c>
      <c r="F209" t="s">
        <v>56</v>
      </c>
      <c r="G209">
        <v>116.96</v>
      </c>
      <c r="H209">
        <v>8.8000000000000007</v>
      </c>
      <c r="I209">
        <v>106.67</v>
      </c>
      <c r="J209" s="1">
        <v>45776</v>
      </c>
      <c r="K209">
        <v>33</v>
      </c>
      <c r="L209">
        <v>1.6</v>
      </c>
      <c r="M209" t="b">
        <v>0</v>
      </c>
    </row>
    <row r="210" spans="1:14" x14ac:dyDescent="0.25">
      <c r="A210" t="s">
        <v>263</v>
      </c>
      <c r="B210" t="s">
        <v>21</v>
      </c>
      <c r="C210" t="s">
        <v>75</v>
      </c>
      <c r="D210" t="s">
        <v>34</v>
      </c>
      <c r="E210" t="s">
        <v>49</v>
      </c>
      <c r="F210" t="s">
        <v>25</v>
      </c>
      <c r="G210">
        <v>111.14</v>
      </c>
      <c r="H210">
        <v>0</v>
      </c>
      <c r="I210">
        <v>111.14</v>
      </c>
      <c r="J210" s="1">
        <v>45875</v>
      </c>
      <c r="K210">
        <v>49</v>
      </c>
      <c r="L210">
        <v>1.6</v>
      </c>
      <c r="M210" t="b">
        <v>0</v>
      </c>
    </row>
    <row r="211" spans="1:14" x14ac:dyDescent="0.25">
      <c r="A211" t="s">
        <v>264</v>
      </c>
      <c r="B211" t="s">
        <v>21</v>
      </c>
      <c r="C211" t="s">
        <v>32</v>
      </c>
      <c r="D211" t="s">
        <v>34</v>
      </c>
      <c r="E211" t="s">
        <v>55</v>
      </c>
      <c r="F211" t="s">
        <v>44</v>
      </c>
      <c r="G211">
        <v>59.6</v>
      </c>
      <c r="H211">
        <v>0</v>
      </c>
      <c r="I211">
        <v>59.6</v>
      </c>
      <c r="J211" s="1">
        <v>45875</v>
      </c>
      <c r="K211">
        <v>40</v>
      </c>
      <c r="L211">
        <v>2.1</v>
      </c>
      <c r="M211" t="b">
        <v>0</v>
      </c>
    </row>
    <row r="212" spans="1:14" x14ac:dyDescent="0.25">
      <c r="A212" t="s">
        <v>265</v>
      </c>
      <c r="B212" t="s">
        <v>21</v>
      </c>
      <c r="C212" t="s">
        <v>53</v>
      </c>
      <c r="D212" t="s">
        <v>17</v>
      </c>
      <c r="E212" t="s">
        <v>39</v>
      </c>
      <c r="F212" t="s">
        <v>40</v>
      </c>
      <c r="G212">
        <v>25.49</v>
      </c>
      <c r="H212">
        <v>16.7</v>
      </c>
      <c r="I212">
        <v>21.23</v>
      </c>
      <c r="J212" s="1">
        <v>45800</v>
      </c>
      <c r="K212">
        <v>32</v>
      </c>
      <c r="M212" t="b">
        <v>0</v>
      </c>
    </row>
    <row r="213" spans="1:14" x14ac:dyDescent="0.25">
      <c r="A213" t="s">
        <v>266</v>
      </c>
      <c r="B213" t="s">
        <v>21</v>
      </c>
      <c r="C213" t="s">
        <v>16</v>
      </c>
      <c r="D213" t="s">
        <v>17</v>
      </c>
      <c r="E213" t="s">
        <v>58</v>
      </c>
      <c r="F213" t="s">
        <v>28</v>
      </c>
      <c r="G213">
        <v>82.94</v>
      </c>
      <c r="H213">
        <v>0</v>
      </c>
      <c r="I213">
        <v>82.94</v>
      </c>
      <c r="J213" s="1">
        <v>45855</v>
      </c>
      <c r="K213">
        <v>46</v>
      </c>
      <c r="L213">
        <v>1.5</v>
      </c>
      <c r="M213" t="b">
        <v>0</v>
      </c>
    </row>
    <row r="214" spans="1:14" x14ac:dyDescent="0.25">
      <c r="A214" t="s">
        <v>267</v>
      </c>
      <c r="B214" t="s">
        <v>21</v>
      </c>
      <c r="C214" t="s">
        <v>22</v>
      </c>
      <c r="D214" t="s">
        <v>17</v>
      </c>
      <c r="E214" t="s">
        <v>24</v>
      </c>
      <c r="F214" t="s">
        <v>44</v>
      </c>
      <c r="G214">
        <v>99.71</v>
      </c>
      <c r="H214">
        <v>0</v>
      </c>
      <c r="I214">
        <v>99.71</v>
      </c>
      <c r="J214" s="1">
        <v>45525</v>
      </c>
      <c r="K214">
        <v>23</v>
      </c>
      <c r="L214">
        <v>1.4</v>
      </c>
      <c r="M214" t="b">
        <v>0</v>
      </c>
    </row>
    <row r="215" spans="1:14" x14ac:dyDescent="0.25">
      <c r="A215" t="s">
        <v>268</v>
      </c>
      <c r="B215" t="s">
        <v>27</v>
      </c>
      <c r="C215" t="s">
        <v>32</v>
      </c>
      <c r="D215" t="s">
        <v>34</v>
      </c>
      <c r="F215" t="s">
        <v>28</v>
      </c>
      <c r="G215">
        <v>69.739999999999995</v>
      </c>
      <c r="H215">
        <v>0</v>
      </c>
      <c r="I215">
        <v>69.739999999999995</v>
      </c>
      <c r="J215" s="1">
        <v>45875</v>
      </c>
      <c r="K215">
        <v>11</v>
      </c>
      <c r="L215">
        <v>3.3</v>
      </c>
      <c r="M215" t="b">
        <v>1</v>
      </c>
      <c r="N215" t="s">
        <v>115</v>
      </c>
    </row>
    <row r="216" spans="1:14" x14ac:dyDescent="0.25">
      <c r="A216" t="s">
        <v>269</v>
      </c>
      <c r="B216" t="s">
        <v>38</v>
      </c>
      <c r="C216" t="s">
        <v>48</v>
      </c>
      <c r="D216" t="s">
        <v>62</v>
      </c>
      <c r="E216" t="s">
        <v>49</v>
      </c>
      <c r="F216" t="s">
        <v>46</v>
      </c>
      <c r="G216">
        <v>57.19</v>
      </c>
      <c r="H216">
        <v>0</v>
      </c>
      <c r="I216">
        <v>57.19</v>
      </c>
      <c r="J216" s="1">
        <v>45875</v>
      </c>
      <c r="K216">
        <v>12</v>
      </c>
      <c r="L216">
        <v>2.5</v>
      </c>
      <c r="M216" t="b">
        <v>0</v>
      </c>
    </row>
    <row r="217" spans="1:14" x14ac:dyDescent="0.25">
      <c r="A217" t="s">
        <v>270</v>
      </c>
      <c r="B217" t="s">
        <v>21</v>
      </c>
      <c r="C217" t="s">
        <v>48</v>
      </c>
      <c r="D217" t="s">
        <v>62</v>
      </c>
      <c r="E217" t="s">
        <v>49</v>
      </c>
      <c r="F217" t="s">
        <v>19</v>
      </c>
      <c r="G217">
        <v>58.65</v>
      </c>
      <c r="H217">
        <v>0</v>
      </c>
      <c r="I217">
        <v>58.65</v>
      </c>
      <c r="J217" s="1">
        <v>45875</v>
      </c>
      <c r="K217">
        <v>4</v>
      </c>
      <c r="L217">
        <v>1.1000000000000001</v>
      </c>
      <c r="M217" t="b">
        <v>0</v>
      </c>
    </row>
    <row r="218" spans="1:14" x14ac:dyDescent="0.25">
      <c r="A218" t="s">
        <v>271</v>
      </c>
      <c r="B218" t="s">
        <v>15</v>
      </c>
      <c r="C218" t="s">
        <v>22</v>
      </c>
      <c r="D218" t="s">
        <v>34</v>
      </c>
      <c r="E218" t="s">
        <v>18</v>
      </c>
      <c r="F218" t="s">
        <v>25</v>
      </c>
      <c r="G218">
        <v>110.22</v>
      </c>
      <c r="H218">
        <v>0</v>
      </c>
      <c r="I218">
        <v>110.22</v>
      </c>
      <c r="J218" s="1">
        <v>45875</v>
      </c>
      <c r="K218">
        <v>4</v>
      </c>
      <c r="L218">
        <v>1.6</v>
      </c>
      <c r="M218" t="b">
        <v>0</v>
      </c>
    </row>
    <row r="219" spans="1:14" x14ac:dyDescent="0.25">
      <c r="A219" t="s">
        <v>272</v>
      </c>
      <c r="B219" t="s">
        <v>21</v>
      </c>
      <c r="C219" t="s">
        <v>16</v>
      </c>
      <c r="D219" t="s">
        <v>62</v>
      </c>
      <c r="E219" t="s">
        <v>49</v>
      </c>
      <c r="F219" t="s">
        <v>25</v>
      </c>
      <c r="G219">
        <v>69.36</v>
      </c>
      <c r="H219">
        <v>0</v>
      </c>
      <c r="I219">
        <v>69.36</v>
      </c>
      <c r="J219" s="1">
        <v>45875</v>
      </c>
      <c r="K219">
        <v>25</v>
      </c>
      <c r="M219" t="b">
        <v>0</v>
      </c>
    </row>
    <row r="220" spans="1:14" x14ac:dyDescent="0.25">
      <c r="A220" t="s">
        <v>273</v>
      </c>
      <c r="B220" t="s">
        <v>38</v>
      </c>
      <c r="C220" t="s">
        <v>16</v>
      </c>
      <c r="D220" t="s">
        <v>23</v>
      </c>
      <c r="E220" t="s">
        <v>39</v>
      </c>
      <c r="F220" t="s">
        <v>28</v>
      </c>
      <c r="G220">
        <v>87.03</v>
      </c>
      <c r="H220">
        <v>0</v>
      </c>
      <c r="I220">
        <v>87.03</v>
      </c>
      <c r="J220" s="1">
        <v>45875</v>
      </c>
      <c r="K220">
        <v>39</v>
      </c>
      <c r="L220">
        <v>4.3</v>
      </c>
      <c r="M220" t="b">
        <v>0</v>
      </c>
    </row>
    <row r="221" spans="1:14" x14ac:dyDescent="0.25">
      <c r="A221" t="s">
        <v>274</v>
      </c>
      <c r="B221" t="s">
        <v>42</v>
      </c>
      <c r="C221" t="s">
        <v>16</v>
      </c>
      <c r="D221" t="s">
        <v>23</v>
      </c>
      <c r="E221" t="s">
        <v>49</v>
      </c>
      <c r="F221" t="s">
        <v>70</v>
      </c>
      <c r="G221">
        <v>160.6</v>
      </c>
      <c r="H221">
        <v>18.399999999999999</v>
      </c>
      <c r="I221">
        <v>131.05000000000001</v>
      </c>
      <c r="J221" s="1">
        <v>45875</v>
      </c>
      <c r="K221">
        <v>41</v>
      </c>
      <c r="L221">
        <v>3</v>
      </c>
      <c r="M221" t="b">
        <v>0</v>
      </c>
    </row>
    <row r="222" spans="1:14" x14ac:dyDescent="0.25">
      <c r="A222" t="s">
        <v>275</v>
      </c>
      <c r="B222" t="s">
        <v>15</v>
      </c>
      <c r="C222" t="s">
        <v>48</v>
      </c>
      <c r="D222" t="s">
        <v>17</v>
      </c>
      <c r="E222" t="s">
        <v>55</v>
      </c>
      <c r="F222" t="s">
        <v>66</v>
      </c>
      <c r="G222">
        <v>167.02</v>
      </c>
      <c r="H222">
        <v>0</v>
      </c>
      <c r="I222">
        <v>167.02</v>
      </c>
      <c r="J222" s="1">
        <v>45687</v>
      </c>
      <c r="K222">
        <v>26</v>
      </c>
      <c r="L222">
        <v>2.6</v>
      </c>
      <c r="M222" t="b">
        <v>1</v>
      </c>
      <c r="N222" t="s">
        <v>73</v>
      </c>
    </row>
    <row r="223" spans="1:14" x14ac:dyDescent="0.25">
      <c r="A223" t="s">
        <v>276</v>
      </c>
      <c r="B223" t="s">
        <v>21</v>
      </c>
      <c r="C223" t="s">
        <v>16</v>
      </c>
      <c r="D223" t="s">
        <v>62</v>
      </c>
      <c r="E223" t="s">
        <v>49</v>
      </c>
      <c r="F223" t="s">
        <v>40</v>
      </c>
      <c r="G223">
        <v>26.09</v>
      </c>
      <c r="H223">
        <v>0</v>
      </c>
      <c r="I223">
        <v>26.09</v>
      </c>
      <c r="J223" s="1">
        <v>45875</v>
      </c>
      <c r="K223">
        <v>32</v>
      </c>
      <c r="L223">
        <v>4.5999999999999996</v>
      </c>
      <c r="M223" t="b">
        <v>1</v>
      </c>
      <c r="N223" t="s">
        <v>78</v>
      </c>
    </row>
    <row r="224" spans="1:14" x14ac:dyDescent="0.25">
      <c r="A224" t="s">
        <v>277</v>
      </c>
      <c r="B224" t="s">
        <v>15</v>
      </c>
      <c r="C224" t="s">
        <v>48</v>
      </c>
      <c r="D224" t="s">
        <v>62</v>
      </c>
      <c r="E224" t="s">
        <v>18</v>
      </c>
      <c r="F224" t="s">
        <v>70</v>
      </c>
      <c r="G224">
        <v>246.65</v>
      </c>
      <c r="H224">
        <v>0</v>
      </c>
      <c r="I224">
        <v>246.65</v>
      </c>
      <c r="J224" s="1">
        <v>45875</v>
      </c>
      <c r="K224">
        <v>17</v>
      </c>
      <c r="L224">
        <v>2.9</v>
      </c>
      <c r="M224" t="b">
        <v>1</v>
      </c>
      <c r="N224" t="s">
        <v>78</v>
      </c>
    </row>
    <row r="225" spans="1:14" x14ac:dyDescent="0.25">
      <c r="A225" t="s">
        <v>278</v>
      </c>
      <c r="B225" t="s">
        <v>15</v>
      </c>
      <c r="C225" t="s">
        <v>75</v>
      </c>
      <c r="D225" t="s">
        <v>62</v>
      </c>
      <c r="E225" t="s">
        <v>39</v>
      </c>
      <c r="F225" t="s">
        <v>19</v>
      </c>
      <c r="G225">
        <v>206.91</v>
      </c>
      <c r="H225">
        <v>0</v>
      </c>
      <c r="I225">
        <v>206.91</v>
      </c>
      <c r="J225" s="1">
        <v>45875</v>
      </c>
      <c r="K225">
        <v>34</v>
      </c>
      <c r="L225">
        <v>2.2999999999999998</v>
      </c>
      <c r="M225" t="b">
        <v>0</v>
      </c>
    </row>
    <row r="226" spans="1:14" x14ac:dyDescent="0.25">
      <c r="A226" t="s">
        <v>279</v>
      </c>
      <c r="B226" t="s">
        <v>42</v>
      </c>
      <c r="C226" t="s">
        <v>61</v>
      </c>
      <c r="D226" t="s">
        <v>23</v>
      </c>
      <c r="E226" t="s">
        <v>18</v>
      </c>
      <c r="F226" t="s">
        <v>28</v>
      </c>
      <c r="G226">
        <v>85.08</v>
      </c>
      <c r="H226">
        <v>0</v>
      </c>
      <c r="I226">
        <v>85.08</v>
      </c>
      <c r="J226" s="1">
        <v>45875</v>
      </c>
      <c r="K226">
        <v>29</v>
      </c>
      <c r="M226" t="b">
        <v>0</v>
      </c>
    </row>
    <row r="227" spans="1:14" x14ac:dyDescent="0.25">
      <c r="A227" t="s">
        <v>280</v>
      </c>
      <c r="B227" t="s">
        <v>15</v>
      </c>
      <c r="C227" t="s">
        <v>75</v>
      </c>
      <c r="D227" t="s">
        <v>17</v>
      </c>
      <c r="E227" t="s">
        <v>49</v>
      </c>
      <c r="F227" t="s">
        <v>35</v>
      </c>
      <c r="G227">
        <v>240.32</v>
      </c>
      <c r="H227">
        <v>54.8</v>
      </c>
      <c r="I227">
        <v>108.62</v>
      </c>
      <c r="J227" s="1">
        <v>45653</v>
      </c>
      <c r="K227">
        <v>3</v>
      </c>
      <c r="L227">
        <v>4.5</v>
      </c>
      <c r="M227" t="b">
        <v>0</v>
      </c>
    </row>
    <row r="228" spans="1:14" x14ac:dyDescent="0.25">
      <c r="A228" t="s">
        <v>281</v>
      </c>
      <c r="B228" t="s">
        <v>42</v>
      </c>
      <c r="C228" t="s">
        <v>22</v>
      </c>
      <c r="D228" t="s">
        <v>34</v>
      </c>
      <c r="E228" t="s">
        <v>49</v>
      </c>
      <c r="F228" t="s">
        <v>19</v>
      </c>
      <c r="G228">
        <v>130.12</v>
      </c>
      <c r="H228">
        <v>1.4</v>
      </c>
      <c r="I228">
        <v>128.30000000000001</v>
      </c>
      <c r="J228" s="1">
        <v>45875</v>
      </c>
      <c r="K228">
        <v>0</v>
      </c>
      <c r="L228">
        <v>5</v>
      </c>
      <c r="M228" t="b">
        <v>0</v>
      </c>
    </row>
    <row r="229" spans="1:14" x14ac:dyDescent="0.25">
      <c r="A229" t="s">
        <v>282</v>
      </c>
      <c r="B229" t="s">
        <v>38</v>
      </c>
      <c r="C229" t="s">
        <v>48</v>
      </c>
      <c r="D229" t="s">
        <v>17</v>
      </c>
      <c r="E229" t="s">
        <v>55</v>
      </c>
      <c r="F229" t="s">
        <v>28</v>
      </c>
      <c r="G229">
        <v>42.29</v>
      </c>
      <c r="H229">
        <v>15.8</v>
      </c>
      <c r="I229">
        <v>35.61</v>
      </c>
      <c r="J229" s="1">
        <v>45598</v>
      </c>
      <c r="K229">
        <v>11</v>
      </c>
      <c r="L229">
        <v>1.6</v>
      </c>
      <c r="M229" t="b">
        <v>0</v>
      </c>
    </row>
    <row r="230" spans="1:14" x14ac:dyDescent="0.25">
      <c r="A230" t="s">
        <v>283</v>
      </c>
      <c r="B230" t="s">
        <v>15</v>
      </c>
      <c r="C230" t="s">
        <v>48</v>
      </c>
      <c r="D230" t="s">
        <v>17</v>
      </c>
      <c r="E230" t="s">
        <v>39</v>
      </c>
      <c r="F230" t="s">
        <v>56</v>
      </c>
      <c r="G230">
        <v>191.54</v>
      </c>
      <c r="H230">
        <v>0</v>
      </c>
      <c r="I230">
        <v>191.54</v>
      </c>
      <c r="J230" s="1">
        <v>45575</v>
      </c>
      <c r="K230">
        <v>18</v>
      </c>
      <c r="L230">
        <v>1.2</v>
      </c>
      <c r="M230" t="b">
        <v>0</v>
      </c>
    </row>
    <row r="231" spans="1:14" x14ac:dyDescent="0.25">
      <c r="A231" t="s">
        <v>284</v>
      </c>
      <c r="B231" t="s">
        <v>27</v>
      </c>
      <c r="C231" t="s">
        <v>53</v>
      </c>
      <c r="D231" t="s">
        <v>17</v>
      </c>
      <c r="F231" t="s">
        <v>56</v>
      </c>
      <c r="G231">
        <v>42.23</v>
      </c>
      <c r="H231">
        <v>0</v>
      </c>
      <c r="I231">
        <v>42.23</v>
      </c>
      <c r="J231" s="1">
        <v>45852</v>
      </c>
      <c r="K231">
        <v>15</v>
      </c>
      <c r="M231" t="b">
        <v>0</v>
      </c>
    </row>
    <row r="232" spans="1:14" x14ac:dyDescent="0.25">
      <c r="A232" t="s">
        <v>285</v>
      </c>
      <c r="B232" t="s">
        <v>30</v>
      </c>
      <c r="C232" t="s">
        <v>48</v>
      </c>
      <c r="D232" t="s">
        <v>62</v>
      </c>
      <c r="E232" t="s">
        <v>39</v>
      </c>
      <c r="F232" t="s">
        <v>40</v>
      </c>
      <c r="G232">
        <v>109.76</v>
      </c>
      <c r="H232">
        <v>0</v>
      </c>
      <c r="I232">
        <v>109.76</v>
      </c>
      <c r="J232" s="1">
        <v>45875</v>
      </c>
      <c r="K232">
        <v>16</v>
      </c>
      <c r="L232">
        <v>4.3</v>
      </c>
      <c r="M232" t="b">
        <v>0</v>
      </c>
    </row>
    <row r="233" spans="1:14" x14ac:dyDescent="0.25">
      <c r="A233" t="s">
        <v>286</v>
      </c>
      <c r="B233" t="s">
        <v>27</v>
      </c>
      <c r="C233" t="s">
        <v>43</v>
      </c>
      <c r="D233" t="s">
        <v>62</v>
      </c>
      <c r="F233" t="s">
        <v>19</v>
      </c>
      <c r="G233">
        <v>76.8</v>
      </c>
      <c r="H233">
        <v>43.3</v>
      </c>
      <c r="I233">
        <v>43.55</v>
      </c>
      <c r="J233" s="1">
        <v>45875</v>
      </c>
      <c r="K233">
        <v>24</v>
      </c>
      <c r="M233" t="b">
        <v>0</v>
      </c>
    </row>
    <row r="234" spans="1:14" x14ac:dyDescent="0.25">
      <c r="A234" t="s">
        <v>287</v>
      </c>
      <c r="B234" t="s">
        <v>42</v>
      </c>
      <c r="C234" t="s">
        <v>75</v>
      </c>
      <c r="D234" t="s">
        <v>23</v>
      </c>
      <c r="F234" t="s">
        <v>28</v>
      </c>
      <c r="G234">
        <v>56.34</v>
      </c>
      <c r="H234">
        <v>22.4</v>
      </c>
      <c r="I234">
        <v>43.72</v>
      </c>
      <c r="J234" s="1">
        <v>45875</v>
      </c>
      <c r="K234">
        <v>37</v>
      </c>
      <c r="L234">
        <v>2.5</v>
      </c>
      <c r="M234" t="b">
        <v>1</v>
      </c>
      <c r="N234" t="s">
        <v>125</v>
      </c>
    </row>
    <row r="235" spans="1:14" x14ac:dyDescent="0.25">
      <c r="A235" t="s">
        <v>288</v>
      </c>
      <c r="B235" t="s">
        <v>21</v>
      </c>
      <c r="C235" t="s">
        <v>61</v>
      </c>
      <c r="D235" t="s">
        <v>34</v>
      </c>
      <c r="F235" t="s">
        <v>56</v>
      </c>
      <c r="G235">
        <v>88.41</v>
      </c>
      <c r="H235">
        <v>0</v>
      </c>
      <c r="I235">
        <v>88.41</v>
      </c>
      <c r="J235" s="1">
        <v>45875</v>
      </c>
      <c r="K235">
        <v>24</v>
      </c>
      <c r="L235">
        <v>4.4000000000000004</v>
      </c>
      <c r="M235" t="b">
        <v>0</v>
      </c>
    </row>
    <row r="236" spans="1:14" x14ac:dyDescent="0.25">
      <c r="A236" t="s">
        <v>289</v>
      </c>
      <c r="B236" t="s">
        <v>21</v>
      </c>
      <c r="C236" t="s">
        <v>61</v>
      </c>
      <c r="D236" t="s">
        <v>17</v>
      </c>
      <c r="E236" t="s">
        <v>39</v>
      </c>
      <c r="F236" t="s">
        <v>28</v>
      </c>
      <c r="G236">
        <v>25.96</v>
      </c>
      <c r="H236">
        <v>0</v>
      </c>
      <c r="I236">
        <v>25.96</v>
      </c>
      <c r="J236" s="1">
        <v>45569</v>
      </c>
      <c r="K236">
        <v>2</v>
      </c>
      <c r="L236">
        <v>1.4</v>
      </c>
      <c r="M236" t="b">
        <v>0</v>
      </c>
    </row>
    <row r="237" spans="1:14" x14ac:dyDescent="0.25">
      <c r="A237" t="s">
        <v>290</v>
      </c>
      <c r="B237" t="s">
        <v>38</v>
      </c>
      <c r="C237" t="s">
        <v>16</v>
      </c>
      <c r="D237" t="s">
        <v>17</v>
      </c>
      <c r="E237" t="s">
        <v>49</v>
      </c>
      <c r="F237" t="s">
        <v>19</v>
      </c>
      <c r="G237">
        <v>60.25</v>
      </c>
      <c r="H237">
        <v>0</v>
      </c>
      <c r="I237">
        <v>60.25</v>
      </c>
      <c r="J237" s="1">
        <v>45520</v>
      </c>
      <c r="K237">
        <v>25</v>
      </c>
      <c r="L237">
        <v>4.0999999999999996</v>
      </c>
      <c r="M237" t="b">
        <v>0</v>
      </c>
    </row>
    <row r="238" spans="1:14" x14ac:dyDescent="0.25">
      <c r="A238" t="s">
        <v>291</v>
      </c>
      <c r="B238" t="s">
        <v>27</v>
      </c>
      <c r="C238" t="s">
        <v>48</v>
      </c>
      <c r="D238" t="s">
        <v>34</v>
      </c>
      <c r="F238" t="s">
        <v>19</v>
      </c>
      <c r="G238">
        <v>52.33</v>
      </c>
      <c r="H238">
        <v>19.100000000000001</v>
      </c>
      <c r="I238">
        <v>42.33</v>
      </c>
      <c r="J238" s="1">
        <v>45875</v>
      </c>
      <c r="K238">
        <v>4</v>
      </c>
      <c r="M238" t="b">
        <v>0</v>
      </c>
    </row>
    <row r="239" spans="1:14" x14ac:dyDescent="0.25">
      <c r="A239" t="s">
        <v>292</v>
      </c>
      <c r="B239" t="s">
        <v>27</v>
      </c>
      <c r="C239" t="s">
        <v>43</v>
      </c>
      <c r="D239" t="s">
        <v>34</v>
      </c>
      <c r="F239" t="s">
        <v>35</v>
      </c>
      <c r="G239">
        <v>67.61</v>
      </c>
      <c r="H239">
        <v>0</v>
      </c>
      <c r="I239">
        <v>67.61</v>
      </c>
      <c r="J239" s="1">
        <v>45875</v>
      </c>
      <c r="K239">
        <v>14</v>
      </c>
      <c r="L239">
        <v>1.8</v>
      </c>
      <c r="M239" t="b">
        <v>0</v>
      </c>
    </row>
    <row r="240" spans="1:14" x14ac:dyDescent="0.25">
      <c r="A240" t="s">
        <v>293</v>
      </c>
      <c r="B240" t="s">
        <v>30</v>
      </c>
      <c r="C240" t="s">
        <v>75</v>
      </c>
      <c r="D240" t="s">
        <v>17</v>
      </c>
      <c r="E240" t="s">
        <v>24</v>
      </c>
      <c r="F240" t="s">
        <v>70</v>
      </c>
      <c r="G240">
        <v>136</v>
      </c>
      <c r="H240">
        <v>0</v>
      </c>
      <c r="I240">
        <v>136</v>
      </c>
      <c r="J240" s="1">
        <v>45870</v>
      </c>
      <c r="K240">
        <v>46</v>
      </c>
      <c r="L240">
        <v>4.5</v>
      </c>
      <c r="M240" t="b">
        <v>0</v>
      </c>
    </row>
    <row r="241" spans="1:14" x14ac:dyDescent="0.25">
      <c r="A241" t="s">
        <v>294</v>
      </c>
      <c r="B241" t="s">
        <v>30</v>
      </c>
      <c r="C241" t="s">
        <v>16</v>
      </c>
      <c r="D241" t="s">
        <v>34</v>
      </c>
      <c r="F241" t="s">
        <v>70</v>
      </c>
      <c r="G241">
        <v>74.48</v>
      </c>
      <c r="H241">
        <v>0</v>
      </c>
      <c r="I241">
        <v>74.48</v>
      </c>
      <c r="J241" s="1">
        <v>45875</v>
      </c>
      <c r="K241">
        <v>24</v>
      </c>
      <c r="L241">
        <v>3.7</v>
      </c>
      <c r="M241" t="b">
        <v>0</v>
      </c>
    </row>
    <row r="242" spans="1:14" x14ac:dyDescent="0.25">
      <c r="A242" t="s">
        <v>295</v>
      </c>
      <c r="B242" t="s">
        <v>42</v>
      </c>
      <c r="C242" t="s">
        <v>75</v>
      </c>
      <c r="D242" t="s">
        <v>34</v>
      </c>
      <c r="E242" t="s">
        <v>55</v>
      </c>
      <c r="F242" t="s">
        <v>25</v>
      </c>
      <c r="G242">
        <v>101.39</v>
      </c>
      <c r="H242">
        <v>0</v>
      </c>
      <c r="I242">
        <v>101.39</v>
      </c>
      <c r="J242" s="1">
        <v>45875</v>
      </c>
      <c r="K242">
        <v>33</v>
      </c>
      <c r="L242">
        <v>2.4</v>
      </c>
      <c r="M242" t="b">
        <v>1</v>
      </c>
      <c r="N242" t="s">
        <v>73</v>
      </c>
    </row>
    <row r="243" spans="1:14" x14ac:dyDescent="0.25">
      <c r="A243" t="s">
        <v>296</v>
      </c>
      <c r="B243" t="s">
        <v>42</v>
      </c>
      <c r="C243" t="s">
        <v>75</v>
      </c>
      <c r="D243" t="s">
        <v>34</v>
      </c>
      <c r="E243" t="s">
        <v>49</v>
      </c>
      <c r="F243" t="s">
        <v>46</v>
      </c>
      <c r="G243">
        <v>169.68</v>
      </c>
      <c r="H243">
        <v>41.7</v>
      </c>
      <c r="I243">
        <v>98.92</v>
      </c>
      <c r="J243" s="1">
        <v>45875</v>
      </c>
      <c r="K243">
        <v>43</v>
      </c>
      <c r="L243">
        <v>4.5999999999999996</v>
      </c>
      <c r="M243" t="b">
        <v>0</v>
      </c>
    </row>
    <row r="244" spans="1:14" x14ac:dyDescent="0.25">
      <c r="A244" t="s">
        <v>297</v>
      </c>
      <c r="B244" t="s">
        <v>27</v>
      </c>
      <c r="C244" t="s">
        <v>75</v>
      </c>
      <c r="D244" t="s">
        <v>23</v>
      </c>
      <c r="F244" t="s">
        <v>66</v>
      </c>
      <c r="G244">
        <v>52.45</v>
      </c>
      <c r="H244">
        <v>0</v>
      </c>
      <c r="I244">
        <v>52.45</v>
      </c>
      <c r="J244" s="1">
        <v>45875</v>
      </c>
      <c r="K244">
        <v>34</v>
      </c>
      <c r="L244">
        <v>2.1</v>
      </c>
      <c r="M244" t="b">
        <v>0</v>
      </c>
    </row>
    <row r="245" spans="1:14" x14ac:dyDescent="0.25">
      <c r="A245" t="s">
        <v>298</v>
      </c>
      <c r="B245" t="s">
        <v>30</v>
      </c>
      <c r="C245" t="s">
        <v>22</v>
      </c>
      <c r="D245" t="s">
        <v>62</v>
      </c>
      <c r="E245" t="s">
        <v>49</v>
      </c>
      <c r="F245" t="s">
        <v>25</v>
      </c>
      <c r="G245">
        <v>153.85</v>
      </c>
      <c r="H245">
        <v>47.6</v>
      </c>
      <c r="I245">
        <v>80.62</v>
      </c>
      <c r="J245" s="1">
        <v>45875</v>
      </c>
      <c r="K245">
        <v>12</v>
      </c>
      <c r="L245">
        <v>3.1</v>
      </c>
      <c r="M245" t="b">
        <v>0</v>
      </c>
    </row>
    <row r="246" spans="1:14" x14ac:dyDescent="0.25">
      <c r="A246" t="s">
        <v>299</v>
      </c>
      <c r="B246" t="s">
        <v>38</v>
      </c>
      <c r="C246" t="s">
        <v>43</v>
      </c>
      <c r="D246" t="s">
        <v>34</v>
      </c>
      <c r="E246" t="s">
        <v>58</v>
      </c>
      <c r="F246" t="s">
        <v>70</v>
      </c>
      <c r="G246">
        <v>32.700000000000003</v>
      </c>
      <c r="H246">
        <v>50.5</v>
      </c>
      <c r="I246">
        <v>16.190000000000001</v>
      </c>
      <c r="J246" s="1">
        <v>45875</v>
      </c>
      <c r="K246">
        <v>46</v>
      </c>
      <c r="L246">
        <v>1.3</v>
      </c>
      <c r="M246" t="b">
        <v>0</v>
      </c>
    </row>
    <row r="247" spans="1:14" x14ac:dyDescent="0.25">
      <c r="A247" t="s">
        <v>300</v>
      </c>
      <c r="B247" t="s">
        <v>15</v>
      </c>
      <c r="C247" t="s">
        <v>22</v>
      </c>
      <c r="D247" t="s">
        <v>34</v>
      </c>
      <c r="E247" t="s">
        <v>24</v>
      </c>
      <c r="F247" t="s">
        <v>64</v>
      </c>
      <c r="G247">
        <v>104.27</v>
      </c>
      <c r="H247">
        <v>54.6</v>
      </c>
      <c r="I247">
        <v>47.34</v>
      </c>
      <c r="J247" s="1">
        <v>45875</v>
      </c>
      <c r="K247">
        <v>42</v>
      </c>
      <c r="L247">
        <v>4.2</v>
      </c>
      <c r="M247" t="b">
        <v>0</v>
      </c>
    </row>
    <row r="248" spans="1:14" x14ac:dyDescent="0.25">
      <c r="A248" t="s">
        <v>301</v>
      </c>
      <c r="B248" t="s">
        <v>42</v>
      </c>
      <c r="C248" t="s">
        <v>75</v>
      </c>
      <c r="D248" t="s">
        <v>62</v>
      </c>
      <c r="E248" t="s">
        <v>58</v>
      </c>
      <c r="F248" t="s">
        <v>40</v>
      </c>
      <c r="G248">
        <v>80.040000000000006</v>
      </c>
      <c r="H248">
        <v>50.9</v>
      </c>
      <c r="I248">
        <v>39.299999999999997</v>
      </c>
      <c r="J248" s="1">
        <v>45875</v>
      </c>
      <c r="K248">
        <v>45</v>
      </c>
      <c r="M248" t="b">
        <v>0</v>
      </c>
    </row>
    <row r="249" spans="1:14" x14ac:dyDescent="0.25">
      <c r="A249" t="s">
        <v>302</v>
      </c>
      <c r="B249" t="s">
        <v>38</v>
      </c>
      <c r="C249" t="s">
        <v>32</v>
      </c>
      <c r="D249" t="s">
        <v>17</v>
      </c>
      <c r="E249" t="s">
        <v>58</v>
      </c>
      <c r="F249" t="s">
        <v>28</v>
      </c>
      <c r="G249">
        <v>72.069999999999993</v>
      </c>
      <c r="H249">
        <v>0</v>
      </c>
      <c r="I249">
        <v>72.069999999999993</v>
      </c>
      <c r="J249" s="1">
        <v>45785</v>
      </c>
      <c r="K249">
        <v>20</v>
      </c>
      <c r="M249" t="b">
        <v>1</v>
      </c>
      <c r="N249" t="s">
        <v>36</v>
      </c>
    </row>
    <row r="250" spans="1:14" x14ac:dyDescent="0.25">
      <c r="A250" t="s">
        <v>303</v>
      </c>
      <c r="B250" t="s">
        <v>15</v>
      </c>
      <c r="C250" t="s">
        <v>16</v>
      </c>
      <c r="D250" t="s">
        <v>34</v>
      </c>
      <c r="E250" t="s">
        <v>58</v>
      </c>
      <c r="F250" t="s">
        <v>46</v>
      </c>
      <c r="G250">
        <v>220.99</v>
      </c>
      <c r="H250">
        <v>0</v>
      </c>
      <c r="I250">
        <v>220.99</v>
      </c>
      <c r="J250" s="1">
        <v>45875</v>
      </c>
      <c r="K250">
        <v>42</v>
      </c>
      <c r="L250">
        <v>3.6</v>
      </c>
      <c r="M250" t="b">
        <v>0</v>
      </c>
    </row>
    <row r="251" spans="1:14" x14ac:dyDescent="0.25">
      <c r="A251" t="s">
        <v>304</v>
      </c>
      <c r="B251" t="s">
        <v>15</v>
      </c>
      <c r="C251" t="s">
        <v>22</v>
      </c>
      <c r="D251" t="s">
        <v>34</v>
      </c>
      <c r="E251" t="s">
        <v>55</v>
      </c>
      <c r="F251" t="s">
        <v>28</v>
      </c>
      <c r="G251">
        <v>117.36</v>
      </c>
      <c r="H251">
        <v>14.6</v>
      </c>
      <c r="I251">
        <v>100.23</v>
      </c>
      <c r="J251" s="1">
        <v>45875</v>
      </c>
      <c r="K251">
        <v>33</v>
      </c>
      <c r="M251" t="b">
        <v>1</v>
      </c>
      <c r="N251" t="s">
        <v>73</v>
      </c>
    </row>
    <row r="252" spans="1:14" x14ac:dyDescent="0.25">
      <c r="A252" t="s">
        <v>305</v>
      </c>
      <c r="B252" t="s">
        <v>15</v>
      </c>
      <c r="C252" t="s">
        <v>32</v>
      </c>
      <c r="D252" t="s">
        <v>17</v>
      </c>
      <c r="E252" t="s">
        <v>24</v>
      </c>
      <c r="F252" t="s">
        <v>64</v>
      </c>
      <c r="G252">
        <v>198.76</v>
      </c>
      <c r="H252">
        <v>48.8</v>
      </c>
      <c r="I252">
        <v>101.77</v>
      </c>
      <c r="J252" s="1">
        <v>45773</v>
      </c>
      <c r="K252">
        <v>36</v>
      </c>
      <c r="L252">
        <v>3</v>
      </c>
      <c r="M252" t="b">
        <v>0</v>
      </c>
    </row>
    <row r="253" spans="1:14" x14ac:dyDescent="0.25">
      <c r="A253" t="s">
        <v>306</v>
      </c>
      <c r="B253" t="s">
        <v>15</v>
      </c>
      <c r="C253" t="s">
        <v>48</v>
      </c>
      <c r="D253" t="s">
        <v>34</v>
      </c>
      <c r="E253" t="s">
        <v>24</v>
      </c>
      <c r="F253" t="s">
        <v>28</v>
      </c>
      <c r="G253">
        <v>121.03</v>
      </c>
      <c r="H253">
        <v>0</v>
      </c>
      <c r="I253">
        <v>121.03</v>
      </c>
      <c r="J253" s="1">
        <v>45875</v>
      </c>
      <c r="K253">
        <v>14</v>
      </c>
      <c r="L253">
        <v>1.6</v>
      </c>
      <c r="M253" t="b">
        <v>1</v>
      </c>
      <c r="N253" t="s">
        <v>115</v>
      </c>
    </row>
    <row r="254" spans="1:14" x14ac:dyDescent="0.25">
      <c r="A254" t="s">
        <v>307</v>
      </c>
      <c r="B254" t="s">
        <v>21</v>
      </c>
      <c r="C254" t="s">
        <v>48</v>
      </c>
      <c r="D254" t="s">
        <v>34</v>
      </c>
      <c r="E254" t="s">
        <v>24</v>
      </c>
      <c r="F254" t="s">
        <v>35</v>
      </c>
      <c r="G254">
        <v>88.62</v>
      </c>
      <c r="H254">
        <v>0</v>
      </c>
      <c r="I254">
        <v>88.62</v>
      </c>
      <c r="J254" s="1">
        <v>45875</v>
      </c>
      <c r="K254">
        <v>48</v>
      </c>
      <c r="L254">
        <v>2.4</v>
      </c>
      <c r="M254" t="b">
        <v>0</v>
      </c>
    </row>
    <row r="255" spans="1:14" x14ac:dyDescent="0.25">
      <c r="A255" t="s">
        <v>308</v>
      </c>
      <c r="B255" t="s">
        <v>30</v>
      </c>
      <c r="C255" t="s">
        <v>48</v>
      </c>
      <c r="D255" t="s">
        <v>62</v>
      </c>
      <c r="E255" t="s">
        <v>18</v>
      </c>
      <c r="F255" t="s">
        <v>46</v>
      </c>
      <c r="G255">
        <v>88.94</v>
      </c>
      <c r="H255">
        <v>0</v>
      </c>
      <c r="I255">
        <v>88.94</v>
      </c>
      <c r="J255" s="1">
        <v>45875</v>
      </c>
      <c r="K255">
        <v>29</v>
      </c>
      <c r="L255">
        <v>3.9</v>
      </c>
      <c r="M255" t="b">
        <v>0</v>
      </c>
    </row>
    <row r="256" spans="1:14" x14ac:dyDescent="0.25">
      <c r="A256" t="s">
        <v>309</v>
      </c>
      <c r="B256" t="s">
        <v>38</v>
      </c>
      <c r="C256" t="s">
        <v>16</v>
      </c>
      <c r="D256" t="s">
        <v>23</v>
      </c>
      <c r="E256" t="s">
        <v>39</v>
      </c>
      <c r="F256" t="s">
        <v>28</v>
      </c>
      <c r="G256">
        <v>115.7</v>
      </c>
      <c r="H256">
        <v>17.8</v>
      </c>
      <c r="I256">
        <v>95.11</v>
      </c>
      <c r="J256" s="1">
        <v>45875</v>
      </c>
      <c r="K256">
        <v>32</v>
      </c>
      <c r="L256">
        <v>1.7</v>
      </c>
      <c r="M256" t="b">
        <v>0</v>
      </c>
    </row>
    <row r="257" spans="1:14" x14ac:dyDescent="0.25">
      <c r="A257" t="s">
        <v>310</v>
      </c>
      <c r="B257" t="s">
        <v>38</v>
      </c>
      <c r="C257" t="s">
        <v>75</v>
      </c>
      <c r="D257" t="s">
        <v>34</v>
      </c>
      <c r="E257" t="s">
        <v>49</v>
      </c>
      <c r="F257" t="s">
        <v>28</v>
      </c>
      <c r="G257">
        <v>75.66</v>
      </c>
      <c r="H257">
        <v>0</v>
      </c>
      <c r="I257">
        <v>75.66</v>
      </c>
      <c r="J257" s="1">
        <v>45875</v>
      </c>
      <c r="K257">
        <v>20</v>
      </c>
      <c r="L257">
        <v>3</v>
      </c>
      <c r="M257" t="b">
        <v>0</v>
      </c>
    </row>
    <row r="258" spans="1:14" x14ac:dyDescent="0.25">
      <c r="A258" t="s">
        <v>311</v>
      </c>
      <c r="B258" t="s">
        <v>27</v>
      </c>
      <c r="C258" t="s">
        <v>53</v>
      </c>
      <c r="D258" t="s">
        <v>23</v>
      </c>
      <c r="F258" t="s">
        <v>46</v>
      </c>
      <c r="G258">
        <v>42.11</v>
      </c>
      <c r="H258">
        <v>0</v>
      </c>
      <c r="I258">
        <v>42.11</v>
      </c>
      <c r="J258" s="1">
        <v>45875</v>
      </c>
      <c r="K258">
        <v>26</v>
      </c>
      <c r="L258">
        <v>4</v>
      </c>
      <c r="M258" t="b">
        <v>0</v>
      </c>
    </row>
    <row r="259" spans="1:14" x14ac:dyDescent="0.25">
      <c r="A259" t="s">
        <v>312</v>
      </c>
      <c r="B259" t="s">
        <v>15</v>
      </c>
      <c r="C259" t="s">
        <v>48</v>
      </c>
      <c r="D259" t="s">
        <v>17</v>
      </c>
      <c r="E259" t="s">
        <v>49</v>
      </c>
      <c r="F259" t="s">
        <v>56</v>
      </c>
      <c r="G259">
        <v>247.9</v>
      </c>
      <c r="H259">
        <v>4.3</v>
      </c>
      <c r="I259">
        <v>237.24</v>
      </c>
      <c r="J259" s="1">
        <v>45651</v>
      </c>
      <c r="K259">
        <v>25</v>
      </c>
      <c r="L259">
        <v>4.5999999999999996</v>
      </c>
      <c r="M259" t="b">
        <v>0</v>
      </c>
    </row>
    <row r="260" spans="1:14" x14ac:dyDescent="0.25">
      <c r="A260" t="s">
        <v>313</v>
      </c>
      <c r="B260" t="s">
        <v>30</v>
      </c>
      <c r="C260" t="s">
        <v>32</v>
      </c>
      <c r="D260" t="s">
        <v>17</v>
      </c>
      <c r="E260" t="s">
        <v>18</v>
      </c>
      <c r="F260" t="s">
        <v>56</v>
      </c>
      <c r="G260">
        <v>143.44999999999999</v>
      </c>
      <c r="H260">
        <v>0</v>
      </c>
      <c r="I260">
        <v>143.44999999999999</v>
      </c>
      <c r="J260" s="1">
        <v>45562</v>
      </c>
      <c r="K260">
        <v>39</v>
      </c>
      <c r="M260" t="b">
        <v>1</v>
      </c>
      <c r="N260" t="s">
        <v>83</v>
      </c>
    </row>
    <row r="261" spans="1:14" x14ac:dyDescent="0.25">
      <c r="A261" t="s">
        <v>314</v>
      </c>
      <c r="B261" t="s">
        <v>27</v>
      </c>
      <c r="C261" t="s">
        <v>32</v>
      </c>
      <c r="D261" t="s">
        <v>23</v>
      </c>
      <c r="F261" t="s">
        <v>56</v>
      </c>
      <c r="G261">
        <v>24.96</v>
      </c>
      <c r="H261">
        <v>44.7</v>
      </c>
      <c r="I261">
        <v>13.8</v>
      </c>
      <c r="J261" s="1">
        <v>45875</v>
      </c>
      <c r="K261">
        <v>44</v>
      </c>
      <c r="M261" t="b">
        <v>0</v>
      </c>
    </row>
    <row r="262" spans="1:14" x14ac:dyDescent="0.25">
      <c r="A262" t="s">
        <v>315</v>
      </c>
      <c r="B262" t="s">
        <v>15</v>
      </c>
      <c r="C262" t="s">
        <v>75</v>
      </c>
      <c r="D262" t="s">
        <v>62</v>
      </c>
      <c r="E262" t="s">
        <v>18</v>
      </c>
      <c r="F262" t="s">
        <v>64</v>
      </c>
      <c r="G262">
        <v>109.74</v>
      </c>
      <c r="H262">
        <v>0</v>
      </c>
      <c r="I262">
        <v>109.74</v>
      </c>
      <c r="J262" s="1">
        <v>45875</v>
      </c>
      <c r="K262">
        <v>45</v>
      </c>
      <c r="L262">
        <v>1.9</v>
      </c>
      <c r="M262" t="b">
        <v>0</v>
      </c>
    </row>
    <row r="263" spans="1:14" x14ac:dyDescent="0.25">
      <c r="A263" t="s">
        <v>316</v>
      </c>
      <c r="B263" t="s">
        <v>42</v>
      </c>
      <c r="C263" t="s">
        <v>48</v>
      </c>
      <c r="D263" t="s">
        <v>62</v>
      </c>
      <c r="E263" t="s">
        <v>18</v>
      </c>
      <c r="F263" t="s">
        <v>44</v>
      </c>
      <c r="G263">
        <v>161.13999999999999</v>
      </c>
      <c r="H263">
        <v>0</v>
      </c>
      <c r="I263">
        <v>161.13999999999999</v>
      </c>
      <c r="J263" s="1">
        <v>45875</v>
      </c>
      <c r="K263">
        <v>44</v>
      </c>
      <c r="L263">
        <v>1.6</v>
      </c>
      <c r="M263" t="b">
        <v>0</v>
      </c>
    </row>
    <row r="264" spans="1:14" x14ac:dyDescent="0.25">
      <c r="A264" t="s">
        <v>317</v>
      </c>
      <c r="B264" t="s">
        <v>15</v>
      </c>
      <c r="C264" t="s">
        <v>32</v>
      </c>
      <c r="D264" t="s">
        <v>17</v>
      </c>
      <c r="E264" t="s">
        <v>49</v>
      </c>
      <c r="F264" t="s">
        <v>70</v>
      </c>
      <c r="G264">
        <v>220.14</v>
      </c>
      <c r="H264">
        <v>9.1999999999999993</v>
      </c>
      <c r="I264">
        <v>199.89</v>
      </c>
      <c r="J264" s="1">
        <v>45835</v>
      </c>
      <c r="K264">
        <v>23</v>
      </c>
      <c r="L264">
        <v>4.8</v>
      </c>
      <c r="M264" t="b">
        <v>0</v>
      </c>
    </row>
    <row r="265" spans="1:14" x14ac:dyDescent="0.25">
      <c r="A265" t="s">
        <v>318</v>
      </c>
      <c r="B265" t="s">
        <v>42</v>
      </c>
      <c r="C265" t="s">
        <v>75</v>
      </c>
      <c r="D265" t="s">
        <v>62</v>
      </c>
      <c r="E265" t="s">
        <v>39</v>
      </c>
      <c r="F265" t="s">
        <v>25</v>
      </c>
      <c r="G265">
        <v>57.33</v>
      </c>
      <c r="H265">
        <v>0</v>
      </c>
      <c r="I265">
        <v>57.33</v>
      </c>
      <c r="J265" s="1">
        <v>45875</v>
      </c>
      <c r="K265">
        <v>23</v>
      </c>
      <c r="L265">
        <v>2</v>
      </c>
      <c r="M265" t="b">
        <v>0</v>
      </c>
    </row>
    <row r="266" spans="1:14" x14ac:dyDescent="0.25">
      <c r="A266" t="s">
        <v>319</v>
      </c>
      <c r="B266" t="s">
        <v>38</v>
      </c>
      <c r="C266" t="s">
        <v>16</v>
      </c>
      <c r="D266" t="s">
        <v>34</v>
      </c>
      <c r="E266" t="s">
        <v>49</v>
      </c>
      <c r="F266" t="s">
        <v>44</v>
      </c>
      <c r="G266">
        <v>108.24</v>
      </c>
      <c r="H266">
        <v>0</v>
      </c>
      <c r="I266">
        <v>108.24</v>
      </c>
      <c r="J266" s="1">
        <v>45875</v>
      </c>
      <c r="K266">
        <v>8</v>
      </c>
      <c r="L266">
        <v>2.2999999999999998</v>
      </c>
      <c r="M266" t="b">
        <v>0</v>
      </c>
    </row>
    <row r="267" spans="1:14" x14ac:dyDescent="0.25">
      <c r="A267" t="s">
        <v>320</v>
      </c>
      <c r="B267" t="s">
        <v>27</v>
      </c>
      <c r="C267" t="s">
        <v>32</v>
      </c>
      <c r="D267" t="s">
        <v>62</v>
      </c>
      <c r="F267" t="s">
        <v>40</v>
      </c>
      <c r="G267">
        <v>67.930000000000007</v>
      </c>
      <c r="H267">
        <v>0</v>
      </c>
      <c r="I267">
        <v>67.930000000000007</v>
      </c>
      <c r="J267" s="1">
        <v>45875</v>
      </c>
      <c r="K267">
        <v>22</v>
      </c>
      <c r="L267">
        <v>4.5999999999999996</v>
      </c>
      <c r="M267" t="b">
        <v>0</v>
      </c>
    </row>
    <row r="268" spans="1:14" x14ac:dyDescent="0.25">
      <c r="A268" t="s">
        <v>321</v>
      </c>
      <c r="B268" t="s">
        <v>42</v>
      </c>
      <c r="C268" t="s">
        <v>16</v>
      </c>
      <c r="D268" t="s">
        <v>23</v>
      </c>
      <c r="E268" t="s">
        <v>55</v>
      </c>
      <c r="F268" t="s">
        <v>44</v>
      </c>
      <c r="G268">
        <v>168.96</v>
      </c>
      <c r="H268">
        <v>0</v>
      </c>
      <c r="I268">
        <v>168.96</v>
      </c>
      <c r="J268" s="1">
        <v>45875</v>
      </c>
      <c r="K268">
        <v>9</v>
      </c>
      <c r="M268" t="b">
        <v>0</v>
      </c>
    </row>
    <row r="269" spans="1:14" x14ac:dyDescent="0.25">
      <c r="A269" t="s">
        <v>322</v>
      </c>
      <c r="B269" t="s">
        <v>21</v>
      </c>
      <c r="C269" t="s">
        <v>53</v>
      </c>
      <c r="D269" t="s">
        <v>34</v>
      </c>
      <c r="E269" t="s">
        <v>39</v>
      </c>
      <c r="F269" t="s">
        <v>35</v>
      </c>
      <c r="G269">
        <v>90.63</v>
      </c>
      <c r="H269">
        <v>0</v>
      </c>
      <c r="I269">
        <v>90.63</v>
      </c>
      <c r="J269" s="1">
        <v>45875</v>
      </c>
      <c r="K269">
        <v>33</v>
      </c>
      <c r="L269">
        <v>4.2</v>
      </c>
      <c r="M269" t="b">
        <v>0</v>
      </c>
    </row>
    <row r="270" spans="1:14" x14ac:dyDescent="0.25">
      <c r="A270" t="s">
        <v>323</v>
      </c>
      <c r="B270" t="s">
        <v>27</v>
      </c>
      <c r="C270" t="s">
        <v>43</v>
      </c>
      <c r="D270" t="s">
        <v>17</v>
      </c>
      <c r="F270" t="s">
        <v>46</v>
      </c>
      <c r="G270">
        <v>72.3</v>
      </c>
      <c r="H270">
        <v>0.4</v>
      </c>
      <c r="I270">
        <v>72.010000000000005</v>
      </c>
      <c r="J270" s="1">
        <v>45655</v>
      </c>
      <c r="K270">
        <v>38</v>
      </c>
      <c r="L270">
        <v>3</v>
      </c>
      <c r="M270" t="b">
        <v>1</v>
      </c>
      <c r="N270" t="s">
        <v>36</v>
      </c>
    </row>
    <row r="271" spans="1:14" x14ac:dyDescent="0.25">
      <c r="A271" t="s">
        <v>324</v>
      </c>
      <c r="B271" t="s">
        <v>38</v>
      </c>
      <c r="C271" t="s">
        <v>48</v>
      </c>
      <c r="D271" t="s">
        <v>23</v>
      </c>
      <c r="E271" t="s">
        <v>39</v>
      </c>
      <c r="F271" t="s">
        <v>56</v>
      </c>
      <c r="G271">
        <v>27.98</v>
      </c>
      <c r="H271">
        <v>0</v>
      </c>
      <c r="I271">
        <v>27.98</v>
      </c>
      <c r="J271" s="1">
        <v>45875</v>
      </c>
      <c r="K271">
        <v>0</v>
      </c>
      <c r="L271">
        <v>3</v>
      </c>
      <c r="M271" t="b">
        <v>0</v>
      </c>
    </row>
    <row r="272" spans="1:14" x14ac:dyDescent="0.25">
      <c r="A272" t="s">
        <v>325</v>
      </c>
      <c r="B272" t="s">
        <v>42</v>
      </c>
      <c r="C272" t="s">
        <v>75</v>
      </c>
      <c r="D272" t="s">
        <v>62</v>
      </c>
      <c r="F272" t="s">
        <v>64</v>
      </c>
      <c r="G272">
        <v>92.73</v>
      </c>
      <c r="H272">
        <v>0</v>
      </c>
      <c r="I272">
        <v>92.73</v>
      </c>
      <c r="J272" s="1">
        <v>45875</v>
      </c>
      <c r="K272">
        <v>15</v>
      </c>
      <c r="L272">
        <v>1.4</v>
      </c>
      <c r="M272" t="b">
        <v>0</v>
      </c>
    </row>
    <row r="273" spans="1:14" x14ac:dyDescent="0.25">
      <c r="A273" t="s">
        <v>326</v>
      </c>
      <c r="B273" t="s">
        <v>38</v>
      </c>
      <c r="C273" t="s">
        <v>43</v>
      </c>
      <c r="D273" t="s">
        <v>62</v>
      </c>
      <c r="E273" t="s">
        <v>49</v>
      </c>
      <c r="F273" t="s">
        <v>35</v>
      </c>
      <c r="G273">
        <v>64.28</v>
      </c>
      <c r="H273">
        <v>0</v>
      </c>
      <c r="I273">
        <v>64.28</v>
      </c>
      <c r="J273" s="1">
        <v>45875</v>
      </c>
      <c r="K273">
        <v>46</v>
      </c>
      <c r="L273">
        <v>3</v>
      </c>
      <c r="M273" t="b">
        <v>0</v>
      </c>
    </row>
    <row r="274" spans="1:14" x14ac:dyDescent="0.25">
      <c r="A274" t="s">
        <v>327</v>
      </c>
      <c r="B274" t="s">
        <v>42</v>
      </c>
      <c r="C274" t="s">
        <v>53</v>
      </c>
      <c r="D274" t="s">
        <v>34</v>
      </c>
      <c r="E274" t="s">
        <v>58</v>
      </c>
      <c r="F274" t="s">
        <v>28</v>
      </c>
      <c r="G274">
        <v>133.12</v>
      </c>
      <c r="H274">
        <v>0</v>
      </c>
      <c r="I274">
        <v>133.12</v>
      </c>
      <c r="J274" s="1">
        <v>45875</v>
      </c>
      <c r="K274">
        <v>35</v>
      </c>
      <c r="L274">
        <v>1.9</v>
      </c>
      <c r="M274" t="b">
        <v>0</v>
      </c>
    </row>
    <row r="275" spans="1:14" x14ac:dyDescent="0.25">
      <c r="A275" t="s">
        <v>328</v>
      </c>
      <c r="B275" t="s">
        <v>21</v>
      </c>
      <c r="C275" t="s">
        <v>61</v>
      </c>
      <c r="D275" t="s">
        <v>23</v>
      </c>
      <c r="E275" t="s">
        <v>49</v>
      </c>
      <c r="F275" t="s">
        <v>70</v>
      </c>
      <c r="G275">
        <v>70.36</v>
      </c>
      <c r="H275">
        <v>0</v>
      </c>
      <c r="I275">
        <v>70.36</v>
      </c>
      <c r="J275" s="1">
        <v>45875</v>
      </c>
      <c r="K275">
        <v>0</v>
      </c>
      <c r="M275" t="b">
        <v>0</v>
      </c>
    </row>
    <row r="276" spans="1:14" x14ac:dyDescent="0.25">
      <c r="A276" t="s">
        <v>329</v>
      </c>
      <c r="B276" t="s">
        <v>15</v>
      </c>
      <c r="C276" t="s">
        <v>22</v>
      </c>
      <c r="D276" t="s">
        <v>62</v>
      </c>
      <c r="E276" t="s">
        <v>18</v>
      </c>
      <c r="F276" t="s">
        <v>25</v>
      </c>
      <c r="G276">
        <v>199.01</v>
      </c>
      <c r="H276">
        <v>0</v>
      </c>
      <c r="I276">
        <v>199.01</v>
      </c>
      <c r="J276" s="1">
        <v>45875</v>
      </c>
      <c r="K276">
        <v>8</v>
      </c>
      <c r="L276">
        <v>4.4000000000000004</v>
      </c>
      <c r="M276" t="b">
        <v>0</v>
      </c>
    </row>
    <row r="277" spans="1:14" x14ac:dyDescent="0.25">
      <c r="A277" t="s">
        <v>330</v>
      </c>
      <c r="B277" t="s">
        <v>38</v>
      </c>
      <c r="C277" t="s">
        <v>48</v>
      </c>
      <c r="D277" t="s">
        <v>62</v>
      </c>
      <c r="E277" t="s">
        <v>24</v>
      </c>
      <c r="F277" t="s">
        <v>64</v>
      </c>
      <c r="G277">
        <v>62.41</v>
      </c>
      <c r="H277">
        <v>37.1</v>
      </c>
      <c r="I277">
        <v>39.26</v>
      </c>
      <c r="J277" s="1">
        <v>45875</v>
      </c>
      <c r="K277">
        <v>6</v>
      </c>
      <c r="L277">
        <v>4.0999999999999996</v>
      </c>
      <c r="M277" t="b">
        <v>0</v>
      </c>
    </row>
    <row r="278" spans="1:14" x14ac:dyDescent="0.25">
      <c r="A278" t="s">
        <v>331</v>
      </c>
      <c r="B278" t="s">
        <v>30</v>
      </c>
      <c r="C278" t="s">
        <v>22</v>
      </c>
      <c r="D278" t="s">
        <v>62</v>
      </c>
      <c r="E278" t="s">
        <v>55</v>
      </c>
      <c r="F278" t="s">
        <v>28</v>
      </c>
      <c r="G278">
        <v>71.44</v>
      </c>
      <c r="H278">
        <v>0</v>
      </c>
      <c r="I278">
        <v>71.44</v>
      </c>
      <c r="J278" s="1">
        <v>45875</v>
      </c>
      <c r="K278">
        <v>45</v>
      </c>
      <c r="L278">
        <v>4</v>
      </c>
      <c r="M278" t="b">
        <v>0</v>
      </c>
    </row>
    <row r="279" spans="1:14" x14ac:dyDescent="0.25">
      <c r="A279" t="s">
        <v>332</v>
      </c>
      <c r="B279" t="s">
        <v>42</v>
      </c>
      <c r="C279" t="s">
        <v>16</v>
      </c>
      <c r="D279" t="s">
        <v>23</v>
      </c>
      <c r="F279" t="s">
        <v>44</v>
      </c>
      <c r="G279">
        <v>89.69</v>
      </c>
      <c r="H279">
        <v>0</v>
      </c>
      <c r="I279">
        <v>89.69</v>
      </c>
      <c r="J279" s="1">
        <v>45875</v>
      </c>
      <c r="K279">
        <v>50</v>
      </c>
      <c r="L279">
        <v>4.3</v>
      </c>
      <c r="M279" t="b">
        <v>0</v>
      </c>
    </row>
    <row r="280" spans="1:14" x14ac:dyDescent="0.25">
      <c r="A280" t="s">
        <v>333</v>
      </c>
      <c r="B280" t="s">
        <v>15</v>
      </c>
      <c r="C280" t="s">
        <v>43</v>
      </c>
      <c r="D280" t="s">
        <v>17</v>
      </c>
      <c r="E280" t="s">
        <v>49</v>
      </c>
      <c r="F280" t="s">
        <v>40</v>
      </c>
      <c r="G280">
        <v>161.65</v>
      </c>
      <c r="H280">
        <v>10.199999999999999</v>
      </c>
      <c r="I280">
        <v>145.16</v>
      </c>
      <c r="J280" s="1">
        <v>45746</v>
      </c>
      <c r="K280">
        <v>42</v>
      </c>
      <c r="M280" t="b">
        <v>0</v>
      </c>
    </row>
    <row r="281" spans="1:14" x14ac:dyDescent="0.25">
      <c r="A281" t="s">
        <v>334</v>
      </c>
      <c r="B281" t="s">
        <v>27</v>
      </c>
      <c r="C281" t="s">
        <v>22</v>
      </c>
      <c r="D281" t="s">
        <v>23</v>
      </c>
      <c r="F281" t="s">
        <v>35</v>
      </c>
      <c r="G281">
        <v>46.59</v>
      </c>
      <c r="H281">
        <v>0</v>
      </c>
      <c r="I281">
        <v>46.59</v>
      </c>
      <c r="J281" s="1">
        <v>45875</v>
      </c>
      <c r="K281">
        <v>29</v>
      </c>
      <c r="L281">
        <v>4.8</v>
      </c>
      <c r="M281" t="b">
        <v>0</v>
      </c>
    </row>
    <row r="282" spans="1:14" x14ac:dyDescent="0.25">
      <c r="A282" t="s">
        <v>335</v>
      </c>
      <c r="B282" t="s">
        <v>27</v>
      </c>
      <c r="C282" t="s">
        <v>16</v>
      </c>
      <c r="D282" t="s">
        <v>34</v>
      </c>
      <c r="F282" t="s">
        <v>25</v>
      </c>
      <c r="G282">
        <v>74.2</v>
      </c>
      <c r="H282">
        <v>0</v>
      </c>
      <c r="I282">
        <v>74.2</v>
      </c>
      <c r="J282" s="1">
        <v>45875</v>
      </c>
      <c r="K282">
        <v>22</v>
      </c>
      <c r="L282">
        <v>1.7</v>
      </c>
      <c r="M282" t="b">
        <v>0</v>
      </c>
    </row>
    <row r="283" spans="1:14" x14ac:dyDescent="0.25">
      <c r="A283" t="s">
        <v>336</v>
      </c>
      <c r="B283" t="s">
        <v>38</v>
      </c>
      <c r="C283" t="s">
        <v>22</v>
      </c>
      <c r="D283" t="s">
        <v>34</v>
      </c>
      <c r="E283" t="s">
        <v>39</v>
      </c>
      <c r="F283" t="s">
        <v>70</v>
      </c>
      <c r="G283">
        <v>99.67</v>
      </c>
      <c r="H283">
        <v>0</v>
      </c>
      <c r="I283">
        <v>99.67</v>
      </c>
      <c r="J283" s="1">
        <v>45875</v>
      </c>
      <c r="K283">
        <v>13</v>
      </c>
      <c r="L283">
        <v>5</v>
      </c>
      <c r="M283" t="b">
        <v>0</v>
      </c>
    </row>
    <row r="284" spans="1:14" x14ac:dyDescent="0.25">
      <c r="A284" t="s">
        <v>337</v>
      </c>
      <c r="B284" t="s">
        <v>30</v>
      </c>
      <c r="C284" t="s">
        <v>75</v>
      </c>
      <c r="D284" t="s">
        <v>34</v>
      </c>
      <c r="E284" t="s">
        <v>55</v>
      </c>
      <c r="F284" t="s">
        <v>66</v>
      </c>
      <c r="G284">
        <v>112.74</v>
      </c>
      <c r="H284">
        <v>23</v>
      </c>
      <c r="I284">
        <v>86.81</v>
      </c>
      <c r="J284" s="1">
        <v>45875</v>
      </c>
      <c r="K284">
        <v>37</v>
      </c>
      <c r="L284">
        <v>1</v>
      </c>
      <c r="M284" t="b">
        <v>0</v>
      </c>
    </row>
    <row r="285" spans="1:14" x14ac:dyDescent="0.25">
      <c r="A285" t="s">
        <v>338</v>
      </c>
      <c r="B285" t="s">
        <v>21</v>
      </c>
      <c r="C285" t="s">
        <v>32</v>
      </c>
      <c r="D285" t="s">
        <v>62</v>
      </c>
      <c r="E285" t="s">
        <v>39</v>
      </c>
      <c r="F285" t="s">
        <v>28</v>
      </c>
      <c r="G285">
        <v>95.82</v>
      </c>
      <c r="H285">
        <v>39.4</v>
      </c>
      <c r="I285">
        <v>58.07</v>
      </c>
      <c r="J285" s="1">
        <v>45875</v>
      </c>
      <c r="K285">
        <v>6</v>
      </c>
      <c r="M285" t="b">
        <v>1</v>
      </c>
      <c r="N285" t="s">
        <v>78</v>
      </c>
    </row>
    <row r="286" spans="1:14" x14ac:dyDescent="0.25">
      <c r="A286" t="s">
        <v>339</v>
      </c>
      <c r="B286" t="s">
        <v>30</v>
      </c>
      <c r="C286" t="s">
        <v>53</v>
      </c>
      <c r="D286" t="s">
        <v>23</v>
      </c>
      <c r="E286" t="s">
        <v>58</v>
      </c>
      <c r="F286" t="s">
        <v>46</v>
      </c>
      <c r="G286">
        <v>157.41999999999999</v>
      </c>
      <c r="H286">
        <v>0</v>
      </c>
      <c r="I286">
        <v>157.41999999999999</v>
      </c>
      <c r="J286" s="1">
        <v>45875</v>
      </c>
      <c r="K286">
        <v>38</v>
      </c>
      <c r="L286">
        <v>2.4</v>
      </c>
      <c r="M286" t="b">
        <v>0</v>
      </c>
    </row>
    <row r="287" spans="1:14" x14ac:dyDescent="0.25">
      <c r="A287" t="s">
        <v>340</v>
      </c>
      <c r="B287" t="s">
        <v>27</v>
      </c>
      <c r="C287" t="s">
        <v>16</v>
      </c>
      <c r="D287" t="s">
        <v>34</v>
      </c>
      <c r="F287" t="s">
        <v>19</v>
      </c>
      <c r="G287">
        <v>60.17</v>
      </c>
      <c r="H287">
        <v>14.1</v>
      </c>
      <c r="I287">
        <v>51.69</v>
      </c>
      <c r="J287" s="1">
        <v>45875</v>
      </c>
      <c r="K287">
        <v>38</v>
      </c>
      <c r="L287">
        <v>5</v>
      </c>
      <c r="M287" t="b">
        <v>0</v>
      </c>
    </row>
    <row r="288" spans="1:14" x14ac:dyDescent="0.25">
      <c r="A288" t="s">
        <v>341</v>
      </c>
      <c r="B288" t="s">
        <v>15</v>
      </c>
      <c r="C288" t="s">
        <v>43</v>
      </c>
      <c r="D288" t="s">
        <v>23</v>
      </c>
      <c r="E288" t="s">
        <v>18</v>
      </c>
      <c r="F288" t="s">
        <v>25</v>
      </c>
      <c r="G288">
        <v>169.03</v>
      </c>
      <c r="H288">
        <v>0</v>
      </c>
      <c r="I288">
        <v>169.03</v>
      </c>
      <c r="J288" s="1">
        <v>45875</v>
      </c>
      <c r="K288">
        <v>16</v>
      </c>
      <c r="L288">
        <v>1.7</v>
      </c>
      <c r="M288" t="b">
        <v>0</v>
      </c>
    </row>
    <row r="289" spans="1:14" x14ac:dyDescent="0.25">
      <c r="A289" t="s">
        <v>342</v>
      </c>
      <c r="B289" t="s">
        <v>42</v>
      </c>
      <c r="C289" t="s">
        <v>22</v>
      </c>
      <c r="D289" t="s">
        <v>34</v>
      </c>
      <c r="E289" t="s">
        <v>39</v>
      </c>
      <c r="F289" t="s">
        <v>25</v>
      </c>
      <c r="G289">
        <v>175.86</v>
      </c>
      <c r="H289">
        <v>0</v>
      </c>
      <c r="I289">
        <v>175.86</v>
      </c>
      <c r="J289" s="1">
        <v>45875</v>
      </c>
      <c r="K289">
        <v>0</v>
      </c>
      <c r="L289">
        <v>4.5999999999999996</v>
      </c>
      <c r="M289" t="b">
        <v>0</v>
      </c>
    </row>
    <row r="290" spans="1:14" x14ac:dyDescent="0.25">
      <c r="A290" t="s">
        <v>343</v>
      </c>
      <c r="B290" t="s">
        <v>30</v>
      </c>
      <c r="C290" t="s">
        <v>43</v>
      </c>
      <c r="D290" t="s">
        <v>62</v>
      </c>
      <c r="F290" t="s">
        <v>70</v>
      </c>
      <c r="G290">
        <v>169.75</v>
      </c>
      <c r="H290">
        <v>0</v>
      </c>
      <c r="I290">
        <v>169.75</v>
      </c>
      <c r="J290" s="1">
        <v>45875</v>
      </c>
      <c r="K290">
        <v>5</v>
      </c>
      <c r="L290">
        <v>2.7</v>
      </c>
      <c r="M290" t="b">
        <v>0</v>
      </c>
    </row>
    <row r="291" spans="1:14" x14ac:dyDescent="0.25">
      <c r="A291" t="s">
        <v>344</v>
      </c>
      <c r="B291" t="s">
        <v>27</v>
      </c>
      <c r="C291" t="s">
        <v>48</v>
      </c>
      <c r="D291" t="s">
        <v>62</v>
      </c>
      <c r="F291" t="s">
        <v>19</v>
      </c>
      <c r="G291">
        <v>51.77</v>
      </c>
      <c r="H291">
        <v>24.3</v>
      </c>
      <c r="I291">
        <v>39.19</v>
      </c>
      <c r="J291" s="1">
        <v>45875</v>
      </c>
      <c r="K291">
        <v>50</v>
      </c>
      <c r="L291">
        <v>3.7</v>
      </c>
      <c r="M291" t="b">
        <v>0</v>
      </c>
    </row>
    <row r="292" spans="1:14" x14ac:dyDescent="0.25">
      <c r="A292" t="s">
        <v>345</v>
      </c>
      <c r="B292" t="s">
        <v>21</v>
      </c>
      <c r="C292" t="s">
        <v>43</v>
      </c>
      <c r="D292" t="s">
        <v>34</v>
      </c>
      <c r="E292" t="s">
        <v>58</v>
      </c>
      <c r="F292" t="s">
        <v>28</v>
      </c>
      <c r="G292">
        <v>83.09</v>
      </c>
      <c r="H292">
        <v>0</v>
      </c>
      <c r="I292">
        <v>83.09</v>
      </c>
      <c r="J292" s="1">
        <v>45875</v>
      </c>
      <c r="K292">
        <v>22</v>
      </c>
      <c r="L292">
        <v>2.2999999999999998</v>
      </c>
      <c r="M292" t="b">
        <v>0</v>
      </c>
    </row>
    <row r="293" spans="1:14" x14ac:dyDescent="0.25">
      <c r="A293" t="s">
        <v>346</v>
      </c>
      <c r="B293" t="s">
        <v>15</v>
      </c>
      <c r="C293" t="s">
        <v>53</v>
      </c>
      <c r="D293" t="s">
        <v>23</v>
      </c>
      <c r="E293" t="s">
        <v>55</v>
      </c>
      <c r="F293" t="s">
        <v>66</v>
      </c>
      <c r="G293">
        <v>176.1</v>
      </c>
      <c r="H293">
        <v>0</v>
      </c>
      <c r="I293">
        <v>176.1</v>
      </c>
      <c r="J293" s="1">
        <v>45875</v>
      </c>
      <c r="K293">
        <v>12</v>
      </c>
      <c r="L293">
        <v>4.5999999999999996</v>
      </c>
      <c r="M293" t="b">
        <v>0</v>
      </c>
    </row>
    <row r="294" spans="1:14" x14ac:dyDescent="0.25">
      <c r="A294" t="s">
        <v>347</v>
      </c>
      <c r="B294" t="s">
        <v>38</v>
      </c>
      <c r="C294" t="s">
        <v>43</v>
      </c>
      <c r="D294" t="s">
        <v>34</v>
      </c>
      <c r="E294" t="s">
        <v>58</v>
      </c>
      <c r="F294" t="s">
        <v>44</v>
      </c>
      <c r="G294">
        <v>69.11</v>
      </c>
      <c r="H294">
        <v>0</v>
      </c>
      <c r="I294">
        <v>69.11</v>
      </c>
      <c r="J294" s="1">
        <v>45875</v>
      </c>
      <c r="K294">
        <v>18</v>
      </c>
      <c r="L294">
        <v>3.9</v>
      </c>
      <c r="M294" t="b">
        <v>0</v>
      </c>
    </row>
    <row r="295" spans="1:14" x14ac:dyDescent="0.25">
      <c r="A295" t="s">
        <v>348</v>
      </c>
      <c r="B295" t="s">
        <v>30</v>
      </c>
      <c r="C295" t="s">
        <v>16</v>
      </c>
      <c r="D295" t="s">
        <v>17</v>
      </c>
      <c r="E295" t="s">
        <v>39</v>
      </c>
      <c r="F295" t="s">
        <v>66</v>
      </c>
      <c r="G295">
        <v>117.85</v>
      </c>
      <c r="H295">
        <v>0</v>
      </c>
      <c r="I295">
        <v>117.85</v>
      </c>
      <c r="J295" s="1">
        <v>45649</v>
      </c>
      <c r="K295">
        <v>34</v>
      </c>
      <c r="L295">
        <v>3.3</v>
      </c>
      <c r="M295" t="b">
        <v>0</v>
      </c>
    </row>
    <row r="296" spans="1:14" x14ac:dyDescent="0.25">
      <c r="A296" t="s">
        <v>349</v>
      </c>
      <c r="B296" t="s">
        <v>30</v>
      </c>
      <c r="C296" t="s">
        <v>32</v>
      </c>
      <c r="D296" t="s">
        <v>34</v>
      </c>
      <c r="E296" t="s">
        <v>58</v>
      </c>
      <c r="F296" t="s">
        <v>66</v>
      </c>
      <c r="G296">
        <v>96.17</v>
      </c>
      <c r="H296">
        <v>36</v>
      </c>
      <c r="I296">
        <v>61.55</v>
      </c>
      <c r="J296" s="1">
        <v>45875</v>
      </c>
      <c r="K296">
        <v>45</v>
      </c>
      <c r="L296">
        <v>3.5</v>
      </c>
      <c r="M296" t="b">
        <v>0</v>
      </c>
    </row>
    <row r="297" spans="1:14" x14ac:dyDescent="0.25">
      <c r="A297" t="s">
        <v>350</v>
      </c>
      <c r="B297" t="s">
        <v>30</v>
      </c>
      <c r="C297" t="s">
        <v>16</v>
      </c>
      <c r="D297" t="s">
        <v>17</v>
      </c>
      <c r="E297" t="s">
        <v>49</v>
      </c>
      <c r="F297" t="s">
        <v>19</v>
      </c>
      <c r="G297">
        <v>80.14</v>
      </c>
      <c r="H297">
        <v>0</v>
      </c>
      <c r="I297">
        <v>80.14</v>
      </c>
      <c r="J297" s="1">
        <v>45747</v>
      </c>
      <c r="K297">
        <v>10</v>
      </c>
      <c r="L297">
        <v>5</v>
      </c>
      <c r="M297" t="b">
        <v>0</v>
      </c>
    </row>
    <row r="298" spans="1:14" x14ac:dyDescent="0.25">
      <c r="A298" t="s">
        <v>351</v>
      </c>
      <c r="B298" t="s">
        <v>27</v>
      </c>
      <c r="C298" t="s">
        <v>61</v>
      </c>
      <c r="D298" t="s">
        <v>62</v>
      </c>
      <c r="F298" t="s">
        <v>25</v>
      </c>
      <c r="G298">
        <v>55.08</v>
      </c>
      <c r="H298">
        <v>13</v>
      </c>
      <c r="I298">
        <v>47.92</v>
      </c>
      <c r="J298" s="1">
        <v>45875</v>
      </c>
      <c r="K298">
        <v>17</v>
      </c>
      <c r="L298">
        <v>3.9</v>
      </c>
      <c r="M298" t="b">
        <v>0</v>
      </c>
    </row>
    <row r="299" spans="1:14" x14ac:dyDescent="0.25">
      <c r="A299" t="s">
        <v>352</v>
      </c>
      <c r="B299" t="s">
        <v>42</v>
      </c>
      <c r="C299" t="s">
        <v>43</v>
      </c>
      <c r="D299" t="s">
        <v>34</v>
      </c>
      <c r="E299" t="s">
        <v>39</v>
      </c>
      <c r="F299" t="s">
        <v>25</v>
      </c>
      <c r="G299">
        <v>165.84</v>
      </c>
      <c r="H299">
        <v>50.4</v>
      </c>
      <c r="I299">
        <v>82.26</v>
      </c>
      <c r="J299" s="1">
        <v>45875</v>
      </c>
      <c r="K299">
        <v>17</v>
      </c>
      <c r="L299">
        <v>3.2</v>
      </c>
      <c r="M299" t="b">
        <v>1</v>
      </c>
      <c r="N299" t="s">
        <v>78</v>
      </c>
    </row>
    <row r="300" spans="1:14" x14ac:dyDescent="0.25">
      <c r="A300" t="s">
        <v>353</v>
      </c>
      <c r="B300" t="s">
        <v>42</v>
      </c>
      <c r="C300" t="s">
        <v>61</v>
      </c>
      <c r="D300" t="s">
        <v>62</v>
      </c>
      <c r="E300" t="s">
        <v>49</v>
      </c>
      <c r="F300" t="s">
        <v>19</v>
      </c>
      <c r="G300">
        <v>82.7</v>
      </c>
      <c r="H300">
        <v>0</v>
      </c>
      <c r="I300">
        <v>82.7</v>
      </c>
      <c r="J300" s="1">
        <v>45875</v>
      </c>
      <c r="K300">
        <v>20</v>
      </c>
      <c r="L300">
        <v>4</v>
      </c>
      <c r="M300" t="b">
        <v>0</v>
      </c>
    </row>
    <row r="301" spans="1:14" x14ac:dyDescent="0.25">
      <c r="A301" t="s">
        <v>354</v>
      </c>
      <c r="B301" t="s">
        <v>15</v>
      </c>
      <c r="C301" t="s">
        <v>32</v>
      </c>
      <c r="D301" t="s">
        <v>17</v>
      </c>
      <c r="E301" t="s">
        <v>39</v>
      </c>
      <c r="F301" t="s">
        <v>66</v>
      </c>
      <c r="G301">
        <v>222.86</v>
      </c>
      <c r="H301">
        <v>6.6</v>
      </c>
      <c r="I301">
        <v>208.15</v>
      </c>
      <c r="J301" s="1">
        <v>45645</v>
      </c>
      <c r="K301">
        <v>29</v>
      </c>
      <c r="L301">
        <v>2.1</v>
      </c>
      <c r="M301" t="b">
        <v>0</v>
      </c>
    </row>
    <row r="302" spans="1:14" x14ac:dyDescent="0.25">
      <c r="A302" t="s">
        <v>355</v>
      </c>
      <c r="B302" t="s">
        <v>21</v>
      </c>
      <c r="C302" t="s">
        <v>43</v>
      </c>
      <c r="D302" t="s">
        <v>23</v>
      </c>
      <c r="E302" t="s">
        <v>24</v>
      </c>
      <c r="F302" t="s">
        <v>40</v>
      </c>
      <c r="G302">
        <v>107.15</v>
      </c>
      <c r="H302">
        <v>0</v>
      </c>
      <c r="I302">
        <v>107.15</v>
      </c>
      <c r="J302" s="1">
        <v>45875</v>
      </c>
      <c r="K302">
        <v>33</v>
      </c>
      <c r="M302" t="b">
        <v>1</v>
      </c>
      <c r="N302" t="s">
        <v>125</v>
      </c>
    </row>
    <row r="303" spans="1:14" x14ac:dyDescent="0.25">
      <c r="A303" t="s">
        <v>356</v>
      </c>
      <c r="B303" t="s">
        <v>30</v>
      </c>
      <c r="C303" t="s">
        <v>48</v>
      </c>
      <c r="D303" t="s">
        <v>34</v>
      </c>
      <c r="E303" t="s">
        <v>49</v>
      </c>
      <c r="F303" t="s">
        <v>40</v>
      </c>
      <c r="G303">
        <v>85.54</v>
      </c>
      <c r="H303">
        <v>0</v>
      </c>
      <c r="I303">
        <v>85.54</v>
      </c>
      <c r="J303" s="1">
        <v>45875</v>
      </c>
      <c r="K303">
        <v>30</v>
      </c>
      <c r="M303" t="b">
        <v>0</v>
      </c>
    </row>
    <row r="304" spans="1:14" x14ac:dyDescent="0.25">
      <c r="A304" t="s">
        <v>357</v>
      </c>
      <c r="B304" t="s">
        <v>38</v>
      </c>
      <c r="C304" t="s">
        <v>43</v>
      </c>
      <c r="D304" t="s">
        <v>62</v>
      </c>
      <c r="E304" t="s">
        <v>18</v>
      </c>
      <c r="F304" t="s">
        <v>46</v>
      </c>
      <c r="G304">
        <v>34.36</v>
      </c>
      <c r="H304">
        <v>5.4</v>
      </c>
      <c r="I304">
        <v>32.5</v>
      </c>
      <c r="J304" s="1">
        <v>45875</v>
      </c>
      <c r="K304">
        <v>49</v>
      </c>
      <c r="L304">
        <v>4.5</v>
      </c>
      <c r="M304" t="b">
        <v>0</v>
      </c>
    </row>
    <row r="305" spans="1:14" x14ac:dyDescent="0.25">
      <c r="A305" t="s">
        <v>358</v>
      </c>
      <c r="B305" t="s">
        <v>38</v>
      </c>
      <c r="C305" t="s">
        <v>43</v>
      </c>
      <c r="D305" t="s">
        <v>23</v>
      </c>
      <c r="E305" t="s">
        <v>18</v>
      </c>
      <c r="F305" t="s">
        <v>28</v>
      </c>
      <c r="G305">
        <v>111.25</v>
      </c>
      <c r="H305">
        <v>42.2</v>
      </c>
      <c r="I305">
        <v>64.3</v>
      </c>
      <c r="J305" s="1">
        <v>45875</v>
      </c>
      <c r="K305">
        <v>34</v>
      </c>
      <c r="L305">
        <v>3</v>
      </c>
      <c r="M305" t="b">
        <v>0</v>
      </c>
    </row>
    <row r="306" spans="1:14" x14ac:dyDescent="0.25">
      <c r="A306" t="s">
        <v>359</v>
      </c>
      <c r="B306" t="s">
        <v>21</v>
      </c>
      <c r="C306" t="s">
        <v>16</v>
      </c>
      <c r="D306" t="s">
        <v>17</v>
      </c>
      <c r="E306" t="s">
        <v>49</v>
      </c>
      <c r="F306" t="s">
        <v>25</v>
      </c>
      <c r="G306">
        <v>39.97</v>
      </c>
      <c r="H306">
        <v>35.200000000000003</v>
      </c>
      <c r="I306">
        <v>25.9</v>
      </c>
      <c r="J306" s="1">
        <v>45679</v>
      </c>
      <c r="K306">
        <v>15</v>
      </c>
      <c r="L306">
        <v>2.2999999999999998</v>
      </c>
      <c r="M306" t="b">
        <v>0</v>
      </c>
    </row>
    <row r="307" spans="1:14" x14ac:dyDescent="0.25">
      <c r="A307" t="s">
        <v>360</v>
      </c>
      <c r="B307" t="s">
        <v>30</v>
      </c>
      <c r="C307" t="s">
        <v>75</v>
      </c>
      <c r="D307" t="s">
        <v>62</v>
      </c>
      <c r="E307" t="s">
        <v>58</v>
      </c>
      <c r="F307" t="s">
        <v>35</v>
      </c>
      <c r="G307">
        <v>60.34</v>
      </c>
      <c r="H307">
        <v>0</v>
      </c>
      <c r="I307">
        <v>60.34</v>
      </c>
      <c r="J307" s="1">
        <v>45875</v>
      </c>
      <c r="K307">
        <v>4</v>
      </c>
      <c r="M307" t="b">
        <v>0</v>
      </c>
    </row>
    <row r="308" spans="1:14" x14ac:dyDescent="0.25">
      <c r="A308" t="s">
        <v>361</v>
      </c>
      <c r="B308" t="s">
        <v>27</v>
      </c>
      <c r="C308" t="s">
        <v>61</v>
      </c>
      <c r="D308" t="s">
        <v>62</v>
      </c>
      <c r="F308" t="s">
        <v>44</v>
      </c>
      <c r="G308">
        <v>17.7</v>
      </c>
      <c r="H308">
        <v>0</v>
      </c>
      <c r="I308">
        <v>17.7</v>
      </c>
      <c r="J308" s="1">
        <v>45875</v>
      </c>
      <c r="K308">
        <v>42</v>
      </c>
      <c r="L308">
        <v>3.9</v>
      </c>
      <c r="M308" t="b">
        <v>0</v>
      </c>
    </row>
    <row r="309" spans="1:14" x14ac:dyDescent="0.25">
      <c r="A309" t="s">
        <v>362</v>
      </c>
      <c r="B309" t="s">
        <v>38</v>
      </c>
      <c r="C309" t="s">
        <v>43</v>
      </c>
      <c r="D309" t="s">
        <v>62</v>
      </c>
      <c r="E309" t="s">
        <v>58</v>
      </c>
      <c r="F309" t="s">
        <v>35</v>
      </c>
      <c r="G309">
        <v>57.88</v>
      </c>
      <c r="H309">
        <v>0</v>
      </c>
      <c r="I309">
        <v>57.88</v>
      </c>
      <c r="J309" s="1">
        <v>45875</v>
      </c>
      <c r="K309">
        <v>39</v>
      </c>
      <c r="L309">
        <v>3</v>
      </c>
      <c r="M309" t="b">
        <v>0</v>
      </c>
    </row>
    <row r="310" spans="1:14" x14ac:dyDescent="0.25">
      <c r="A310" t="s">
        <v>363</v>
      </c>
      <c r="B310" t="s">
        <v>21</v>
      </c>
      <c r="C310" t="s">
        <v>43</v>
      </c>
      <c r="D310" t="s">
        <v>62</v>
      </c>
      <c r="E310" t="s">
        <v>39</v>
      </c>
      <c r="F310" t="s">
        <v>44</v>
      </c>
      <c r="G310">
        <v>25.15</v>
      </c>
      <c r="H310">
        <v>0</v>
      </c>
      <c r="I310">
        <v>25.15</v>
      </c>
      <c r="J310" s="1">
        <v>45875</v>
      </c>
      <c r="K310">
        <v>34</v>
      </c>
      <c r="L310">
        <v>2.6</v>
      </c>
      <c r="M310" t="b">
        <v>0</v>
      </c>
    </row>
    <row r="311" spans="1:14" x14ac:dyDescent="0.25">
      <c r="A311" t="s">
        <v>364</v>
      </c>
      <c r="B311" t="s">
        <v>15</v>
      </c>
      <c r="C311" t="s">
        <v>43</v>
      </c>
      <c r="D311" t="s">
        <v>17</v>
      </c>
      <c r="E311" t="s">
        <v>24</v>
      </c>
      <c r="F311" t="s">
        <v>66</v>
      </c>
      <c r="G311">
        <v>157.44999999999999</v>
      </c>
      <c r="H311">
        <v>0</v>
      </c>
      <c r="I311">
        <v>157.44999999999999</v>
      </c>
      <c r="J311" s="1">
        <v>45803</v>
      </c>
      <c r="K311">
        <v>7</v>
      </c>
      <c r="L311">
        <v>2.9</v>
      </c>
      <c r="M311" t="b">
        <v>0</v>
      </c>
    </row>
    <row r="312" spans="1:14" x14ac:dyDescent="0.25">
      <c r="A312" t="s">
        <v>365</v>
      </c>
      <c r="B312" t="s">
        <v>38</v>
      </c>
      <c r="C312" t="s">
        <v>48</v>
      </c>
      <c r="D312" t="s">
        <v>23</v>
      </c>
      <c r="E312" t="s">
        <v>24</v>
      </c>
      <c r="F312" t="s">
        <v>66</v>
      </c>
      <c r="G312">
        <v>65.72</v>
      </c>
      <c r="H312">
        <v>9.1</v>
      </c>
      <c r="I312">
        <v>59.74</v>
      </c>
      <c r="J312" s="1">
        <v>45875</v>
      </c>
      <c r="K312">
        <v>10</v>
      </c>
      <c r="L312">
        <v>2.8</v>
      </c>
      <c r="M312" t="b">
        <v>1</v>
      </c>
      <c r="N312" t="s">
        <v>83</v>
      </c>
    </row>
    <row r="313" spans="1:14" x14ac:dyDescent="0.25">
      <c r="A313" t="s">
        <v>366</v>
      </c>
      <c r="B313" t="s">
        <v>42</v>
      </c>
      <c r="C313" t="s">
        <v>75</v>
      </c>
      <c r="D313" t="s">
        <v>23</v>
      </c>
      <c r="E313" t="s">
        <v>49</v>
      </c>
      <c r="F313" t="s">
        <v>70</v>
      </c>
      <c r="G313">
        <v>92.8</v>
      </c>
      <c r="H313">
        <v>0</v>
      </c>
      <c r="I313">
        <v>92.8</v>
      </c>
      <c r="J313" s="1">
        <v>45875</v>
      </c>
      <c r="K313">
        <v>25</v>
      </c>
      <c r="L313">
        <v>2.5</v>
      </c>
      <c r="M313" t="b">
        <v>0</v>
      </c>
    </row>
    <row r="314" spans="1:14" x14ac:dyDescent="0.25">
      <c r="A314" t="s">
        <v>367</v>
      </c>
      <c r="B314" t="s">
        <v>42</v>
      </c>
      <c r="C314" t="s">
        <v>32</v>
      </c>
      <c r="D314" t="s">
        <v>23</v>
      </c>
      <c r="E314" t="s">
        <v>18</v>
      </c>
      <c r="F314" t="s">
        <v>44</v>
      </c>
      <c r="G314">
        <v>88.65</v>
      </c>
      <c r="H314">
        <v>0</v>
      </c>
      <c r="I314">
        <v>88.65</v>
      </c>
      <c r="J314" s="1">
        <v>45875</v>
      </c>
      <c r="K314">
        <v>11</v>
      </c>
      <c r="L314">
        <v>3.3</v>
      </c>
      <c r="M314" t="b">
        <v>0</v>
      </c>
    </row>
    <row r="315" spans="1:14" x14ac:dyDescent="0.25">
      <c r="A315" t="s">
        <v>368</v>
      </c>
      <c r="B315" t="s">
        <v>21</v>
      </c>
      <c r="C315" t="s">
        <v>16</v>
      </c>
      <c r="D315" t="s">
        <v>23</v>
      </c>
      <c r="E315" t="s">
        <v>49</v>
      </c>
      <c r="F315" t="s">
        <v>56</v>
      </c>
      <c r="G315">
        <v>47.07</v>
      </c>
      <c r="H315">
        <v>57.4</v>
      </c>
      <c r="I315">
        <v>20.05</v>
      </c>
      <c r="J315" s="1">
        <v>45875</v>
      </c>
      <c r="K315">
        <v>24</v>
      </c>
      <c r="L315">
        <v>1.3</v>
      </c>
      <c r="M315" t="b">
        <v>1</v>
      </c>
      <c r="N315" t="s">
        <v>73</v>
      </c>
    </row>
    <row r="316" spans="1:14" x14ac:dyDescent="0.25">
      <c r="A316" t="s">
        <v>369</v>
      </c>
      <c r="B316" t="s">
        <v>15</v>
      </c>
      <c r="C316" t="s">
        <v>53</v>
      </c>
      <c r="D316" t="s">
        <v>62</v>
      </c>
      <c r="E316" t="s">
        <v>55</v>
      </c>
      <c r="F316" t="s">
        <v>19</v>
      </c>
      <c r="G316">
        <v>101.75</v>
      </c>
      <c r="H316">
        <v>0</v>
      </c>
      <c r="I316">
        <v>101.75</v>
      </c>
      <c r="J316" s="1">
        <v>45875</v>
      </c>
      <c r="K316">
        <v>7</v>
      </c>
      <c r="L316">
        <v>3.1</v>
      </c>
      <c r="M316" t="b">
        <v>0</v>
      </c>
    </row>
    <row r="317" spans="1:14" x14ac:dyDescent="0.25">
      <c r="A317" t="s">
        <v>370</v>
      </c>
      <c r="B317" t="s">
        <v>42</v>
      </c>
      <c r="C317" t="s">
        <v>43</v>
      </c>
      <c r="D317" t="s">
        <v>17</v>
      </c>
      <c r="E317" t="s">
        <v>55</v>
      </c>
      <c r="F317" t="s">
        <v>44</v>
      </c>
      <c r="G317">
        <v>131.08000000000001</v>
      </c>
      <c r="H317">
        <v>7.5</v>
      </c>
      <c r="I317">
        <v>121.25</v>
      </c>
      <c r="J317" s="1">
        <v>45630</v>
      </c>
      <c r="K317">
        <v>20</v>
      </c>
      <c r="L317">
        <v>4.5</v>
      </c>
      <c r="M317" t="b">
        <v>1</v>
      </c>
      <c r="N317" t="s">
        <v>125</v>
      </c>
    </row>
    <row r="318" spans="1:14" x14ac:dyDescent="0.25">
      <c r="A318" t="s">
        <v>371</v>
      </c>
      <c r="B318" t="s">
        <v>21</v>
      </c>
      <c r="C318" t="s">
        <v>16</v>
      </c>
      <c r="D318" t="s">
        <v>34</v>
      </c>
      <c r="E318" t="s">
        <v>55</v>
      </c>
      <c r="F318" t="s">
        <v>28</v>
      </c>
      <c r="G318">
        <v>82.06</v>
      </c>
      <c r="H318">
        <v>26.1</v>
      </c>
      <c r="I318">
        <v>60.64</v>
      </c>
      <c r="J318" s="1">
        <v>45875</v>
      </c>
      <c r="K318">
        <v>32</v>
      </c>
      <c r="L318">
        <v>1.5</v>
      </c>
      <c r="M318" t="b">
        <v>0</v>
      </c>
    </row>
    <row r="319" spans="1:14" x14ac:dyDescent="0.25">
      <c r="A319" t="s">
        <v>372</v>
      </c>
      <c r="B319" t="s">
        <v>42</v>
      </c>
      <c r="C319" t="s">
        <v>48</v>
      </c>
      <c r="D319" t="s">
        <v>62</v>
      </c>
      <c r="E319" t="s">
        <v>24</v>
      </c>
      <c r="F319" t="s">
        <v>66</v>
      </c>
      <c r="G319">
        <v>66.31</v>
      </c>
      <c r="H319">
        <v>0</v>
      </c>
      <c r="I319">
        <v>66.31</v>
      </c>
      <c r="J319" s="1">
        <v>45875</v>
      </c>
      <c r="K319">
        <v>47</v>
      </c>
      <c r="L319">
        <v>3.9</v>
      </c>
      <c r="M319" t="b">
        <v>0</v>
      </c>
    </row>
    <row r="320" spans="1:14" x14ac:dyDescent="0.25">
      <c r="A320" t="s">
        <v>373</v>
      </c>
      <c r="B320" t="s">
        <v>27</v>
      </c>
      <c r="C320" t="s">
        <v>22</v>
      </c>
      <c r="D320" t="s">
        <v>34</v>
      </c>
      <c r="F320" t="s">
        <v>46</v>
      </c>
      <c r="G320">
        <v>26.03</v>
      </c>
      <c r="H320">
        <v>0</v>
      </c>
      <c r="I320">
        <v>26.03</v>
      </c>
      <c r="J320" s="1">
        <v>45875</v>
      </c>
      <c r="K320">
        <v>15</v>
      </c>
      <c r="L320">
        <v>3.8</v>
      </c>
      <c r="M320" t="b">
        <v>0</v>
      </c>
    </row>
    <row r="321" spans="1:14" x14ac:dyDescent="0.25">
      <c r="A321" t="s">
        <v>374</v>
      </c>
      <c r="B321" t="s">
        <v>30</v>
      </c>
      <c r="C321" t="s">
        <v>22</v>
      </c>
      <c r="D321" t="s">
        <v>17</v>
      </c>
      <c r="E321" t="s">
        <v>39</v>
      </c>
      <c r="F321" t="s">
        <v>56</v>
      </c>
      <c r="G321">
        <v>152.53</v>
      </c>
      <c r="H321">
        <v>0</v>
      </c>
      <c r="I321">
        <v>152.53</v>
      </c>
      <c r="J321" s="1">
        <v>45617</v>
      </c>
      <c r="K321">
        <v>24</v>
      </c>
      <c r="L321">
        <v>4.2</v>
      </c>
      <c r="M321" t="b">
        <v>0</v>
      </c>
    </row>
    <row r="322" spans="1:14" x14ac:dyDescent="0.25">
      <c r="A322" t="s">
        <v>375</v>
      </c>
      <c r="B322" t="s">
        <v>38</v>
      </c>
      <c r="C322" t="s">
        <v>43</v>
      </c>
      <c r="D322" t="s">
        <v>34</v>
      </c>
      <c r="E322" t="s">
        <v>39</v>
      </c>
      <c r="F322" t="s">
        <v>56</v>
      </c>
      <c r="G322">
        <v>26.16</v>
      </c>
      <c r="H322">
        <v>16.2</v>
      </c>
      <c r="I322">
        <v>21.92</v>
      </c>
      <c r="J322" s="1">
        <v>45875</v>
      </c>
      <c r="K322">
        <v>13</v>
      </c>
      <c r="L322">
        <v>2.2999999999999998</v>
      </c>
      <c r="M322" t="b">
        <v>0</v>
      </c>
    </row>
    <row r="323" spans="1:14" x14ac:dyDescent="0.25">
      <c r="A323" t="s">
        <v>376</v>
      </c>
      <c r="B323" t="s">
        <v>42</v>
      </c>
      <c r="C323" t="s">
        <v>22</v>
      </c>
      <c r="D323" t="s">
        <v>23</v>
      </c>
      <c r="E323" t="s">
        <v>49</v>
      </c>
      <c r="F323" t="s">
        <v>44</v>
      </c>
      <c r="G323">
        <v>89.17</v>
      </c>
      <c r="H323">
        <v>10.8</v>
      </c>
      <c r="I323">
        <v>79.540000000000006</v>
      </c>
      <c r="J323" s="1">
        <v>45875</v>
      </c>
      <c r="K323">
        <v>27</v>
      </c>
      <c r="L323">
        <v>3.3</v>
      </c>
      <c r="M323" t="b">
        <v>0</v>
      </c>
    </row>
    <row r="324" spans="1:14" x14ac:dyDescent="0.25">
      <c r="A324" t="s">
        <v>377</v>
      </c>
      <c r="B324" t="s">
        <v>38</v>
      </c>
      <c r="C324" t="s">
        <v>48</v>
      </c>
      <c r="D324" t="s">
        <v>17</v>
      </c>
      <c r="F324" t="s">
        <v>35</v>
      </c>
      <c r="G324">
        <v>106.37</v>
      </c>
      <c r="H324">
        <v>0</v>
      </c>
      <c r="I324">
        <v>106.37</v>
      </c>
      <c r="J324" s="1">
        <v>45753</v>
      </c>
      <c r="K324">
        <v>37</v>
      </c>
      <c r="L324">
        <v>4.9000000000000004</v>
      </c>
      <c r="M324" t="b">
        <v>0</v>
      </c>
    </row>
    <row r="325" spans="1:14" x14ac:dyDescent="0.25">
      <c r="A325" t="s">
        <v>378</v>
      </c>
      <c r="B325" t="s">
        <v>42</v>
      </c>
      <c r="C325" t="s">
        <v>43</v>
      </c>
      <c r="D325" t="s">
        <v>34</v>
      </c>
      <c r="E325" t="s">
        <v>18</v>
      </c>
      <c r="F325" t="s">
        <v>35</v>
      </c>
      <c r="G325">
        <v>80.95</v>
      </c>
      <c r="H325">
        <v>36.799999999999997</v>
      </c>
      <c r="I325">
        <v>51.16</v>
      </c>
      <c r="J325" s="1">
        <v>45875</v>
      </c>
      <c r="K325">
        <v>16</v>
      </c>
      <c r="L325">
        <v>2.5</v>
      </c>
      <c r="M325" t="b">
        <v>0</v>
      </c>
    </row>
    <row r="326" spans="1:14" x14ac:dyDescent="0.25">
      <c r="A326" t="s">
        <v>379</v>
      </c>
      <c r="B326" t="s">
        <v>15</v>
      </c>
      <c r="C326" t="s">
        <v>32</v>
      </c>
      <c r="D326" t="s">
        <v>62</v>
      </c>
      <c r="E326" t="s">
        <v>58</v>
      </c>
      <c r="F326" t="s">
        <v>64</v>
      </c>
      <c r="G326">
        <v>169.84</v>
      </c>
      <c r="H326">
        <v>50.2</v>
      </c>
      <c r="I326">
        <v>84.58</v>
      </c>
      <c r="J326" s="1">
        <v>45875</v>
      </c>
      <c r="K326">
        <v>21</v>
      </c>
      <c r="L326">
        <v>3</v>
      </c>
      <c r="M326" t="b">
        <v>1</v>
      </c>
      <c r="N326" t="s">
        <v>83</v>
      </c>
    </row>
    <row r="327" spans="1:14" x14ac:dyDescent="0.25">
      <c r="A327" t="s">
        <v>380</v>
      </c>
      <c r="B327" t="s">
        <v>42</v>
      </c>
      <c r="C327" t="s">
        <v>75</v>
      </c>
      <c r="D327" t="s">
        <v>34</v>
      </c>
      <c r="E327" t="s">
        <v>58</v>
      </c>
      <c r="F327" t="s">
        <v>46</v>
      </c>
      <c r="G327">
        <v>159.4</v>
      </c>
      <c r="H327">
        <v>8.8000000000000007</v>
      </c>
      <c r="I327">
        <v>145.37</v>
      </c>
      <c r="J327" s="1">
        <v>45875</v>
      </c>
      <c r="K327">
        <v>43</v>
      </c>
      <c r="L327">
        <v>4.5</v>
      </c>
      <c r="M327" t="b">
        <v>0</v>
      </c>
    </row>
    <row r="328" spans="1:14" x14ac:dyDescent="0.25">
      <c r="A328" t="s">
        <v>381</v>
      </c>
      <c r="B328" t="s">
        <v>38</v>
      </c>
      <c r="C328" t="s">
        <v>75</v>
      </c>
      <c r="D328" t="s">
        <v>23</v>
      </c>
      <c r="E328" t="s">
        <v>39</v>
      </c>
      <c r="F328" t="s">
        <v>28</v>
      </c>
      <c r="G328">
        <v>106.53</v>
      </c>
      <c r="H328">
        <v>46.5</v>
      </c>
      <c r="I328">
        <v>56.99</v>
      </c>
      <c r="J328" s="1">
        <v>45875</v>
      </c>
      <c r="K328">
        <v>17</v>
      </c>
      <c r="M328" t="b">
        <v>0</v>
      </c>
    </row>
    <row r="329" spans="1:14" x14ac:dyDescent="0.25">
      <c r="A329" t="s">
        <v>382</v>
      </c>
      <c r="B329" t="s">
        <v>27</v>
      </c>
      <c r="C329" t="s">
        <v>61</v>
      </c>
      <c r="D329" t="s">
        <v>17</v>
      </c>
      <c r="F329" t="s">
        <v>28</v>
      </c>
      <c r="G329">
        <v>78.81</v>
      </c>
      <c r="H329">
        <v>44.7</v>
      </c>
      <c r="I329">
        <v>43.58</v>
      </c>
      <c r="J329" s="1">
        <v>45548</v>
      </c>
      <c r="K329">
        <v>34</v>
      </c>
      <c r="L329">
        <v>1.4</v>
      </c>
      <c r="M329" t="b">
        <v>0</v>
      </c>
    </row>
    <row r="330" spans="1:14" x14ac:dyDescent="0.25">
      <c r="A330" t="s">
        <v>383</v>
      </c>
      <c r="B330" t="s">
        <v>15</v>
      </c>
      <c r="C330" t="s">
        <v>22</v>
      </c>
      <c r="D330" t="s">
        <v>62</v>
      </c>
      <c r="E330" t="s">
        <v>55</v>
      </c>
      <c r="F330" t="s">
        <v>40</v>
      </c>
      <c r="G330">
        <v>117.45</v>
      </c>
      <c r="H330">
        <v>29.5</v>
      </c>
      <c r="I330">
        <v>82.8</v>
      </c>
      <c r="J330" s="1">
        <v>45875</v>
      </c>
      <c r="K330">
        <v>43</v>
      </c>
      <c r="L330">
        <v>1.2</v>
      </c>
      <c r="M330" t="b">
        <v>0</v>
      </c>
    </row>
    <row r="331" spans="1:14" x14ac:dyDescent="0.25">
      <c r="A331" t="s">
        <v>384</v>
      </c>
      <c r="B331" t="s">
        <v>27</v>
      </c>
      <c r="C331" t="s">
        <v>61</v>
      </c>
      <c r="D331" t="s">
        <v>17</v>
      </c>
      <c r="F331" t="s">
        <v>56</v>
      </c>
      <c r="G331">
        <v>76.94</v>
      </c>
      <c r="H331">
        <v>0</v>
      </c>
      <c r="I331">
        <v>76.94</v>
      </c>
      <c r="J331" s="1">
        <v>45821</v>
      </c>
      <c r="K331">
        <v>21</v>
      </c>
      <c r="L331">
        <v>4.3</v>
      </c>
      <c r="M331" t="b">
        <v>0</v>
      </c>
    </row>
    <row r="332" spans="1:14" x14ac:dyDescent="0.25">
      <c r="A332" t="s">
        <v>385</v>
      </c>
      <c r="B332" t="s">
        <v>15</v>
      </c>
      <c r="C332" t="s">
        <v>61</v>
      </c>
      <c r="D332" t="s">
        <v>62</v>
      </c>
      <c r="E332" t="s">
        <v>24</v>
      </c>
      <c r="F332" t="s">
        <v>35</v>
      </c>
      <c r="G332">
        <v>232.19</v>
      </c>
      <c r="H332">
        <v>0</v>
      </c>
      <c r="I332">
        <v>232.19</v>
      </c>
      <c r="J332" s="1">
        <v>45875</v>
      </c>
      <c r="K332">
        <v>31</v>
      </c>
      <c r="L332">
        <v>1.3</v>
      </c>
      <c r="M332" t="b">
        <v>1</v>
      </c>
      <c r="N332" t="s">
        <v>115</v>
      </c>
    </row>
    <row r="333" spans="1:14" x14ac:dyDescent="0.25">
      <c r="A333" t="s">
        <v>386</v>
      </c>
      <c r="B333" t="s">
        <v>42</v>
      </c>
      <c r="C333" t="s">
        <v>75</v>
      </c>
      <c r="D333" t="s">
        <v>34</v>
      </c>
      <c r="E333" t="s">
        <v>55</v>
      </c>
      <c r="F333" t="s">
        <v>64</v>
      </c>
      <c r="G333">
        <v>80.400000000000006</v>
      </c>
      <c r="H333">
        <v>52.1</v>
      </c>
      <c r="I333">
        <v>38.51</v>
      </c>
      <c r="J333" s="1">
        <v>45875</v>
      </c>
      <c r="K333">
        <v>7</v>
      </c>
      <c r="L333">
        <v>1.2</v>
      </c>
      <c r="M333" t="b">
        <v>0</v>
      </c>
    </row>
    <row r="334" spans="1:14" x14ac:dyDescent="0.25">
      <c r="A334" t="s">
        <v>387</v>
      </c>
      <c r="B334" t="s">
        <v>38</v>
      </c>
      <c r="C334" t="s">
        <v>43</v>
      </c>
      <c r="D334" t="s">
        <v>62</v>
      </c>
      <c r="E334" t="s">
        <v>18</v>
      </c>
      <c r="F334" t="s">
        <v>28</v>
      </c>
      <c r="G334">
        <v>102.82</v>
      </c>
      <c r="H334">
        <v>0</v>
      </c>
      <c r="I334">
        <v>102.82</v>
      </c>
      <c r="J334" s="1">
        <v>45875</v>
      </c>
      <c r="K334">
        <v>50</v>
      </c>
      <c r="L334">
        <v>3.6</v>
      </c>
      <c r="M334" t="b">
        <v>0</v>
      </c>
    </row>
    <row r="335" spans="1:14" x14ac:dyDescent="0.25">
      <c r="A335" t="s">
        <v>388</v>
      </c>
      <c r="B335" t="s">
        <v>27</v>
      </c>
      <c r="C335" t="s">
        <v>16</v>
      </c>
      <c r="D335" t="s">
        <v>17</v>
      </c>
      <c r="F335" t="s">
        <v>64</v>
      </c>
      <c r="G335">
        <v>48.5</v>
      </c>
      <c r="H335">
        <v>0</v>
      </c>
      <c r="I335">
        <v>48.5</v>
      </c>
      <c r="J335" s="1">
        <v>45786</v>
      </c>
      <c r="K335">
        <v>46</v>
      </c>
      <c r="M335" t="b">
        <v>0</v>
      </c>
    </row>
    <row r="336" spans="1:14" x14ac:dyDescent="0.25">
      <c r="A336" t="s">
        <v>389</v>
      </c>
      <c r="B336" t="s">
        <v>38</v>
      </c>
      <c r="C336" t="s">
        <v>43</v>
      </c>
      <c r="D336" t="s">
        <v>34</v>
      </c>
      <c r="F336" t="s">
        <v>25</v>
      </c>
      <c r="G336">
        <v>88.4</v>
      </c>
      <c r="H336">
        <v>0</v>
      </c>
      <c r="I336">
        <v>88.4</v>
      </c>
      <c r="J336" s="1">
        <v>45875</v>
      </c>
      <c r="K336">
        <v>1</v>
      </c>
      <c r="L336">
        <v>1.4</v>
      </c>
      <c r="M336" t="b">
        <v>0</v>
      </c>
    </row>
    <row r="337" spans="1:14" x14ac:dyDescent="0.25">
      <c r="A337" t="s">
        <v>390</v>
      </c>
      <c r="B337" t="s">
        <v>30</v>
      </c>
      <c r="C337" t="s">
        <v>43</v>
      </c>
      <c r="D337" t="s">
        <v>23</v>
      </c>
      <c r="E337" t="s">
        <v>39</v>
      </c>
      <c r="F337" t="s">
        <v>28</v>
      </c>
      <c r="G337">
        <v>112.5</v>
      </c>
      <c r="H337">
        <v>0</v>
      </c>
      <c r="I337">
        <v>112.5</v>
      </c>
      <c r="J337" s="1">
        <v>45875</v>
      </c>
      <c r="K337">
        <v>11</v>
      </c>
      <c r="L337">
        <v>4.3</v>
      </c>
      <c r="M337" t="b">
        <v>0</v>
      </c>
    </row>
    <row r="338" spans="1:14" x14ac:dyDescent="0.25">
      <c r="A338" t="s">
        <v>391</v>
      </c>
      <c r="B338" t="s">
        <v>38</v>
      </c>
      <c r="C338" t="s">
        <v>16</v>
      </c>
      <c r="D338" t="s">
        <v>34</v>
      </c>
      <c r="E338" t="s">
        <v>49</v>
      </c>
      <c r="F338" t="s">
        <v>40</v>
      </c>
      <c r="G338">
        <v>97.95</v>
      </c>
      <c r="H338">
        <v>11.1</v>
      </c>
      <c r="I338">
        <v>87.08</v>
      </c>
      <c r="J338" s="1">
        <v>45875</v>
      </c>
      <c r="K338">
        <v>25</v>
      </c>
      <c r="L338">
        <v>2.4</v>
      </c>
      <c r="M338" t="b">
        <v>0</v>
      </c>
    </row>
    <row r="339" spans="1:14" x14ac:dyDescent="0.25">
      <c r="A339" t="s">
        <v>392</v>
      </c>
      <c r="B339" t="s">
        <v>15</v>
      </c>
      <c r="C339" t="s">
        <v>48</v>
      </c>
      <c r="D339" t="s">
        <v>62</v>
      </c>
      <c r="E339" t="s">
        <v>58</v>
      </c>
      <c r="F339" t="s">
        <v>25</v>
      </c>
      <c r="G339">
        <v>114.51</v>
      </c>
      <c r="H339">
        <v>36.9</v>
      </c>
      <c r="I339">
        <v>72.260000000000005</v>
      </c>
      <c r="J339" s="1">
        <v>45875</v>
      </c>
      <c r="K339">
        <v>33</v>
      </c>
      <c r="L339">
        <v>1.5</v>
      </c>
      <c r="M339" t="b">
        <v>0</v>
      </c>
    </row>
    <row r="340" spans="1:14" x14ac:dyDescent="0.25">
      <c r="A340" t="s">
        <v>393</v>
      </c>
      <c r="B340" t="s">
        <v>38</v>
      </c>
      <c r="C340" t="s">
        <v>16</v>
      </c>
      <c r="D340" t="s">
        <v>23</v>
      </c>
      <c r="E340" t="s">
        <v>55</v>
      </c>
      <c r="F340" t="s">
        <v>70</v>
      </c>
      <c r="G340">
        <v>27.85</v>
      </c>
      <c r="H340">
        <v>0</v>
      </c>
      <c r="I340">
        <v>27.85</v>
      </c>
      <c r="J340" s="1">
        <v>45875</v>
      </c>
      <c r="K340">
        <v>0</v>
      </c>
      <c r="L340">
        <v>1.5</v>
      </c>
      <c r="M340" t="b">
        <v>0</v>
      </c>
    </row>
    <row r="341" spans="1:14" x14ac:dyDescent="0.25">
      <c r="A341" t="s">
        <v>394</v>
      </c>
      <c r="B341" t="s">
        <v>30</v>
      </c>
      <c r="C341" t="s">
        <v>53</v>
      </c>
      <c r="D341" t="s">
        <v>17</v>
      </c>
      <c r="E341" t="s">
        <v>18</v>
      </c>
      <c r="F341" t="s">
        <v>44</v>
      </c>
      <c r="G341">
        <v>82.08</v>
      </c>
      <c r="H341">
        <v>40.6</v>
      </c>
      <c r="I341">
        <v>48.76</v>
      </c>
      <c r="J341" s="1">
        <v>45800</v>
      </c>
      <c r="K341">
        <v>43</v>
      </c>
      <c r="L341">
        <v>2.5</v>
      </c>
      <c r="M341" t="b">
        <v>1</v>
      </c>
      <c r="N341" t="s">
        <v>83</v>
      </c>
    </row>
    <row r="342" spans="1:14" x14ac:dyDescent="0.25">
      <c r="A342" t="s">
        <v>395</v>
      </c>
      <c r="B342" t="s">
        <v>38</v>
      </c>
      <c r="C342" t="s">
        <v>43</v>
      </c>
      <c r="D342" t="s">
        <v>62</v>
      </c>
      <c r="E342" t="s">
        <v>39</v>
      </c>
      <c r="F342" t="s">
        <v>28</v>
      </c>
      <c r="G342">
        <v>116.41</v>
      </c>
      <c r="H342">
        <v>40.700000000000003</v>
      </c>
      <c r="I342">
        <v>69.03</v>
      </c>
      <c r="J342" s="1">
        <v>45875</v>
      </c>
      <c r="K342">
        <v>23</v>
      </c>
      <c r="L342">
        <v>1.2</v>
      </c>
      <c r="M342" t="b">
        <v>0</v>
      </c>
    </row>
    <row r="343" spans="1:14" x14ac:dyDescent="0.25">
      <c r="A343" t="s">
        <v>396</v>
      </c>
      <c r="B343" t="s">
        <v>38</v>
      </c>
      <c r="C343" t="s">
        <v>53</v>
      </c>
      <c r="D343" t="s">
        <v>17</v>
      </c>
      <c r="E343" t="s">
        <v>58</v>
      </c>
      <c r="F343" t="s">
        <v>35</v>
      </c>
      <c r="G343">
        <v>95.61</v>
      </c>
      <c r="H343">
        <v>0</v>
      </c>
      <c r="I343">
        <v>95.61</v>
      </c>
      <c r="J343" s="1">
        <v>45818</v>
      </c>
      <c r="K343">
        <v>47</v>
      </c>
      <c r="L343">
        <v>4.7</v>
      </c>
      <c r="M343" t="b">
        <v>1</v>
      </c>
      <c r="N343" t="s">
        <v>83</v>
      </c>
    </row>
    <row r="344" spans="1:14" x14ac:dyDescent="0.25">
      <c r="A344" t="s">
        <v>397</v>
      </c>
      <c r="B344" t="s">
        <v>30</v>
      </c>
      <c r="C344" t="s">
        <v>43</v>
      </c>
      <c r="D344" t="s">
        <v>34</v>
      </c>
      <c r="E344" t="s">
        <v>58</v>
      </c>
      <c r="F344" t="s">
        <v>35</v>
      </c>
      <c r="G344">
        <v>70.040000000000006</v>
      </c>
      <c r="H344">
        <v>0</v>
      </c>
      <c r="I344">
        <v>70.040000000000006</v>
      </c>
      <c r="J344" s="1">
        <v>45875</v>
      </c>
      <c r="K344">
        <v>12</v>
      </c>
      <c r="L344">
        <v>2.4</v>
      </c>
      <c r="M344" t="b">
        <v>0</v>
      </c>
    </row>
    <row r="345" spans="1:14" x14ac:dyDescent="0.25">
      <c r="A345" t="s">
        <v>398</v>
      </c>
      <c r="B345" t="s">
        <v>30</v>
      </c>
      <c r="C345" t="s">
        <v>32</v>
      </c>
      <c r="D345" t="s">
        <v>23</v>
      </c>
      <c r="E345" t="s">
        <v>39</v>
      </c>
      <c r="F345" t="s">
        <v>40</v>
      </c>
      <c r="G345">
        <v>112.59</v>
      </c>
      <c r="H345">
        <v>54</v>
      </c>
      <c r="I345">
        <v>51.79</v>
      </c>
      <c r="J345" s="1">
        <v>45875</v>
      </c>
      <c r="K345">
        <v>17</v>
      </c>
      <c r="L345">
        <v>4</v>
      </c>
      <c r="M345" t="b">
        <v>0</v>
      </c>
    </row>
    <row r="346" spans="1:14" x14ac:dyDescent="0.25">
      <c r="A346" t="s">
        <v>399</v>
      </c>
      <c r="B346" t="s">
        <v>27</v>
      </c>
      <c r="C346" t="s">
        <v>16</v>
      </c>
      <c r="D346" t="s">
        <v>62</v>
      </c>
      <c r="F346" t="s">
        <v>66</v>
      </c>
      <c r="G346">
        <v>26.8</v>
      </c>
      <c r="H346">
        <v>0.9</v>
      </c>
      <c r="I346">
        <v>26.56</v>
      </c>
      <c r="J346" s="1">
        <v>45875</v>
      </c>
      <c r="K346">
        <v>25</v>
      </c>
      <c r="L346">
        <v>1.2</v>
      </c>
      <c r="M346" t="b">
        <v>1</v>
      </c>
      <c r="N346" t="s">
        <v>36</v>
      </c>
    </row>
    <row r="347" spans="1:14" x14ac:dyDescent="0.25">
      <c r="A347" t="s">
        <v>400</v>
      </c>
      <c r="B347" t="s">
        <v>21</v>
      </c>
      <c r="C347" t="s">
        <v>48</v>
      </c>
      <c r="D347" t="s">
        <v>62</v>
      </c>
      <c r="E347" t="s">
        <v>24</v>
      </c>
      <c r="F347" t="s">
        <v>44</v>
      </c>
      <c r="G347">
        <v>50.09</v>
      </c>
      <c r="H347">
        <v>0</v>
      </c>
      <c r="I347">
        <v>50.09</v>
      </c>
      <c r="J347" s="1">
        <v>45875</v>
      </c>
      <c r="K347">
        <v>47</v>
      </c>
      <c r="L347">
        <v>4</v>
      </c>
      <c r="M347" t="b">
        <v>0</v>
      </c>
    </row>
    <row r="348" spans="1:14" x14ac:dyDescent="0.25">
      <c r="A348" t="s">
        <v>401</v>
      </c>
      <c r="B348" t="s">
        <v>38</v>
      </c>
      <c r="C348" t="s">
        <v>43</v>
      </c>
      <c r="D348" t="s">
        <v>17</v>
      </c>
      <c r="E348" t="s">
        <v>55</v>
      </c>
      <c r="F348" t="s">
        <v>46</v>
      </c>
      <c r="G348">
        <v>92.84</v>
      </c>
      <c r="H348">
        <v>4.2</v>
      </c>
      <c r="I348">
        <v>88.94</v>
      </c>
      <c r="J348" s="1">
        <v>45670</v>
      </c>
      <c r="K348">
        <v>0</v>
      </c>
      <c r="M348" t="b">
        <v>1</v>
      </c>
      <c r="N348" t="s">
        <v>73</v>
      </c>
    </row>
    <row r="349" spans="1:14" x14ac:dyDescent="0.25">
      <c r="A349" t="s">
        <v>402</v>
      </c>
      <c r="B349" t="s">
        <v>21</v>
      </c>
      <c r="C349" t="s">
        <v>22</v>
      </c>
      <c r="D349" t="s">
        <v>62</v>
      </c>
      <c r="E349" t="s">
        <v>49</v>
      </c>
      <c r="F349" t="s">
        <v>40</v>
      </c>
      <c r="G349">
        <v>114.63</v>
      </c>
      <c r="H349">
        <v>0</v>
      </c>
      <c r="I349">
        <v>114.63</v>
      </c>
      <c r="J349" s="1">
        <v>45875</v>
      </c>
      <c r="K349">
        <v>47</v>
      </c>
      <c r="L349">
        <v>3.8</v>
      </c>
      <c r="M349" t="b">
        <v>1</v>
      </c>
      <c r="N349" t="s">
        <v>115</v>
      </c>
    </row>
    <row r="350" spans="1:14" x14ac:dyDescent="0.25">
      <c r="A350" t="s">
        <v>403</v>
      </c>
      <c r="B350" t="s">
        <v>27</v>
      </c>
      <c r="C350" t="s">
        <v>61</v>
      </c>
      <c r="D350" t="s">
        <v>62</v>
      </c>
      <c r="F350" t="s">
        <v>66</v>
      </c>
      <c r="G350">
        <v>21.9</v>
      </c>
      <c r="H350">
        <v>29.2</v>
      </c>
      <c r="I350">
        <v>15.51</v>
      </c>
      <c r="J350" s="1">
        <v>45875</v>
      </c>
      <c r="K350">
        <v>35</v>
      </c>
      <c r="L350">
        <v>2</v>
      </c>
      <c r="M350" t="b">
        <v>0</v>
      </c>
    </row>
    <row r="351" spans="1:14" x14ac:dyDescent="0.25">
      <c r="A351" t="s">
        <v>404</v>
      </c>
      <c r="B351" t="s">
        <v>42</v>
      </c>
      <c r="C351" t="s">
        <v>16</v>
      </c>
      <c r="D351" t="s">
        <v>17</v>
      </c>
      <c r="E351" t="s">
        <v>55</v>
      </c>
      <c r="F351" t="s">
        <v>64</v>
      </c>
      <c r="G351">
        <v>100.55</v>
      </c>
      <c r="H351">
        <v>46.7</v>
      </c>
      <c r="I351">
        <v>53.59</v>
      </c>
      <c r="J351" s="1">
        <v>45689</v>
      </c>
      <c r="K351">
        <v>30</v>
      </c>
      <c r="M351" t="b">
        <v>0</v>
      </c>
    </row>
    <row r="352" spans="1:14" x14ac:dyDescent="0.25">
      <c r="A352" t="s">
        <v>405</v>
      </c>
      <c r="B352" t="s">
        <v>27</v>
      </c>
      <c r="C352" t="s">
        <v>75</v>
      </c>
      <c r="D352" t="s">
        <v>62</v>
      </c>
      <c r="F352" t="s">
        <v>70</v>
      </c>
      <c r="G352">
        <v>47.45</v>
      </c>
      <c r="H352">
        <v>16.399999999999999</v>
      </c>
      <c r="I352">
        <v>39.67</v>
      </c>
      <c r="J352" s="1">
        <v>45875</v>
      </c>
      <c r="K352">
        <v>33</v>
      </c>
      <c r="L352">
        <v>1.7</v>
      </c>
      <c r="M352" t="b">
        <v>0</v>
      </c>
    </row>
    <row r="353" spans="1:14" x14ac:dyDescent="0.25">
      <c r="A353" t="s">
        <v>406</v>
      </c>
      <c r="B353" t="s">
        <v>38</v>
      </c>
      <c r="C353" t="s">
        <v>48</v>
      </c>
      <c r="D353" t="s">
        <v>62</v>
      </c>
      <c r="E353" t="s">
        <v>18</v>
      </c>
      <c r="F353" t="s">
        <v>70</v>
      </c>
      <c r="G353">
        <v>113.21</v>
      </c>
      <c r="H353">
        <v>0</v>
      </c>
      <c r="I353">
        <v>113.21</v>
      </c>
      <c r="J353" s="1">
        <v>45875</v>
      </c>
      <c r="K353">
        <v>8</v>
      </c>
      <c r="L353">
        <v>2.7</v>
      </c>
      <c r="M353" t="b">
        <v>0</v>
      </c>
    </row>
    <row r="354" spans="1:14" x14ac:dyDescent="0.25">
      <c r="A354" t="s">
        <v>407</v>
      </c>
      <c r="B354" t="s">
        <v>42</v>
      </c>
      <c r="C354" t="s">
        <v>32</v>
      </c>
      <c r="D354" t="s">
        <v>17</v>
      </c>
      <c r="E354" t="s">
        <v>55</v>
      </c>
      <c r="F354" t="s">
        <v>28</v>
      </c>
      <c r="G354">
        <v>163.27000000000001</v>
      </c>
      <c r="H354">
        <v>0</v>
      </c>
      <c r="I354">
        <v>163.27000000000001</v>
      </c>
      <c r="J354" s="1">
        <v>45770</v>
      </c>
      <c r="K354">
        <v>24</v>
      </c>
      <c r="L354">
        <v>2.5</v>
      </c>
      <c r="M354" t="b">
        <v>0</v>
      </c>
    </row>
    <row r="355" spans="1:14" x14ac:dyDescent="0.25">
      <c r="A355" t="s">
        <v>408</v>
      </c>
      <c r="B355" t="s">
        <v>27</v>
      </c>
      <c r="C355" t="s">
        <v>22</v>
      </c>
      <c r="D355" t="s">
        <v>34</v>
      </c>
      <c r="F355" t="s">
        <v>28</v>
      </c>
      <c r="G355">
        <v>44.58</v>
      </c>
      <c r="H355">
        <v>0</v>
      </c>
      <c r="I355">
        <v>44.58</v>
      </c>
      <c r="J355" s="1">
        <v>45875</v>
      </c>
      <c r="K355">
        <v>21</v>
      </c>
      <c r="M355" t="b">
        <v>0</v>
      </c>
    </row>
    <row r="356" spans="1:14" x14ac:dyDescent="0.25">
      <c r="A356" t="s">
        <v>409</v>
      </c>
      <c r="B356" t="s">
        <v>42</v>
      </c>
      <c r="C356" t="s">
        <v>75</v>
      </c>
      <c r="D356" t="s">
        <v>62</v>
      </c>
      <c r="E356" t="s">
        <v>24</v>
      </c>
      <c r="F356" t="s">
        <v>19</v>
      </c>
      <c r="G356">
        <v>166.53</v>
      </c>
      <c r="H356">
        <v>0</v>
      </c>
      <c r="I356">
        <v>166.53</v>
      </c>
      <c r="J356" s="1">
        <v>45875</v>
      </c>
      <c r="K356">
        <v>28</v>
      </c>
      <c r="L356">
        <v>1.7</v>
      </c>
      <c r="M356" t="b">
        <v>0</v>
      </c>
    </row>
    <row r="357" spans="1:14" x14ac:dyDescent="0.25">
      <c r="A357" t="s">
        <v>410</v>
      </c>
      <c r="B357" t="s">
        <v>30</v>
      </c>
      <c r="C357" t="s">
        <v>32</v>
      </c>
      <c r="D357" t="s">
        <v>62</v>
      </c>
      <c r="E357" t="s">
        <v>18</v>
      </c>
      <c r="F357" t="s">
        <v>25</v>
      </c>
      <c r="G357">
        <v>144.61000000000001</v>
      </c>
      <c r="H357">
        <v>0</v>
      </c>
      <c r="I357">
        <v>144.61000000000001</v>
      </c>
      <c r="J357" s="1">
        <v>45875</v>
      </c>
      <c r="K357">
        <v>21</v>
      </c>
      <c r="L357">
        <v>2.5</v>
      </c>
      <c r="M357" t="b">
        <v>0</v>
      </c>
    </row>
    <row r="358" spans="1:14" x14ac:dyDescent="0.25">
      <c r="A358" t="s">
        <v>411</v>
      </c>
      <c r="B358" t="s">
        <v>27</v>
      </c>
      <c r="C358" t="s">
        <v>43</v>
      </c>
      <c r="D358" t="s">
        <v>34</v>
      </c>
      <c r="F358" t="s">
        <v>64</v>
      </c>
      <c r="G358">
        <v>31</v>
      </c>
      <c r="H358">
        <v>0</v>
      </c>
      <c r="I358">
        <v>31</v>
      </c>
      <c r="J358" s="1">
        <v>45875</v>
      </c>
      <c r="K358">
        <v>29</v>
      </c>
      <c r="L358">
        <v>1.9</v>
      </c>
      <c r="M358" t="b">
        <v>0</v>
      </c>
    </row>
    <row r="359" spans="1:14" x14ac:dyDescent="0.25">
      <c r="A359" t="s">
        <v>412</v>
      </c>
      <c r="B359" t="s">
        <v>27</v>
      </c>
      <c r="C359" t="s">
        <v>75</v>
      </c>
      <c r="D359" t="s">
        <v>23</v>
      </c>
      <c r="F359" t="s">
        <v>25</v>
      </c>
      <c r="G359">
        <v>68.569999999999993</v>
      </c>
      <c r="H359">
        <v>29.4</v>
      </c>
      <c r="I359">
        <v>48.41</v>
      </c>
      <c r="J359" s="1">
        <v>45875</v>
      </c>
      <c r="K359">
        <v>4</v>
      </c>
      <c r="L359">
        <v>3.5</v>
      </c>
      <c r="M359" t="b">
        <v>0</v>
      </c>
    </row>
    <row r="360" spans="1:14" x14ac:dyDescent="0.25">
      <c r="A360" t="s">
        <v>413</v>
      </c>
      <c r="B360" t="s">
        <v>42</v>
      </c>
      <c r="C360" t="s">
        <v>75</v>
      </c>
      <c r="D360" t="s">
        <v>62</v>
      </c>
      <c r="E360" t="s">
        <v>24</v>
      </c>
      <c r="F360" t="s">
        <v>19</v>
      </c>
      <c r="G360">
        <v>73.040000000000006</v>
      </c>
      <c r="H360">
        <v>56.5</v>
      </c>
      <c r="I360">
        <v>31.77</v>
      </c>
      <c r="J360" s="1">
        <v>45875</v>
      </c>
      <c r="K360">
        <v>15</v>
      </c>
      <c r="L360">
        <v>3</v>
      </c>
      <c r="M360" t="b">
        <v>1</v>
      </c>
      <c r="N360" t="s">
        <v>115</v>
      </c>
    </row>
    <row r="361" spans="1:14" x14ac:dyDescent="0.25">
      <c r="A361" t="s">
        <v>414</v>
      </c>
      <c r="B361" t="s">
        <v>21</v>
      </c>
      <c r="C361" t="s">
        <v>48</v>
      </c>
      <c r="D361" t="s">
        <v>17</v>
      </c>
      <c r="E361" t="s">
        <v>24</v>
      </c>
      <c r="F361" t="s">
        <v>66</v>
      </c>
      <c r="G361">
        <v>95.19</v>
      </c>
      <c r="H361">
        <v>0</v>
      </c>
      <c r="I361">
        <v>95.19</v>
      </c>
      <c r="J361" s="1">
        <v>45697</v>
      </c>
      <c r="K361">
        <v>13</v>
      </c>
      <c r="L361">
        <v>4.0999999999999996</v>
      </c>
      <c r="M361" t="b">
        <v>0</v>
      </c>
    </row>
    <row r="362" spans="1:14" x14ac:dyDescent="0.25">
      <c r="A362" t="s">
        <v>415</v>
      </c>
      <c r="B362" t="s">
        <v>21</v>
      </c>
      <c r="C362" t="s">
        <v>61</v>
      </c>
      <c r="D362" t="s">
        <v>23</v>
      </c>
      <c r="E362" t="s">
        <v>55</v>
      </c>
      <c r="F362" t="s">
        <v>66</v>
      </c>
      <c r="G362">
        <v>104.94</v>
      </c>
      <c r="H362">
        <v>0</v>
      </c>
      <c r="I362">
        <v>104.94</v>
      </c>
      <c r="J362" s="1">
        <v>45875</v>
      </c>
      <c r="K362">
        <v>42</v>
      </c>
      <c r="L362">
        <v>2</v>
      </c>
      <c r="M362" t="b">
        <v>0</v>
      </c>
    </row>
    <row r="363" spans="1:14" x14ac:dyDescent="0.25">
      <c r="A363" t="s">
        <v>416</v>
      </c>
      <c r="B363" t="s">
        <v>38</v>
      </c>
      <c r="C363" t="s">
        <v>61</v>
      </c>
      <c r="D363" t="s">
        <v>17</v>
      </c>
      <c r="E363" t="s">
        <v>49</v>
      </c>
      <c r="F363" t="s">
        <v>56</v>
      </c>
      <c r="G363">
        <v>97.29</v>
      </c>
      <c r="H363">
        <v>0</v>
      </c>
      <c r="I363">
        <v>97.29</v>
      </c>
      <c r="J363" s="1">
        <v>45867</v>
      </c>
      <c r="K363">
        <v>42</v>
      </c>
      <c r="L363">
        <v>4.5</v>
      </c>
      <c r="M363" t="b">
        <v>0</v>
      </c>
    </row>
    <row r="364" spans="1:14" x14ac:dyDescent="0.25">
      <c r="A364" t="s">
        <v>417</v>
      </c>
      <c r="B364" t="s">
        <v>30</v>
      </c>
      <c r="C364" t="s">
        <v>43</v>
      </c>
      <c r="D364" t="s">
        <v>23</v>
      </c>
      <c r="E364" t="s">
        <v>24</v>
      </c>
      <c r="F364" t="s">
        <v>35</v>
      </c>
      <c r="G364">
        <v>83.05</v>
      </c>
      <c r="H364">
        <v>39.799999999999997</v>
      </c>
      <c r="I364">
        <v>50</v>
      </c>
      <c r="J364" s="1">
        <v>45875</v>
      </c>
      <c r="K364">
        <v>5</v>
      </c>
      <c r="L364">
        <v>3.4</v>
      </c>
      <c r="M364" t="b">
        <v>0</v>
      </c>
    </row>
    <row r="365" spans="1:14" x14ac:dyDescent="0.25">
      <c r="A365" t="s">
        <v>418</v>
      </c>
      <c r="B365" t="s">
        <v>15</v>
      </c>
      <c r="C365" t="s">
        <v>22</v>
      </c>
      <c r="D365" t="s">
        <v>34</v>
      </c>
      <c r="E365" t="s">
        <v>39</v>
      </c>
      <c r="F365" t="s">
        <v>56</v>
      </c>
      <c r="G365">
        <v>86.13</v>
      </c>
      <c r="H365">
        <v>0</v>
      </c>
      <c r="I365">
        <v>86.13</v>
      </c>
      <c r="J365" s="1">
        <v>45875</v>
      </c>
      <c r="K365">
        <v>28</v>
      </c>
      <c r="L365">
        <v>2.7</v>
      </c>
      <c r="M365" t="b">
        <v>0</v>
      </c>
    </row>
    <row r="366" spans="1:14" x14ac:dyDescent="0.25">
      <c r="A366" t="s">
        <v>419</v>
      </c>
      <c r="B366" t="s">
        <v>38</v>
      </c>
      <c r="C366" t="s">
        <v>32</v>
      </c>
      <c r="D366" t="s">
        <v>62</v>
      </c>
      <c r="E366" t="s">
        <v>39</v>
      </c>
      <c r="F366" t="s">
        <v>35</v>
      </c>
      <c r="G366">
        <v>104.13</v>
      </c>
      <c r="H366">
        <v>28.7</v>
      </c>
      <c r="I366">
        <v>74.239999999999995</v>
      </c>
      <c r="J366" s="1">
        <v>45875</v>
      </c>
      <c r="K366">
        <v>23</v>
      </c>
      <c r="L366">
        <v>3.1</v>
      </c>
      <c r="M366" t="b">
        <v>0</v>
      </c>
    </row>
    <row r="367" spans="1:14" x14ac:dyDescent="0.25">
      <c r="A367" t="s">
        <v>420</v>
      </c>
      <c r="B367" t="s">
        <v>27</v>
      </c>
      <c r="C367" t="s">
        <v>22</v>
      </c>
      <c r="D367" t="s">
        <v>34</v>
      </c>
      <c r="F367" t="s">
        <v>46</v>
      </c>
      <c r="G367">
        <v>41.7</v>
      </c>
      <c r="H367">
        <v>0</v>
      </c>
      <c r="I367">
        <v>41.7</v>
      </c>
      <c r="J367" s="1">
        <v>45875</v>
      </c>
      <c r="K367">
        <v>18</v>
      </c>
      <c r="L367">
        <v>3.2</v>
      </c>
      <c r="M367" t="b">
        <v>0</v>
      </c>
    </row>
    <row r="368" spans="1:14" x14ac:dyDescent="0.25">
      <c r="A368" t="s">
        <v>421</v>
      </c>
      <c r="B368" t="s">
        <v>15</v>
      </c>
      <c r="C368" t="s">
        <v>32</v>
      </c>
      <c r="D368" t="s">
        <v>17</v>
      </c>
      <c r="E368" t="s">
        <v>24</v>
      </c>
      <c r="F368" t="s">
        <v>35</v>
      </c>
      <c r="G368">
        <v>80.11</v>
      </c>
      <c r="H368">
        <v>0</v>
      </c>
      <c r="I368">
        <v>80.11</v>
      </c>
      <c r="J368" s="1">
        <v>45763</v>
      </c>
      <c r="K368">
        <v>34</v>
      </c>
      <c r="L368">
        <v>1.8</v>
      </c>
      <c r="M368" t="b">
        <v>0</v>
      </c>
    </row>
    <row r="369" spans="1:14" x14ac:dyDescent="0.25">
      <c r="A369" t="s">
        <v>422</v>
      </c>
      <c r="B369" t="s">
        <v>21</v>
      </c>
      <c r="C369" t="s">
        <v>53</v>
      </c>
      <c r="D369" t="s">
        <v>34</v>
      </c>
      <c r="E369" t="s">
        <v>24</v>
      </c>
      <c r="F369" t="s">
        <v>35</v>
      </c>
      <c r="G369">
        <v>97.84</v>
      </c>
      <c r="H369">
        <v>0</v>
      </c>
      <c r="I369">
        <v>97.84</v>
      </c>
      <c r="J369" s="1">
        <v>45875</v>
      </c>
      <c r="K369">
        <v>16</v>
      </c>
      <c r="M369" t="b">
        <v>0</v>
      </c>
    </row>
    <row r="370" spans="1:14" x14ac:dyDescent="0.25">
      <c r="A370" t="s">
        <v>423</v>
      </c>
      <c r="B370" t="s">
        <v>38</v>
      </c>
      <c r="C370" t="s">
        <v>61</v>
      </c>
      <c r="D370" t="s">
        <v>34</v>
      </c>
      <c r="E370" t="s">
        <v>18</v>
      </c>
      <c r="F370" t="s">
        <v>56</v>
      </c>
      <c r="G370">
        <v>77.37</v>
      </c>
      <c r="H370">
        <v>35.200000000000003</v>
      </c>
      <c r="I370">
        <v>50.14</v>
      </c>
      <c r="J370" s="1">
        <v>45875</v>
      </c>
      <c r="K370">
        <v>14</v>
      </c>
      <c r="L370">
        <v>2.2999999999999998</v>
      </c>
      <c r="M370" t="b">
        <v>0</v>
      </c>
    </row>
    <row r="371" spans="1:14" x14ac:dyDescent="0.25">
      <c r="A371" t="s">
        <v>424</v>
      </c>
      <c r="B371" t="s">
        <v>27</v>
      </c>
      <c r="C371" t="s">
        <v>48</v>
      </c>
      <c r="D371" t="s">
        <v>34</v>
      </c>
      <c r="F371" t="s">
        <v>19</v>
      </c>
      <c r="G371">
        <v>36.35</v>
      </c>
      <c r="H371">
        <v>37.6</v>
      </c>
      <c r="I371">
        <v>22.68</v>
      </c>
      <c r="J371" s="1">
        <v>45875</v>
      </c>
      <c r="K371">
        <v>49</v>
      </c>
      <c r="L371">
        <v>4</v>
      </c>
      <c r="M371" t="b">
        <v>1</v>
      </c>
      <c r="N371" t="s">
        <v>115</v>
      </c>
    </row>
    <row r="372" spans="1:14" x14ac:dyDescent="0.25">
      <c r="A372" t="s">
        <v>425</v>
      </c>
      <c r="B372" t="s">
        <v>15</v>
      </c>
      <c r="C372" t="s">
        <v>32</v>
      </c>
      <c r="D372" t="s">
        <v>23</v>
      </c>
      <c r="E372" t="s">
        <v>49</v>
      </c>
      <c r="F372" t="s">
        <v>46</v>
      </c>
      <c r="G372">
        <v>181.04</v>
      </c>
      <c r="H372">
        <v>20.2</v>
      </c>
      <c r="I372">
        <v>144.47</v>
      </c>
      <c r="J372" s="1">
        <v>45875</v>
      </c>
      <c r="K372">
        <v>17</v>
      </c>
      <c r="M372" t="b">
        <v>1</v>
      </c>
      <c r="N372" t="s">
        <v>73</v>
      </c>
    </row>
    <row r="373" spans="1:14" x14ac:dyDescent="0.25">
      <c r="A373" t="s">
        <v>426</v>
      </c>
      <c r="B373" t="s">
        <v>15</v>
      </c>
      <c r="C373" t="s">
        <v>16</v>
      </c>
      <c r="D373" t="s">
        <v>17</v>
      </c>
      <c r="E373" t="s">
        <v>18</v>
      </c>
      <c r="F373" t="s">
        <v>28</v>
      </c>
      <c r="G373">
        <v>158.37</v>
      </c>
      <c r="H373">
        <v>0</v>
      </c>
      <c r="I373">
        <v>158.37</v>
      </c>
      <c r="J373" s="1">
        <v>45703</v>
      </c>
      <c r="K373">
        <v>33</v>
      </c>
      <c r="M373" t="b">
        <v>0</v>
      </c>
    </row>
    <row r="374" spans="1:14" x14ac:dyDescent="0.25">
      <c r="A374" t="s">
        <v>427</v>
      </c>
      <c r="B374" t="s">
        <v>30</v>
      </c>
      <c r="C374" t="s">
        <v>75</v>
      </c>
      <c r="D374" t="s">
        <v>62</v>
      </c>
      <c r="E374" t="s">
        <v>49</v>
      </c>
      <c r="F374" t="s">
        <v>66</v>
      </c>
      <c r="G374">
        <v>91.98</v>
      </c>
      <c r="H374">
        <v>0</v>
      </c>
      <c r="I374">
        <v>91.98</v>
      </c>
      <c r="J374" s="1">
        <v>45875</v>
      </c>
      <c r="K374">
        <v>48</v>
      </c>
      <c r="L374">
        <v>3.9</v>
      </c>
      <c r="M374" t="b">
        <v>0</v>
      </c>
    </row>
    <row r="375" spans="1:14" x14ac:dyDescent="0.25">
      <c r="A375" t="s">
        <v>428</v>
      </c>
      <c r="B375" t="s">
        <v>30</v>
      </c>
      <c r="C375" t="s">
        <v>16</v>
      </c>
      <c r="D375" t="s">
        <v>23</v>
      </c>
      <c r="E375" t="s">
        <v>39</v>
      </c>
      <c r="F375" t="s">
        <v>70</v>
      </c>
      <c r="G375">
        <v>140.29</v>
      </c>
      <c r="H375">
        <v>55.3</v>
      </c>
      <c r="I375">
        <v>62.71</v>
      </c>
      <c r="J375" s="1">
        <v>45875</v>
      </c>
      <c r="K375">
        <v>5</v>
      </c>
      <c r="L375">
        <v>4.4000000000000004</v>
      </c>
      <c r="M375" t="b">
        <v>0</v>
      </c>
    </row>
    <row r="376" spans="1:14" x14ac:dyDescent="0.25">
      <c r="A376" t="s">
        <v>429</v>
      </c>
      <c r="B376" t="s">
        <v>21</v>
      </c>
      <c r="C376" t="s">
        <v>22</v>
      </c>
      <c r="D376" t="s">
        <v>17</v>
      </c>
      <c r="E376" t="s">
        <v>18</v>
      </c>
      <c r="F376" t="s">
        <v>19</v>
      </c>
      <c r="G376">
        <v>26.01</v>
      </c>
      <c r="H376">
        <v>0</v>
      </c>
      <c r="I376">
        <v>26.01</v>
      </c>
      <c r="J376" s="1">
        <v>45711</v>
      </c>
      <c r="K376">
        <v>9</v>
      </c>
      <c r="L376">
        <v>4</v>
      </c>
      <c r="M376" t="b">
        <v>0</v>
      </c>
    </row>
    <row r="377" spans="1:14" x14ac:dyDescent="0.25">
      <c r="A377" t="s">
        <v>430</v>
      </c>
      <c r="B377" t="s">
        <v>21</v>
      </c>
      <c r="C377" t="s">
        <v>75</v>
      </c>
      <c r="D377" t="s">
        <v>23</v>
      </c>
      <c r="E377" t="s">
        <v>18</v>
      </c>
      <c r="F377" t="s">
        <v>44</v>
      </c>
      <c r="G377">
        <v>51.06</v>
      </c>
      <c r="H377">
        <v>9.5</v>
      </c>
      <c r="I377">
        <v>46.21</v>
      </c>
      <c r="J377" s="1">
        <v>45875</v>
      </c>
      <c r="K377">
        <v>34</v>
      </c>
      <c r="L377">
        <v>1.1000000000000001</v>
      </c>
      <c r="M377" t="b">
        <v>0</v>
      </c>
    </row>
    <row r="378" spans="1:14" x14ac:dyDescent="0.25">
      <c r="A378" t="s">
        <v>431</v>
      </c>
      <c r="B378" t="s">
        <v>15</v>
      </c>
      <c r="C378" t="s">
        <v>61</v>
      </c>
      <c r="D378" t="s">
        <v>34</v>
      </c>
      <c r="E378" t="s">
        <v>55</v>
      </c>
      <c r="F378" t="s">
        <v>19</v>
      </c>
      <c r="G378">
        <v>132.91999999999999</v>
      </c>
      <c r="H378">
        <v>0</v>
      </c>
      <c r="I378">
        <v>132.91999999999999</v>
      </c>
      <c r="J378" s="1">
        <v>45875</v>
      </c>
      <c r="K378">
        <v>36</v>
      </c>
      <c r="L378">
        <v>1.2</v>
      </c>
      <c r="M378" t="b">
        <v>0</v>
      </c>
    </row>
    <row r="379" spans="1:14" x14ac:dyDescent="0.25">
      <c r="A379" t="s">
        <v>432</v>
      </c>
      <c r="B379" t="s">
        <v>27</v>
      </c>
      <c r="C379" t="s">
        <v>61</v>
      </c>
      <c r="D379" t="s">
        <v>34</v>
      </c>
      <c r="F379" t="s">
        <v>66</v>
      </c>
      <c r="G379">
        <v>16.57</v>
      </c>
      <c r="H379">
        <v>0</v>
      </c>
      <c r="I379">
        <v>16.57</v>
      </c>
      <c r="J379" s="1">
        <v>45875</v>
      </c>
      <c r="K379">
        <v>17</v>
      </c>
      <c r="M379" t="b">
        <v>0</v>
      </c>
    </row>
    <row r="380" spans="1:14" x14ac:dyDescent="0.25">
      <c r="A380" t="s">
        <v>433</v>
      </c>
      <c r="B380" t="s">
        <v>38</v>
      </c>
      <c r="C380" t="s">
        <v>75</v>
      </c>
      <c r="D380" t="s">
        <v>23</v>
      </c>
      <c r="E380" t="s">
        <v>55</v>
      </c>
      <c r="F380" t="s">
        <v>28</v>
      </c>
      <c r="G380">
        <v>78.599999999999994</v>
      </c>
      <c r="H380">
        <v>45.8</v>
      </c>
      <c r="I380">
        <v>42.6</v>
      </c>
      <c r="J380" s="1">
        <v>45875</v>
      </c>
      <c r="K380">
        <v>6</v>
      </c>
      <c r="L380">
        <v>2.7</v>
      </c>
      <c r="M380" t="b">
        <v>0</v>
      </c>
    </row>
    <row r="381" spans="1:14" x14ac:dyDescent="0.25">
      <c r="A381" t="s">
        <v>434</v>
      </c>
      <c r="B381" t="s">
        <v>27</v>
      </c>
      <c r="C381" t="s">
        <v>43</v>
      </c>
      <c r="D381" t="s">
        <v>62</v>
      </c>
      <c r="F381" t="s">
        <v>70</v>
      </c>
      <c r="G381">
        <v>69.38</v>
      </c>
      <c r="H381">
        <v>0</v>
      </c>
      <c r="I381">
        <v>69.38</v>
      </c>
      <c r="J381" s="1">
        <v>45875</v>
      </c>
      <c r="K381">
        <v>43</v>
      </c>
      <c r="L381">
        <v>2.4</v>
      </c>
      <c r="M381" t="b">
        <v>0</v>
      </c>
    </row>
    <row r="382" spans="1:14" x14ac:dyDescent="0.25">
      <c r="A382" t="s">
        <v>435</v>
      </c>
      <c r="B382" t="s">
        <v>27</v>
      </c>
      <c r="C382" t="s">
        <v>43</v>
      </c>
      <c r="D382" t="s">
        <v>34</v>
      </c>
      <c r="F382" t="s">
        <v>25</v>
      </c>
      <c r="G382">
        <v>23.58</v>
      </c>
      <c r="H382">
        <v>0</v>
      </c>
      <c r="I382">
        <v>23.58</v>
      </c>
      <c r="J382" s="1">
        <v>45875</v>
      </c>
      <c r="K382">
        <v>16</v>
      </c>
      <c r="L382">
        <v>1.3</v>
      </c>
      <c r="M382" t="b">
        <v>0</v>
      </c>
    </row>
    <row r="383" spans="1:14" x14ac:dyDescent="0.25">
      <c r="A383" t="s">
        <v>436</v>
      </c>
      <c r="B383" t="s">
        <v>21</v>
      </c>
      <c r="C383" t="s">
        <v>48</v>
      </c>
      <c r="D383" t="s">
        <v>17</v>
      </c>
      <c r="E383" t="s">
        <v>55</v>
      </c>
      <c r="F383" t="s">
        <v>64</v>
      </c>
      <c r="G383">
        <v>119.91</v>
      </c>
      <c r="H383">
        <v>27.8</v>
      </c>
      <c r="I383">
        <v>86.58</v>
      </c>
      <c r="J383" s="1">
        <v>45563</v>
      </c>
      <c r="K383">
        <v>12</v>
      </c>
      <c r="L383">
        <v>1.7</v>
      </c>
      <c r="M383" t="b">
        <v>0</v>
      </c>
    </row>
    <row r="384" spans="1:14" x14ac:dyDescent="0.25">
      <c r="A384" t="s">
        <v>437</v>
      </c>
      <c r="B384" t="s">
        <v>15</v>
      </c>
      <c r="C384" t="s">
        <v>48</v>
      </c>
      <c r="D384" t="s">
        <v>62</v>
      </c>
      <c r="E384" t="s">
        <v>58</v>
      </c>
      <c r="F384" t="s">
        <v>28</v>
      </c>
      <c r="G384">
        <v>111.05</v>
      </c>
      <c r="H384">
        <v>1.4</v>
      </c>
      <c r="I384">
        <v>109.5</v>
      </c>
      <c r="J384" s="1">
        <v>45875</v>
      </c>
      <c r="K384">
        <v>7</v>
      </c>
      <c r="L384">
        <v>2.8</v>
      </c>
      <c r="M384" t="b">
        <v>0</v>
      </c>
    </row>
    <row r="385" spans="1:14" x14ac:dyDescent="0.25">
      <c r="A385" t="s">
        <v>438</v>
      </c>
      <c r="B385" t="s">
        <v>27</v>
      </c>
      <c r="C385" t="s">
        <v>32</v>
      </c>
      <c r="D385" t="s">
        <v>62</v>
      </c>
      <c r="F385" t="s">
        <v>40</v>
      </c>
      <c r="G385">
        <v>60.22</v>
      </c>
      <c r="H385">
        <v>0</v>
      </c>
      <c r="I385">
        <v>60.22</v>
      </c>
      <c r="J385" s="1">
        <v>45875</v>
      </c>
      <c r="K385">
        <v>6</v>
      </c>
      <c r="L385">
        <v>2.1</v>
      </c>
      <c r="M385" t="b">
        <v>0</v>
      </c>
    </row>
    <row r="386" spans="1:14" x14ac:dyDescent="0.25">
      <c r="A386" t="s">
        <v>439</v>
      </c>
      <c r="B386" t="s">
        <v>15</v>
      </c>
      <c r="C386" t="s">
        <v>61</v>
      </c>
      <c r="D386" t="s">
        <v>23</v>
      </c>
      <c r="E386" t="s">
        <v>58</v>
      </c>
      <c r="F386" t="s">
        <v>64</v>
      </c>
      <c r="G386">
        <v>133.52000000000001</v>
      </c>
      <c r="H386">
        <v>0</v>
      </c>
      <c r="I386">
        <v>133.52000000000001</v>
      </c>
      <c r="J386" s="1">
        <v>45875</v>
      </c>
      <c r="K386">
        <v>27</v>
      </c>
      <c r="L386">
        <v>3.6</v>
      </c>
      <c r="M386" t="b">
        <v>0</v>
      </c>
    </row>
    <row r="387" spans="1:14" x14ac:dyDescent="0.25">
      <c r="A387" t="s">
        <v>440</v>
      </c>
      <c r="B387" t="s">
        <v>42</v>
      </c>
      <c r="C387" t="s">
        <v>32</v>
      </c>
      <c r="D387" t="s">
        <v>17</v>
      </c>
      <c r="E387" t="s">
        <v>18</v>
      </c>
      <c r="F387" t="s">
        <v>70</v>
      </c>
      <c r="G387">
        <v>54.97</v>
      </c>
      <c r="H387">
        <v>49.6</v>
      </c>
      <c r="I387">
        <v>27.7</v>
      </c>
      <c r="J387" s="1">
        <v>45573</v>
      </c>
      <c r="K387">
        <v>48</v>
      </c>
      <c r="L387">
        <v>4.5</v>
      </c>
      <c r="M387" t="b">
        <v>0</v>
      </c>
    </row>
    <row r="388" spans="1:14" x14ac:dyDescent="0.25">
      <c r="A388" t="s">
        <v>441</v>
      </c>
      <c r="B388" t="s">
        <v>21</v>
      </c>
      <c r="C388" t="s">
        <v>22</v>
      </c>
      <c r="D388" t="s">
        <v>23</v>
      </c>
      <c r="E388" t="s">
        <v>24</v>
      </c>
      <c r="F388" t="s">
        <v>35</v>
      </c>
      <c r="G388">
        <v>85.94</v>
      </c>
      <c r="H388">
        <v>0</v>
      </c>
      <c r="I388">
        <v>85.94</v>
      </c>
      <c r="J388" s="1">
        <v>45875</v>
      </c>
      <c r="K388">
        <v>42</v>
      </c>
      <c r="L388">
        <v>4.3</v>
      </c>
      <c r="M388" t="b">
        <v>0</v>
      </c>
    </row>
    <row r="389" spans="1:14" x14ac:dyDescent="0.25">
      <c r="A389" t="s">
        <v>442</v>
      </c>
      <c r="B389" t="s">
        <v>27</v>
      </c>
      <c r="C389" t="s">
        <v>48</v>
      </c>
      <c r="D389" t="s">
        <v>34</v>
      </c>
      <c r="F389" t="s">
        <v>28</v>
      </c>
      <c r="G389">
        <v>24.64</v>
      </c>
      <c r="H389">
        <v>0</v>
      </c>
      <c r="I389">
        <v>24.64</v>
      </c>
      <c r="J389" s="1">
        <v>45875</v>
      </c>
      <c r="K389">
        <v>6</v>
      </c>
      <c r="L389">
        <v>4.4000000000000004</v>
      </c>
      <c r="M389" t="b">
        <v>0</v>
      </c>
    </row>
    <row r="390" spans="1:14" x14ac:dyDescent="0.25">
      <c r="A390" t="s">
        <v>443</v>
      </c>
      <c r="B390" t="s">
        <v>27</v>
      </c>
      <c r="C390" t="s">
        <v>32</v>
      </c>
      <c r="D390" t="s">
        <v>17</v>
      </c>
      <c r="F390" t="s">
        <v>44</v>
      </c>
      <c r="G390">
        <v>28.82</v>
      </c>
      <c r="H390">
        <v>0</v>
      </c>
      <c r="I390">
        <v>28.82</v>
      </c>
      <c r="J390" s="1">
        <v>45588</v>
      </c>
      <c r="K390">
        <v>30</v>
      </c>
      <c r="L390">
        <v>2.8</v>
      </c>
      <c r="M390" t="b">
        <v>0</v>
      </c>
    </row>
    <row r="391" spans="1:14" x14ac:dyDescent="0.25">
      <c r="A391" t="s">
        <v>444</v>
      </c>
      <c r="B391" t="s">
        <v>30</v>
      </c>
      <c r="C391" t="s">
        <v>75</v>
      </c>
      <c r="D391" t="s">
        <v>62</v>
      </c>
      <c r="E391" t="s">
        <v>24</v>
      </c>
      <c r="F391" t="s">
        <v>25</v>
      </c>
      <c r="G391">
        <v>79.59</v>
      </c>
      <c r="H391">
        <v>24.3</v>
      </c>
      <c r="I391">
        <v>60.25</v>
      </c>
      <c r="J391" s="1">
        <v>45875</v>
      </c>
      <c r="K391">
        <v>37</v>
      </c>
      <c r="L391">
        <v>1.7</v>
      </c>
      <c r="M391" t="b">
        <v>0</v>
      </c>
    </row>
    <row r="392" spans="1:14" x14ac:dyDescent="0.25">
      <c r="A392" t="s">
        <v>445</v>
      </c>
      <c r="B392" t="s">
        <v>42</v>
      </c>
      <c r="C392" t="s">
        <v>61</v>
      </c>
      <c r="D392" t="s">
        <v>34</v>
      </c>
      <c r="E392" t="s">
        <v>18</v>
      </c>
      <c r="F392" t="s">
        <v>44</v>
      </c>
      <c r="G392">
        <v>49.44</v>
      </c>
      <c r="H392">
        <v>0</v>
      </c>
      <c r="I392">
        <v>49.44</v>
      </c>
      <c r="J392" s="1">
        <v>45875</v>
      </c>
      <c r="K392">
        <v>19</v>
      </c>
      <c r="L392">
        <v>3.4</v>
      </c>
      <c r="M392" t="b">
        <v>0</v>
      </c>
    </row>
    <row r="393" spans="1:14" x14ac:dyDescent="0.25">
      <c r="A393" t="s">
        <v>446</v>
      </c>
      <c r="B393" t="s">
        <v>21</v>
      </c>
      <c r="C393" t="s">
        <v>43</v>
      </c>
      <c r="D393" t="s">
        <v>23</v>
      </c>
      <c r="E393" t="s">
        <v>55</v>
      </c>
      <c r="F393" t="s">
        <v>44</v>
      </c>
      <c r="G393">
        <v>41.46</v>
      </c>
      <c r="H393">
        <v>0</v>
      </c>
      <c r="I393">
        <v>41.46</v>
      </c>
      <c r="J393" s="1">
        <v>45875</v>
      </c>
      <c r="K393">
        <v>36</v>
      </c>
      <c r="L393">
        <v>3.5</v>
      </c>
      <c r="M393" t="b">
        <v>0</v>
      </c>
    </row>
    <row r="394" spans="1:14" x14ac:dyDescent="0.25">
      <c r="A394" t="s">
        <v>447</v>
      </c>
      <c r="B394" t="s">
        <v>42</v>
      </c>
      <c r="C394" t="s">
        <v>22</v>
      </c>
      <c r="D394" t="s">
        <v>34</v>
      </c>
      <c r="E394" t="s">
        <v>55</v>
      </c>
      <c r="F394" t="s">
        <v>56</v>
      </c>
      <c r="G394">
        <v>131.76</v>
      </c>
      <c r="H394">
        <v>35.4</v>
      </c>
      <c r="I394">
        <v>85.12</v>
      </c>
      <c r="J394" s="1">
        <v>45875</v>
      </c>
      <c r="K394">
        <v>21</v>
      </c>
      <c r="L394">
        <v>4.7</v>
      </c>
      <c r="M394" t="b">
        <v>0</v>
      </c>
    </row>
    <row r="395" spans="1:14" x14ac:dyDescent="0.25">
      <c r="A395" t="s">
        <v>448</v>
      </c>
      <c r="B395" t="s">
        <v>38</v>
      </c>
      <c r="C395" t="s">
        <v>43</v>
      </c>
      <c r="D395" t="s">
        <v>34</v>
      </c>
      <c r="E395" t="s">
        <v>58</v>
      </c>
      <c r="F395" t="s">
        <v>44</v>
      </c>
      <c r="G395">
        <v>56.53</v>
      </c>
      <c r="H395">
        <v>27.9</v>
      </c>
      <c r="I395">
        <v>40.76</v>
      </c>
      <c r="J395" s="1">
        <v>45875</v>
      </c>
      <c r="K395">
        <v>22</v>
      </c>
      <c r="M395" t="b">
        <v>0</v>
      </c>
    </row>
    <row r="396" spans="1:14" x14ac:dyDescent="0.25">
      <c r="A396" t="s">
        <v>449</v>
      </c>
      <c r="B396" t="s">
        <v>21</v>
      </c>
      <c r="C396" t="s">
        <v>16</v>
      </c>
      <c r="D396" t="s">
        <v>23</v>
      </c>
      <c r="F396" t="s">
        <v>44</v>
      </c>
      <c r="G396">
        <v>111.72</v>
      </c>
      <c r="H396">
        <v>33.299999999999997</v>
      </c>
      <c r="I396">
        <v>74.52</v>
      </c>
      <c r="J396" s="1">
        <v>45875</v>
      </c>
      <c r="K396">
        <v>47</v>
      </c>
      <c r="L396">
        <v>2</v>
      </c>
      <c r="M396" t="b">
        <v>1</v>
      </c>
      <c r="N396" t="s">
        <v>83</v>
      </c>
    </row>
    <row r="397" spans="1:14" x14ac:dyDescent="0.25">
      <c r="A397" t="s">
        <v>450</v>
      </c>
      <c r="B397" t="s">
        <v>21</v>
      </c>
      <c r="C397" t="s">
        <v>16</v>
      </c>
      <c r="D397" t="s">
        <v>23</v>
      </c>
      <c r="E397" t="s">
        <v>24</v>
      </c>
      <c r="F397" t="s">
        <v>56</v>
      </c>
      <c r="G397">
        <v>99.96</v>
      </c>
      <c r="H397">
        <v>47.6</v>
      </c>
      <c r="I397">
        <v>52.38</v>
      </c>
      <c r="J397" s="1">
        <v>45875</v>
      </c>
      <c r="K397">
        <v>18</v>
      </c>
      <c r="L397">
        <v>2</v>
      </c>
      <c r="M397" t="b">
        <v>1</v>
      </c>
      <c r="N397" t="s">
        <v>83</v>
      </c>
    </row>
    <row r="398" spans="1:14" x14ac:dyDescent="0.25">
      <c r="A398" t="s">
        <v>451</v>
      </c>
      <c r="B398" t="s">
        <v>42</v>
      </c>
      <c r="C398" t="s">
        <v>22</v>
      </c>
      <c r="D398" t="s">
        <v>34</v>
      </c>
      <c r="E398" t="s">
        <v>55</v>
      </c>
      <c r="F398" t="s">
        <v>19</v>
      </c>
      <c r="G398">
        <v>110.04</v>
      </c>
      <c r="H398">
        <v>57.1</v>
      </c>
      <c r="I398">
        <v>47.21</v>
      </c>
      <c r="J398" s="1">
        <v>45875</v>
      </c>
      <c r="K398">
        <v>0</v>
      </c>
      <c r="L398">
        <v>4.7</v>
      </c>
      <c r="M398" t="b">
        <v>0</v>
      </c>
    </row>
    <row r="399" spans="1:14" x14ac:dyDescent="0.25">
      <c r="A399" t="s">
        <v>452</v>
      </c>
      <c r="B399" t="s">
        <v>42</v>
      </c>
      <c r="C399" t="s">
        <v>75</v>
      </c>
      <c r="D399" t="s">
        <v>23</v>
      </c>
      <c r="E399" t="s">
        <v>24</v>
      </c>
      <c r="F399" t="s">
        <v>44</v>
      </c>
      <c r="G399">
        <v>141.84</v>
      </c>
      <c r="H399">
        <v>0</v>
      </c>
      <c r="I399">
        <v>141.84</v>
      </c>
      <c r="J399" s="1">
        <v>45875</v>
      </c>
      <c r="K399">
        <v>39</v>
      </c>
      <c r="L399">
        <v>1.7</v>
      </c>
      <c r="M399" t="b">
        <v>0</v>
      </c>
    </row>
    <row r="400" spans="1:14" x14ac:dyDescent="0.25">
      <c r="A400" t="s">
        <v>453</v>
      </c>
      <c r="B400" t="s">
        <v>27</v>
      </c>
      <c r="C400" t="s">
        <v>48</v>
      </c>
      <c r="D400" t="s">
        <v>23</v>
      </c>
      <c r="F400" t="s">
        <v>70</v>
      </c>
      <c r="G400">
        <v>32.630000000000003</v>
      </c>
      <c r="H400">
        <v>42.9</v>
      </c>
      <c r="I400">
        <v>18.63</v>
      </c>
      <c r="J400" s="1">
        <v>45875</v>
      </c>
      <c r="K400">
        <v>5</v>
      </c>
      <c r="L400">
        <v>1.1000000000000001</v>
      </c>
      <c r="M400" t="b">
        <v>0</v>
      </c>
    </row>
    <row r="401" spans="1:14" x14ac:dyDescent="0.25">
      <c r="A401" t="s">
        <v>454</v>
      </c>
      <c r="B401" t="s">
        <v>15</v>
      </c>
      <c r="C401" t="s">
        <v>16</v>
      </c>
      <c r="D401" t="s">
        <v>17</v>
      </c>
      <c r="E401" t="s">
        <v>24</v>
      </c>
      <c r="F401" t="s">
        <v>28</v>
      </c>
      <c r="G401">
        <v>189.68</v>
      </c>
      <c r="H401">
        <v>40.799999999999997</v>
      </c>
      <c r="I401">
        <v>112.29</v>
      </c>
      <c r="J401" s="1">
        <v>45556</v>
      </c>
      <c r="K401">
        <v>27</v>
      </c>
      <c r="L401">
        <v>1.8</v>
      </c>
      <c r="M401" t="b">
        <v>1</v>
      </c>
      <c r="N401" t="s">
        <v>78</v>
      </c>
    </row>
    <row r="402" spans="1:14" x14ac:dyDescent="0.25">
      <c r="A402" t="s">
        <v>455</v>
      </c>
      <c r="B402" t="s">
        <v>42</v>
      </c>
      <c r="C402" t="s">
        <v>53</v>
      </c>
      <c r="D402" t="s">
        <v>34</v>
      </c>
      <c r="E402" t="s">
        <v>18</v>
      </c>
      <c r="F402" t="s">
        <v>25</v>
      </c>
      <c r="G402">
        <v>150.88999999999999</v>
      </c>
      <c r="H402">
        <v>46.8</v>
      </c>
      <c r="I402">
        <v>80.27</v>
      </c>
      <c r="J402" s="1">
        <v>45875</v>
      </c>
      <c r="K402">
        <v>18</v>
      </c>
      <c r="L402">
        <v>4.9000000000000004</v>
      </c>
      <c r="M402" t="b">
        <v>0</v>
      </c>
    </row>
    <row r="403" spans="1:14" x14ac:dyDescent="0.25">
      <c r="A403" t="s">
        <v>456</v>
      </c>
      <c r="B403" t="s">
        <v>27</v>
      </c>
      <c r="C403" t="s">
        <v>61</v>
      </c>
      <c r="D403" t="s">
        <v>34</v>
      </c>
      <c r="F403" t="s">
        <v>64</v>
      </c>
      <c r="G403">
        <v>42.66</v>
      </c>
      <c r="H403">
        <v>21.5</v>
      </c>
      <c r="I403">
        <v>33.49</v>
      </c>
      <c r="J403" s="1">
        <v>45875</v>
      </c>
      <c r="K403">
        <v>16</v>
      </c>
      <c r="M403" t="b">
        <v>0</v>
      </c>
    </row>
    <row r="404" spans="1:14" x14ac:dyDescent="0.25">
      <c r="A404" t="s">
        <v>457</v>
      </c>
      <c r="B404" t="s">
        <v>27</v>
      </c>
      <c r="C404" t="s">
        <v>22</v>
      </c>
      <c r="D404" t="s">
        <v>34</v>
      </c>
      <c r="F404" t="s">
        <v>19</v>
      </c>
      <c r="G404">
        <v>62.05</v>
      </c>
      <c r="H404">
        <v>0</v>
      </c>
      <c r="I404">
        <v>62.05</v>
      </c>
      <c r="J404" s="1">
        <v>45875</v>
      </c>
      <c r="K404">
        <v>50</v>
      </c>
      <c r="L404">
        <v>1.4</v>
      </c>
      <c r="M404" t="b">
        <v>1</v>
      </c>
      <c r="N404" t="s">
        <v>115</v>
      </c>
    </row>
    <row r="405" spans="1:14" x14ac:dyDescent="0.25">
      <c r="A405" t="s">
        <v>458</v>
      </c>
      <c r="B405" t="s">
        <v>27</v>
      </c>
      <c r="C405" t="s">
        <v>32</v>
      </c>
      <c r="D405" t="s">
        <v>23</v>
      </c>
      <c r="F405" t="s">
        <v>46</v>
      </c>
      <c r="G405">
        <v>74.319999999999993</v>
      </c>
      <c r="H405">
        <v>0</v>
      </c>
      <c r="I405">
        <v>74.319999999999993</v>
      </c>
      <c r="J405" s="1">
        <v>45875</v>
      </c>
      <c r="K405">
        <v>4</v>
      </c>
      <c r="L405">
        <v>2.2000000000000002</v>
      </c>
      <c r="M405" t="b">
        <v>0</v>
      </c>
    </row>
    <row r="406" spans="1:14" x14ac:dyDescent="0.25">
      <c r="A406" t="s">
        <v>459</v>
      </c>
      <c r="B406" t="s">
        <v>15</v>
      </c>
      <c r="C406" t="s">
        <v>22</v>
      </c>
      <c r="D406" t="s">
        <v>23</v>
      </c>
      <c r="E406" t="s">
        <v>55</v>
      </c>
      <c r="F406" t="s">
        <v>64</v>
      </c>
      <c r="G406">
        <v>217.34</v>
      </c>
      <c r="H406">
        <v>0</v>
      </c>
      <c r="I406">
        <v>217.34</v>
      </c>
      <c r="J406" s="1">
        <v>45875</v>
      </c>
      <c r="K406">
        <v>4</v>
      </c>
      <c r="L406">
        <v>4.2</v>
      </c>
      <c r="M406" t="b">
        <v>0</v>
      </c>
    </row>
    <row r="407" spans="1:14" x14ac:dyDescent="0.25">
      <c r="A407" t="s">
        <v>460</v>
      </c>
      <c r="B407" t="s">
        <v>21</v>
      </c>
      <c r="C407" t="s">
        <v>16</v>
      </c>
      <c r="D407" t="s">
        <v>62</v>
      </c>
      <c r="E407" t="s">
        <v>18</v>
      </c>
      <c r="F407" t="s">
        <v>35</v>
      </c>
      <c r="G407">
        <v>111.14</v>
      </c>
      <c r="H407">
        <v>56.7</v>
      </c>
      <c r="I407">
        <v>48.12</v>
      </c>
      <c r="J407" s="1">
        <v>45875</v>
      </c>
      <c r="K407">
        <v>29</v>
      </c>
      <c r="L407">
        <v>1.5</v>
      </c>
      <c r="M407" t="b">
        <v>0</v>
      </c>
    </row>
    <row r="408" spans="1:14" x14ac:dyDescent="0.25">
      <c r="A408" t="s">
        <v>461</v>
      </c>
      <c r="B408" t="s">
        <v>30</v>
      </c>
      <c r="C408" t="s">
        <v>48</v>
      </c>
      <c r="D408" t="s">
        <v>23</v>
      </c>
      <c r="E408" t="s">
        <v>18</v>
      </c>
      <c r="F408" t="s">
        <v>64</v>
      </c>
      <c r="G408">
        <v>62.5</v>
      </c>
      <c r="H408">
        <v>0</v>
      </c>
      <c r="I408">
        <v>62.5</v>
      </c>
      <c r="J408" s="1">
        <v>45875</v>
      </c>
      <c r="K408">
        <v>0</v>
      </c>
      <c r="L408">
        <v>1.9</v>
      </c>
      <c r="M408" t="b">
        <v>1</v>
      </c>
      <c r="N408" t="s">
        <v>115</v>
      </c>
    </row>
    <row r="409" spans="1:14" x14ac:dyDescent="0.25">
      <c r="A409" t="s">
        <v>462</v>
      </c>
      <c r="B409" t="s">
        <v>15</v>
      </c>
      <c r="C409" t="s">
        <v>32</v>
      </c>
      <c r="D409" t="s">
        <v>23</v>
      </c>
      <c r="E409" t="s">
        <v>55</v>
      </c>
      <c r="F409" t="s">
        <v>44</v>
      </c>
      <c r="G409">
        <v>165.88</v>
      </c>
      <c r="H409">
        <v>3.4</v>
      </c>
      <c r="I409">
        <v>160.24</v>
      </c>
      <c r="J409" s="1">
        <v>45875</v>
      </c>
      <c r="K409">
        <v>42</v>
      </c>
      <c r="L409">
        <v>2.4</v>
      </c>
      <c r="M409" t="b">
        <v>0</v>
      </c>
    </row>
    <row r="410" spans="1:14" x14ac:dyDescent="0.25">
      <c r="A410" t="s">
        <v>463</v>
      </c>
      <c r="B410" t="s">
        <v>15</v>
      </c>
      <c r="C410" t="s">
        <v>61</v>
      </c>
      <c r="D410" t="s">
        <v>34</v>
      </c>
      <c r="E410" t="s">
        <v>55</v>
      </c>
      <c r="F410" t="s">
        <v>70</v>
      </c>
      <c r="G410">
        <v>179.8</v>
      </c>
      <c r="H410">
        <v>0</v>
      </c>
      <c r="I410">
        <v>179.8</v>
      </c>
      <c r="J410" s="1">
        <v>45875</v>
      </c>
      <c r="K410">
        <v>25</v>
      </c>
      <c r="L410">
        <v>1.7</v>
      </c>
      <c r="M410" t="b">
        <v>0</v>
      </c>
    </row>
    <row r="411" spans="1:14" x14ac:dyDescent="0.25">
      <c r="A411" t="s">
        <v>464</v>
      </c>
      <c r="B411" t="s">
        <v>27</v>
      </c>
      <c r="C411" t="s">
        <v>16</v>
      </c>
      <c r="D411" t="s">
        <v>62</v>
      </c>
      <c r="F411" t="s">
        <v>56</v>
      </c>
      <c r="G411">
        <v>34.15</v>
      </c>
      <c r="H411">
        <v>0</v>
      </c>
      <c r="I411">
        <v>34.15</v>
      </c>
      <c r="J411" s="1">
        <v>45875</v>
      </c>
      <c r="K411">
        <v>27</v>
      </c>
      <c r="L411">
        <v>4.0999999999999996</v>
      </c>
      <c r="M411" t="b">
        <v>0</v>
      </c>
    </row>
    <row r="412" spans="1:14" x14ac:dyDescent="0.25">
      <c r="A412" t="s">
        <v>465</v>
      </c>
      <c r="B412" t="s">
        <v>21</v>
      </c>
      <c r="C412" t="s">
        <v>61</v>
      </c>
      <c r="D412" t="s">
        <v>17</v>
      </c>
      <c r="E412" t="s">
        <v>55</v>
      </c>
      <c r="F412" t="s">
        <v>46</v>
      </c>
      <c r="G412">
        <v>101.88</v>
      </c>
      <c r="H412">
        <v>0</v>
      </c>
      <c r="I412">
        <v>101.88</v>
      </c>
      <c r="J412" s="1">
        <v>45730</v>
      </c>
      <c r="K412">
        <v>46</v>
      </c>
      <c r="M412" t="b">
        <v>1</v>
      </c>
      <c r="N412" t="s">
        <v>73</v>
      </c>
    </row>
    <row r="413" spans="1:14" x14ac:dyDescent="0.25">
      <c r="A413" t="s">
        <v>466</v>
      </c>
      <c r="B413" t="s">
        <v>30</v>
      </c>
      <c r="C413" t="s">
        <v>32</v>
      </c>
      <c r="D413" t="s">
        <v>62</v>
      </c>
      <c r="E413" t="s">
        <v>18</v>
      </c>
      <c r="F413" t="s">
        <v>44</v>
      </c>
      <c r="G413">
        <v>187.58</v>
      </c>
      <c r="H413">
        <v>0</v>
      </c>
      <c r="I413">
        <v>187.58</v>
      </c>
      <c r="J413" s="1">
        <v>45875</v>
      </c>
      <c r="K413">
        <v>46</v>
      </c>
      <c r="L413">
        <v>2.9</v>
      </c>
      <c r="M413" t="b">
        <v>0</v>
      </c>
    </row>
    <row r="414" spans="1:14" x14ac:dyDescent="0.25">
      <c r="A414" t="s">
        <v>467</v>
      </c>
      <c r="B414" t="s">
        <v>15</v>
      </c>
      <c r="C414" t="s">
        <v>53</v>
      </c>
      <c r="D414" t="s">
        <v>34</v>
      </c>
      <c r="E414" t="s">
        <v>24</v>
      </c>
      <c r="F414" t="s">
        <v>25</v>
      </c>
      <c r="G414">
        <v>145.02000000000001</v>
      </c>
      <c r="H414">
        <v>0</v>
      </c>
      <c r="I414">
        <v>145.02000000000001</v>
      </c>
      <c r="J414" s="1">
        <v>45875</v>
      </c>
      <c r="K414">
        <v>36</v>
      </c>
      <c r="L414">
        <v>2.6</v>
      </c>
      <c r="M414" t="b">
        <v>0</v>
      </c>
    </row>
    <row r="415" spans="1:14" x14ac:dyDescent="0.25">
      <c r="A415" t="s">
        <v>468</v>
      </c>
      <c r="B415" t="s">
        <v>38</v>
      </c>
      <c r="C415" t="s">
        <v>61</v>
      </c>
      <c r="D415" t="s">
        <v>62</v>
      </c>
      <c r="E415" t="s">
        <v>55</v>
      </c>
      <c r="F415" t="s">
        <v>44</v>
      </c>
      <c r="G415">
        <v>101.61</v>
      </c>
      <c r="H415">
        <v>26.9</v>
      </c>
      <c r="I415">
        <v>74.28</v>
      </c>
      <c r="J415" s="1">
        <v>45875</v>
      </c>
      <c r="K415">
        <v>38</v>
      </c>
      <c r="L415">
        <v>3.4</v>
      </c>
      <c r="M415" t="b">
        <v>1</v>
      </c>
      <c r="N415" t="s">
        <v>78</v>
      </c>
    </row>
    <row r="416" spans="1:14" x14ac:dyDescent="0.25">
      <c r="A416" t="s">
        <v>469</v>
      </c>
      <c r="B416" t="s">
        <v>42</v>
      </c>
      <c r="C416" t="s">
        <v>48</v>
      </c>
      <c r="D416" t="s">
        <v>34</v>
      </c>
      <c r="E416" t="s">
        <v>49</v>
      </c>
      <c r="F416" t="s">
        <v>56</v>
      </c>
      <c r="G416">
        <v>71.14</v>
      </c>
      <c r="H416">
        <v>0</v>
      </c>
      <c r="I416">
        <v>71.14</v>
      </c>
      <c r="J416" s="1">
        <v>45875</v>
      </c>
      <c r="K416">
        <v>33</v>
      </c>
      <c r="L416">
        <v>3.1</v>
      </c>
      <c r="M416" t="b">
        <v>0</v>
      </c>
    </row>
    <row r="417" spans="1:14" x14ac:dyDescent="0.25">
      <c r="A417" t="s">
        <v>470</v>
      </c>
      <c r="B417" t="s">
        <v>42</v>
      </c>
      <c r="C417" t="s">
        <v>53</v>
      </c>
      <c r="D417" t="s">
        <v>62</v>
      </c>
      <c r="E417" t="s">
        <v>58</v>
      </c>
      <c r="F417" t="s">
        <v>46</v>
      </c>
      <c r="G417">
        <v>55.21</v>
      </c>
      <c r="H417">
        <v>0</v>
      </c>
      <c r="I417">
        <v>55.21</v>
      </c>
      <c r="J417" s="1">
        <v>45875</v>
      </c>
      <c r="K417">
        <v>2</v>
      </c>
      <c r="L417">
        <v>3.8</v>
      </c>
      <c r="M417" t="b">
        <v>1</v>
      </c>
      <c r="N417" t="s">
        <v>125</v>
      </c>
    </row>
    <row r="418" spans="1:14" x14ac:dyDescent="0.25">
      <c r="A418" t="s">
        <v>471</v>
      </c>
      <c r="B418" t="s">
        <v>21</v>
      </c>
      <c r="C418" t="s">
        <v>16</v>
      </c>
      <c r="D418" t="s">
        <v>62</v>
      </c>
      <c r="E418" t="s">
        <v>49</v>
      </c>
      <c r="F418" t="s">
        <v>28</v>
      </c>
      <c r="G418">
        <v>94.96</v>
      </c>
      <c r="H418">
        <v>35.4</v>
      </c>
      <c r="I418">
        <v>61.34</v>
      </c>
      <c r="J418" s="1">
        <v>45875</v>
      </c>
      <c r="K418">
        <v>34</v>
      </c>
      <c r="L418">
        <v>3.9</v>
      </c>
      <c r="M418" t="b">
        <v>0</v>
      </c>
    </row>
    <row r="419" spans="1:14" x14ac:dyDescent="0.25">
      <c r="A419" t="s">
        <v>472</v>
      </c>
      <c r="B419" t="s">
        <v>30</v>
      </c>
      <c r="C419" t="s">
        <v>43</v>
      </c>
      <c r="D419" t="s">
        <v>17</v>
      </c>
      <c r="E419" t="s">
        <v>58</v>
      </c>
      <c r="F419" t="s">
        <v>66</v>
      </c>
      <c r="G419">
        <v>138.69</v>
      </c>
      <c r="H419">
        <v>0</v>
      </c>
      <c r="I419">
        <v>138.69</v>
      </c>
      <c r="J419" s="1">
        <v>45628</v>
      </c>
      <c r="K419">
        <v>0</v>
      </c>
      <c r="L419">
        <v>2.9</v>
      </c>
      <c r="M419" t="b">
        <v>0</v>
      </c>
    </row>
    <row r="420" spans="1:14" x14ac:dyDescent="0.25">
      <c r="A420" t="s">
        <v>473</v>
      </c>
      <c r="B420" t="s">
        <v>15</v>
      </c>
      <c r="C420" t="s">
        <v>61</v>
      </c>
      <c r="D420" t="s">
        <v>17</v>
      </c>
      <c r="E420" t="s">
        <v>49</v>
      </c>
      <c r="F420" t="s">
        <v>64</v>
      </c>
      <c r="G420">
        <v>175.7</v>
      </c>
      <c r="H420">
        <v>0</v>
      </c>
      <c r="I420">
        <v>175.7</v>
      </c>
      <c r="J420" s="1">
        <v>45711</v>
      </c>
      <c r="K420">
        <v>20</v>
      </c>
      <c r="L420">
        <v>3</v>
      </c>
      <c r="M420" t="b">
        <v>0</v>
      </c>
    </row>
    <row r="421" spans="1:14" x14ac:dyDescent="0.25">
      <c r="A421" t="s">
        <v>474</v>
      </c>
      <c r="B421" t="s">
        <v>30</v>
      </c>
      <c r="C421" t="s">
        <v>22</v>
      </c>
      <c r="D421" t="s">
        <v>62</v>
      </c>
      <c r="E421" t="s">
        <v>55</v>
      </c>
      <c r="F421" t="s">
        <v>28</v>
      </c>
      <c r="G421">
        <v>145.18</v>
      </c>
      <c r="H421">
        <v>35.700000000000003</v>
      </c>
      <c r="I421">
        <v>93.35</v>
      </c>
      <c r="J421" s="1">
        <v>45875</v>
      </c>
      <c r="K421">
        <v>25</v>
      </c>
      <c r="L421">
        <v>2.2000000000000002</v>
      </c>
      <c r="M421" t="b">
        <v>0</v>
      </c>
    </row>
    <row r="422" spans="1:14" x14ac:dyDescent="0.25">
      <c r="A422" t="s">
        <v>475</v>
      </c>
      <c r="B422" t="s">
        <v>42</v>
      </c>
      <c r="C422" t="s">
        <v>43</v>
      </c>
      <c r="D422" t="s">
        <v>62</v>
      </c>
      <c r="E422" t="s">
        <v>58</v>
      </c>
      <c r="F422" t="s">
        <v>28</v>
      </c>
      <c r="G422">
        <v>169.34</v>
      </c>
      <c r="H422">
        <v>44.6</v>
      </c>
      <c r="I422">
        <v>93.81</v>
      </c>
      <c r="J422" s="1">
        <v>45875</v>
      </c>
      <c r="K422">
        <v>37</v>
      </c>
      <c r="L422">
        <v>2.7</v>
      </c>
      <c r="M422" t="b">
        <v>0</v>
      </c>
    </row>
    <row r="423" spans="1:14" x14ac:dyDescent="0.25">
      <c r="A423" t="s">
        <v>476</v>
      </c>
      <c r="B423" t="s">
        <v>21</v>
      </c>
      <c r="C423" t="s">
        <v>22</v>
      </c>
      <c r="D423" t="s">
        <v>62</v>
      </c>
      <c r="E423" t="s">
        <v>24</v>
      </c>
      <c r="F423" t="s">
        <v>19</v>
      </c>
      <c r="G423">
        <v>103.14</v>
      </c>
      <c r="H423">
        <v>0</v>
      </c>
      <c r="I423">
        <v>103.14</v>
      </c>
      <c r="J423" s="1">
        <v>45875</v>
      </c>
      <c r="K423">
        <v>13</v>
      </c>
      <c r="L423">
        <v>4.5</v>
      </c>
      <c r="M423" t="b">
        <v>0</v>
      </c>
    </row>
    <row r="424" spans="1:14" x14ac:dyDescent="0.25">
      <c r="A424" t="s">
        <v>477</v>
      </c>
      <c r="B424" t="s">
        <v>21</v>
      </c>
      <c r="C424" t="s">
        <v>43</v>
      </c>
      <c r="D424" t="s">
        <v>34</v>
      </c>
      <c r="E424" t="s">
        <v>58</v>
      </c>
      <c r="F424" t="s">
        <v>56</v>
      </c>
      <c r="G424">
        <v>97.47</v>
      </c>
      <c r="H424">
        <v>32</v>
      </c>
      <c r="I424">
        <v>66.28</v>
      </c>
      <c r="J424" s="1">
        <v>45875</v>
      </c>
      <c r="K424">
        <v>27</v>
      </c>
      <c r="L424">
        <v>3</v>
      </c>
      <c r="M424" t="b">
        <v>0</v>
      </c>
    </row>
    <row r="425" spans="1:14" x14ac:dyDescent="0.25">
      <c r="A425" t="s">
        <v>478</v>
      </c>
      <c r="B425" t="s">
        <v>42</v>
      </c>
      <c r="C425" t="s">
        <v>53</v>
      </c>
      <c r="D425" t="s">
        <v>17</v>
      </c>
      <c r="E425" t="s">
        <v>58</v>
      </c>
      <c r="F425" t="s">
        <v>64</v>
      </c>
      <c r="G425">
        <v>50.69</v>
      </c>
      <c r="H425">
        <v>26.3</v>
      </c>
      <c r="I425">
        <v>37.36</v>
      </c>
      <c r="J425" s="1">
        <v>45594</v>
      </c>
      <c r="K425">
        <v>37</v>
      </c>
      <c r="L425">
        <v>4.0999999999999996</v>
      </c>
      <c r="M425" t="b">
        <v>0</v>
      </c>
    </row>
    <row r="426" spans="1:14" x14ac:dyDescent="0.25">
      <c r="A426" t="s">
        <v>479</v>
      </c>
      <c r="B426" t="s">
        <v>15</v>
      </c>
      <c r="C426" t="s">
        <v>32</v>
      </c>
      <c r="D426" t="s">
        <v>34</v>
      </c>
      <c r="E426" t="s">
        <v>18</v>
      </c>
      <c r="F426" t="s">
        <v>28</v>
      </c>
      <c r="G426">
        <v>127.75</v>
      </c>
      <c r="H426">
        <v>0</v>
      </c>
      <c r="I426">
        <v>127.75</v>
      </c>
      <c r="J426" s="1">
        <v>45875</v>
      </c>
      <c r="K426">
        <v>32</v>
      </c>
      <c r="L426">
        <v>3.6</v>
      </c>
      <c r="M426" t="b">
        <v>0</v>
      </c>
    </row>
    <row r="427" spans="1:14" x14ac:dyDescent="0.25">
      <c r="A427" t="s">
        <v>480</v>
      </c>
      <c r="B427" t="s">
        <v>21</v>
      </c>
      <c r="C427" t="s">
        <v>75</v>
      </c>
      <c r="D427" t="s">
        <v>23</v>
      </c>
      <c r="E427" t="s">
        <v>18</v>
      </c>
      <c r="F427" t="s">
        <v>28</v>
      </c>
      <c r="G427">
        <v>111.64</v>
      </c>
      <c r="H427">
        <v>0</v>
      </c>
      <c r="I427">
        <v>111.64</v>
      </c>
      <c r="J427" s="1">
        <v>45875</v>
      </c>
      <c r="K427">
        <v>13</v>
      </c>
      <c r="L427">
        <v>4.8</v>
      </c>
      <c r="M427" t="b">
        <v>0</v>
      </c>
    </row>
    <row r="428" spans="1:14" x14ac:dyDescent="0.25">
      <c r="A428" t="s">
        <v>481</v>
      </c>
      <c r="B428" t="s">
        <v>30</v>
      </c>
      <c r="C428" t="s">
        <v>22</v>
      </c>
      <c r="D428" t="s">
        <v>34</v>
      </c>
      <c r="F428" t="s">
        <v>66</v>
      </c>
      <c r="G428">
        <v>134.6</v>
      </c>
      <c r="H428">
        <v>11.6</v>
      </c>
      <c r="I428">
        <v>118.99</v>
      </c>
      <c r="J428" s="1">
        <v>45875</v>
      </c>
      <c r="K428">
        <v>47</v>
      </c>
      <c r="L428">
        <v>3.9</v>
      </c>
      <c r="M428" t="b">
        <v>0</v>
      </c>
    </row>
    <row r="429" spans="1:14" x14ac:dyDescent="0.25">
      <c r="A429" t="s">
        <v>482</v>
      </c>
      <c r="B429" t="s">
        <v>38</v>
      </c>
      <c r="C429" t="s">
        <v>16</v>
      </c>
      <c r="D429" t="s">
        <v>17</v>
      </c>
      <c r="E429" t="s">
        <v>49</v>
      </c>
      <c r="F429" t="s">
        <v>66</v>
      </c>
      <c r="G429">
        <v>56.05</v>
      </c>
      <c r="H429">
        <v>0</v>
      </c>
      <c r="I429">
        <v>56.05</v>
      </c>
      <c r="J429" s="1">
        <v>45854</v>
      </c>
      <c r="K429">
        <v>9</v>
      </c>
      <c r="M429" t="b">
        <v>0</v>
      </c>
    </row>
    <row r="430" spans="1:14" x14ac:dyDescent="0.25">
      <c r="A430" t="s">
        <v>483</v>
      </c>
      <c r="B430" t="s">
        <v>42</v>
      </c>
      <c r="C430" t="s">
        <v>32</v>
      </c>
      <c r="D430" t="s">
        <v>34</v>
      </c>
      <c r="E430" t="s">
        <v>18</v>
      </c>
      <c r="F430" t="s">
        <v>66</v>
      </c>
      <c r="G430">
        <v>106.2</v>
      </c>
      <c r="H430">
        <v>0</v>
      </c>
      <c r="I430">
        <v>106.2</v>
      </c>
      <c r="J430" s="1">
        <v>45875</v>
      </c>
      <c r="K430">
        <v>35</v>
      </c>
      <c r="L430">
        <v>4.5</v>
      </c>
      <c r="M430" t="b">
        <v>0</v>
      </c>
    </row>
    <row r="431" spans="1:14" x14ac:dyDescent="0.25">
      <c r="A431" t="s">
        <v>484</v>
      </c>
      <c r="B431" t="s">
        <v>30</v>
      </c>
      <c r="C431" t="s">
        <v>43</v>
      </c>
      <c r="D431" t="s">
        <v>34</v>
      </c>
      <c r="F431" t="s">
        <v>46</v>
      </c>
      <c r="G431">
        <v>104.26</v>
      </c>
      <c r="H431">
        <v>20.6</v>
      </c>
      <c r="I431">
        <v>82.78</v>
      </c>
      <c r="J431" s="1">
        <v>45875</v>
      </c>
      <c r="K431">
        <v>31</v>
      </c>
      <c r="L431">
        <v>3</v>
      </c>
      <c r="M431" t="b">
        <v>0</v>
      </c>
    </row>
    <row r="432" spans="1:14" x14ac:dyDescent="0.25">
      <c r="A432" t="s">
        <v>485</v>
      </c>
      <c r="B432" t="s">
        <v>27</v>
      </c>
      <c r="C432" t="s">
        <v>22</v>
      </c>
      <c r="D432" t="s">
        <v>17</v>
      </c>
      <c r="F432" t="s">
        <v>66</v>
      </c>
      <c r="G432">
        <v>24.53</v>
      </c>
      <c r="H432">
        <v>0</v>
      </c>
      <c r="I432">
        <v>24.53</v>
      </c>
      <c r="J432" s="1">
        <v>45524</v>
      </c>
      <c r="K432">
        <v>44</v>
      </c>
      <c r="L432">
        <v>4.2</v>
      </c>
      <c r="M432" t="b">
        <v>0</v>
      </c>
    </row>
    <row r="433" spans="1:14" x14ac:dyDescent="0.25">
      <c r="A433" t="s">
        <v>486</v>
      </c>
      <c r="B433" t="s">
        <v>30</v>
      </c>
      <c r="C433" t="s">
        <v>43</v>
      </c>
      <c r="D433" t="s">
        <v>17</v>
      </c>
      <c r="E433" t="s">
        <v>24</v>
      </c>
      <c r="F433" t="s">
        <v>46</v>
      </c>
      <c r="G433">
        <v>131.25</v>
      </c>
      <c r="H433">
        <v>0</v>
      </c>
      <c r="I433">
        <v>131.25</v>
      </c>
      <c r="J433" s="1">
        <v>45826</v>
      </c>
      <c r="K433">
        <v>12</v>
      </c>
      <c r="L433">
        <v>1.6</v>
      </c>
      <c r="M433" t="b">
        <v>0</v>
      </c>
    </row>
    <row r="434" spans="1:14" x14ac:dyDescent="0.25">
      <c r="A434" t="s">
        <v>487</v>
      </c>
      <c r="B434" t="s">
        <v>38</v>
      </c>
      <c r="C434" t="s">
        <v>75</v>
      </c>
      <c r="D434" t="s">
        <v>34</v>
      </c>
      <c r="E434" t="s">
        <v>58</v>
      </c>
      <c r="F434" t="s">
        <v>19</v>
      </c>
      <c r="G434">
        <v>72.849999999999994</v>
      </c>
      <c r="H434">
        <v>0</v>
      </c>
      <c r="I434">
        <v>72.849999999999994</v>
      </c>
      <c r="J434" s="1">
        <v>45875</v>
      </c>
      <c r="K434">
        <v>25</v>
      </c>
      <c r="L434">
        <v>3.8</v>
      </c>
      <c r="M434" t="b">
        <v>0</v>
      </c>
    </row>
    <row r="435" spans="1:14" x14ac:dyDescent="0.25">
      <c r="A435" t="s">
        <v>488</v>
      </c>
      <c r="B435" t="s">
        <v>30</v>
      </c>
      <c r="C435" t="s">
        <v>16</v>
      </c>
      <c r="D435" t="s">
        <v>23</v>
      </c>
      <c r="E435" t="s">
        <v>55</v>
      </c>
      <c r="F435" t="s">
        <v>46</v>
      </c>
      <c r="G435">
        <v>135.38999999999999</v>
      </c>
      <c r="H435">
        <v>0</v>
      </c>
      <c r="I435">
        <v>135.38999999999999</v>
      </c>
      <c r="J435" s="1">
        <v>45875</v>
      </c>
      <c r="K435">
        <v>26</v>
      </c>
      <c r="L435">
        <v>3.9</v>
      </c>
      <c r="M435" t="b">
        <v>0</v>
      </c>
    </row>
    <row r="436" spans="1:14" x14ac:dyDescent="0.25">
      <c r="A436" t="s">
        <v>489</v>
      </c>
      <c r="B436" t="s">
        <v>30</v>
      </c>
      <c r="C436" t="s">
        <v>16</v>
      </c>
      <c r="D436" t="s">
        <v>23</v>
      </c>
      <c r="E436" t="s">
        <v>18</v>
      </c>
      <c r="F436" t="s">
        <v>64</v>
      </c>
      <c r="G436">
        <v>166.94</v>
      </c>
      <c r="H436">
        <v>4.2</v>
      </c>
      <c r="I436">
        <v>159.93</v>
      </c>
      <c r="J436" s="1">
        <v>45875</v>
      </c>
      <c r="K436">
        <v>17</v>
      </c>
      <c r="L436">
        <v>2.6</v>
      </c>
      <c r="M436" t="b">
        <v>1</v>
      </c>
      <c r="N436" t="s">
        <v>36</v>
      </c>
    </row>
    <row r="437" spans="1:14" x14ac:dyDescent="0.25">
      <c r="A437" t="s">
        <v>490</v>
      </c>
      <c r="B437" t="s">
        <v>30</v>
      </c>
      <c r="C437" t="s">
        <v>32</v>
      </c>
      <c r="D437" t="s">
        <v>17</v>
      </c>
      <c r="E437" t="s">
        <v>18</v>
      </c>
      <c r="F437" t="s">
        <v>46</v>
      </c>
      <c r="G437">
        <v>135.36000000000001</v>
      </c>
      <c r="H437">
        <v>41.7</v>
      </c>
      <c r="I437">
        <v>78.91</v>
      </c>
      <c r="J437" s="1">
        <v>45646</v>
      </c>
      <c r="K437">
        <v>17</v>
      </c>
      <c r="L437">
        <v>4.3</v>
      </c>
      <c r="M437" t="b">
        <v>0</v>
      </c>
    </row>
    <row r="438" spans="1:14" x14ac:dyDescent="0.25">
      <c r="A438" t="s">
        <v>491</v>
      </c>
      <c r="B438" t="s">
        <v>38</v>
      </c>
      <c r="C438" t="s">
        <v>53</v>
      </c>
      <c r="D438" t="s">
        <v>17</v>
      </c>
      <c r="E438" t="s">
        <v>24</v>
      </c>
      <c r="F438" t="s">
        <v>44</v>
      </c>
      <c r="G438">
        <v>96.05</v>
      </c>
      <c r="H438">
        <v>0</v>
      </c>
      <c r="I438">
        <v>96.05</v>
      </c>
      <c r="J438" s="1">
        <v>45544</v>
      </c>
      <c r="K438">
        <v>15</v>
      </c>
      <c r="L438">
        <v>4</v>
      </c>
      <c r="M438" t="b">
        <v>0</v>
      </c>
    </row>
    <row r="439" spans="1:14" x14ac:dyDescent="0.25">
      <c r="A439" t="s">
        <v>492</v>
      </c>
      <c r="B439" t="s">
        <v>15</v>
      </c>
      <c r="C439" t="s">
        <v>48</v>
      </c>
      <c r="D439" t="s">
        <v>62</v>
      </c>
      <c r="E439" t="s">
        <v>24</v>
      </c>
      <c r="F439" t="s">
        <v>19</v>
      </c>
      <c r="G439">
        <v>116.1</v>
      </c>
      <c r="H439">
        <v>0</v>
      </c>
      <c r="I439">
        <v>116.1</v>
      </c>
      <c r="J439" s="1">
        <v>45875</v>
      </c>
      <c r="K439">
        <v>27</v>
      </c>
      <c r="L439">
        <v>3.6</v>
      </c>
      <c r="M439" t="b">
        <v>1</v>
      </c>
      <c r="N439" t="s">
        <v>115</v>
      </c>
    </row>
    <row r="440" spans="1:14" x14ac:dyDescent="0.25">
      <c r="A440" t="s">
        <v>493</v>
      </c>
      <c r="B440" t="s">
        <v>30</v>
      </c>
      <c r="C440" t="s">
        <v>43</v>
      </c>
      <c r="D440" t="s">
        <v>34</v>
      </c>
      <c r="E440" t="s">
        <v>24</v>
      </c>
      <c r="F440" t="s">
        <v>28</v>
      </c>
      <c r="G440">
        <v>91.53</v>
      </c>
      <c r="H440">
        <v>0</v>
      </c>
      <c r="I440">
        <v>91.53</v>
      </c>
      <c r="J440" s="1">
        <v>45875</v>
      </c>
      <c r="K440">
        <v>8</v>
      </c>
      <c r="L440">
        <v>1.5</v>
      </c>
      <c r="M440" t="b">
        <v>0</v>
      </c>
    </row>
    <row r="441" spans="1:14" x14ac:dyDescent="0.25">
      <c r="A441" t="s">
        <v>494</v>
      </c>
      <c r="B441" t="s">
        <v>38</v>
      </c>
      <c r="C441" t="s">
        <v>16</v>
      </c>
      <c r="D441" t="s">
        <v>23</v>
      </c>
      <c r="E441" t="s">
        <v>55</v>
      </c>
      <c r="F441" t="s">
        <v>40</v>
      </c>
      <c r="G441">
        <v>102.16</v>
      </c>
      <c r="H441">
        <v>0</v>
      </c>
      <c r="I441">
        <v>102.16</v>
      </c>
      <c r="J441" s="1">
        <v>45875</v>
      </c>
      <c r="K441">
        <v>50</v>
      </c>
      <c r="M441" t="b">
        <v>0</v>
      </c>
    </row>
    <row r="442" spans="1:14" x14ac:dyDescent="0.25">
      <c r="A442" t="s">
        <v>495</v>
      </c>
      <c r="B442" t="s">
        <v>30</v>
      </c>
      <c r="C442" t="s">
        <v>22</v>
      </c>
      <c r="D442" t="s">
        <v>23</v>
      </c>
      <c r="E442" t="s">
        <v>24</v>
      </c>
      <c r="F442" t="s">
        <v>40</v>
      </c>
      <c r="G442">
        <v>67.739999999999995</v>
      </c>
      <c r="H442">
        <v>3.3</v>
      </c>
      <c r="I442">
        <v>65.5</v>
      </c>
      <c r="J442" s="1">
        <v>45875</v>
      </c>
      <c r="K442">
        <v>23</v>
      </c>
      <c r="L442">
        <v>1.5</v>
      </c>
      <c r="M442" t="b">
        <v>0</v>
      </c>
    </row>
    <row r="443" spans="1:14" x14ac:dyDescent="0.25">
      <c r="A443" t="s">
        <v>496</v>
      </c>
      <c r="B443" t="s">
        <v>27</v>
      </c>
      <c r="C443" t="s">
        <v>32</v>
      </c>
      <c r="D443" t="s">
        <v>23</v>
      </c>
      <c r="F443" t="s">
        <v>46</v>
      </c>
      <c r="G443">
        <v>38.340000000000003</v>
      </c>
      <c r="H443">
        <v>0</v>
      </c>
      <c r="I443">
        <v>38.340000000000003</v>
      </c>
      <c r="J443" s="1">
        <v>45875</v>
      </c>
      <c r="K443">
        <v>14</v>
      </c>
      <c r="L443">
        <v>1.4</v>
      </c>
      <c r="M443" t="b">
        <v>0</v>
      </c>
    </row>
    <row r="444" spans="1:14" x14ac:dyDescent="0.25">
      <c r="A444" t="s">
        <v>497</v>
      </c>
      <c r="B444" t="s">
        <v>27</v>
      </c>
      <c r="C444" t="s">
        <v>16</v>
      </c>
      <c r="D444" t="s">
        <v>23</v>
      </c>
      <c r="F444" t="s">
        <v>40</v>
      </c>
      <c r="G444">
        <v>60.49</v>
      </c>
      <c r="H444">
        <v>0</v>
      </c>
      <c r="I444">
        <v>60.49</v>
      </c>
      <c r="J444" s="1">
        <v>45875</v>
      </c>
      <c r="K444">
        <v>30</v>
      </c>
      <c r="L444">
        <v>2.5</v>
      </c>
      <c r="M444" t="b">
        <v>0</v>
      </c>
    </row>
    <row r="445" spans="1:14" x14ac:dyDescent="0.25">
      <c r="A445" t="s">
        <v>498</v>
      </c>
      <c r="B445" t="s">
        <v>15</v>
      </c>
      <c r="C445" t="s">
        <v>32</v>
      </c>
      <c r="D445" t="s">
        <v>17</v>
      </c>
      <c r="E445" t="s">
        <v>24</v>
      </c>
      <c r="F445" t="s">
        <v>64</v>
      </c>
      <c r="G445">
        <v>90.27</v>
      </c>
      <c r="H445">
        <v>0</v>
      </c>
      <c r="I445">
        <v>90.27</v>
      </c>
      <c r="J445" s="1">
        <v>45763</v>
      </c>
      <c r="K445">
        <v>35</v>
      </c>
      <c r="L445">
        <v>4.2</v>
      </c>
      <c r="M445" t="b">
        <v>0</v>
      </c>
    </row>
    <row r="446" spans="1:14" x14ac:dyDescent="0.25">
      <c r="A446" t="s">
        <v>499</v>
      </c>
      <c r="B446" t="s">
        <v>27</v>
      </c>
      <c r="C446" t="s">
        <v>32</v>
      </c>
      <c r="D446" t="s">
        <v>62</v>
      </c>
      <c r="F446" t="s">
        <v>19</v>
      </c>
      <c r="G446">
        <v>45.42</v>
      </c>
      <c r="H446">
        <v>0</v>
      </c>
      <c r="I446">
        <v>45.42</v>
      </c>
      <c r="J446" s="1">
        <v>45875</v>
      </c>
      <c r="K446">
        <v>36</v>
      </c>
      <c r="L446">
        <v>1.3</v>
      </c>
      <c r="M446" t="b">
        <v>0</v>
      </c>
    </row>
    <row r="447" spans="1:14" x14ac:dyDescent="0.25">
      <c r="A447" t="s">
        <v>500</v>
      </c>
      <c r="B447" t="s">
        <v>21</v>
      </c>
      <c r="C447" t="s">
        <v>53</v>
      </c>
      <c r="D447" t="s">
        <v>17</v>
      </c>
      <c r="F447" t="s">
        <v>66</v>
      </c>
      <c r="G447">
        <v>58.56</v>
      </c>
      <c r="H447">
        <v>0</v>
      </c>
      <c r="I447">
        <v>58.56</v>
      </c>
      <c r="J447" s="1">
        <v>45680</v>
      </c>
      <c r="K447">
        <v>21</v>
      </c>
      <c r="L447">
        <v>2.2999999999999998</v>
      </c>
      <c r="M447" t="b">
        <v>0</v>
      </c>
    </row>
    <row r="448" spans="1:14" x14ac:dyDescent="0.25">
      <c r="A448" t="s">
        <v>501</v>
      </c>
      <c r="B448" t="s">
        <v>42</v>
      </c>
      <c r="C448" t="s">
        <v>48</v>
      </c>
      <c r="D448" t="s">
        <v>62</v>
      </c>
      <c r="E448" t="s">
        <v>24</v>
      </c>
      <c r="F448" t="s">
        <v>25</v>
      </c>
      <c r="G448">
        <v>167.64</v>
      </c>
      <c r="H448">
        <v>0</v>
      </c>
      <c r="I448">
        <v>167.64</v>
      </c>
      <c r="J448" s="1">
        <v>45875</v>
      </c>
      <c r="K448">
        <v>18</v>
      </c>
      <c r="L448">
        <v>4.0999999999999996</v>
      </c>
      <c r="M448" t="b">
        <v>0</v>
      </c>
    </row>
    <row r="449" spans="1:14" x14ac:dyDescent="0.25">
      <c r="A449" t="s">
        <v>502</v>
      </c>
      <c r="B449" t="s">
        <v>15</v>
      </c>
      <c r="C449" t="s">
        <v>16</v>
      </c>
      <c r="D449" t="s">
        <v>34</v>
      </c>
      <c r="E449" t="s">
        <v>49</v>
      </c>
      <c r="F449" t="s">
        <v>19</v>
      </c>
      <c r="G449">
        <v>193.14</v>
      </c>
      <c r="H449">
        <v>0</v>
      </c>
      <c r="I449">
        <v>193.14</v>
      </c>
      <c r="J449" s="1">
        <v>45875</v>
      </c>
      <c r="K449">
        <v>7</v>
      </c>
      <c r="L449">
        <v>3.5</v>
      </c>
      <c r="M449" t="b">
        <v>0</v>
      </c>
    </row>
    <row r="450" spans="1:14" x14ac:dyDescent="0.25">
      <c r="A450" t="s">
        <v>503</v>
      </c>
      <c r="B450" t="s">
        <v>27</v>
      </c>
      <c r="C450" t="s">
        <v>61</v>
      </c>
      <c r="D450" t="s">
        <v>23</v>
      </c>
      <c r="F450" t="s">
        <v>40</v>
      </c>
      <c r="G450">
        <v>60.06</v>
      </c>
      <c r="H450">
        <v>15.6</v>
      </c>
      <c r="I450">
        <v>50.69</v>
      </c>
      <c r="J450" s="1">
        <v>45875</v>
      </c>
      <c r="K450">
        <v>49</v>
      </c>
      <c r="L450">
        <v>2</v>
      </c>
      <c r="M450" t="b">
        <v>1</v>
      </c>
      <c r="N450" t="s">
        <v>36</v>
      </c>
    </row>
    <row r="451" spans="1:14" x14ac:dyDescent="0.25">
      <c r="A451" t="s">
        <v>504</v>
      </c>
      <c r="B451" t="s">
        <v>38</v>
      </c>
      <c r="C451" t="s">
        <v>32</v>
      </c>
      <c r="D451" t="s">
        <v>34</v>
      </c>
      <c r="E451" t="s">
        <v>58</v>
      </c>
      <c r="F451" t="s">
        <v>40</v>
      </c>
      <c r="G451">
        <v>35.369999999999997</v>
      </c>
      <c r="H451">
        <v>0</v>
      </c>
      <c r="I451">
        <v>35.369999999999997</v>
      </c>
      <c r="J451" s="1">
        <v>45875</v>
      </c>
      <c r="K451">
        <v>29</v>
      </c>
      <c r="L451">
        <v>4.7</v>
      </c>
      <c r="M451" t="b">
        <v>0</v>
      </c>
    </row>
    <row r="452" spans="1:14" x14ac:dyDescent="0.25">
      <c r="A452" t="s">
        <v>505</v>
      </c>
      <c r="B452" t="s">
        <v>27</v>
      </c>
      <c r="C452" t="s">
        <v>43</v>
      </c>
      <c r="D452" t="s">
        <v>62</v>
      </c>
      <c r="F452" t="s">
        <v>66</v>
      </c>
      <c r="G452">
        <v>39.85</v>
      </c>
      <c r="H452">
        <v>0</v>
      </c>
      <c r="I452">
        <v>39.85</v>
      </c>
      <c r="J452" s="1">
        <v>45875</v>
      </c>
      <c r="K452">
        <v>28</v>
      </c>
      <c r="L452">
        <v>2.4</v>
      </c>
      <c r="M452" t="b">
        <v>0</v>
      </c>
    </row>
    <row r="453" spans="1:14" x14ac:dyDescent="0.25">
      <c r="A453" t="s">
        <v>506</v>
      </c>
      <c r="B453" t="s">
        <v>21</v>
      </c>
      <c r="C453" t="s">
        <v>16</v>
      </c>
      <c r="D453" t="s">
        <v>23</v>
      </c>
      <c r="E453" t="s">
        <v>18</v>
      </c>
      <c r="F453" t="s">
        <v>28</v>
      </c>
      <c r="G453">
        <v>85.34</v>
      </c>
      <c r="H453">
        <v>59.4</v>
      </c>
      <c r="I453">
        <v>34.65</v>
      </c>
      <c r="J453" s="1">
        <v>45875</v>
      </c>
      <c r="K453">
        <v>5</v>
      </c>
      <c r="L453">
        <v>4.9000000000000004</v>
      </c>
      <c r="M453" t="b">
        <v>0</v>
      </c>
    </row>
    <row r="454" spans="1:14" x14ac:dyDescent="0.25">
      <c r="A454" t="s">
        <v>507</v>
      </c>
      <c r="B454" t="s">
        <v>38</v>
      </c>
      <c r="C454" t="s">
        <v>75</v>
      </c>
      <c r="D454" t="s">
        <v>34</v>
      </c>
      <c r="E454" t="s">
        <v>49</v>
      </c>
      <c r="F454" t="s">
        <v>35</v>
      </c>
      <c r="G454">
        <v>81.17</v>
      </c>
      <c r="H454">
        <v>0</v>
      </c>
      <c r="I454">
        <v>81.17</v>
      </c>
      <c r="J454" s="1">
        <v>45875</v>
      </c>
      <c r="K454">
        <v>21</v>
      </c>
      <c r="L454">
        <v>1.2</v>
      </c>
      <c r="M454" t="b">
        <v>0</v>
      </c>
    </row>
    <row r="455" spans="1:14" x14ac:dyDescent="0.25">
      <c r="A455" t="s">
        <v>508</v>
      </c>
      <c r="B455" t="s">
        <v>27</v>
      </c>
      <c r="C455" t="s">
        <v>53</v>
      </c>
      <c r="D455" t="s">
        <v>17</v>
      </c>
      <c r="F455" t="s">
        <v>35</v>
      </c>
      <c r="G455">
        <v>16.809999999999999</v>
      </c>
      <c r="H455">
        <v>0</v>
      </c>
      <c r="I455">
        <v>16.809999999999999</v>
      </c>
      <c r="J455" s="1">
        <v>45869</v>
      </c>
      <c r="K455">
        <v>16</v>
      </c>
      <c r="L455">
        <v>2.8</v>
      </c>
      <c r="M455" t="b">
        <v>0</v>
      </c>
    </row>
    <row r="456" spans="1:14" x14ac:dyDescent="0.25">
      <c r="A456" t="s">
        <v>509</v>
      </c>
      <c r="B456" t="s">
        <v>21</v>
      </c>
      <c r="C456" t="s">
        <v>53</v>
      </c>
      <c r="D456" t="s">
        <v>23</v>
      </c>
      <c r="E456" t="s">
        <v>18</v>
      </c>
      <c r="F456" t="s">
        <v>28</v>
      </c>
      <c r="G456">
        <v>115.71</v>
      </c>
      <c r="H456">
        <v>55</v>
      </c>
      <c r="I456">
        <v>52.07</v>
      </c>
      <c r="J456" s="1">
        <v>45875</v>
      </c>
      <c r="K456">
        <v>6</v>
      </c>
      <c r="L456">
        <v>1.6</v>
      </c>
      <c r="M456" t="b">
        <v>0</v>
      </c>
    </row>
    <row r="457" spans="1:14" x14ac:dyDescent="0.25">
      <c r="A457" t="s">
        <v>510</v>
      </c>
      <c r="B457" t="s">
        <v>38</v>
      </c>
      <c r="C457" t="s">
        <v>43</v>
      </c>
      <c r="D457" t="s">
        <v>62</v>
      </c>
      <c r="E457" t="s">
        <v>49</v>
      </c>
      <c r="F457" t="s">
        <v>25</v>
      </c>
      <c r="G457">
        <v>49.87</v>
      </c>
      <c r="H457">
        <v>0</v>
      </c>
      <c r="I457">
        <v>49.87</v>
      </c>
      <c r="J457" s="1">
        <v>45875</v>
      </c>
      <c r="K457">
        <v>17</v>
      </c>
      <c r="L457">
        <v>2.1</v>
      </c>
      <c r="M457" t="b">
        <v>0</v>
      </c>
    </row>
    <row r="458" spans="1:14" x14ac:dyDescent="0.25">
      <c r="A458" t="s">
        <v>511</v>
      </c>
      <c r="B458" t="s">
        <v>30</v>
      </c>
      <c r="C458" t="s">
        <v>43</v>
      </c>
      <c r="D458" t="s">
        <v>34</v>
      </c>
      <c r="E458" t="s">
        <v>55</v>
      </c>
      <c r="F458" t="s">
        <v>56</v>
      </c>
      <c r="G458">
        <v>107.96</v>
      </c>
      <c r="H458">
        <v>52.9</v>
      </c>
      <c r="I458">
        <v>50.85</v>
      </c>
      <c r="J458" s="1">
        <v>45875</v>
      </c>
      <c r="K458">
        <v>2</v>
      </c>
      <c r="L458">
        <v>4.9000000000000004</v>
      </c>
      <c r="M458" t="b">
        <v>0</v>
      </c>
    </row>
    <row r="459" spans="1:14" x14ac:dyDescent="0.25">
      <c r="A459" t="s">
        <v>512</v>
      </c>
      <c r="B459" t="s">
        <v>30</v>
      </c>
      <c r="C459" t="s">
        <v>43</v>
      </c>
      <c r="D459" t="s">
        <v>62</v>
      </c>
      <c r="E459" t="s">
        <v>58</v>
      </c>
      <c r="F459" t="s">
        <v>28</v>
      </c>
      <c r="G459">
        <v>138.35</v>
      </c>
      <c r="H459">
        <v>31.7</v>
      </c>
      <c r="I459">
        <v>94.49</v>
      </c>
      <c r="J459" s="1">
        <v>45875</v>
      </c>
      <c r="K459">
        <v>3</v>
      </c>
      <c r="L459">
        <v>2.5</v>
      </c>
      <c r="M459" t="b">
        <v>0</v>
      </c>
    </row>
    <row r="460" spans="1:14" x14ac:dyDescent="0.25">
      <c r="A460" t="s">
        <v>513</v>
      </c>
      <c r="B460" t="s">
        <v>21</v>
      </c>
      <c r="C460" t="s">
        <v>61</v>
      </c>
      <c r="D460" t="s">
        <v>17</v>
      </c>
      <c r="E460" t="s">
        <v>55</v>
      </c>
      <c r="F460" t="s">
        <v>19</v>
      </c>
      <c r="G460">
        <v>32.01</v>
      </c>
      <c r="H460">
        <v>0</v>
      </c>
      <c r="I460">
        <v>32.01</v>
      </c>
      <c r="J460" s="1">
        <v>45786</v>
      </c>
      <c r="K460">
        <v>43</v>
      </c>
      <c r="L460">
        <v>3.4</v>
      </c>
      <c r="M460" t="b">
        <v>1</v>
      </c>
      <c r="N460" t="s">
        <v>125</v>
      </c>
    </row>
    <row r="461" spans="1:14" x14ac:dyDescent="0.25">
      <c r="A461" t="s">
        <v>514</v>
      </c>
      <c r="B461" t="s">
        <v>42</v>
      </c>
      <c r="C461" t="s">
        <v>48</v>
      </c>
      <c r="D461" t="s">
        <v>34</v>
      </c>
      <c r="E461" t="s">
        <v>55</v>
      </c>
      <c r="F461" t="s">
        <v>28</v>
      </c>
      <c r="G461">
        <v>129.08000000000001</v>
      </c>
      <c r="H461">
        <v>50.6</v>
      </c>
      <c r="I461">
        <v>63.77</v>
      </c>
      <c r="J461" s="1">
        <v>45875</v>
      </c>
      <c r="K461">
        <v>10</v>
      </c>
      <c r="L461">
        <v>4.4000000000000004</v>
      </c>
      <c r="M461" t="b">
        <v>0</v>
      </c>
    </row>
    <row r="462" spans="1:14" x14ac:dyDescent="0.25">
      <c r="A462" t="s">
        <v>515</v>
      </c>
      <c r="B462" t="s">
        <v>42</v>
      </c>
      <c r="C462" t="s">
        <v>32</v>
      </c>
      <c r="D462" t="s">
        <v>23</v>
      </c>
      <c r="E462" t="s">
        <v>58</v>
      </c>
      <c r="F462" t="s">
        <v>40</v>
      </c>
      <c r="G462">
        <v>68.569999999999993</v>
      </c>
      <c r="H462">
        <v>56.4</v>
      </c>
      <c r="I462">
        <v>29.9</v>
      </c>
      <c r="J462" s="1">
        <v>45875</v>
      </c>
      <c r="K462">
        <v>30</v>
      </c>
      <c r="L462">
        <v>1.8</v>
      </c>
      <c r="M462" t="b">
        <v>0</v>
      </c>
    </row>
    <row r="463" spans="1:14" x14ac:dyDescent="0.25">
      <c r="A463" t="s">
        <v>516</v>
      </c>
      <c r="B463" t="s">
        <v>27</v>
      </c>
      <c r="C463" t="s">
        <v>48</v>
      </c>
      <c r="D463" t="s">
        <v>23</v>
      </c>
      <c r="F463" t="s">
        <v>40</v>
      </c>
      <c r="G463">
        <v>46.46</v>
      </c>
      <c r="H463">
        <v>0</v>
      </c>
      <c r="I463">
        <v>46.46</v>
      </c>
      <c r="J463" s="1">
        <v>45875</v>
      </c>
      <c r="K463">
        <v>30</v>
      </c>
      <c r="M463" t="b">
        <v>0</v>
      </c>
    </row>
    <row r="464" spans="1:14" x14ac:dyDescent="0.25">
      <c r="A464" t="s">
        <v>517</v>
      </c>
      <c r="B464" t="s">
        <v>15</v>
      </c>
      <c r="C464" t="s">
        <v>32</v>
      </c>
      <c r="D464" t="s">
        <v>34</v>
      </c>
      <c r="E464" t="s">
        <v>49</v>
      </c>
      <c r="F464" t="s">
        <v>35</v>
      </c>
      <c r="G464">
        <v>124.68</v>
      </c>
      <c r="H464">
        <v>58.2</v>
      </c>
      <c r="I464">
        <v>52.12</v>
      </c>
      <c r="J464" s="1">
        <v>45875</v>
      </c>
      <c r="K464">
        <v>44</v>
      </c>
      <c r="L464">
        <v>3.2</v>
      </c>
      <c r="M464" t="b">
        <v>0</v>
      </c>
    </row>
    <row r="465" spans="1:14" x14ac:dyDescent="0.25">
      <c r="A465" t="s">
        <v>518</v>
      </c>
      <c r="B465" t="s">
        <v>38</v>
      </c>
      <c r="C465" t="s">
        <v>48</v>
      </c>
      <c r="D465" t="s">
        <v>17</v>
      </c>
      <c r="E465" t="s">
        <v>18</v>
      </c>
      <c r="F465" t="s">
        <v>19</v>
      </c>
      <c r="G465">
        <v>36.85</v>
      </c>
      <c r="H465">
        <v>0</v>
      </c>
      <c r="I465">
        <v>36.85</v>
      </c>
      <c r="J465" s="1">
        <v>45841</v>
      </c>
      <c r="K465">
        <v>0</v>
      </c>
      <c r="L465">
        <v>4.4000000000000004</v>
      </c>
      <c r="M465" t="b">
        <v>0</v>
      </c>
    </row>
    <row r="466" spans="1:14" x14ac:dyDescent="0.25">
      <c r="A466" t="s">
        <v>519</v>
      </c>
      <c r="B466" t="s">
        <v>15</v>
      </c>
      <c r="C466" t="s">
        <v>53</v>
      </c>
      <c r="D466" t="s">
        <v>23</v>
      </c>
      <c r="E466" t="s">
        <v>55</v>
      </c>
      <c r="F466" t="s">
        <v>28</v>
      </c>
      <c r="G466">
        <v>229.63</v>
      </c>
      <c r="H466">
        <v>0.3</v>
      </c>
      <c r="I466">
        <v>228.94</v>
      </c>
      <c r="J466" s="1">
        <v>45875</v>
      </c>
      <c r="K466">
        <v>30</v>
      </c>
      <c r="L466">
        <v>3.4</v>
      </c>
      <c r="M466" t="b">
        <v>0</v>
      </c>
    </row>
    <row r="467" spans="1:14" x14ac:dyDescent="0.25">
      <c r="A467" t="s">
        <v>520</v>
      </c>
      <c r="B467" t="s">
        <v>21</v>
      </c>
      <c r="C467" t="s">
        <v>53</v>
      </c>
      <c r="D467" t="s">
        <v>17</v>
      </c>
      <c r="E467" t="s">
        <v>39</v>
      </c>
      <c r="F467" t="s">
        <v>64</v>
      </c>
      <c r="G467">
        <v>74.09</v>
      </c>
      <c r="H467">
        <v>0</v>
      </c>
      <c r="I467">
        <v>74.09</v>
      </c>
      <c r="J467" s="1">
        <v>45542</v>
      </c>
      <c r="K467">
        <v>35</v>
      </c>
      <c r="L467">
        <v>3.4</v>
      </c>
      <c r="M467" t="b">
        <v>0</v>
      </c>
    </row>
    <row r="468" spans="1:14" x14ac:dyDescent="0.25">
      <c r="A468" t="s">
        <v>521</v>
      </c>
      <c r="B468" t="s">
        <v>38</v>
      </c>
      <c r="C468" t="s">
        <v>32</v>
      </c>
      <c r="D468" t="s">
        <v>17</v>
      </c>
      <c r="E468" t="s">
        <v>55</v>
      </c>
      <c r="F468" t="s">
        <v>70</v>
      </c>
      <c r="G468">
        <v>27.22</v>
      </c>
      <c r="H468">
        <v>0</v>
      </c>
      <c r="I468">
        <v>27.22</v>
      </c>
      <c r="J468" s="1">
        <v>45544</v>
      </c>
      <c r="K468">
        <v>14</v>
      </c>
      <c r="L468">
        <v>2.4</v>
      </c>
      <c r="M468" t="b">
        <v>0</v>
      </c>
    </row>
    <row r="469" spans="1:14" x14ac:dyDescent="0.25">
      <c r="A469" t="s">
        <v>522</v>
      </c>
      <c r="B469" t="s">
        <v>21</v>
      </c>
      <c r="C469" t="s">
        <v>53</v>
      </c>
      <c r="D469" t="s">
        <v>17</v>
      </c>
      <c r="E469" t="s">
        <v>24</v>
      </c>
      <c r="F469" t="s">
        <v>66</v>
      </c>
      <c r="G469">
        <v>32.64</v>
      </c>
      <c r="H469">
        <v>1.4</v>
      </c>
      <c r="I469">
        <v>32.18</v>
      </c>
      <c r="J469" s="1">
        <v>45783</v>
      </c>
      <c r="K469">
        <v>29</v>
      </c>
      <c r="L469">
        <v>1.5</v>
      </c>
      <c r="M469" t="b">
        <v>1</v>
      </c>
      <c r="N469" t="s">
        <v>115</v>
      </c>
    </row>
    <row r="470" spans="1:14" x14ac:dyDescent="0.25">
      <c r="A470" t="s">
        <v>523</v>
      </c>
      <c r="B470" t="s">
        <v>27</v>
      </c>
      <c r="C470" t="s">
        <v>16</v>
      </c>
      <c r="D470" t="s">
        <v>62</v>
      </c>
      <c r="F470" t="s">
        <v>66</v>
      </c>
      <c r="G470">
        <v>30.25</v>
      </c>
      <c r="H470">
        <v>11.8</v>
      </c>
      <c r="I470">
        <v>26.68</v>
      </c>
      <c r="J470" s="1">
        <v>45875</v>
      </c>
      <c r="K470">
        <v>30</v>
      </c>
      <c r="L470">
        <v>3.4</v>
      </c>
      <c r="M470" t="b">
        <v>0</v>
      </c>
    </row>
    <row r="471" spans="1:14" x14ac:dyDescent="0.25">
      <c r="A471" t="s">
        <v>524</v>
      </c>
      <c r="B471" t="s">
        <v>15</v>
      </c>
      <c r="C471" t="s">
        <v>22</v>
      </c>
      <c r="D471" t="s">
        <v>62</v>
      </c>
      <c r="E471" t="s">
        <v>39</v>
      </c>
      <c r="F471" t="s">
        <v>70</v>
      </c>
      <c r="G471">
        <v>180.57</v>
      </c>
      <c r="H471">
        <v>0</v>
      </c>
      <c r="I471">
        <v>180.57</v>
      </c>
      <c r="J471" s="1">
        <v>45875</v>
      </c>
      <c r="K471">
        <v>28</v>
      </c>
      <c r="M471" t="b">
        <v>0</v>
      </c>
    </row>
    <row r="472" spans="1:14" x14ac:dyDescent="0.25">
      <c r="A472" t="s">
        <v>525</v>
      </c>
      <c r="B472" t="s">
        <v>38</v>
      </c>
      <c r="C472" t="s">
        <v>22</v>
      </c>
      <c r="D472" t="s">
        <v>62</v>
      </c>
      <c r="E472" t="s">
        <v>55</v>
      </c>
      <c r="F472" t="s">
        <v>35</v>
      </c>
      <c r="G472">
        <v>96.55</v>
      </c>
      <c r="H472">
        <v>0</v>
      </c>
      <c r="I472">
        <v>96.55</v>
      </c>
      <c r="J472" s="1">
        <v>45875</v>
      </c>
      <c r="K472">
        <v>17</v>
      </c>
      <c r="L472">
        <v>4.4000000000000004</v>
      </c>
      <c r="M472" t="b">
        <v>0</v>
      </c>
    </row>
    <row r="473" spans="1:14" x14ac:dyDescent="0.25">
      <c r="A473" t="s">
        <v>526</v>
      </c>
      <c r="B473" t="s">
        <v>38</v>
      </c>
      <c r="C473" t="s">
        <v>53</v>
      </c>
      <c r="D473" t="s">
        <v>34</v>
      </c>
      <c r="F473" t="s">
        <v>25</v>
      </c>
      <c r="G473">
        <v>68.53</v>
      </c>
      <c r="H473">
        <v>54.3</v>
      </c>
      <c r="I473">
        <v>31.32</v>
      </c>
      <c r="J473" s="1">
        <v>45875</v>
      </c>
      <c r="K473">
        <v>38</v>
      </c>
      <c r="L473">
        <v>2.9</v>
      </c>
      <c r="M473" t="b">
        <v>0</v>
      </c>
    </row>
    <row r="474" spans="1:14" x14ac:dyDescent="0.25">
      <c r="A474" t="s">
        <v>527</v>
      </c>
      <c r="B474" t="s">
        <v>30</v>
      </c>
      <c r="C474" t="s">
        <v>61</v>
      </c>
      <c r="D474" t="s">
        <v>34</v>
      </c>
      <c r="E474" t="s">
        <v>55</v>
      </c>
      <c r="F474" t="s">
        <v>35</v>
      </c>
      <c r="G474">
        <v>71.94</v>
      </c>
      <c r="H474">
        <v>0</v>
      </c>
      <c r="I474">
        <v>71.94</v>
      </c>
      <c r="J474" s="1">
        <v>45875</v>
      </c>
      <c r="K474">
        <v>45</v>
      </c>
      <c r="L474">
        <v>3.3</v>
      </c>
      <c r="M474" t="b">
        <v>0</v>
      </c>
    </row>
    <row r="475" spans="1:14" x14ac:dyDescent="0.25">
      <c r="A475" t="s">
        <v>528</v>
      </c>
      <c r="B475" t="s">
        <v>30</v>
      </c>
      <c r="C475" t="s">
        <v>61</v>
      </c>
      <c r="D475" t="s">
        <v>34</v>
      </c>
      <c r="E475" t="s">
        <v>24</v>
      </c>
      <c r="F475" t="s">
        <v>44</v>
      </c>
      <c r="G475">
        <v>80.72</v>
      </c>
      <c r="H475">
        <v>9.9</v>
      </c>
      <c r="I475">
        <v>72.73</v>
      </c>
      <c r="J475" s="1">
        <v>45875</v>
      </c>
      <c r="K475">
        <v>37</v>
      </c>
      <c r="L475">
        <v>2.5</v>
      </c>
      <c r="M475" t="b">
        <v>0</v>
      </c>
    </row>
    <row r="476" spans="1:14" x14ac:dyDescent="0.25">
      <c r="A476" t="s">
        <v>529</v>
      </c>
      <c r="B476" t="s">
        <v>15</v>
      </c>
      <c r="C476" t="s">
        <v>16</v>
      </c>
      <c r="D476" t="s">
        <v>23</v>
      </c>
      <c r="E476" t="s">
        <v>24</v>
      </c>
      <c r="F476" t="s">
        <v>46</v>
      </c>
      <c r="G476">
        <v>208.8</v>
      </c>
      <c r="H476">
        <v>0</v>
      </c>
      <c r="I476">
        <v>208.8</v>
      </c>
      <c r="J476" s="1">
        <v>45875</v>
      </c>
      <c r="K476">
        <v>13</v>
      </c>
      <c r="L476">
        <v>1.6</v>
      </c>
      <c r="M476" t="b">
        <v>0</v>
      </c>
    </row>
    <row r="477" spans="1:14" x14ac:dyDescent="0.25">
      <c r="A477" t="s">
        <v>530</v>
      </c>
      <c r="B477" t="s">
        <v>30</v>
      </c>
      <c r="C477" t="s">
        <v>43</v>
      </c>
      <c r="D477" t="s">
        <v>62</v>
      </c>
      <c r="E477" t="s">
        <v>58</v>
      </c>
      <c r="F477" t="s">
        <v>64</v>
      </c>
      <c r="G477">
        <v>158.15</v>
      </c>
      <c r="H477">
        <v>54.1</v>
      </c>
      <c r="I477">
        <v>72.59</v>
      </c>
      <c r="J477" s="1">
        <v>45875</v>
      </c>
      <c r="K477">
        <v>36</v>
      </c>
      <c r="L477">
        <v>4.5</v>
      </c>
      <c r="M477" t="b">
        <v>0</v>
      </c>
    </row>
    <row r="478" spans="1:14" x14ac:dyDescent="0.25">
      <c r="A478" t="s">
        <v>531</v>
      </c>
      <c r="B478" t="s">
        <v>21</v>
      </c>
      <c r="C478" t="s">
        <v>16</v>
      </c>
      <c r="D478" t="s">
        <v>34</v>
      </c>
      <c r="E478" t="s">
        <v>39</v>
      </c>
      <c r="F478" t="s">
        <v>35</v>
      </c>
      <c r="G478">
        <v>85.92</v>
      </c>
      <c r="H478">
        <v>0</v>
      </c>
      <c r="I478">
        <v>85.92</v>
      </c>
      <c r="J478" s="1">
        <v>45875</v>
      </c>
      <c r="K478">
        <v>12</v>
      </c>
      <c r="M478" t="b">
        <v>0</v>
      </c>
    </row>
    <row r="479" spans="1:14" x14ac:dyDescent="0.25">
      <c r="A479" t="s">
        <v>532</v>
      </c>
      <c r="B479" t="s">
        <v>27</v>
      </c>
      <c r="C479" t="s">
        <v>61</v>
      </c>
      <c r="D479" t="s">
        <v>17</v>
      </c>
      <c r="F479" t="s">
        <v>25</v>
      </c>
      <c r="G479">
        <v>69.59</v>
      </c>
      <c r="H479">
        <v>0</v>
      </c>
      <c r="I479">
        <v>69.59</v>
      </c>
      <c r="J479" s="1">
        <v>45561</v>
      </c>
      <c r="K479">
        <v>38</v>
      </c>
      <c r="L479">
        <v>1.5</v>
      </c>
      <c r="M479" t="b">
        <v>0</v>
      </c>
    </row>
    <row r="480" spans="1:14" x14ac:dyDescent="0.25">
      <c r="A480" t="s">
        <v>533</v>
      </c>
      <c r="B480" t="s">
        <v>42</v>
      </c>
      <c r="C480" t="s">
        <v>16</v>
      </c>
      <c r="D480" t="s">
        <v>23</v>
      </c>
      <c r="E480" t="s">
        <v>18</v>
      </c>
      <c r="F480" t="s">
        <v>19</v>
      </c>
      <c r="G480">
        <v>136.16999999999999</v>
      </c>
      <c r="H480">
        <v>19.100000000000001</v>
      </c>
      <c r="I480">
        <v>110.16</v>
      </c>
      <c r="J480" s="1">
        <v>45875</v>
      </c>
      <c r="K480">
        <v>14</v>
      </c>
      <c r="M480" t="b">
        <v>0</v>
      </c>
    </row>
    <row r="481" spans="1:14" x14ac:dyDescent="0.25">
      <c r="A481" t="s">
        <v>534</v>
      </c>
      <c r="B481" t="s">
        <v>30</v>
      </c>
      <c r="C481" t="s">
        <v>43</v>
      </c>
      <c r="D481" t="s">
        <v>17</v>
      </c>
      <c r="E481" t="s">
        <v>55</v>
      </c>
      <c r="F481" t="s">
        <v>25</v>
      </c>
      <c r="G481">
        <v>124.26</v>
      </c>
      <c r="H481">
        <v>0</v>
      </c>
      <c r="I481">
        <v>124.26</v>
      </c>
      <c r="J481" s="1">
        <v>45512</v>
      </c>
      <c r="K481">
        <v>44</v>
      </c>
      <c r="L481">
        <v>4</v>
      </c>
      <c r="M481" t="b">
        <v>0</v>
      </c>
    </row>
    <row r="482" spans="1:14" x14ac:dyDescent="0.25">
      <c r="A482" t="s">
        <v>535</v>
      </c>
      <c r="B482" t="s">
        <v>30</v>
      </c>
      <c r="C482" t="s">
        <v>32</v>
      </c>
      <c r="D482" t="s">
        <v>23</v>
      </c>
      <c r="E482" t="s">
        <v>39</v>
      </c>
      <c r="F482" t="s">
        <v>28</v>
      </c>
      <c r="G482">
        <v>129.33000000000001</v>
      </c>
      <c r="H482">
        <v>0</v>
      </c>
      <c r="I482">
        <v>129.33000000000001</v>
      </c>
      <c r="J482" s="1">
        <v>45875</v>
      </c>
      <c r="K482">
        <v>15</v>
      </c>
      <c r="L482">
        <v>3.1</v>
      </c>
      <c r="M482" t="b">
        <v>0</v>
      </c>
    </row>
    <row r="483" spans="1:14" x14ac:dyDescent="0.25">
      <c r="A483" t="s">
        <v>536</v>
      </c>
      <c r="B483" t="s">
        <v>42</v>
      </c>
      <c r="C483" t="s">
        <v>48</v>
      </c>
      <c r="D483" t="s">
        <v>17</v>
      </c>
      <c r="E483" t="s">
        <v>39</v>
      </c>
      <c r="F483" t="s">
        <v>64</v>
      </c>
      <c r="G483">
        <v>123.93</v>
      </c>
      <c r="H483">
        <v>30</v>
      </c>
      <c r="I483">
        <v>86.75</v>
      </c>
      <c r="J483" s="1">
        <v>45869</v>
      </c>
      <c r="K483">
        <v>39</v>
      </c>
      <c r="L483">
        <v>1.9</v>
      </c>
      <c r="M483" t="b">
        <v>0</v>
      </c>
    </row>
    <row r="484" spans="1:14" x14ac:dyDescent="0.25">
      <c r="A484" t="s">
        <v>537</v>
      </c>
      <c r="B484" t="s">
        <v>30</v>
      </c>
      <c r="C484" t="s">
        <v>16</v>
      </c>
      <c r="D484" t="s">
        <v>62</v>
      </c>
      <c r="E484" t="s">
        <v>55</v>
      </c>
      <c r="F484" t="s">
        <v>56</v>
      </c>
      <c r="G484">
        <v>62.76</v>
      </c>
      <c r="H484">
        <v>0</v>
      </c>
      <c r="I484">
        <v>62.76</v>
      </c>
      <c r="J484" s="1">
        <v>45875</v>
      </c>
      <c r="K484">
        <v>12</v>
      </c>
      <c r="L484">
        <v>4.7</v>
      </c>
      <c r="M484" t="b">
        <v>0</v>
      </c>
    </row>
    <row r="485" spans="1:14" x14ac:dyDescent="0.25">
      <c r="A485" t="s">
        <v>538</v>
      </c>
      <c r="B485" t="s">
        <v>30</v>
      </c>
      <c r="C485" t="s">
        <v>22</v>
      </c>
      <c r="D485" t="s">
        <v>17</v>
      </c>
      <c r="E485" t="s">
        <v>55</v>
      </c>
      <c r="F485" t="s">
        <v>44</v>
      </c>
      <c r="G485">
        <v>74.540000000000006</v>
      </c>
      <c r="H485">
        <v>0</v>
      </c>
      <c r="I485">
        <v>74.540000000000006</v>
      </c>
      <c r="J485" s="1">
        <v>45603</v>
      </c>
      <c r="K485">
        <v>4</v>
      </c>
      <c r="L485">
        <v>3.5</v>
      </c>
      <c r="M485" t="b">
        <v>0</v>
      </c>
    </row>
    <row r="486" spans="1:14" x14ac:dyDescent="0.25">
      <c r="A486" t="s">
        <v>539</v>
      </c>
      <c r="B486" t="s">
        <v>21</v>
      </c>
      <c r="C486" t="s">
        <v>61</v>
      </c>
      <c r="D486" t="s">
        <v>62</v>
      </c>
      <c r="E486" t="s">
        <v>39</v>
      </c>
      <c r="F486" t="s">
        <v>25</v>
      </c>
      <c r="G486">
        <v>114.03</v>
      </c>
      <c r="H486">
        <v>0</v>
      </c>
      <c r="I486">
        <v>114.03</v>
      </c>
      <c r="J486" s="1">
        <v>45875</v>
      </c>
      <c r="K486">
        <v>2</v>
      </c>
      <c r="M486" t="b">
        <v>0</v>
      </c>
    </row>
    <row r="487" spans="1:14" x14ac:dyDescent="0.25">
      <c r="A487" t="s">
        <v>540</v>
      </c>
      <c r="B487" t="s">
        <v>27</v>
      </c>
      <c r="C487" t="s">
        <v>61</v>
      </c>
      <c r="D487" t="s">
        <v>34</v>
      </c>
      <c r="F487" t="s">
        <v>35</v>
      </c>
      <c r="G487">
        <v>20.59</v>
      </c>
      <c r="H487">
        <v>27.6</v>
      </c>
      <c r="I487">
        <v>14.91</v>
      </c>
      <c r="J487" s="1">
        <v>45875</v>
      </c>
      <c r="K487">
        <v>36</v>
      </c>
      <c r="M487" t="b">
        <v>0</v>
      </c>
    </row>
    <row r="488" spans="1:14" x14ac:dyDescent="0.25">
      <c r="A488" t="s">
        <v>541</v>
      </c>
      <c r="B488" t="s">
        <v>30</v>
      </c>
      <c r="C488" t="s">
        <v>32</v>
      </c>
      <c r="D488" t="s">
        <v>62</v>
      </c>
      <c r="E488" t="s">
        <v>18</v>
      </c>
      <c r="F488" t="s">
        <v>44</v>
      </c>
      <c r="G488">
        <v>167.86</v>
      </c>
      <c r="H488">
        <v>0</v>
      </c>
      <c r="I488">
        <v>167.86</v>
      </c>
      <c r="J488" s="1">
        <v>45875</v>
      </c>
      <c r="K488">
        <v>17</v>
      </c>
      <c r="L488">
        <v>3.2</v>
      </c>
      <c r="M488" t="b">
        <v>0</v>
      </c>
    </row>
    <row r="489" spans="1:14" x14ac:dyDescent="0.25">
      <c r="A489" t="s">
        <v>542</v>
      </c>
      <c r="B489" t="s">
        <v>27</v>
      </c>
      <c r="C489" t="s">
        <v>22</v>
      </c>
      <c r="D489" t="s">
        <v>34</v>
      </c>
      <c r="F489" t="s">
        <v>40</v>
      </c>
      <c r="G489">
        <v>62.2</v>
      </c>
      <c r="H489">
        <v>37.700000000000003</v>
      </c>
      <c r="I489">
        <v>38.75</v>
      </c>
      <c r="J489" s="1">
        <v>45875</v>
      </c>
      <c r="K489">
        <v>16</v>
      </c>
      <c r="L489">
        <v>3.1</v>
      </c>
      <c r="M489" t="b">
        <v>0</v>
      </c>
    </row>
    <row r="490" spans="1:14" x14ac:dyDescent="0.25">
      <c r="A490" t="s">
        <v>543</v>
      </c>
      <c r="B490" t="s">
        <v>15</v>
      </c>
      <c r="C490" t="s">
        <v>32</v>
      </c>
      <c r="D490" t="s">
        <v>34</v>
      </c>
      <c r="F490" t="s">
        <v>25</v>
      </c>
      <c r="G490">
        <v>223.69</v>
      </c>
      <c r="H490">
        <v>6.3</v>
      </c>
      <c r="I490">
        <v>209.6</v>
      </c>
      <c r="J490" s="1">
        <v>45875</v>
      </c>
      <c r="K490">
        <v>18</v>
      </c>
      <c r="L490">
        <v>1.9</v>
      </c>
      <c r="M490" t="b">
        <v>0</v>
      </c>
    </row>
    <row r="491" spans="1:14" x14ac:dyDescent="0.25">
      <c r="A491" t="s">
        <v>544</v>
      </c>
      <c r="B491" t="s">
        <v>27</v>
      </c>
      <c r="C491" t="s">
        <v>43</v>
      </c>
      <c r="D491" t="s">
        <v>62</v>
      </c>
      <c r="F491" t="s">
        <v>44</v>
      </c>
      <c r="G491">
        <v>67.13</v>
      </c>
      <c r="H491">
        <v>0</v>
      </c>
      <c r="I491">
        <v>67.13</v>
      </c>
      <c r="J491" s="1">
        <v>45875</v>
      </c>
      <c r="K491">
        <v>3</v>
      </c>
      <c r="L491">
        <v>1.4</v>
      </c>
      <c r="M491" t="b">
        <v>0</v>
      </c>
    </row>
    <row r="492" spans="1:14" x14ac:dyDescent="0.25">
      <c r="A492" t="s">
        <v>545</v>
      </c>
      <c r="B492" t="s">
        <v>42</v>
      </c>
      <c r="C492" t="s">
        <v>16</v>
      </c>
      <c r="D492" t="s">
        <v>62</v>
      </c>
      <c r="E492" t="s">
        <v>58</v>
      </c>
      <c r="F492" t="s">
        <v>19</v>
      </c>
      <c r="G492">
        <v>144.81</v>
      </c>
      <c r="H492">
        <v>33.299999999999997</v>
      </c>
      <c r="I492">
        <v>96.59</v>
      </c>
      <c r="J492" s="1">
        <v>45875</v>
      </c>
      <c r="K492">
        <v>33</v>
      </c>
      <c r="L492">
        <v>2.8</v>
      </c>
      <c r="M492" t="b">
        <v>0</v>
      </c>
    </row>
    <row r="493" spans="1:14" x14ac:dyDescent="0.25">
      <c r="A493" t="s">
        <v>546</v>
      </c>
      <c r="B493" t="s">
        <v>15</v>
      </c>
      <c r="C493" t="s">
        <v>61</v>
      </c>
      <c r="D493" t="s">
        <v>23</v>
      </c>
      <c r="E493" t="s">
        <v>55</v>
      </c>
      <c r="F493" t="s">
        <v>66</v>
      </c>
      <c r="G493">
        <v>152.93</v>
      </c>
      <c r="H493">
        <v>53</v>
      </c>
      <c r="I493">
        <v>71.88</v>
      </c>
      <c r="J493" s="1">
        <v>45875</v>
      </c>
      <c r="K493">
        <v>2</v>
      </c>
      <c r="L493">
        <v>4.5999999999999996</v>
      </c>
      <c r="M493" t="b">
        <v>1</v>
      </c>
      <c r="N493" t="s">
        <v>115</v>
      </c>
    </row>
    <row r="494" spans="1:14" x14ac:dyDescent="0.25">
      <c r="A494" t="s">
        <v>547</v>
      </c>
      <c r="B494" t="s">
        <v>42</v>
      </c>
      <c r="C494" t="s">
        <v>75</v>
      </c>
      <c r="D494" t="s">
        <v>62</v>
      </c>
      <c r="E494" t="s">
        <v>49</v>
      </c>
      <c r="F494" t="s">
        <v>35</v>
      </c>
      <c r="G494">
        <v>111.29</v>
      </c>
      <c r="H494">
        <v>0</v>
      </c>
      <c r="I494">
        <v>111.29</v>
      </c>
      <c r="J494" s="1">
        <v>45875</v>
      </c>
      <c r="K494">
        <v>48</v>
      </c>
      <c r="L494">
        <v>4.9000000000000004</v>
      </c>
      <c r="M494" t="b">
        <v>0</v>
      </c>
    </row>
    <row r="495" spans="1:14" x14ac:dyDescent="0.25">
      <c r="A495" t="s">
        <v>548</v>
      </c>
      <c r="B495" t="s">
        <v>15</v>
      </c>
      <c r="C495" t="s">
        <v>32</v>
      </c>
      <c r="D495" t="s">
        <v>23</v>
      </c>
      <c r="E495" t="s">
        <v>55</v>
      </c>
      <c r="F495" t="s">
        <v>25</v>
      </c>
      <c r="G495">
        <v>159.18</v>
      </c>
      <c r="H495">
        <v>0</v>
      </c>
      <c r="I495">
        <v>159.18</v>
      </c>
      <c r="J495" s="1">
        <v>45875</v>
      </c>
      <c r="K495">
        <v>38</v>
      </c>
      <c r="L495">
        <v>2.4</v>
      </c>
      <c r="M495" t="b">
        <v>1</v>
      </c>
      <c r="N495" t="s">
        <v>83</v>
      </c>
    </row>
    <row r="496" spans="1:14" x14ac:dyDescent="0.25">
      <c r="A496" t="s">
        <v>549</v>
      </c>
      <c r="B496" t="s">
        <v>15</v>
      </c>
      <c r="C496" t="s">
        <v>16</v>
      </c>
      <c r="D496" t="s">
        <v>23</v>
      </c>
      <c r="E496" t="s">
        <v>49</v>
      </c>
      <c r="F496" t="s">
        <v>35</v>
      </c>
      <c r="G496">
        <v>215.93</v>
      </c>
      <c r="H496">
        <v>0</v>
      </c>
      <c r="I496">
        <v>215.93</v>
      </c>
      <c r="J496" s="1">
        <v>45875</v>
      </c>
      <c r="K496">
        <v>43</v>
      </c>
      <c r="L496">
        <v>3.5</v>
      </c>
      <c r="M496" t="b">
        <v>0</v>
      </c>
    </row>
    <row r="497" spans="1:14" x14ac:dyDescent="0.25">
      <c r="A497" t="s">
        <v>550</v>
      </c>
      <c r="B497" t="s">
        <v>21</v>
      </c>
      <c r="C497" t="s">
        <v>53</v>
      </c>
      <c r="D497" t="s">
        <v>17</v>
      </c>
      <c r="F497" t="s">
        <v>56</v>
      </c>
      <c r="G497">
        <v>51.69</v>
      </c>
      <c r="H497">
        <v>33.4</v>
      </c>
      <c r="I497">
        <v>34.43</v>
      </c>
      <c r="J497" s="1">
        <v>45511</v>
      </c>
      <c r="K497">
        <v>36</v>
      </c>
      <c r="L497">
        <v>3.4</v>
      </c>
      <c r="M497" t="b">
        <v>0</v>
      </c>
    </row>
    <row r="498" spans="1:14" x14ac:dyDescent="0.25">
      <c r="A498" t="s">
        <v>551</v>
      </c>
      <c r="B498" t="s">
        <v>15</v>
      </c>
      <c r="C498" t="s">
        <v>53</v>
      </c>
      <c r="D498" t="s">
        <v>62</v>
      </c>
      <c r="E498" t="s">
        <v>24</v>
      </c>
      <c r="F498" t="s">
        <v>25</v>
      </c>
      <c r="G498">
        <v>137.38</v>
      </c>
      <c r="H498">
        <v>0</v>
      </c>
      <c r="I498">
        <v>137.38</v>
      </c>
      <c r="J498" s="1">
        <v>45875</v>
      </c>
      <c r="K498">
        <v>43</v>
      </c>
      <c r="L498">
        <v>3.5</v>
      </c>
      <c r="M498" t="b">
        <v>0</v>
      </c>
    </row>
    <row r="499" spans="1:14" x14ac:dyDescent="0.25">
      <c r="A499" t="s">
        <v>552</v>
      </c>
      <c r="B499" t="s">
        <v>38</v>
      </c>
      <c r="C499" t="s">
        <v>75</v>
      </c>
      <c r="D499" t="s">
        <v>34</v>
      </c>
      <c r="E499" t="s">
        <v>49</v>
      </c>
      <c r="F499" t="s">
        <v>46</v>
      </c>
      <c r="G499">
        <v>96.7</v>
      </c>
      <c r="H499">
        <v>38.799999999999997</v>
      </c>
      <c r="I499">
        <v>59.18</v>
      </c>
      <c r="J499" s="1">
        <v>45875</v>
      </c>
      <c r="K499">
        <v>46</v>
      </c>
      <c r="L499">
        <v>1.7</v>
      </c>
      <c r="M499" t="b">
        <v>0</v>
      </c>
    </row>
    <row r="500" spans="1:14" x14ac:dyDescent="0.25">
      <c r="A500" t="s">
        <v>553</v>
      </c>
      <c r="B500" t="s">
        <v>38</v>
      </c>
      <c r="C500" t="s">
        <v>48</v>
      </c>
      <c r="D500" t="s">
        <v>17</v>
      </c>
      <c r="E500" t="s">
        <v>58</v>
      </c>
      <c r="F500" t="s">
        <v>66</v>
      </c>
      <c r="G500">
        <v>58.73</v>
      </c>
      <c r="H500">
        <v>38.1</v>
      </c>
      <c r="I500">
        <v>36.35</v>
      </c>
      <c r="J500" s="1">
        <v>45653</v>
      </c>
      <c r="K500">
        <v>50</v>
      </c>
      <c r="L500">
        <v>1.2</v>
      </c>
      <c r="M500" t="b">
        <v>0</v>
      </c>
    </row>
    <row r="501" spans="1:14" x14ac:dyDescent="0.25">
      <c r="A501" t="s">
        <v>554</v>
      </c>
      <c r="B501" t="s">
        <v>15</v>
      </c>
      <c r="C501" t="s">
        <v>61</v>
      </c>
      <c r="D501" t="s">
        <v>23</v>
      </c>
      <c r="E501" t="s">
        <v>39</v>
      </c>
      <c r="F501" t="s">
        <v>46</v>
      </c>
      <c r="G501">
        <v>204.68</v>
      </c>
      <c r="H501">
        <v>0</v>
      </c>
      <c r="I501">
        <v>204.68</v>
      </c>
      <c r="J501" s="1">
        <v>45875</v>
      </c>
      <c r="K501">
        <v>33</v>
      </c>
      <c r="L501">
        <v>3.1</v>
      </c>
      <c r="M501" t="b">
        <v>0</v>
      </c>
    </row>
    <row r="502" spans="1:14" x14ac:dyDescent="0.25">
      <c r="A502" t="s">
        <v>555</v>
      </c>
      <c r="B502" t="s">
        <v>38</v>
      </c>
      <c r="C502" t="s">
        <v>75</v>
      </c>
      <c r="D502" t="s">
        <v>17</v>
      </c>
      <c r="E502" t="s">
        <v>24</v>
      </c>
      <c r="F502" t="s">
        <v>35</v>
      </c>
      <c r="G502">
        <v>117.26</v>
      </c>
      <c r="H502">
        <v>0</v>
      </c>
      <c r="I502">
        <v>117.26</v>
      </c>
      <c r="J502" s="1">
        <v>45560</v>
      </c>
      <c r="K502">
        <v>29</v>
      </c>
      <c r="M502" t="b">
        <v>0</v>
      </c>
    </row>
    <row r="503" spans="1:14" x14ac:dyDescent="0.25">
      <c r="A503" t="s">
        <v>556</v>
      </c>
      <c r="B503" t="s">
        <v>15</v>
      </c>
      <c r="C503" t="s">
        <v>61</v>
      </c>
      <c r="D503" t="s">
        <v>62</v>
      </c>
      <c r="E503" t="s">
        <v>49</v>
      </c>
      <c r="F503" t="s">
        <v>35</v>
      </c>
      <c r="G503">
        <v>91.95</v>
      </c>
      <c r="H503">
        <v>0</v>
      </c>
      <c r="I503">
        <v>91.95</v>
      </c>
      <c r="J503" s="1">
        <v>45875</v>
      </c>
      <c r="K503">
        <v>1</v>
      </c>
      <c r="L503">
        <v>2.5</v>
      </c>
      <c r="M503" t="b">
        <v>0</v>
      </c>
    </row>
    <row r="504" spans="1:14" x14ac:dyDescent="0.25">
      <c r="A504" t="s">
        <v>557</v>
      </c>
      <c r="B504" t="s">
        <v>38</v>
      </c>
      <c r="C504" t="s">
        <v>61</v>
      </c>
      <c r="D504" t="s">
        <v>34</v>
      </c>
      <c r="E504" t="s">
        <v>18</v>
      </c>
      <c r="F504" t="s">
        <v>64</v>
      </c>
      <c r="G504">
        <v>94.53</v>
      </c>
      <c r="H504">
        <v>0</v>
      </c>
      <c r="I504">
        <v>94.53</v>
      </c>
      <c r="J504" s="1">
        <v>45875</v>
      </c>
      <c r="K504">
        <v>13</v>
      </c>
      <c r="L504">
        <v>2.4</v>
      </c>
      <c r="M504" t="b">
        <v>0</v>
      </c>
    </row>
    <row r="505" spans="1:14" x14ac:dyDescent="0.25">
      <c r="A505" t="s">
        <v>558</v>
      </c>
      <c r="B505" t="s">
        <v>42</v>
      </c>
      <c r="C505" t="s">
        <v>43</v>
      </c>
      <c r="D505" t="s">
        <v>34</v>
      </c>
      <c r="E505" t="s">
        <v>49</v>
      </c>
      <c r="F505" t="s">
        <v>35</v>
      </c>
      <c r="G505">
        <v>71.94</v>
      </c>
      <c r="H505">
        <v>3</v>
      </c>
      <c r="I505">
        <v>69.78</v>
      </c>
      <c r="J505" s="1">
        <v>45875</v>
      </c>
      <c r="K505">
        <v>45</v>
      </c>
      <c r="L505">
        <v>1.4</v>
      </c>
      <c r="M505" t="b">
        <v>0</v>
      </c>
    </row>
    <row r="506" spans="1:14" x14ac:dyDescent="0.25">
      <c r="A506" t="s">
        <v>559</v>
      </c>
      <c r="B506" t="s">
        <v>42</v>
      </c>
      <c r="C506" t="s">
        <v>53</v>
      </c>
      <c r="D506" t="s">
        <v>23</v>
      </c>
      <c r="E506" t="s">
        <v>18</v>
      </c>
      <c r="F506" t="s">
        <v>46</v>
      </c>
      <c r="G506">
        <v>177.72</v>
      </c>
      <c r="H506">
        <v>5.9</v>
      </c>
      <c r="I506">
        <v>167.23</v>
      </c>
      <c r="J506" s="1">
        <v>45875</v>
      </c>
      <c r="K506">
        <v>47</v>
      </c>
      <c r="M506" t="b">
        <v>0</v>
      </c>
    </row>
    <row r="507" spans="1:14" x14ac:dyDescent="0.25">
      <c r="A507" t="s">
        <v>560</v>
      </c>
      <c r="B507" t="s">
        <v>27</v>
      </c>
      <c r="C507" t="s">
        <v>16</v>
      </c>
      <c r="D507" t="s">
        <v>62</v>
      </c>
      <c r="F507" t="s">
        <v>35</v>
      </c>
      <c r="G507">
        <v>34.4</v>
      </c>
      <c r="H507">
        <v>0</v>
      </c>
      <c r="I507">
        <v>34.4</v>
      </c>
      <c r="J507" s="1">
        <v>45875</v>
      </c>
      <c r="K507">
        <v>43</v>
      </c>
      <c r="L507">
        <v>3</v>
      </c>
      <c r="M507" t="b">
        <v>1</v>
      </c>
      <c r="N507" t="s">
        <v>125</v>
      </c>
    </row>
    <row r="508" spans="1:14" x14ac:dyDescent="0.25">
      <c r="A508" t="s">
        <v>561</v>
      </c>
      <c r="B508" t="s">
        <v>38</v>
      </c>
      <c r="C508" t="s">
        <v>32</v>
      </c>
      <c r="D508" t="s">
        <v>17</v>
      </c>
      <c r="E508" t="s">
        <v>58</v>
      </c>
      <c r="F508" t="s">
        <v>40</v>
      </c>
      <c r="G508">
        <v>119.72</v>
      </c>
      <c r="H508">
        <v>0</v>
      </c>
      <c r="I508">
        <v>119.72</v>
      </c>
      <c r="J508" s="1">
        <v>45675</v>
      </c>
      <c r="K508">
        <v>18</v>
      </c>
      <c r="L508">
        <v>3.7</v>
      </c>
      <c r="M508" t="b">
        <v>0</v>
      </c>
    </row>
    <row r="509" spans="1:14" x14ac:dyDescent="0.25">
      <c r="A509" t="s">
        <v>562</v>
      </c>
      <c r="B509" t="s">
        <v>27</v>
      </c>
      <c r="C509" t="s">
        <v>48</v>
      </c>
      <c r="D509" t="s">
        <v>62</v>
      </c>
      <c r="F509" t="s">
        <v>70</v>
      </c>
      <c r="G509">
        <v>44.09</v>
      </c>
      <c r="H509">
        <v>0</v>
      </c>
      <c r="I509">
        <v>44.09</v>
      </c>
      <c r="J509" s="1">
        <v>45875</v>
      </c>
      <c r="K509">
        <v>2</v>
      </c>
      <c r="L509">
        <v>2</v>
      </c>
      <c r="M509" t="b">
        <v>0</v>
      </c>
    </row>
    <row r="510" spans="1:14" x14ac:dyDescent="0.25">
      <c r="A510" t="s">
        <v>563</v>
      </c>
      <c r="B510" t="s">
        <v>38</v>
      </c>
      <c r="C510" t="s">
        <v>43</v>
      </c>
      <c r="D510" t="s">
        <v>17</v>
      </c>
      <c r="E510" t="s">
        <v>18</v>
      </c>
      <c r="F510" t="s">
        <v>66</v>
      </c>
      <c r="G510">
        <v>42.47</v>
      </c>
      <c r="H510">
        <v>0</v>
      </c>
      <c r="I510">
        <v>42.47</v>
      </c>
      <c r="J510" s="1">
        <v>45610</v>
      </c>
      <c r="K510">
        <v>33</v>
      </c>
      <c r="L510">
        <v>4.5</v>
      </c>
      <c r="M510" t="b">
        <v>1</v>
      </c>
      <c r="N510" t="s">
        <v>115</v>
      </c>
    </row>
    <row r="511" spans="1:14" x14ac:dyDescent="0.25">
      <c r="A511" t="s">
        <v>564</v>
      </c>
      <c r="B511" t="s">
        <v>42</v>
      </c>
      <c r="C511" t="s">
        <v>32</v>
      </c>
      <c r="D511" t="s">
        <v>62</v>
      </c>
      <c r="E511" t="s">
        <v>18</v>
      </c>
      <c r="F511" t="s">
        <v>66</v>
      </c>
      <c r="G511">
        <v>68.430000000000007</v>
      </c>
      <c r="H511">
        <v>0</v>
      </c>
      <c r="I511">
        <v>68.430000000000007</v>
      </c>
      <c r="J511" s="1">
        <v>45875</v>
      </c>
      <c r="K511">
        <v>16</v>
      </c>
      <c r="M511" t="b">
        <v>0</v>
      </c>
    </row>
    <row r="512" spans="1:14" x14ac:dyDescent="0.25">
      <c r="A512" t="s">
        <v>565</v>
      </c>
      <c r="B512" t="s">
        <v>30</v>
      </c>
      <c r="C512" t="s">
        <v>16</v>
      </c>
      <c r="D512" t="s">
        <v>34</v>
      </c>
      <c r="E512" t="s">
        <v>55</v>
      </c>
      <c r="F512" t="s">
        <v>46</v>
      </c>
      <c r="G512">
        <v>165.39</v>
      </c>
      <c r="H512">
        <v>31.8</v>
      </c>
      <c r="I512">
        <v>112.8</v>
      </c>
      <c r="J512" s="1">
        <v>45875</v>
      </c>
      <c r="K512">
        <v>9</v>
      </c>
      <c r="L512">
        <v>4.5999999999999996</v>
      </c>
      <c r="M512" t="b">
        <v>0</v>
      </c>
    </row>
    <row r="513" spans="1:14" x14ac:dyDescent="0.25">
      <c r="A513" t="s">
        <v>566</v>
      </c>
      <c r="B513" t="s">
        <v>27</v>
      </c>
      <c r="C513" t="s">
        <v>53</v>
      </c>
      <c r="D513" t="s">
        <v>23</v>
      </c>
      <c r="F513" t="s">
        <v>46</v>
      </c>
      <c r="G513">
        <v>35.36</v>
      </c>
      <c r="H513">
        <v>0</v>
      </c>
      <c r="I513">
        <v>35.36</v>
      </c>
      <c r="J513" s="1">
        <v>45875</v>
      </c>
      <c r="K513">
        <v>42</v>
      </c>
      <c r="L513">
        <v>4.5</v>
      </c>
      <c r="M513" t="b">
        <v>0</v>
      </c>
    </row>
    <row r="514" spans="1:14" x14ac:dyDescent="0.25">
      <c r="A514" t="s">
        <v>567</v>
      </c>
      <c r="B514" t="s">
        <v>42</v>
      </c>
      <c r="C514" t="s">
        <v>48</v>
      </c>
      <c r="D514" t="s">
        <v>62</v>
      </c>
      <c r="E514" t="s">
        <v>58</v>
      </c>
      <c r="F514" t="s">
        <v>64</v>
      </c>
      <c r="G514">
        <v>95.73</v>
      </c>
      <c r="H514">
        <v>0</v>
      </c>
      <c r="I514">
        <v>95.73</v>
      </c>
      <c r="J514" s="1">
        <v>45875</v>
      </c>
      <c r="K514">
        <v>6</v>
      </c>
      <c r="L514">
        <v>4.5999999999999996</v>
      </c>
      <c r="M514" t="b">
        <v>0</v>
      </c>
    </row>
    <row r="515" spans="1:14" x14ac:dyDescent="0.25">
      <c r="A515" t="s">
        <v>568</v>
      </c>
      <c r="B515" t="s">
        <v>27</v>
      </c>
      <c r="C515" t="s">
        <v>32</v>
      </c>
      <c r="D515" t="s">
        <v>17</v>
      </c>
      <c r="F515" t="s">
        <v>70</v>
      </c>
      <c r="G515">
        <v>72.28</v>
      </c>
      <c r="H515">
        <v>51.3</v>
      </c>
      <c r="I515">
        <v>35.200000000000003</v>
      </c>
      <c r="J515" s="1">
        <v>45703</v>
      </c>
      <c r="K515">
        <v>31</v>
      </c>
      <c r="L515">
        <v>1.9</v>
      </c>
      <c r="M515" t="b">
        <v>0</v>
      </c>
    </row>
    <row r="516" spans="1:14" x14ac:dyDescent="0.25">
      <c r="A516" t="s">
        <v>569</v>
      </c>
      <c r="B516" t="s">
        <v>15</v>
      </c>
      <c r="C516" t="s">
        <v>53</v>
      </c>
      <c r="D516" t="s">
        <v>62</v>
      </c>
      <c r="F516" t="s">
        <v>35</v>
      </c>
      <c r="G516">
        <v>80.349999999999994</v>
      </c>
      <c r="H516">
        <v>0</v>
      </c>
      <c r="I516">
        <v>80.349999999999994</v>
      </c>
      <c r="J516" s="1">
        <v>45875</v>
      </c>
      <c r="K516">
        <v>28</v>
      </c>
      <c r="L516">
        <v>2.9</v>
      </c>
      <c r="M516" t="b">
        <v>0</v>
      </c>
    </row>
    <row r="517" spans="1:14" x14ac:dyDescent="0.25">
      <c r="A517" t="s">
        <v>570</v>
      </c>
      <c r="B517" t="s">
        <v>38</v>
      </c>
      <c r="C517" t="s">
        <v>32</v>
      </c>
      <c r="D517" t="s">
        <v>23</v>
      </c>
      <c r="E517" t="s">
        <v>18</v>
      </c>
      <c r="F517" t="s">
        <v>40</v>
      </c>
      <c r="G517">
        <v>119.04</v>
      </c>
      <c r="H517">
        <v>0</v>
      </c>
      <c r="I517">
        <v>119.04</v>
      </c>
      <c r="J517" s="1">
        <v>45875</v>
      </c>
      <c r="K517">
        <v>35</v>
      </c>
      <c r="L517">
        <v>1.4</v>
      </c>
      <c r="M517" t="b">
        <v>0</v>
      </c>
    </row>
    <row r="518" spans="1:14" x14ac:dyDescent="0.25">
      <c r="A518" t="s">
        <v>571</v>
      </c>
      <c r="B518" t="s">
        <v>21</v>
      </c>
      <c r="C518" t="s">
        <v>61</v>
      </c>
      <c r="D518" t="s">
        <v>23</v>
      </c>
      <c r="E518" t="s">
        <v>55</v>
      </c>
      <c r="F518" t="s">
        <v>70</v>
      </c>
      <c r="G518">
        <v>60.53</v>
      </c>
      <c r="H518">
        <v>42.5</v>
      </c>
      <c r="I518">
        <v>34.799999999999997</v>
      </c>
      <c r="J518" s="1">
        <v>45875</v>
      </c>
      <c r="K518">
        <v>8</v>
      </c>
      <c r="M518" t="b">
        <v>1</v>
      </c>
      <c r="N518" t="s">
        <v>36</v>
      </c>
    </row>
    <row r="519" spans="1:14" x14ac:dyDescent="0.25">
      <c r="A519" t="s">
        <v>572</v>
      </c>
      <c r="B519" t="s">
        <v>15</v>
      </c>
      <c r="C519" t="s">
        <v>48</v>
      </c>
      <c r="D519" t="s">
        <v>34</v>
      </c>
      <c r="E519" t="s">
        <v>58</v>
      </c>
      <c r="F519" t="s">
        <v>64</v>
      </c>
      <c r="G519">
        <v>92.54</v>
      </c>
      <c r="H519">
        <v>43.8</v>
      </c>
      <c r="I519">
        <v>52.01</v>
      </c>
      <c r="J519" s="1">
        <v>45875</v>
      </c>
      <c r="K519">
        <v>33</v>
      </c>
      <c r="L519">
        <v>1.5</v>
      </c>
      <c r="M519" t="b">
        <v>1</v>
      </c>
      <c r="N519" t="s">
        <v>78</v>
      </c>
    </row>
    <row r="520" spans="1:14" x14ac:dyDescent="0.25">
      <c r="A520" t="s">
        <v>573</v>
      </c>
      <c r="B520" t="s">
        <v>27</v>
      </c>
      <c r="C520" t="s">
        <v>22</v>
      </c>
      <c r="D520" t="s">
        <v>34</v>
      </c>
      <c r="F520" t="s">
        <v>25</v>
      </c>
      <c r="G520">
        <v>28.4</v>
      </c>
      <c r="H520">
        <v>0</v>
      </c>
      <c r="I520">
        <v>28.4</v>
      </c>
      <c r="J520" s="1">
        <v>45875</v>
      </c>
      <c r="K520">
        <v>4</v>
      </c>
      <c r="L520">
        <v>3.1</v>
      </c>
      <c r="M520" t="b">
        <v>0</v>
      </c>
    </row>
    <row r="521" spans="1:14" x14ac:dyDescent="0.25">
      <c r="A521" t="s">
        <v>574</v>
      </c>
      <c r="B521" t="s">
        <v>38</v>
      </c>
      <c r="C521" t="s">
        <v>16</v>
      </c>
      <c r="D521" t="s">
        <v>62</v>
      </c>
      <c r="E521" t="s">
        <v>58</v>
      </c>
      <c r="F521" t="s">
        <v>40</v>
      </c>
      <c r="G521">
        <v>91.65</v>
      </c>
      <c r="H521">
        <v>0</v>
      </c>
      <c r="I521">
        <v>91.65</v>
      </c>
      <c r="J521" s="1">
        <v>45875</v>
      </c>
      <c r="K521">
        <v>40</v>
      </c>
      <c r="L521">
        <v>3.8</v>
      </c>
      <c r="M521" t="b">
        <v>0</v>
      </c>
    </row>
    <row r="522" spans="1:14" x14ac:dyDescent="0.25">
      <c r="A522" t="s">
        <v>575</v>
      </c>
      <c r="B522" t="s">
        <v>27</v>
      </c>
      <c r="C522" t="s">
        <v>43</v>
      </c>
      <c r="D522" t="s">
        <v>34</v>
      </c>
      <c r="F522" t="s">
        <v>64</v>
      </c>
      <c r="G522">
        <v>72.569999999999993</v>
      </c>
      <c r="H522">
        <v>0</v>
      </c>
      <c r="I522">
        <v>72.569999999999993</v>
      </c>
      <c r="J522" s="1">
        <v>45875</v>
      </c>
      <c r="K522">
        <v>27</v>
      </c>
      <c r="L522">
        <v>2.5</v>
      </c>
      <c r="M522" t="b">
        <v>0</v>
      </c>
    </row>
    <row r="523" spans="1:14" x14ac:dyDescent="0.25">
      <c r="A523" t="s">
        <v>576</v>
      </c>
      <c r="B523" t="s">
        <v>38</v>
      </c>
      <c r="C523" t="s">
        <v>48</v>
      </c>
      <c r="D523" t="s">
        <v>34</v>
      </c>
      <c r="E523" t="s">
        <v>24</v>
      </c>
      <c r="F523" t="s">
        <v>44</v>
      </c>
      <c r="G523">
        <v>39.049999999999997</v>
      </c>
      <c r="H523">
        <v>0</v>
      </c>
      <c r="I523">
        <v>39.049999999999997</v>
      </c>
      <c r="J523" s="1">
        <v>45875</v>
      </c>
      <c r="K523">
        <v>10</v>
      </c>
      <c r="L523">
        <v>3.5</v>
      </c>
      <c r="M523" t="b">
        <v>0</v>
      </c>
    </row>
    <row r="524" spans="1:14" x14ac:dyDescent="0.25">
      <c r="A524" t="s">
        <v>577</v>
      </c>
      <c r="B524" t="s">
        <v>42</v>
      </c>
      <c r="C524" t="s">
        <v>16</v>
      </c>
      <c r="D524" t="s">
        <v>23</v>
      </c>
      <c r="E524" t="s">
        <v>39</v>
      </c>
      <c r="F524" t="s">
        <v>40</v>
      </c>
      <c r="G524">
        <v>113.21</v>
      </c>
      <c r="H524">
        <v>0</v>
      </c>
      <c r="I524">
        <v>113.21</v>
      </c>
      <c r="J524" s="1">
        <v>45875</v>
      </c>
      <c r="K524">
        <v>12</v>
      </c>
      <c r="L524">
        <v>4.4000000000000004</v>
      </c>
      <c r="M524" t="b">
        <v>0</v>
      </c>
    </row>
    <row r="525" spans="1:14" x14ac:dyDescent="0.25">
      <c r="A525" t="s">
        <v>578</v>
      </c>
      <c r="B525" t="s">
        <v>27</v>
      </c>
      <c r="C525" t="s">
        <v>75</v>
      </c>
      <c r="D525" t="s">
        <v>17</v>
      </c>
      <c r="F525" t="s">
        <v>64</v>
      </c>
      <c r="G525">
        <v>25.34</v>
      </c>
      <c r="H525">
        <v>0</v>
      </c>
      <c r="I525">
        <v>25.34</v>
      </c>
      <c r="J525" s="1">
        <v>45869</v>
      </c>
      <c r="K525">
        <v>17</v>
      </c>
      <c r="L525">
        <v>3.3</v>
      </c>
      <c r="M525" t="b">
        <v>0</v>
      </c>
    </row>
    <row r="526" spans="1:14" x14ac:dyDescent="0.25">
      <c r="A526" t="s">
        <v>579</v>
      </c>
      <c r="B526" t="s">
        <v>21</v>
      </c>
      <c r="C526" t="s">
        <v>43</v>
      </c>
      <c r="D526" t="s">
        <v>17</v>
      </c>
      <c r="E526" t="s">
        <v>24</v>
      </c>
      <c r="F526" t="s">
        <v>28</v>
      </c>
      <c r="G526">
        <v>98.16</v>
      </c>
      <c r="H526">
        <v>56.7</v>
      </c>
      <c r="I526">
        <v>42.5</v>
      </c>
      <c r="J526" s="1">
        <v>45693</v>
      </c>
      <c r="K526">
        <v>44</v>
      </c>
      <c r="L526">
        <v>2.6</v>
      </c>
      <c r="M526" t="b">
        <v>0</v>
      </c>
    </row>
    <row r="527" spans="1:14" x14ac:dyDescent="0.25">
      <c r="A527" t="s">
        <v>580</v>
      </c>
      <c r="B527" t="s">
        <v>21</v>
      </c>
      <c r="C527" t="s">
        <v>32</v>
      </c>
      <c r="D527" t="s">
        <v>17</v>
      </c>
      <c r="E527" t="s">
        <v>55</v>
      </c>
      <c r="F527" t="s">
        <v>66</v>
      </c>
      <c r="G527">
        <v>60.54</v>
      </c>
      <c r="H527">
        <v>0</v>
      </c>
      <c r="I527">
        <v>60.54</v>
      </c>
      <c r="J527" s="1">
        <v>45757</v>
      </c>
      <c r="K527">
        <v>35</v>
      </c>
      <c r="L527">
        <v>1.7</v>
      </c>
      <c r="M527" t="b">
        <v>0</v>
      </c>
    </row>
    <row r="528" spans="1:14" x14ac:dyDescent="0.25">
      <c r="A528" t="s">
        <v>581</v>
      </c>
      <c r="B528" t="s">
        <v>42</v>
      </c>
      <c r="C528" t="s">
        <v>16</v>
      </c>
      <c r="D528" t="s">
        <v>23</v>
      </c>
      <c r="E528" t="s">
        <v>39</v>
      </c>
      <c r="F528" t="s">
        <v>25</v>
      </c>
      <c r="G528">
        <v>132.61000000000001</v>
      </c>
      <c r="H528">
        <v>7.4</v>
      </c>
      <c r="I528">
        <v>122.8</v>
      </c>
      <c r="J528" s="1">
        <v>45875</v>
      </c>
      <c r="K528">
        <v>0</v>
      </c>
      <c r="L528">
        <v>4.2</v>
      </c>
      <c r="M528" t="b">
        <v>0</v>
      </c>
    </row>
    <row r="529" spans="1:14" x14ac:dyDescent="0.25">
      <c r="A529" t="s">
        <v>582</v>
      </c>
      <c r="B529" t="s">
        <v>15</v>
      </c>
      <c r="C529" t="s">
        <v>53</v>
      </c>
      <c r="D529" t="s">
        <v>34</v>
      </c>
      <c r="E529" t="s">
        <v>18</v>
      </c>
      <c r="F529" t="s">
        <v>25</v>
      </c>
      <c r="G529">
        <v>234.14</v>
      </c>
      <c r="H529">
        <v>0</v>
      </c>
      <c r="I529">
        <v>234.14</v>
      </c>
      <c r="J529" s="1">
        <v>45875</v>
      </c>
      <c r="K529">
        <v>40</v>
      </c>
      <c r="L529">
        <v>1.7</v>
      </c>
      <c r="M529" t="b">
        <v>0</v>
      </c>
    </row>
    <row r="530" spans="1:14" x14ac:dyDescent="0.25">
      <c r="A530" t="s">
        <v>583</v>
      </c>
      <c r="B530" t="s">
        <v>27</v>
      </c>
      <c r="C530" t="s">
        <v>48</v>
      </c>
      <c r="D530" t="s">
        <v>34</v>
      </c>
      <c r="F530" t="s">
        <v>28</v>
      </c>
      <c r="G530">
        <v>31.86</v>
      </c>
      <c r="H530">
        <v>48.2</v>
      </c>
      <c r="I530">
        <v>16.5</v>
      </c>
      <c r="J530" s="1">
        <v>45875</v>
      </c>
      <c r="K530">
        <v>32</v>
      </c>
      <c r="L530">
        <v>4.5</v>
      </c>
      <c r="M530" t="b">
        <v>0</v>
      </c>
    </row>
    <row r="531" spans="1:14" x14ac:dyDescent="0.25">
      <c r="A531" t="s">
        <v>584</v>
      </c>
      <c r="B531" t="s">
        <v>27</v>
      </c>
      <c r="C531" t="s">
        <v>22</v>
      </c>
      <c r="D531" t="s">
        <v>17</v>
      </c>
      <c r="F531" t="s">
        <v>40</v>
      </c>
      <c r="G531">
        <v>15.14</v>
      </c>
      <c r="H531">
        <v>36.700000000000003</v>
      </c>
      <c r="I531">
        <v>9.58</v>
      </c>
      <c r="J531" s="1">
        <v>45861</v>
      </c>
      <c r="K531">
        <v>41</v>
      </c>
      <c r="L531">
        <v>3.8</v>
      </c>
      <c r="M531" t="b">
        <v>0</v>
      </c>
    </row>
    <row r="532" spans="1:14" x14ac:dyDescent="0.25">
      <c r="A532" t="s">
        <v>585</v>
      </c>
      <c r="B532" t="s">
        <v>30</v>
      </c>
      <c r="C532" t="s">
        <v>48</v>
      </c>
      <c r="D532" t="s">
        <v>23</v>
      </c>
      <c r="E532" t="s">
        <v>55</v>
      </c>
      <c r="F532" t="s">
        <v>66</v>
      </c>
      <c r="G532">
        <v>77.72</v>
      </c>
      <c r="H532">
        <v>0</v>
      </c>
      <c r="I532">
        <v>77.72</v>
      </c>
      <c r="J532" s="1">
        <v>45875</v>
      </c>
      <c r="K532">
        <v>48</v>
      </c>
      <c r="L532">
        <v>1.1000000000000001</v>
      </c>
      <c r="M532" t="b">
        <v>0</v>
      </c>
    </row>
    <row r="533" spans="1:14" x14ac:dyDescent="0.25">
      <c r="A533" t="s">
        <v>586</v>
      </c>
      <c r="B533" t="s">
        <v>27</v>
      </c>
      <c r="C533" t="s">
        <v>16</v>
      </c>
      <c r="D533" t="s">
        <v>17</v>
      </c>
      <c r="F533" t="s">
        <v>40</v>
      </c>
      <c r="G533">
        <v>78.040000000000006</v>
      </c>
      <c r="H533">
        <v>0</v>
      </c>
      <c r="I533">
        <v>78.040000000000006</v>
      </c>
      <c r="J533" s="1">
        <v>45756</v>
      </c>
      <c r="K533">
        <v>38</v>
      </c>
      <c r="L533">
        <v>4.9000000000000004</v>
      </c>
      <c r="M533" t="b">
        <v>0</v>
      </c>
    </row>
    <row r="534" spans="1:14" x14ac:dyDescent="0.25">
      <c r="A534" t="s">
        <v>587</v>
      </c>
      <c r="B534" t="s">
        <v>15</v>
      </c>
      <c r="C534" t="s">
        <v>61</v>
      </c>
      <c r="D534" t="s">
        <v>34</v>
      </c>
      <c r="E534" t="s">
        <v>58</v>
      </c>
      <c r="F534" t="s">
        <v>70</v>
      </c>
      <c r="G534">
        <v>169.82</v>
      </c>
      <c r="H534">
        <v>0</v>
      </c>
      <c r="I534">
        <v>169.82</v>
      </c>
      <c r="J534" s="1">
        <v>45875</v>
      </c>
      <c r="K534">
        <v>28</v>
      </c>
      <c r="L534">
        <v>4</v>
      </c>
      <c r="M534" t="b">
        <v>0</v>
      </c>
    </row>
    <row r="535" spans="1:14" x14ac:dyDescent="0.25">
      <c r="A535" t="s">
        <v>588</v>
      </c>
      <c r="B535" t="s">
        <v>38</v>
      </c>
      <c r="C535" t="s">
        <v>48</v>
      </c>
      <c r="D535" t="s">
        <v>17</v>
      </c>
      <c r="E535" t="s">
        <v>24</v>
      </c>
      <c r="F535" t="s">
        <v>35</v>
      </c>
      <c r="G535">
        <v>94.71</v>
      </c>
      <c r="H535">
        <v>38.9</v>
      </c>
      <c r="I535">
        <v>57.87</v>
      </c>
      <c r="J535" s="1">
        <v>45520</v>
      </c>
      <c r="K535">
        <v>39</v>
      </c>
      <c r="L535">
        <v>4.7</v>
      </c>
      <c r="M535" t="b">
        <v>0</v>
      </c>
    </row>
    <row r="536" spans="1:14" x14ac:dyDescent="0.25">
      <c r="A536" t="s">
        <v>589</v>
      </c>
      <c r="B536" t="s">
        <v>30</v>
      </c>
      <c r="C536" t="s">
        <v>53</v>
      </c>
      <c r="D536" t="s">
        <v>17</v>
      </c>
      <c r="E536" t="s">
        <v>18</v>
      </c>
      <c r="F536" t="s">
        <v>19</v>
      </c>
      <c r="G536">
        <v>112.6</v>
      </c>
      <c r="H536">
        <v>22</v>
      </c>
      <c r="I536">
        <v>87.83</v>
      </c>
      <c r="J536" s="1">
        <v>45860</v>
      </c>
      <c r="K536">
        <v>29</v>
      </c>
      <c r="L536">
        <v>2.1</v>
      </c>
      <c r="M536" t="b">
        <v>1</v>
      </c>
      <c r="N536" t="s">
        <v>36</v>
      </c>
    </row>
    <row r="537" spans="1:14" x14ac:dyDescent="0.25">
      <c r="A537" t="s">
        <v>590</v>
      </c>
      <c r="B537" t="s">
        <v>38</v>
      </c>
      <c r="C537" t="s">
        <v>16</v>
      </c>
      <c r="D537" t="s">
        <v>62</v>
      </c>
      <c r="E537" t="s">
        <v>24</v>
      </c>
      <c r="F537" t="s">
        <v>66</v>
      </c>
      <c r="G537">
        <v>104.16</v>
      </c>
      <c r="H537">
        <v>0</v>
      </c>
      <c r="I537">
        <v>104.16</v>
      </c>
      <c r="J537" s="1">
        <v>45875</v>
      </c>
      <c r="K537">
        <v>21</v>
      </c>
      <c r="L537">
        <v>1.6</v>
      </c>
      <c r="M537" t="b">
        <v>0</v>
      </c>
    </row>
    <row r="538" spans="1:14" x14ac:dyDescent="0.25">
      <c r="A538" t="s">
        <v>591</v>
      </c>
      <c r="B538" t="s">
        <v>15</v>
      </c>
      <c r="C538" t="s">
        <v>61</v>
      </c>
      <c r="D538" t="s">
        <v>23</v>
      </c>
      <c r="E538" t="s">
        <v>49</v>
      </c>
      <c r="F538" t="s">
        <v>40</v>
      </c>
      <c r="G538">
        <v>174.86</v>
      </c>
      <c r="H538">
        <v>0</v>
      </c>
      <c r="I538">
        <v>174.86</v>
      </c>
      <c r="J538" s="1">
        <v>45875</v>
      </c>
      <c r="K538">
        <v>15</v>
      </c>
      <c r="L538">
        <v>1.7</v>
      </c>
      <c r="M538" t="b">
        <v>0</v>
      </c>
    </row>
    <row r="539" spans="1:14" x14ac:dyDescent="0.25">
      <c r="A539" t="s">
        <v>592</v>
      </c>
      <c r="B539" t="s">
        <v>15</v>
      </c>
      <c r="C539" t="s">
        <v>22</v>
      </c>
      <c r="D539" t="s">
        <v>17</v>
      </c>
      <c r="E539" t="s">
        <v>24</v>
      </c>
      <c r="F539" t="s">
        <v>66</v>
      </c>
      <c r="G539">
        <v>217.89</v>
      </c>
      <c r="H539">
        <v>49.4</v>
      </c>
      <c r="I539">
        <v>110.25</v>
      </c>
      <c r="J539" s="1">
        <v>45623</v>
      </c>
      <c r="K539">
        <v>42</v>
      </c>
      <c r="L539">
        <v>2.9</v>
      </c>
      <c r="M539" t="b">
        <v>0</v>
      </c>
    </row>
    <row r="540" spans="1:14" x14ac:dyDescent="0.25">
      <c r="A540" t="s">
        <v>593</v>
      </c>
      <c r="B540" t="s">
        <v>30</v>
      </c>
      <c r="C540" t="s">
        <v>43</v>
      </c>
      <c r="D540" t="s">
        <v>23</v>
      </c>
      <c r="E540" t="s">
        <v>24</v>
      </c>
      <c r="F540" t="s">
        <v>28</v>
      </c>
      <c r="G540">
        <v>123.14</v>
      </c>
      <c r="H540">
        <v>0</v>
      </c>
      <c r="I540">
        <v>123.14</v>
      </c>
      <c r="J540" s="1">
        <v>45875</v>
      </c>
      <c r="K540">
        <v>15</v>
      </c>
      <c r="L540">
        <v>1.8</v>
      </c>
      <c r="M540" t="b">
        <v>1</v>
      </c>
      <c r="N540" t="s">
        <v>125</v>
      </c>
    </row>
    <row r="541" spans="1:14" x14ac:dyDescent="0.25">
      <c r="A541" t="s">
        <v>594</v>
      </c>
      <c r="B541" t="s">
        <v>21</v>
      </c>
      <c r="C541" t="s">
        <v>53</v>
      </c>
      <c r="D541" t="s">
        <v>23</v>
      </c>
      <c r="E541" t="s">
        <v>18</v>
      </c>
      <c r="F541" t="s">
        <v>64</v>
      </c>
      <c r="G541">
        <v>103.96</v>
      </c>
      <c r="H541">
        <v>0</v>
      </c>
      <c r="I541">
        <v>103.96</v>
      </c>
      <c r="J541" s="1">
        <v>45875</v>
      </c>
      <c r="K541">
        <v>23</v>
      </c>
      <c r="L541">
        <v>3.3</v>
      </c>
      <c r="M541" t="b">
        <v>0</v>
      </c>
    </row>
    <row r="542" spans="1:14" x14ac:dyDescent="0.25">
      <c r="A542" t="s">
        <v>595</v>
      </c>
      <c r="B542" t="s">
        <v>42</v>
      </c>
      <c r="C542" t="s">
        <v>48</v>
      </c>
      <c r="D542" t="s">
        <v>17</v>
      </c>
      <c r="E542" t="s">
        <v>18</v>
      </c>
      <c r="F542" t="s">
        <v>44</v>
      </c>
      <c r="G542">
        <v>138.44999999999999</v>
      </c>
      <c r="H542">
        <v>0</v>
      </c>
      <c r="I542">
        <v>138.44999999999999</v>
      </c>
      <c r="J542" s="1">
        <v>45744</v>
      </c>
      <c r="K542">
        <v>18</v>
      </c>
      <c r="L542">
        <v>3.3</v>
      </c>
      <c r="M542" t="b">
        <v>0</v>
      </c>
    </row>
    <row r="543" spans="1:14" x14ac:dyDescent="0.25">
      <c r="A543" t="s">
        <v>596</v>
      </c>
      <c r="B543" t="s">
        <v>30</v>
      </c>
      <c r="C543" t="s">
        <v>61</v>
      </c>
      <c r="D543" t="s">
        <v>62</v>
      </c>
      <c r="E543" t="s">
        <v>39</v>
      </c>
      <c r="F543" t="s">
        <v>28</v>
      </c>
      <c r="G543">
        <v>165.1</v>
      </c>
      <c r="H543">
        <v>0</v>
      </c>
      <c r="I543">
        <v>165.1</v>
      </c>
      <c r="J543" s="1">
        <v>45875</v>
      </c>
      <c r="K543">
        <v>7</v>
      </c>
      <c r="M543" t="b">
        <v>0</v>
      </c>
    </row>
    <row r="544" spans="1:14" x14ac:dyDescent="0.25">
      <c r="A544" t="s">
        <v>597</v>
      </c>
      <c r="B544" t="s">
        <v>30</v>
      </c>
      <c r="C544" t="s">
        <v>61</v>
      </c>
      <c r="D544" t="s">
        <v>23</v>
      </c>
      <c r="E544" t="s">
        <v>49</v>
      </c>
      <c r="F544" t="s">
        <v>40</v>
      </c>
      <c r="G544">
        <v>147.25</v>
      </c>
      <c r="H544">
        <v>0</v>
      </c>
      <c r="I544">
        <v>147.25</v>
      </c>
      <c r="J544" s="1">
        <v>45875</v>
      </c>
      <c r="K544">
        <v>15</v>
      </c>
      <c r="L544">
        <v>2.7</v>
      </c>
      <c r="M544" t="b">
        <v>0</v>
      </c>
    </row>
    <row r="545" spans="1:14" x14ac:dyDescent="0.25">
      <c r="A545" t="s">
        <v>598</v>
      </c>
      <c r="B545" t="s">
        <v>30</v>
      </c>
      <c r="C545" t="s">
        <v>22</v>
      </c>
      <c r="D545" t="s">
        <v>34</v>
      </c>
      <c r="E545" t="s">
        <v>24</v>
      </c>
      <c r="F545" t="s">
        <v>25</v>
      </c>
      <c r="G545">
        <v>126.23</v>
      </c>
      <c r="H545">
        <v>0</v>
      </c>
      <c r="I545">
        <v>126.23</v>
      </c>
      <c r="J545" s="1">
        <v>45875</v>
      </c>
      <c r="K545">
        <v>48</v>
      </c>
      <c r="L545">
        <v>2.1</v>
      </c>
      <c r="M545" t="b">
        <v>0</v>
      </c>
    </row>
    <row r="546" spans="1:14" x14ac:dyDescent="0.25">
      <c r="A546" t="s">
        <v>599</v>
      </c>
      <c r="B546" t="s">
        <v>15</v>
      </c>
      <c r="C546" t="s">
        <v>53</v>
      </c>
      <c r="D546" t="s">
        <v>34</v>
      </c>
      <c r="E546" t="s">
        <v>58</v>
      </c>
      <c r="F546" t="s">
        <v>64</v>
      </c>
      <c r="G546">
        <v>229.04</v>
      </c>
      <c r="H546">
        <v>0</v>
      </c>
      <c r="I546">
        <v>229.04</v>
      </c>
      <c r="J546" s="1">
        <v>45875</v>
      </c>
      <c r="K546">
        <v>5</v>
      </c>
      <c r="L546">
        <v>4.5</v>
      </c>
      <c r="M546" t="b">
        <v>0</v>
      </c>
    </row>
    <row r="547" spans="1:14" x14ac:dyDescent="0.25">
      <c r="A547" t="s">
        <v>600</v>
      </c>
      <c r="B547" t="s">
        <v>27</v>
      </c>
      <c r="C547" t="s">
        <v>53</v>
      </c>
      <c r="D547" t="s">
        <v>23</v>
      </c>
      <c r="F547" t="s">
        <v>40</v>
      </c>
      <c r="G547">
        <v>38.65</v>
      </c>
      <c r="H547">
        <v>32.6</v>
      </c>
      <c r="I547">
        <v>26.05</v>
      </c>
      <c r="J547" s="1">
        <v>45875</v>
      </c>
      <c r="K547">
        <v>46</v>
      </c>
      <c r="L547">
        <v>1.1000000000000001</v>
      </c>
      <c r="M547" t="b">
        <v>0</v>
      </c>
    </row>
    <row r="548" spans="1:14" x14ac:dyDescent="0.25">
      <c r="A548" t="s">
        <v>601</v>
      </c>
      <c r="B548" t="s">
        <v>38</v>
      </c>
      <c r="C548" t="s">
        <v>32</v>
      </c>
      <c r="D548" t="s">
        <v>17</v>
      </c>
      <c r="E548" t="s">
        <v>55</v>
      </c>
      <c r="F548" t="s">
        <v>25</v>
      </c>
      <c r="G548">
        <v>80.819999999999993</v>
      </c>
      <c r="H548">
        <v>0</v>
      </c>
      <c r="I548">
        <v>80.819999999999993</v>
      </c>
      <c r="J548" s="1">
        <v>45699</v>
      </c>
      <c r="K548">
        <v>42</v>
      </c>
      <c r="M548" t="b">
        <v>0</v>
      </c>
    </row>
    <row r="549" spans="1:14" x14ac:dyDescent="0.25">
      <c r="A549" t="s">
        <v>602</v>
      </c>
      <c r="B549" t="s">
        <v>27</v>
      </c>
      <c r="C549" t="s">
        <v>22</v>
      </c>
      <c r="D549" t="s">
        <v>17</v>
      </c>
      <c r="F549" t="s">
        <v>56</v>
      </c>
      <c r="G549">
        <v>56.44</v>
      </c>
      <c r="H549">
        <v>0</v>
      </c>
      <c r="I549">
        <v>56.44</v>
      </c>
      <c r="J549" s="1">
        <v>45734</v>
      </c>
      <c r="K549">
        <v>35</v>
      </c>
      <c r="L549">
        <v>4</v>
      </c>
      <c r="M549" t="b">
        <v>0</v>
      </c>
    </row>
    <row r="550" spans="1:14" x14ac:dyDescent="0.25">
      <c r="A550" t="s">
        <v>603</v>
      </c>
      <c r="B550" t="s">
        <v>42</v>
      </c>
      <c r="C550" t="s">
        <v>16</v>
      </c>
      <c r="D550" t="s">
        <v>34</v>
      </c>
      <c r="E550" t="s">
        <v>58</v>
      </c>
      <c r="F550" t="s">
        <v>56</v>
      </c>
      <c r="G550">
        <v>121.3</v>
      </c>
      <c r="H550">
        <v>0</v>
      </c>
      <c r="I550">
        <v>121.3</v>
      </c>
      <c r="J550" s="1">
        <v>45875</v>
      </c>
      <c r="K550">
        <v>33</v>
      </c>
      <c r="L550">
        <v>2.2999999999999998</v>
      </c>
      <c r="M550" t="b">
        <v>0</v>
      </c>
    </row>
    <row r="551" spans="1:14" x14ac:dyDescent="0.25">
      <c r="A551" t="s">
        <v>604</v>
      </c>
      <c r="B551" t="s">
        <v>38</v>
      </c>
      <c r="C551" t="s">
        <v>61</v>
      </c>
      <c r="D551" t="s">
        <v>34</v>
      </c>
      <c r="F551" t="s">
        <v>28</v>
      </c>
      <c r="G551">
        <v>101.98</v>
      </c>
      <c r="H551">
        <v>28.4</v>
      </c>
      <c r="I551">
        <v>73.02</v>
      </c>
      <c r="J551" s="1">
        <v>45875</v>
      </c>
      <c r="K551">
        <v>40</v>
      </c>
      <c r="L551">
        <v>4.5</v>
      </c>
      <c r="M551" t="b">
        <v>0</v>
      </c>
    </row>
    <row r="552" spans="1:14" x14ac:dyDescent="0.25">
      <c r="A552" t="s">
        <v>605</v>
      </c>
      <c r="B552" t="s">
        <v>38</v>
      </c>
      <c r="C552" t="s">
        <v>32</v>
      </c>
      <c r="D552" t="s">
        <v>17</v>
      </c>
      <c r="E552" t="s">
        <v>24</v>
      </c>
      <c r="F552" t="s">
        <v>19</v>
      </c>
      <c r="G552">
        <v>89.99</v>
      </c>
      <c r="H552">
        <v>0</v>
      </c>
      <c r="I552">
        <v>89.99</v>
      </c>
      <c r="J552" s="1">
        <v>45716</v>
      </c>
      <c r="K552">
        <v>26</v>
      </c>
      <c r="L552">
        <v>4.0999999999999996</v>
      </c>
      <c r="M552" t="b">
        <v>0</v>
      </c>
    </row>
    <row r="553" spans="1:14" x14ac:dyDescent="0.25">
      <c r="A553" t="s">
        <v>606</v>
      </c>
      <c r="B553" t="s">
        <v>30</v>
      </c>
      <c r="C553" t="s">
        <v>75</v>
      </c>
      <c r="D553" t="s">
        <v>62</v>
      </c>
      <c r="E553" t="s">
        <v>49</v>
      </c>
      <c r="F553" t="s">
        <v>46</v>
      </c>
      <c r="G553">
        <v>64.31</v>
      </c>
      <c r="H553">
        <v>34.5</v>
      </c>
      <c r="I553">
        <v>42.12</v>
      </c>
      <c r="J553" s="1">
        <v>45875</v>
      </c>
      <c r="K553">
        <v>48</v>
      </c>
      <c r="L553">
        <v>4.5</v>
      </c>
      <c r="M553" t="b">
        <v>0</v>
      </c>
    </row>
    <row r="554" spans="1:14" x14ac:dyDescent="0.25">
      <c r="A554" t="s">
        <v>607</v>
      </c>
      <c r="B554" t="s">
        <v>42</v>
      </c>
      <c r="C554" t="s">
        <v>16</v>
      </c>
      <c r="D554" t="s">
        <v>17</v>
      </c>
      <c r="E554" t="s">
        <v>24</v>
      </c>
      <c r="F554" t="s">
        <v>56</v>
      </c>
      <c r="G554">
        <v>168.92</v>
      </c>
      <c r="H554">
        <v>0</v>
      </c>
      <c r="I554">
        <v>168.92</v>
      </c>
      <c r="J554" s="1">
        <v>45852</v>
      </c>
      <c r="K554">
        <v>11</v>
      </c>
      <c r="L554">
        <v>4.4000000000000004</v>
      </c>
      <c r="M554" t="b">
        <v>0</v>
      </c>
    </row>
    <row r="555" spans="1:14" x14ac:dyDescent="0.25">
      <c r="A555" t="s">
        <v>608</v>
      </c>
      <c r="B555" t="s">
        <v>38</v>
      </c>
      <c r="C555" t="s">
        <v>61</v>
      </c>
      <c r="D555" t="s">
        <v>62</v>
      </c>
      <c r="E555" t="s">
        <v>18</v>
      </c>
      <c r="F555" t="s">
        <v>64</v>
      </c>
      <c r="G555">
        <v>86.46</v>
      </c>
      <c r="H555">
        <v>49.5</v>
      </c>
      <c r="I555">
        <v>43.66</v>
      </c>
      <c r="J555" s="1">
        <v>45875</v>
      </c>
      <c r="K555">
        <v>19</v>
      </c>
      <c r="L555">
        <v>4.3</v>
      </c>
      <c r="M555" t="b">
        <v>0</v>
      </c>
    </row>
    <row r="556" spans="1:14" x14ac:dyDescent="0.25">
      <c r="A556" t="s">
        <v>609</v>
      </c>
      <c r="B556" t="s">
        <v>21</v>
      </c>
      <c r="C556" t="s">
        <v>75</v>
      </c>
      <c r="D556" t="s">
        <v>23</v>
      </c>
      <c r="E556" t="s">
        <v>55</v>
      </c>
      <c r="F556" t="s">
        <v>19</v>
      </c>
      <c r="G556">
        <v>36.840000000000003</v>
      </c>
      <c r="H556">
        <v>18.899999999999999</v>
      </c>
      <c r="I556">
        <v>29.88</v>
      </c>
      <c r="J556" s="1">
        <v>45875</v>
      </c>
      <c r="K556">
        <v>39</v>
      </c>
      <c r="L556">
        <v>1.2</v>
      </c>
      <c r="M556" t="b">
        <v>0</v>
      </c>
    </row>
    <row r="557" spans="1:14" x14ac:dyDescent="0.25">
      <c r="A557" t="s">
        <v>610</v>
      </c>
      <c r="B557" t="s">
        <v>21</v>
      </c>
      <c r="C557" t="s">
        <v>53</v>
      </c>
      <c r="D557" t="s">
        <v>17</v>
      </c>
      <c r="E557" t="s">
        <v>55</v>
      </c>
      <c r="F557" t="s">
        <v>25</v>
      </c>
      <c r="G557">
        <v>38.5</v>
      </c>
      <c r="H557">
        <v>0</v>
      </c>
      <c r="I557">
        <v>38.5</v>
      </c>
      <c r="J557" s="1">
        <v>45722</v>
      </c>
      <c r="K557">
        <v>2</v>
      </c>
      <c r="L557">
        <v>3.2</v>
      </c>
      <c r="M557" t="b">
        <v>0</v>
      </c>
    </row>
    <row r="558" spans="1:14" x14ac:dyDescent="0.25">
      <c r="A558" t="s">
        <v>611</v>
      </c>
      <c r="B558" t="s">
        <v>38</v>
      </c>
      <c r="C558" t="s">
        <v>43</v>
      </c>
      <c r="D558" t="s">
        <v>23</v>
      </c>
      <c r="F558" t="s">
        <v>56</v>
      </c>
      <c r="G558">
        <v>68.02</v>
      </c>
      <c r="H558">
        <v>37.700000000000003</v>
      </c>
      <c r="I558">
        <v>42.38</v>
      </c>
      <c r="J558" s="1">
        <v>45875</v>
      </c>
      <c r="K558">
        <v>40</v>
      </c>
      <c r="L558">
        <v>2.1</v>
      </c>
      <c r="M558" t="b">
        <v>0</v>
      </c>
    </row>
    <row r="559" spans="1:14" x14ac:dyDescent="0.25">
      <c r="A559" t="s">
        <v>612</v>
      </c>
      <c r="B559" t="s">
        <v>42</v>
      </c>
      <c r="C559" t="s">
        <v>22</v>
      </c>
      <c r="D559" t="s">
        <v>34</v>
      </c>
      <c r="E559" t="s">
        <v>58</v>
      </c>
      <c r="F559" t="s">
        <v>70</v>
      </c>
      <c r="G559">
        <v>117.23</v>
      </c>
      <c r="H559">
        <v>0</v>
      </c>
      <c r="I559">
        <v>117.23</v>
      </c>
      <c r="J559" s="1">
        <v>45875</v>
      </c>
      <c r="K559">
        <v>30</v>
      </c>
      <c r="M559" t="b">
        <v>1</v>
      </c>
      <c r="N559" t="s">
        <v>115</v>
      </c>
    </row>
    <row r="560" spans="1:14" x14ac:dyDescent="0.25">
      <c r="A560" t="s">
        <v>613</v>
      </c>
      <c r="B560" t="s">
        <v>21</v>
      </c>
      <c r="C560" t="s">
        <v>53</v>
      </c>
      <c r="D560" t="s">
        <v>17</v>
      </c>
      <c r="E560" t="s">
        <v>39</v>
      </c>
      <c r="F560" t="s">
        <v>64</v>
      </c>
      <c r="G560">
        <v>79.33</v>
      </c>
      <c r="H560">
        <v>0</v>
      </c>
      <c r="I560">
        <v>79.33</v>
      </c>
      <c r="J560" s="1">
        <v>45687</v>
      </c>
      <c r="K560">
        <v>10</v>
      </c>
      <c r="L560">
        <v>3.4</v>
      </c>
      <c r="M560" t="b">
        <v>1</v>
      </c>
      <c r="N560" t="s">
        <v>115</v>
      </c>
    </row>
    <row r="561" spans="1:14" x14ac:dyDescent="0.25">
      <c r="A561" t="s">
        <v>614</v>
      </c>
      <c r="B561" t="s">
        <v>38</v>
      </c>
      <c r="C561" t="s">
        <v>43</v>
      </c>
      <c r="D561" t="s">
        <v>62</v>
      </c>
      <c r="E561" t="s">
        <v>24</v>
      </c>
      <c r="F561" t="s">
        <v>46</v>
      </c>
      <c r="G561">
        <v>75.819999999999993</v>
      </c>
      <c r="H561">
        <v>42.7</v>
      </c>
      <c r="I561">
        <v>43.44</v>
      </c>
      <c r="J561" s="1">
        <v>45875</v>
      </c>
      <c r="K561">
        <v>11</v>
      </c>
      <c r="L561">
        <v>2</v>
      </c>
      <c r="M561" t="b">
        <v>0</v>
      </c>
    </row>
    <row r="562" spans="1:14" x14ac:dyDescent="0.25">
      <c r="A562" t="s">
        <v>615</v>
      </c>
      <c r="B562" t="s">
        <v>42</v>
      </c>
      <c r="C562" t="s">
        <v>53</v>
      </c>
      <c r="D562" t="s">
        <v>17</v>
      </c>
      <c r="E562" t="s">
        <v>58</v>
      </c>
      <c r="F562" t="s">
        <v>35</v>
      </c>
      <c r="G562">
        <v>141.41999999999999</v>
      </c>
      <c r="H562">
        <v>0</v>
      </c>
      <c r="I562">
        <v>141.41999999999999</v>
      </c>
      <c r="J562" s="1">
        <v>45741</v>
      </c>
      <c r="K562">
        <v>10</v>
      </c>
      <c r="L562">
        <v>2.5</v>
      </c>
      <c r="M562" t="b">
        <v>0</v>
      </c>
    </row>
    <row r="563" spans="1:14" x14ac:dyDescent="0.25">
      <c r="A563" t="s">
        <v>616</v>
      </c>
      <c r="B563" t="s">
        <v>30</v>
      </c>
      <c r="C563" t="s">
        <v>22</v>
      </c>
      <c r="D563" t="s">
        <v>17</v>
      </c>
      <c r="E563" t="s">
        <v>24</v>
      </c>
      <c r="F563" t="s">
        <v>28</v>
      </c>
      <c r="G563">
        <v>124.2</v>
      </c>
      <c r="H563">
        <v>0</v>
      </c>
      <c r="I563">
        <v>124.2</v>
      </c>
      <c r="J563" s="1">
        <v>45532</v>
      </c>
      <c r="K563">
        <v>24</v>
      </c>
      <c r="L563">
        <v>1</v>
      </c>
      <c r="M563" t="b">
        <v>0</v>
      </c>
    </row>
    <row r="564" spans="1:14" x14ac:dyDescent="0.25">
      <c r="A564" t="s">
        <v>617</v>
      </c>
      <c r="B564" t="s">
        <v>38</v>
      </c>
      <c r="C564" t="s">
        <v>75</v>
      </c>
      <c r="D564" t="s">
        <v>23</v>
      </c>
      <c r="E564" t="s">
        <v>24</v>
      </c>
      <c r="F564" t="s">
        <v>64</v>
      </c>
      <c r="G564">
        <v>48.42</v>
      </c>
      <c r="H564">
        <v>0</v>
      </c>
      <c r="I564">
        <v>48.42</v>
      </c>
      <c r="J564" s="1">
        <v>45875</v>
      </c>
      <c r="K564">
        <v>6</v>
      </c>
      <c r="L564">
        <v>4.3</v>
      </c>
      <c r="M564" t="b">
        <v>0</v>
      </c>
    </row>
    <row r="565" spans="1:14" x14ac:dyDescent="0.25">
      <c r="A565" t="s">
        <v>618</v>
      </c>
      <c r="B565" t="s">
        <v>42</v>
      </c>
      <c r="C565" t="s">
        <v>48</v>
      </c>
      <c r="D565" t="s">
        <v>34</v>
      </c>
      <c r="E565" t="s">
        <v>55</v>
      </c>
      <c r="F565" t="s">
        <v>40</v>
      </c>
      <c r="G565">
        <v>119.4</v>
      </c>
      <c r="H565">
        <v>0</v>
      </c>
      <c r="I565">
        <v>119.4</v>
      </c>
      <c r="J565" s="1">
        <v>45875</v>
      </c>
      <c r="K565">
        <v>45</v>
      </c>
      <c r="L565">
        <v>4.2</v>
      </c>
      <c r="M565" t="b">
        <v>0</v>
      </c>
    </row>
    <row r="566" spans="1:14" x14ac:dyDescent="0.25">
      <c r="A566" t="s">
        <v>619</v>
      </c>
      <c r="B566" t="s">
        <v>30</v>
      </c>
      <c r="C566" t="s">
        <v>43</v>
      </c>
      <c r="D566" t="s">
        <v>62</v>
      </c>
      <c r="E566" t="s">
        <v>58</v>
      </c>
      <c r="F566" t="s">
        <v>70</v>
      </c>
      <c r="G566">
        <v>186.07</v>
      </c>
      <c r="H566">
        <v>0</v>
      </c>
      <c r="I566">
        <v>186.07</v>
      </c>
      <c r="J566" s="1">
        <v>45875</v>
      </c>
      <c r="K566">
        <v>41</v>
      </c>
      <c r="L566">
        <v>2.6</v>
      </c>
      <c r="M566" t="b">
        <v>0</v>
      </c>
    </row>
    <row r="567" spans="1:14" x14ac:dyDescent="0.25">
      <c r="A567" t="s">
        <v>620</v>
      </c>
      <c r="B567" t="s">
        <v>30</v>
      </c>
      <c r="C567" t="s">
        <v>43</v>
      </c>
      <c r="D567" t="s">
        <v>62</v>
      </c>
      <c r="E567" t="s">
        <v>18</v>
      </c>
      <c r="F567" t="s">
        <v>70</v>
      </c>
      <c r="G567">
        <v>109.46</v>
      </c>
      <c r="H567">
        <v>0</v>
      </c>
      <c r="I567">
        <v>109.46</v>
      </c>
      <c r="J567" s="1">
        <v>45875</v>
      </c>
      <c r="K567">
        <v>38</v>
      </c>
      <c r="L567">
        <v>4.0999999999999996</v>
      </c>
      <c r="M567" t="b">
        <v>0</v>
      </c>
    </row>
    <row r="568" spans="1:14" x14ac:dyDescent="0.25">
      <c r="A568" t="s">
        <v>621</v>
      </c>
      <c r="B568" t="s">
        <v>42</v>
      </c>
      <c r="C568" t="s">
        <v>61</v>
      </c>
      <c r="D568" t="s">
        <v>23</v>
      </c>
      <c r="E568" t="s">
        <v>39</v>
      </c>
      <c r="F568" t="s">
        <v>40</v>
      </c>
      <c r="G568">
        <v>116.18</v>
      </c>
      <c r="H568">
        <v>42.7</v>
      </c>
      <c r="I568">
        <v>66.569999999999993</v>
      </c>
      <c r="J568" s="1">
        <v>45875</v>
      </c>
      <c r="K568">
        <v>3</v>
      </c>
      <c r="L568">
        <v>3.5</v>
      </c>
      <c r="M568" t="b">
        <v>0</v>
      </c>
    </row>
    <row r="569" spans="1:14" x14ac:dyDescent="0.25">
      <c r="A569" t="s">
        <v>622</v>
      </c>
      <c r="B569" t="s">
        <v>27</v>
      </c>
      <c r="C569" t="s">
        <v>16</v>
      </c>
      <c r="D569" t="s">
        <v>23</v>
      </c>
      <c r="F569" t="s">
        <v>46</v>
      </c>
      <c r="G569">
        <v>41.29</v>
      </c>
      <c r="H569">
        <v>26.3</v>
      </c>
      <c r="I569">
        <v>30.43</v>
      </c>
      <c r="J569" s="1">
        <v>45875</v>
      </c>
      <c r="K569">
        <v>5</v>
      </c>
      <c r="L569">
        <v>4.7</v>
      </c>
      <c r="M569" t="b">
        <v>0</v>
      </c>
    </row>
    <row r="570" spans="1:14" x14ac:dyDescent="0.25">
      <c r="A570" t="s">
        <v>623</v>
      </c>
      <c r="B570" t="s">
        <v>21</v>
      </c>
      <c r="C570" t="s">
        <v>22</v>
      </c>
      <c r="D570" t="s">
        <v>23</v>
      </c>
      <c r="E570" t="s">
        <v>39</v>
      </c>
      <c r="F570" t="s">
        <v>46</v>
      </c>
      <c r="G570">
        <v>94.68</v>
      </c>
      <c r="H570">
        <v>45</v>
      </c>
      <c r="I570">
        <v>52.07</v>
      </c>
      <c r="J570" s="1">
        <v>45875</v>
      </c>
      <c r="K570">
        <v>47</v>
      </c>
      <c r="L570">
        <v>2.6</v>
      </c>
      <c r="M570" t="b">
        <v>0</v>
      </c>
    </row>
    <row r="571" spans="1:14" x14ac:dyDescent="0.25">
      <c r="A571" t="s">
        <v>624</v>
      </c>
      <c r="B571" t="s">
        <v>27</v>
      </c>
      <c r="C571" t="s">
        <v>16</v>
      </c>
      <c r="D571" t="s">
        <v>17</v>
      </c>
      <c r="F571" t="s">
        <v>35</v>
      </c>
      <c r="G571">
        <v>48.55</v>
      </c>
      <c r="H571">
        <v>32.700000000000003</v>
      </c>
      <c r="I571">
        <v>32.67</v>
      </c>
      <c r="J571" s="1">
        <v>45566</v>
      </c>
      <c r="K571">
        <v>39</v>
      </c>
      <c r="L571">
        <v>2.8</v>
      </c>
      <c r="M571" t="b">
        <v>0</v>
      </c>
    </row>
    <row r="572" spans="1:14" x14ac:dyDescent="0.25">
      <c r="A572" t="s">
        <v>625</v>
      </c>
      <c r="B572" t="s">
        <v>21</v>
      </c>
      <c r="C572" t="s">
        <v>61</v>
      </c>
      <c r="D572" t="s">
        <v>62</v>
      </c>
      <c r="E572" t="s">
        <v>58</v>
      </c>
      <c r="F572" t="s">
        <v>66</v>
      </c>
      <c r="G572">
        <v>75.22</v>
      </c>
      <c r="H572">
        <v>0</v>
      </c>
      <c r="I572">
        <v>75.22</v>
      </c>
      <c r="J572" s="1">
        <v>45875</v>
      </c>
      <c r="K572">
        <v>22</v>
      </c>
      <c r="L572">
        <v>2.1</v>
      </c>
      <c r="M572" t="b">
        <v>1</v>
      </c>
      <c r="N572" t="s">
        <v>73</v>
      </c>
    </row>
    <row r="573" spans="1:14" x14ac:dyDescent="0.25">
      <c r="A573" t="s">
        <v>626</v>
      </c>
      <c r="B573" t="s">
        <v>30</v>
      </c>
      <c r="C573" t="s">
        <v>48</v>
      </c>
      <c r="D573" t="s">
        <v>62</v>
      </c>
      <c r="E573" t="s">
        <v>55</v>
      </c>
      <c r="F573" t="s">
        <v>35</v>
      </c>
      <c r="G573">
        <v>98.95</v>
      </c>
      <c r="H573">
        <v>30.3</v>
      </c>
      <c r="I573">
        <v>68.97</v>
      </c>
      <c r="J573" s="1">
        <v>45875</v>
      </c>
      <c r="K573">
        <v>16</v>
      </c>
      <c r="M573" t="b">
        <v>0</v>
      </c>
    </row>
    <row r="574" spans="1:14" x14ac:dyDescent="0.25">
      <c r="A574" t="s">
        <v>627</v>
      </c>
      <c r="B574" t="s">
        <v>21</v>
      </c>
      <c r="C574" t="s">
        <v>48</v>
      </c>
      <c r="D574" t="s">
        <v>17</v>
      </c>
      <c r="E574" t="s">
        <v>18</v>
      </c>
      <c r="F574" t="s">
        <v>70</v>
      </c>
      <c r="G574">
        <v>39.56</v>
      </c>
      <c r="H574">
        <v>0</v>
      </c>
      <c r="I574">
        <v>39.56</v>
      </c>
      <c r="J574" s="1">
        <v>45678</v>
      </c>
      <c r="K574">
        <v>15</v>
      </c>
      <c r="M574" t="b">
        <v>0</v>
      </c>
    </row>
    <row r="575" spans="1:14" x14ac:dyDescent="0.25">
      <c r="A575" t="s">
        <v>628</v>
      </c>
      <c r="B575" t="s">
        <v>15</v>
      </c>
      <c r="C575" t="s">
        <v>22</v>
      </c>
      <c r="D575" t="s">
        <v>23</v>
      </c>
      <c r="E575" t="s">
        <v>39</v>
      </c>
      <c r="F575" t="s">
        <v>35</v>
      </c>
      <c r="G575">
        <v>153.88</v>
      </c>
      <c r="H575">
        <v>0</v>
      </c>
      <c r="I575">
        <v>153.88</v>
      </c>
      <c r="J575" s="1">
        <v>45875</v>
      </c>
      <c r="K575">
        <v>42</v>
      </c>
      <c r="L575">
        <v>2.2000000000000002</v>
      </c>
      <c r="M575" t="b">
        <v>0</v>
      </c>
    </row>
    <row r="576" spans="1:14" x14ac:dyDescent="0.25">
      <c r="A576" t="s">
        <v>629</v>
      </c>
      <c r="B576" t="s">
        <v>27</v>
      </c>
      <c r="C576" t="s">
        <v>53</v>
      </c>
      <c r="D576" t="s">
        <v>62</v>
      </c>
      <c r="F576" t="s">
        <v>56</v>
      </c>
      <c r="G576">
        <v>68.87</v>
      </c>
      <c r="H576">
        <v>0</v>
      </c>
      <c r="I576">
        <v>68.87</v>
      </c>
      <c r="J576" s="1">
        <v>45875</v>
      </c>
      <c r="K576">
        <v>9</v>
      </c>
      <c r="L576">
        <v>1.1000000000000001</v>
      </c>
      <c r="M576" t="b">
        <v>0</v>
      </c>
    </row>
    <row r="577" spans="1:14" x14ac:dyDescent="0.25">
      <c r="A577" t="s">
        <v>630</v>
      </c>
      <c r="B577" t="s">
        <v>38</v>
      </c>
      <c r="C577" t="s">
        <v>53</v>
      </c>
      <c r="D577" t="s">
        <v>34</v>
      </c>
      <c r="E577" t="s">
        <v>58</v>
      </c>
      <c r="F577" t="s">
        <v>25</v>
      </c>
      <c r="G577">
        <v>25.56</v>
      </c>
      <c r="H577">
        <v>38.9</v>
      </c>
      <c r="I577">
        <v>15.62</v>
      </c>
      <c r="J577" s="1">
        <v>45875</v>
      </c>
      <c r="K577">
        <v>48</v>
      </c>
      <c r="M577" t="b">
        <v>0</v>
      </c>
    </row>
    <row r="578" spans="1:14" x14ac:dyDescent="0.25">
      <c r="A578" t="s">
        <v>631</v>
      </c>
      <c r="B578" t="s">
        <v>15</v>
      </c>
      <c r="C578" t="s">
        <v>48</v>
      </c>
      <c r="D578" t="s">
        <v>34</v>
      </c>
      <c r="E578" t="s">
        <v>49</v>
      </c>
      <c r="F578" t="s">
        <v>35</v>
      </c>
      <c r="G578">
        <v>246.49</v>
      </c>
      <c r="H578">
        <v>0</v>
      </c>
      <c r="I578">
        <v>246.49</v>
      </c>
      <c r="J578" s="1">
        <v>45875</v>
      </c>
      <c r="K578">
        <v>20</v>
      </c>
      <c r="L578">
        <v>4.8</v>
      </c>
      <c r="M578" t="b">
        <v>0</v>
      </c>
    </row>
    <row r="579" spans="1:14" x14ac:dyDescent="0.25">
      <c r="A579" t="s">
        <v>632</v>
      </c>
      <c r="B579" t="s">
        <v>27</v>
      </c>
      <c r="C579" t="s">
        <v>48</v>
      </c>
      <c r="D579" t="s">
        <v>34</v>
      </c>
      <c r="F579" t="s">
        <v>46</v>
      </c>
      <c r="G579">
        <v>52.41</v>
      </c>
      <c r="H579">
        <v>0</v>
      </c>
      <c r="I579">
        <v>52.41</v>
      </c>
      <c r="J579" s="1">
        <v>45875</v>
      </c>
      <c r="K579">
        <v>14</v>
      </c>
      <c r="M579" t="b">
        <v>0</v>
      </c>
    </row>
    <row r="580" spans="1:14" x14ac:dyDescent="0.25">
      <c r="A580" t="s">
        <v>633</v>
      </c>
      <c r="B580" t="s">
        <v>21</v>
      </c>
      <c r="C580" t="s">
        <v>16</v>
      </c>
      <c r="D580" t="s">
        <v>62</v>
      </c>
      <c r="E580" t="s">
        <v>58</v>
      </c>
      <c r="F580" t="s">
        <v>64</v>
      </c>
      <c r="G580">
        <v>33.770000000000003</v>
      </c>
      <c r="H580">
        <v>0</v>
      </c>
      <c r="I580">
        <v>33.770000000000003</v>
      </c>
      <c r="J580" s="1">
        <v>45875</v>
      </c>
      <c r="K580">
        <v>12</v>
      </c>
      <c r="L580">
        <v>3.8</v>
      </c>
      <c r="M580" t="b">
        <v>0</v>
      </c>
    </row>
    <row r="581" spans="1:14" x14ac:dyDescent="0.25">
      <c r="A581" t="s">
        <v>634</v>
      </c>
      <c r="B581" t="s">
        <v>30</v>
      </c>
      <c r="C581" t="s">
        <v>48</v>
      </c>
      <c r="D581" t="s">
        <v>62</v>
      </c>
      <c r="E581" t="s">
        <v>58</v>
      </c>
      <c r="F581" t="s">
        <v>25</v>
      </c>
      <c r="G581">
        <v>96.7</v>
      </c>
      <c r="H581">
        <v>0</v>
      </c>
      <c r="I581">
        <v>96.7</v>
      </c>
      <c r="J581" s="1">
        <v>45875</v>
      </c>
      <c r="K581">
        <v>28</v>
      </c>
      <c r="L581">
        <v>3</v>
      </c>
      <c r="M581" t="b">
        <v>0</v>
      </c>
    </row>
    <row r="582" spans="1:14" x14ac:dyDescent="0.25">
      <c r="A582" t="s">
        <v>635</v>
      </c>
      <c r="B582" t="s">
        <v>42</v>
      </c>
      <c r="C582" t="s">
        <v>48</v>
      </c>
      <c r="D582" t="s">
        <v>17</v>
      </c>
      <c r="E582" t="s">
        <v>58</v>
      </c>
      <c r="F582" t="s">
        <v>19</v>
      </c>
      <c r="G582">
        <v>95.81</v>
      </c>
      <c r="H582">
        <v>0</v>
      </c>
      <c r="I582">
        <v>95.81</v>
      </c>
      <c r="J582" s="1">
        <v>45786</v>
      </c>
      <c r="K582">
        <v>47</v>
      </c>
      <c r="L582">
        <v>4.9000000000000004</v>
      </c>
      <c r="M582" t="b">
        <v>0</v>
      </c>
    </row>
    <row r="583" spans="1:14" x14ac:dyDescent="0.25">
      <c r="A583" t="s">
        <v>636</v>
      </c>
      <c r="B583" t="s">
        <v>21</v>
      </c>
      <c r="C583" t="s">
        <v>61</v>
      </c>
      <c r="D583" t="s">
        <v>34</v>
      </c>
      <c r="E583" t="s">
        <v>58</v>
      </c>
      <c r="F583" t="s">
        <v>70</v>
      </c>
      <c r="G583">
        <v>41.58</v>
      </c>
      <c r="H583">
        <v>0</v>
      </c>
      <c r="I583">
        <v>41.58</v>
      </c>
      <c r="J583" s="1">
        <v>45875</v>
      </c>
      <c r="K583">
        <v>3</v>
      </c>
      <c r="L583">
        <v>1.6</v>
      </c>
      <c r="M583" t="b">
        <v>0</v>
      </c>
    </row>
    <row r="584" spans="1:14" x14ac:dyDescent="0.25">
      <c r="A584" t="s">
        <v>637</v>
      </c>
      <c r="B584" t="s">
        <v>21</v>
      </c>
      <c r="C584" t="s">
        <v>22</v>
      </c>
      <c r="D584" t="s">
        <v>62</v>
      </c>
      <c r="E584" t="s">
        <v>18</v>
      </c>
      <c r="F584" t="s">
        <v>40</v>
      </c>
      <c r="G584">
        <v>46.67</v>
      </c>
      <c r="H584">
        <v>6.6</v>
      </c>
      <c r="I584">
        <v>43.59</v>
      </c>
      <c r="J584" s="1">
        <v>45875</v>
      </c>
      <c r="K584">
        <v>35</v>
      </c>
      <c r="L584">
        <v>1.3</v>
      </c>
      <c r="M584" t="b">
        <v>1</v>
      </c>
      <c r="N584" t="s">
        <v>83</v>
      </c>
    </row>
    <row r="585" spans="1:14" x14ac:dyDescent="0.25">
      <c r="A585" t="s">
        <v>638</v>
      </c>
      <c r="B585" t="s">
        <v>38</v>
      </c>
      <c r="C585" t="s">
        <v>16</v>
      </c>
      <c r="D585" t="s">
        <v>23</v>
      </c>
      <c r="E585" t="s">
        <v>24</v>
      </c>
      <c r="F585" t="s">
        <v>56</v>
      </c>
      <c r="G585">
        <v>25.98</v>
      </c>
      <c r="H585">
        <v>59.4</v>
      </c>
      <c r="I585">
        <v>10.55</v>
      </c>
      <c r="J585" s="1">
        <v>45875</v>
      </c>
      <c r="K585">
        <v>40</v>
      </c>
      <c r="M585" t="b">
        <v>0</v>
      </c>
    </row>
    <row r="586" spans="1:14" x14ac:dyDescent="0.25">
      <c r="A586" t="s">
        <v>639</v>
      </c>
      <c r="B586" t="s">
        <v>15</v>
      </c>
      <c r="C586" t="s">
        <v>22</v>
      </c>
      <c r="D586" t="s">
        <v>62</v>
      </c>
      <c r="E586" t="s">
        <v>24</v>
      </c>
      <c r="F586" t="s">
        <v>56</v>
      </c>
      <c r="G586">
        <v>204.82</v>
      </c>
      <c r="H586">
        <v>14</v>
      </c>
      <c r="I586">
        <v>176.15</v>
      </c>
      <c r="J586" s="1">
        <v>45875</v>
      </c>
      <c r="K586">
        <v>27</v>
      </c>
      <c r="L586">
        <v>3.8</v>
      </c>
      <c r="M586" t="b">
        <v>0</v>
      </c>
    </row>
    <row r="587" spans="1:14" x14ac:dyDescent="0.25">
      <c r="A587" t="s">
        <v>640</v>
      </c>
      <c r="B587" t="s">
        <v>21</v>
      </c>
      <c r="C587" t="s">
        <v>16</v>
      </c>
      <c r="D587" t="s">
        <v>23</v>
      </c>
      <c r="E587" t="s">
        <v>49</v>
      </c>
      <c r="F587" t="s">
        <v>25</v>
      </c>
      <c r="G587">
        <v>43.43</v>
      </c>
      <c r="H587">
        <v>47.1</v>
      </c>
      <c r="I587">
        <v>22.97</v>
      </c>
      <c r="J587" s="1">
        <v>45875</v>
      </c>
      <c r="K587">
        <v>44</v>
      </c>
      <c r="L587">
        <v>4.7</v>
      </c>
      <c r="M587" t="b">
        <v>0</v>
      </c>
    </row>
    <row r="588" spans="1:14" x14ac:dyDescent="0.25">
      <c r="A588" t="s">
        <v>641</v>
      </c>
      <c r="B588" t="s">
        <v>27</v>
      </c>
      <c r="C588" t="s">
        <v>48</v>
      </c>
      <c r="D588" t="s">
        <v>62</v>
      </c>
      <c r="F588" t="s">
        <v>44</v>
      </c>
      <c r="G588">
        <v>40.5</v>
      </c>
      <c r="H588">
        <v>40.5</v>
      </c>
      <c r="I588">
        <v>24.1</v>
      </c>
      <c r="J588" s="1">
        <v>45875</v>
      </c>
      <c r="K588">
        <v>25</v>
      </c>
      <c r="L588">
        <v>2.9</v>
      </c>
      <c r="M588" t="b">
        <v>0</v>
      </c>
    </row>
    <row r="589" spans="1:14" x14ac:dyDescent="0.25">
      <c r="A589" t="s">
        <v>642</v>
      </c>
      <c r="B589" t="s">
        <v>38</v>
      </c>
      <c r="C589" t="s">
        <v>75</v>
      </c>
      <c r="D589" t="s">
        <v>23</v>
      </c>
      <c r="E589" t="s">
        <v>58</v>
      </c>
      <c r="F589" t="s">
        <v>19</v>
      </c>
      <c r="G589">
        <v>73.59</v>
      </c>
      <c r="H589">
        <v>16.600000000000001</v>
      </c>
      <c r="I589">
        <v>61.37</v>
      </c>
      <c r="J589" s="1">
        <v>45875</v>
      </c>
      <c r="K589">
        <v>34</v>
      </c>
      <c r="L589">
        <v>4</v>
      </c>
      <c r="M589" t="b">
        <v>0</v>
      </c>
    </row>
    <row r="590" spans="1:14" x14ac:dyDescent="0.25">
      <c r="A590" t="s">
        <v>643</v>
      </c>
      <c r="B590" t="s">
        <v>27</v>
      </c>
      <c r="C590" t="s">
        <v>53</v>
      </c>
      <c r="D590" t="s">
        <v>62</v>
      </c>
      <c r="F590" t="s">
        <v>64</v>
      </c>
      <c r="G590">
        <v>17.670000000000002</v>
      </c>
      <c r="H590">
        <v>0</v>
      </c>
      <c r="I590">
        <v>17.670000000000002</v>
      </c>
      <c r="J590" s="1">
        <v>45875</v>
      </c>
      <c r="K590">
        <v>29</v>
      </c>
      <c r="L590">
        <v>4.3</v>
      </c>
      <c r="M590" t="b">
        <v>0</v>
      </c>
    </row>
    <row r="591" spans="1:14" x14ac:dyDescent="0.25">
      <c r="A591" t="s">
        <v>644</v>
      </c>
      <c r="B591" t="s">
        <v>42</v>
      </c>
      <c r="C591" t="s">
        <v>61</v>
      </c>
      <c r="D591" t="s">
        <v>23</v>
      </c>
      <c r="E591" t="s">
        <v>39</v>
      </c>
      <c r="F591" t="s">
        <v>46</v>
      </c>
      <c r="G591">
        <v>70.010000000000005</v>
      </c>
      <c r="H591">
        <v>28</v>
      </c>
      <c r="I591">
        <v>50.41</v>
      </c>
      <c r="J591" s="1">
        <v>45875</v>
      </c>
      <c r="K591">
        <v>23</v>
      </c>
      <c r="M591" t="b">
        <v>0</v>
      </c>
    </row>
    <row r="592" spans="1:14" x14ac:dyDescent="0.25">
      <c r="A592" t="s">
        <v>645</v>
      </c>
      <c r="B592" t="s">
        <v>30</v>
      </c>
      <c r="C592" t="s">
        <v>43</v>
      </c>
      <c r="D592" t="s">
        <v>34</v>
      </c>
      <c r="E592" t="s">
        <v>55</v>
      </c>
      <c r="F592" t="s">
        <v>19</v>
      </c>
      <c r="G592">
        <v>79.319999999999993</v>
      </c>
      <c r="H592">
        <v>33.700000000000003</v>
      </c>
      <c r="I592">
        <v>52.59</v>
      </c>
      <c r="J592" s="1">
        <v>45875</v>
      </c>
      <c r="K592">
        <v>38</v>
      </c>
      <c r="L592">
        <v>3</v>
      </c>
      <c r="M592" t="b">
        <v>1</v>
      </c>
      <c r="N592" t="s">
        <v>73</v>
      </c>
    </row>
    <row r="593" spans="1:14" x14ac:dyDescent="0.25">
      <c r="A593" t="s">
        <v>646</v>
      </c>
      <c r="B593" t="s">
        <v>27</v>
      </c>
      <c r="C593" t="s">
        <v>16</v>
      </c>
      <c r="D593" t="s">
        <v>62</v>
      </c>
      <c r="F593" t="s">
        <v>56</v>
      </c>
      <c r="G593">
        <v>45.24</v>
      </c>
      <c r="H593">
        <v>0</v>
      </c>
      <c r="I593">
        <v>45.24</v>
      </c>
      <c r="J593" s="1">
        <v>45875</v>
      </c>
      <c r="K593">
        <v>20</v>
      </c>
      <c r="L593">
        <v>3</v>
      </c>
      <c r="M593" t="b">
        <v>1</v>
      </c>
      <c r="N593" t="s">
        <v>83</v>
      </c>
    </row>
    <row r="594" spans="1:14" x14ac:dyDescent="0.25">
      <c r="A594" t="s">
        <v>647</v>
      </c>
      <c r="B594" t="s">
        <v>21</v>
      </c>
      <c r="C594" t="s">
        <v>48</v>
      </c>
      <c r="D594" t="s">
        <v>62</v>
      </c>
      <c r="E594" t="s">
        <v>49</v>
      </c>
      <c r="F594" t="s">
        <v>19</v>
      </c>
      <c r="G594">
        <v>63.51</v>
      </c>
      <c r="H594">
        <v>13.6</v>
      </c>
      <c r="I594">
        <v>54.87</v>
      </c>
      <c r="J594" s="1">
        <v>45875</v>
      </c>
      <c r="K594">
        <v>19</v>
      </c>
      <c r="M594" t="b">
        <v>0</v>
      </c>
    </row>
    <row r="595" spans="1:14" x14ac:dyDescent="0.25">
      <c r="A595" t="s">
        <v>648</v>
      </c>
      <c r="B595" t="s">
        <v>38</v>
      </c>
      <c r="C595" t="s">
        <v>53</v>
      </c>
      <c r="D595" t="s">
        <v>23</v>
      </c>
      <c r="E595" t="s">
        <v>49</v>
      </c>
      <c r="F595" t="s">
        <v>35</v>
      </c>
      <c r="G595">
        <v>55.23</v>
      </c>
      <c r="H595">
        <v>33.6</v>
      </c>
      <c r="I595">
        <v>36.67</v>
      </c>
      <c r="J595" s="1">
        <v>45875</v>
      </c>
      <c r="K595">
        <v>9</v>
      </c>
      <c r="M595" t="b">
        <v>0</v>
      </c>
    </row>
    <row r="596" spans="1:14" x14ac:dyDescent="0.25">
      <c r="A596" t="s">
        <v>649</v>
      </c>
      <c r="B596" t="s">
        <v>42</v>
      </c>
      <c r="C596" t="s">
        <v>32</v>
      </c>
      <c r="D596" t="s">
        <v>34</v>
      </c>
      <c r="E596" t="s">
        <v>58</v>
      </c>
      <c r="F596" t="s">
        <v>64</v>
      </c>
      <c r="G596">
        <v>137.59</v>
      </c>
      <c r="H596">
        <v>0</v>
      </c>
      <c r="I596">
        <v>137.59</v>
      </c>
      <c r="J596" s="1">
        <v>45875</v>
      </c>
      <c r="K596">
        <v>18</v>
      </c>
      <c r="M596" t="b">
        <v>0</v>
      </c>
    </row>
    <row r="597" spans="1:14" x14ac:dyDescent="0.25">
      <c r="A597" t="s">
        <v>650</v>
      </c>
      <c r="B597" t="s">
        <v>30</v>
      </c>
      <c r="C597" t="s">
        <v>48</v>
      </c>
      <c r="D597" t="s">
        <v>34</v>
      </c>
      <c r="F597" t="s">
        <v>35</v>
      </c>
      <c r="G597">
        <v>65.8</v>
      </c>
      <c r="H597">
        <v>0</v>
      </c>
      <c r="I597">
        <v>65.8</v>
      </c>
      <c r="J597" s="1">
        <v>45875</v>
      </c>
      <c r="K597">
        <v>46</v>
      </c>
      <c r="L597">
        <v>3.2</v>
      </c>
      <c r="M597" t="b">
        <v>0</v>
      </c>
    </row>
    <row r="598" spans="1:14" x14ac:dyDescent="0.25">
      <c r="A598" t="s">
        <v>651</v>
      </c>
      <c r="B598" t="s">
        <v>30</v>
      </c>
      <c r="C598" t="s">
        <v>22</v>
      </c>
      <c r="D598" t="s">
        <v>23</v>
      </c>
      <c r="E598" t="s">
        <v>18</v>
      </c>
      <c r="F598" t="s">
        <v>44</v>
      </c>
      <c r="G598">
        <v>88.42</v>
      </c>
      <c r="H598">
        <v>0</v>
      </c>
      <c r="I598">
        <v>88.42</v>
      </c>
      <c r="J598" s="1">
        <v>45875</v>
      </c>
      <c r="K598">
        <v>44</v>
      </c>
      <c r="L598">
        <v>3.4</v>
      </c>
      <c r="M598" t="b">
        <v>1</v>
      </c>
      <c r="N598" t="s">
        <v>78</v>
      </c>
    </row>
    <row r="599" spans="1:14" x14ac:dyDescent="0.25">
      <c r="A599" t="s">
        <v>652</v>
      </c>
      <c r="B599" t="s">
        <v>42</v>
      </c>
      <c r="C599" t="s">
        <v>43</v>
      </c>
      <c r="D599" t="s">
        <v>34</v>
      </c>
      <c r="E599" t="s">
        <v>58</v>
      </c>
      <c r="F599" t="s">
        <v>19</v>
      </c>
      <c r="G599">
        <v>75.540000000000006</v>
      </c>
      <c r="H599">
        <v>0</v>
      </c>
      <c r="I599">
        <v>75.540000000000006</v>
      </c>
      <c r="J599" s="1">
        <v>45875</v>
      </c>
      <c r="K599">
        <v>6</v>
      </c>
      <c r="L599">
        <v>4.5999999999999996</v>
      </c>
      <c r="M599" t="b">
        <v>0</v>
      </c>
    </row>
    <row r="600" spans="1:14" x14ac:dyDescent="0.25">
      <c r="A600" t="s">
        <v>653</v>
      </c>
      <c r="B600" t="s">
        <v>30</v>
      </c>
      <c r="C600" t="s">
        <v>48</v>
      </c>
      <c r="D600" t="s">
        <v>17</v>
      </c>
      <c r="E600" t="s">
        <v>24</v>
      </c>
      <c r="F600" t="s">
        <v>35</v>
      </c>
      <c r="G600">
        <v>185.13</v>
      </c>
      <c r="H600">
        <v>0</v>
      </c>
      <c r="I600">
        <v>185.13</v>
      </c>
      <c r="J600" s="1">
        <v>45786</v>
      </c>
      <c r="K600">
        <v>49</v>
      </c>
      <c r="L600">
        <v>4.9000000000000004</v>
      </c>
      <c r="M600" t="b">
        <v>0</v>
      </c>
    </row>
    <row r="601" spans="1:14" x14ac:dyDescent="0.25">
      <c r="A601" t="s">
        <v>654</v>
      </c>
      <c r="B601" t="s">
        <v>15</v>
      </c>
      <c r="C601" t="s">
        <v>43</v>
      </c>
      <c r="D601" t="s">
        <v>34</v>
      </c>
      <c r="E601" t="s">
        <v>24</v>
      </c>
      <c r="F601" t="s">
        <v>28</v>
      </c>
      <c r="G601">
        <v>132.58000000000001</v>
      </c>
      <c r="H601">
        <v>0</v>
      </c>
      <c r="I601">
        <v>132.58000000000001</v>
      </c>
      <c r="J601" s="1">
        <v>45875</v>
      </c>
      <c r="K601">
        <v>45</v>
      </c>
      <c r="L601">
        <v>1.6</v>
      </c>
      <c r="M601" t="b">
        <v>0</v>
      </c>
    </row>
    <row r="602" spans="1:14" x14ac:dyDescent="0.25">
      <c r="A602" t="s">
        <v>655</v>
      </c>
      <c r="B602" t="s">
        <v>38</v>
      </c>
      <c r="C602" t="s">
        <v>16</v>
      </c>
      <c r="D602" t="s">
        <v>34</v>
      </c>
      <c r="E602" t="s">
        <v>58</v>
      </c>
      <c r="F602" t="s">
        <v>35</v>
      </c>
      <c r="G602">
        <v>93.38</v>
      </c>
      <c r="H602">
        <v>0</v>
      </c>
      <c r="I602">
        <v>93.38</v>
      </c>
      <c r="J602" s="1">
        <v>45875</v>
      </c>
      <c r="K602">
        <v>7</v>
      </c>
      <c r="L602">
        <v>3.5</v>
      </c>
      <c r="M602" t="b">
        <v>0</v>
      </c>
    </row>
    <row r="603" spans="1:14" x14ac:dyDescent="0.25">
      <c r="A603" t="s">
        <v>656</v>
      </c>
      <c r="B603" t="s">
        <v>27</v>
      </c>
      <c r="C603" t="s">
        <v>53</v>
      </c>
      <c r="D603" t="s">
        <v>34</v>
      </c>
      <c r="F603" t="s">
        <v>28</v>
      </c>
      <c r="G603">
        <v>47.28</v>
      </c>
      <c r="H603">
        <v>0</v>
      </c>
      <c r="I603">
        <v>47.28</v>
      </c>
      <c r="J603" s="1">
        <v>45875</v>
      </c>
      <c r="K603">
        <v>38</v>
      </c>
      <c r="L603">
        <v>4.2</v>
      </c>
      <c r="M603" t="b">
        <v>0</v>
      </c>
    </row>
    <row r="604" spans="1:14" x14ac:dyDescent="0.25">
      <c r="A604" t="s">
        <v>657</v>
      </c>
      <c r="B604" t="s">
        <v>38</v>
      </c>
      <c r="C604" t="s">
        <v>32</v>
      </c>
      <c r="D604" t="s">
        <v>17</v>
      </c>
      <c r="E604" t="s">
        <v>24</v>
      </c>
      <c r="F604" t="s">
        <v>46</v>
      </c>
      <c r="G604">
        <v>59.88</v>
      </c>
      <c r="H604">
        <v>0</v>
      </c>
      <c r="I604">
        <v>59.88</v>
      </c>
      <c r="J604" s="1">
        <v>45577</v>
      </c>
      <c r="K604">
        <v>33</v>
      </c>
      <c r="L604">
        <v>2.9</v>
      </c>
      <c r="M604" t="b">
        <v>0</v>
      </c>
    </row>
    <row r="605" spans="1:14" x14ac:dyDescent="0.25">
      <c r="A605" t="s">
        <v>658</v>
      </c>
      <c r="B605" t="s">
        <v>42</v>
      </c>
      <c r="C605" t="s">
        <v>48</v>
      </c>
      <c r="D605" t="s">
        <v>23</v>
      </c>
      <c r="E605" t="s">
        <v>49</v>
      </c>
      <c r="F605" t="s">
        <v>28</v>
      </c>
      <c r="G605">
        <v>140.07</v>
      </c>
      <c r="H605">
        <v>0</v>
      </c>
      <c r="I605">
        <v>140.07</v>
      </c>
      <c r="J605" s="1">
        <v>45875</v>
      </c>
      <c r="K605">
        <v>15</v>
      </c>
      <c r="L605">
        <v>2.7</v>
      </c>
      <c r="M605" t="b">
        <v>0</v>
      </c>
    </row>
    <row r="606" spans="1:14" x14ac:dyDescent="0.25">
      <c r="A606" t="s">
        <v>659</v>
      </c>
      <c r="B606" t="s">
        <v>27</v>
      </c>
      <c r="C606" t="s">
        <v>22</v>
      </c>
      <c r="D606" t="s">
        <v>23</v>
      </c>
      <c r="F606" t="s">
        <v>28</v>
      </c>
      <c r="G606">
        <v>66.599999999999994</v>
      </c>
      <c r="H606">
        <v>0</v>
      </c>
      <c r="I606">
        <v>66.599999999999994</v>
      </c>
      <c r="J606" s="1">
        <v>45875</v>
      </c>
      <c r="K606">
        <v>47</v>
      </c>
      <c r="L606">
        <v>4</v>
      </c>
      <c r="M606" t="b">
        <v>0</v>
      </c>
    </row>
    <row r="607" spans="1:14" x14ac:dyDescent="0.25">
      <c r="A607" t="s">
        <v>660</v>
      </c>
      <c r="B607" t="s">
        <v>27</v>
      </c>
      <c r="C607" t="s">
        <v>61</v>
      </c>
      <c r="D607" t="s">
        <v>62</v>
      </c>
      <c r="F607" t="s">
        <v>66</v>
      </c>
      <c r="G607">
        <v>39.82</v>
      </c>
      <c r="H607">
        <v>35.4</v>
      </c>
      <c r="I607">
        <v>25.72</v>
      </c>
      <c r="J607" s="1">
        <v>45875</v>
      </c>
      <c r="K607">
        <v>9</v>
      </c>
      <c r="L607">
        <v>4.5999999999999996</v>
      </c>
      <c r="M607" t="b">
        <v>0</v>
      </c>
    </row>
    <row r="608" spans="1:14" x14ac:dyDescent="0.25">
      <c r="A608" t="s">
        <v>661</v>
      </c>
      <c r="B608" t="s">
        <v>27</v>
      </c>
      <c r="C608" t="s">
        <v>16</v>
      </c>
      <c r="D608" t="s">
        <v>34</v>
      </c>
      <c r="F608" t="s">
        <v>19</v>
      </c>
      <c r="G608">
        <v>70.739999999999995</v>
      </c>
      <c r="H608">
        <v>0</v>
      </c>
      <c r="I608">
        <v>70.739999999999995</v>
      </c>
      <c r="J608" s="1">
        <v>45875</v>
      </c>
      <c r="K608">
        <v>49</v>
      </c>
      <c r="L608">
        <v>1.8</v>
      </c>
      <c r="M608" t="b">
        <v>0</v>
      </c>
    </row>
    <row r="609" spans="1:14" x14ac:dyDescent="0.25">
      <c r="A609" t="s">
        <v>662</v>
      </c>
      <c r="B609" t="s">
        <v>42</v>
      </c>
      <c r="C609" t="s">
        <v>16</v>
      </c>
      <c r="D609" t="s">
        <v>17</v>
      </c>
      <c r="E609" t="s">
        <v>58</v>
      </c>
      <c r="F609" t="s">
        <v>19</v>
      </c>
      <c r="G609">
        <v>95.33</v>
      </c>
      <c r="H609">
        <v>0</v>
      </c>
      <c r="I609">
        <v>95.33</v>
      </c>
      <c r="J609" s="1">
        <v>45815</v>
      </c>
      <c r="K609">
        <v>36</v>
      </c>
      <c r="M609" t="b">
        <v>1</v>
      </c>
      <c r="N609" t="s">
        <v>83</v>
      </c>
    </row>
    <row r="610" spans="1:14" x14ac:dyDescent="0.25">
      <c r="A610" t="s">
        <v>663</v>
      </c>
      <c r="B610" t="s">
        <v>27</v>
      </c>
      <c r="C610" t="s">
        <v>75</v>
      </c>
      <c r="D610" t="s">
        <v>17</v>
      </c>
      <c r="F610" t="s">
        <v>19</v>
      </c>
      <c r="G610">
        <v>32.619999999999997</v>
      </c>
      <c r="H610">
        <v>29.1</v>
      </c>
      <c r="I610">
        <v>23.13</v>
      </c>
      <c r="J610" s="1">
        <v>45865</v>
      </c>
      <c r="K610">
        <v>9</v>
      </c>
      <c r="L610">
        <v>1.4</v>
      </c>
      <c r="M610" t="b">
        <v>0</v>
      </c>
    </row>
    <row r="611" spans="1:14" x14ac:dyDescent="0.25">
      <c r="A611" t="s">
        <v>664</v>
      </c>
      <c r="B611" t="s">
        <v>38</v>
      </c>
      <c r="C611" t="s">
        <v>43</v>
      </c>
      <c r="D611" t="s">
        <v>62</v>
      </c>
      <c r="E611" t="s">
        <v>18</v>
      </c>
      <c r="F611" t="s">
        <v>66</v>
      </c>
      <c r="G611">
        <v>41.07</v>
      </c>
      <c r="H611">
        <v>0</v>
      </c>
      <c r="I611">
        <v>41.07</v>
      </c>
      <c r="J611" s="1">
        <v>45875</v>
      </c>
      <c r="K611">
        <v>10</v>
      </c>
      <c r="L611">
        <v>4.8</v>
      </c>
      <c r="M611" t="b">
        <v>0</v>
      </c>
    </row>
    <row r="612" spans="1:14" x14ac:dyDescent="0.25">
      <c r="A612" t="s">
        <v>665</v>
      </c>
      <c r="B612" t="s">
        <v>38</v>
      </c>
      <c r="C612" t="s">
        <v>16</v>
      </c>
      <c r="D612" t="s">
        <v>23</v>
      </c>
      <c r="E612" t="s">
        <v>18</v>
      </c>
      <c r="F612" t="s">
        <v>40</v>
      </c>
      <c r="G612">
        <v>43.1</v>
      </c>
      <c r="H612">
        <v>0</v>
      </c>
      <c r="I612">
        <v>43.1</v>
      </c>
      <c r="J612" s="1">
        <v>45875</v>
      </c>
      <c r="K612">
        <v>34</v>
      </c>
      <c r="L612">
        <v>4.9000000000000004</v>
      </c>
      <c r="M612" t="b">
        <v>0</v>
      </c>
    </row>
    <row r="613" spans="1:14" x14ac:dyDescent="0.25">
      <c r="A613" t="s">
        <v>666</v>
      </c>
      <c r="B613" t="s">
        <v>15</v>
      </c>
      <c r="C613" t="s">
        <v>53</v>
      </c>
      <c r="D613" t="s">
        <v>23</v>
      </c>
      <c r="E613" t="s">
        <v>49</v>
      </c>
      <c r="F613" t="s">
        <v>64</v>
      </c>
      <c r="G613">
        <v>102.03</v>
      </c>
      <c r="H613">
        <v>27.9</v>
      </c>
      <c r="I613">
        <v>73.56</v>
      </c>
      <c r="J613" s="1">
        <v>45875</v>
      </c>
      <c r="K613">
        <v>21</v>
      </c>
      <c r="L613">
        <v>2.2000000000000002</v>
      </c>
      <c r="M613" t="b">
        <v>1</v>
      </c>
      <c r="N613" t="s">
        <v>73</v>
      </c>
    </row>
    <row r="614" spans="1:14" x14ac:dyDescent="0.25">
      <c r="A614" t="s">
        <v>667</v>
      </c>
      <c r="B614" t="s">
        <v>27</v>
      </c>
      <c r="C614" t="s">
        <v>43</v>
      </c>
      <c r="D614" t="s">
        <v>23</v>
      </c>
      <c r="F614" t="s">
        <v>19</v>
      </c>
      <c r="G614">
        <v>54.11</v>
      </c>
      <c r="H614">
        <v>0</v>
      </c>
      <c r="I614">
        <v>54.11</v>
      </c>
      <c r="J614" s="1">
        <v>45875</v>
      </c>
      <c r="K614">
        <v>15</v>
      </c>
      <c r="L614">
        <v>2.6</v>
      </c>
      <c r="M614" t="b">
        <v>0</v>
      </c>
    </row>
    <row r="615" spans="1:14" x14ac:dyDescent="0.25">
      <c r="A615" t="s">
        <v>668</v>
      </c>
      <c r="B615" t="s">
        <v>27</v>
      </c>
      <c r="C615" t="s">
        <v>43</v>
      </c>
      <c r="D615" t="s">
        <v>23</v>
      </c>
      <c r="F615" t="s">
        <v>66</v>
      </c>
      <c r="G615">
        <v>43.5</v>
      </c>
      <c r="H615">
        <v>0</v>
      </c>
      <c r="I615">
        <v>43.5</v>
      </c>
      <c r="J615" s="1">
        <v>45875</v>
      </c>
      <c r="K615">
        <v>35</v>
      </c>
      <c r="L615">
        <v>2.8</v>
      </c>
      <c r="M615" t="b">
        <v>0</v>
      </c>
    </row>
    <row r="616" spans="1:14" x14ac:dyDescent="0.25">
      <c r="A616" t="s">
        <v>669</v>
      </c>
      <c r="B616" t="s">
        <v>27</v>
      </c>
      <c r="C616" t="s">
        <v>32</v>
      </c>
      <c r="D616" t="s">
        <v>23</v>
      </c>
      <c r="F616" t="s">
        <v>25</v>
      </c>
      <c r="G616">
        <v>66</v>
      </c>
      <c r="H616">
        <v>0</v>
      </c>
      <c r="I616">
        <v>66</v>
      </c>
      <c r="J616" s="1">
        <v>45875</v>
      </c>
      <c r="K616">
        <v>19</v>
      </c>
      <c r="L616">
        <v>2.6</v>
      </c>
      <c r="M616" t="b">
        <v>0</v>
      </c>
    </row>
    <row r="617" spans="1:14" x14ac:dyDescent="0.25">
      <c r="A617" t="s">
        <v>670</v>
      </c>
      <c r="B617" t="s">
        <v>38</v>
      </c>
      <c r="C617" t="s">
        <v>32</v>
      </c>
      <c r="D617" t="s">
        <v>62</v>
      </c>
      <c r="E617" t="s">
        <v>58</v>
      </c>
      <c r="F617" t="s">
        <v>35</v>
      </c>
      <c r="G617">
        <v>38.85</v>
      </c>
      <c r="H617">
        <v>0</v>
      </c>
      <c r="I617">
        <v>38.85</v>
      </c>
      <c r="J617" s="1">
        <v>45875</v>
      </c>
      <c r="K617">
        <v>10</v>
      </c>
      <c r="L617">
        <v>3.8</v>
      </c>
      <c r="M617" t="b">
        <v>0</v>
      </c>
    </row>
    <row r="618" spans="1:14" x14ac:dyDescent="0.25">
      <c r="A618" t="s">
        <v>671</v>
      </c>
      <c r="B618" t="s">
        <v>27</v>
      </c>
      <c r="C618" t="s">
        <v>16</v>
      </c>
      <c r="D618" t="s">
        <v>62</v>
      </c>
      <c r="F618" t="s">
        <v>56</v>
      </c>
      <c r="G618">
        <v>61.29</v>
      </c>
      <c r="H618">
        <v>0</v>
      </c>
      <c r="I618">
        <v>61.29</v>
      </c>
      <c r="J618" s="1">
        <v>45875</v>
      </c>
      <c r="K618">
        <v>15</v>
      </c>
      <c r="L618">
        <v>4</v>
      </c>
      <c r="M618" t="b">
        <v>0</v>
      </c>
    </row>
    <row r="619" spans="1:14" x14ac:dyDescent="0.25">
      <c r="A619" t="s">
        <v>672</v>
      </c>
      <c r="B619" t="s">
        <v>38</v>
      </c>
      <c r="C619" t="s">
        <v>48</v>
      </c>
      <c r="D619" t="s">
        <v>17</v>
      </c>
      <c r="E619" t="s">
        <v>55</v>
      </c>
      <c r="F619" t="s">
        <v>56</v>
      </c>
      <c r="G619">
        <v>90.66</v>
      </c>
      <c r="H619">
        <v>0</v>
      </c>
      <c r="I619">
        <v>90.66</v>
      </c>
      <c r="J619" s="1">
        <v>45736</v>
      </c>
      <c r="K619">
        <v>49</v>
      </c>
      <c r="L619">
        <v>2.4</v>
      </c>
      <c r="M619" t="b">
        <v>1</v>
      </c>
      <c r="N619" t="s">
        <v>36</v>
      </c>
    </row>
    <row r="620" spans="1:14" x14ac:dyDescent="0.25">
      <c r="A620" t="s">
        <v>673</v>
      </c>
      <c r="B620" t="s">
        <v>42</v>
      </c>
      <c r="C620" t="s">
        <v>43</v>
      </c>
      <c r="D620" t="s">
        <v>34</v>
      </c>
      <c r="E620" t="s">
        <v>18</v>
      </c>
      <c r="F620" t="s">
        <v>46</v>
      </c>
      <c r="G620">
        <v>119.96</v>
      </c>
      <c r="H620">
        <v>0</v>
      </c>
      <c r="I620">
        <v>119.96</v>
      </c>
      <c r="J620" s="1">
        <v>45875</v>
      </c>
      <c r="K620">
        <v>5</v>
      </c>
      <c r="L620">
        <v>5</v>
      </c>
      <c r="M620" t="b">
        <v>0</v>
      </c>
    </row>
    <row r="621" spans="1:14" x14ac:dyDescent="0.25">
      <c r="A621" t="s">
        <v>674</v>
      </c>
      <c r="B621" t="s">
        <v>30</v>
      </c>
      <c r="C621" t="s">
        <v>75</v>
      </c>
      <c r="D621" t="s">
        <v>34</v>
      </c>
      <c r="E621" t="s">
        <v>49</v>
      </c>
      <c r="F621" t="s">
        <v>19</v>
      </c>
      <c r="G621">
        <v>130.21</v>
      </c>
      <c r="H621">
        <v>0</v>
      </c>
      <c r="I621">
        <v>130.21</v>
      </c>
      <c r="J621" s="1">
        <v>45875</v>
      </c>
      <c r="K621">
        <v>50</v>
      </c>
      <c r="L621">
        <v>4.7</v>
      </c>
      <c r="M621" t="b">
        <v>0</v>
      </c>
    </row>
    <row r="622" spans="1:14" x14ac:dyDescent="0.25">
      <c r="A622" t="s">
        <v>675</v>
      </c>
      <c r="B622" t="s">
        <v>21</v>
      </c>
      <c r="C622" t="s">
        <v>32</v>
      </c>
      <c r="D622" t="s">
        <v>23</v>
      </c>
      <c r="E622" t="s">
        <v>55</v>
      </c>
      <c r="F622" t="s">
        <v>19</v>
      </c>
      <c r="G622">
        <v>49.68</v>
      </c>
      <c r="H622">
        <v>0</v>
      </c>
      <c r="I622">
        <v>49.68</v>
      </c>
      <c r="J622" s="1">
        <v>45875</v>
      </c>
      <c r="K622">
        <v>15</v>
      </c>
      <c r="L622">
        <v>2.8</v>
      </c>
      <c r="M622" t="b">
        <v>0</v>
      </c>
    </row>
    <row r="623" spans="1:14" x14ac:dyDescent="0.25">
      <c r="A623" t="s">
        <v>676</v>
      </c>
      <c r="B623" t="s">
        <v>27</v>
      </c>
      <c r="C623" t="s">
        <v>16</v>
      </c>
      <c r="D623" t="s">
        <v>17</v>
      </c>
      <c r="F623" t="s">
        <v>66</v>
      </c>
      <c r="G623">
        <v>46.58</v>
      </c>
      <c r="H623">
        <v>0</v>
      </c>
      <c r="I623">
        <v>46.58</v>
      </c>
      <c r="J623" s="1">
        <v>45560</v>
      </c>
      <c r="K623">
        <v>42</v>
      </c>
      <c r="L623">
        <v>1.7</v>
      </c>
      <c r="M623" t="b">
        <v>0</v>
      </c>
    </row>
    <row r="624" spans="1:14" x14ac:dyDescent="0.25">
      <c r="A624" t="s">
        <v>677</v>
      </c>
      <c r="B624" t="s">
        <v>27</v>
      </c>
      <c r="C624" t="s">
        <v>43</v>
      </c>
      <c r="D624" t="s">
        <v>62</v>
      </c>
      <c r="F624" t="s">
        <v>70</v>
      </c>
      <c r="G624">
        <v>69.88</v>
      </c>
      <c r="H624">
        <v>0</v>
      </c>
      <c r="I624">
        <v>69.88</v>
      </c>
      <c r="J624" s="1">
        <v>45875</v>
      </c>
      <c r="K624">
        <v>8</v>
      </c>
      <c r="L624">
        <v>2.8</v>
      </c>
      <c r="M624" t="b">
        <v>0</v>
      </c>
    </row>
    <row r="625" spans="1:14" x14ac:dyDescent="0.25">
      <c r="A625" t="s">
        <v>678</v>
      </c>
      <c r="B625" t="s">
        <v>27</v>
      </c>
      <c r="C625" t="s">
        <v>75</v>
      </c>
      <c r="D625" t="s">
        <v>34</v>
      </c>
      <c r="F625" t="s">
        <v>46</v>
      </c>
      <c r="G625">
        <v>32.15</v>
      </c>
      <c r="H625">
        <v>0</v>
      </c>
      <c r="I625">
        <v>32.15</v>
      </c>
      <c r="J625" s="1">
        <v>45875</v>
      </c>
      <c r="K625">
        <v>17</v>
      </c>
      <c r="L625">
        <v>1.9</v>
      </c>
      <c r="M625" t="b">
        <v>1</v>
      </c>
      <c r="N625" t="s">
        <v>83</v>
      </c>
    </row>
    <row r="626" spans="1:14" x14ac:dyDescent="0.25">
      <c r="A626" t="s">
        <v>679</v>
      </c>
      <c r="B626" t="s">
        <v>38</v>
      </c>
      <c r="C626" t="s">
        <v>75</v>
      </c>
      <c r="D626" t="s">
        <v>62</v>
      </c>
      <c r="E626" t="s">
        <v>39</v>
      </c>
      <c r="F626" t="s">
        <v>28</v>
      </c>
      <c r="G626">
        <v>36.340000000000003</v>
      </c>
      <c r="H626">
        <v>0</v>
      </c>
      <c r="I626">
        <v>36.340000000000003</v>
      </c>
      <c r="J626" s="1">
        <v>45875</v>
      </c>
      <c r="K626">
        <v>6</v>
      </c>
      <c r="L626">
        <v>4.5</v>
      </c>
      <c r="M626" t="b">
        <v>1</v>
      </c>
      <c r="N626" t="s">
        <v>78</v>
      </c>
    </row>
    <row r="627" spans="1:14" x14ac:dyDescent="0.25">
      <c r="A627" t="s">
        <v>680</v>
      </c>
      <c r="B627" t="s">
        <v>38</v>
      </c>
      <c r="C627" t="s">
        <v>43</v>
      </c>
      <c r="D627" t="s">
        <v>34</v>
      </c>
      <c r="E627" t="s">
        <v>58</v>
      </c>
      <c r="F627" t="s">
        <v>56</v>
      </c>
      <c r="G627">
        <v>93.01</v>
      </c>
      <c r="H627">
        <v>0</v>
      </c>
      <c r="I627">
        <v>93.01</v>
      </c>
      <c r="J627" s="1">
        <v>45875</v>
      </c>
      <c r="K627">
        <v>34</v>
      </c>
      <c r="L627">
        <v>1.4</v>
      </c>
      <c r="M627" t="b">
        <v>0</v>
      </c>
    </row>
    <row r="628" spans="1:14" x14ac:dyDescent="0.25">
      <c r="A628" t="s">
        <v>681</v>
      </c>
      <c r="B628" t="s">
        <v>21</v>
      </c>
      <c r="C628" t="s">
        <v>61</v>
      </c>
      <c r="D628" t="s">
        <v>23</v>
      </c>
      <c r="E628" t="s">
        <v>39</v>
      </c>
      <c r="F628" t="s">
        <v>70</v>
      </c>
      <c r="G628">
        <v>75</v>
      </c>
      <c r="H628">
        <v>0</v>
      </c>
      <c r="I628">
        <v>75</v>
      </c>
      <c r="J628" s="1">
        <v>45875</v>
      </c>
      <c r="K628">
        <v>19</v>
      </c>
      <c r="L628">
        <v>1.6</v>
      </c>
      <c r="M628" t="b">
        <v>0</v>
      </c>
    </row>
    <row r="629" spans="1:14" x14ac:dyDescent="0.25">
      <c r="A629" t="s">
        <v>682</v>
      </c>
      <c r="B629" t="s">
        <v>15</v>
      </c>
      <c r="C629" t="s">
        <v>16</v>
      </c>
      <c r="D629" t="s">
        <v>34</v>
      </c>
      <c r="E629" t="s">
        <v>58</v>
      </c>
      <c r="F629" t="s">
        <v>44</v>
      </c>
      <c r="G629">
        <v>81.63</v>
      </c>
      <c r="H629">
        <v>12.4</v>
      </c>
      <c r="I629">
        <v>71.510000000000005</v>
      </c>
      <c r="J629" s="1">
        <v>45875</v>
      </c>
      <c r="K629">
        <v>3</v>
      </c>
      <c r="M629" t="b">
        <v>0</v>
      </c>
    </row>
    <row r="630" spans="1:14" x14ac:dyDescent="0.25">
      <c r="A630" t="s">
        <v>683</v>
      </c>
      <c r="B630" t="s">
        <v>38</v>
      </c>
      <c r="C630" t="s">
        <v>22</v>
      </c>
      <c r="D630" t="s">
        <v>17</v>
      </c>
      <c r="E630" t="s">
        <v>18</v>
      </c>
      <c r="F630" t="s">
        <v>40</v>
      </c>
      <c r="G630">
        <v>109.81</v>
      </c>
      <c r="H630">
        <v>0</v>
      </c>
      <c r="I630">
        <v>109.81</v>
      </c>
      <c r="J630" s="1">
        <v>45862</v>
      </c>
      <c r="K630">
        <v>17</v>
      </c>
      <c r="L630">
        <v>1.9</v>
      </c>
      <c r="M630" t="b">
        <v>0</v>
      </c>
    </row>
    <row r="631" spans="1:14" x14ac:dyDescent="0.25">
      <c r="A631" t="s">
        <v>684</v>
      </c>
      <c r="B631" t="s">
        <v>38</v>
      </c>
      <c r="C631" t="s">
        <v>53</v>
      </c>
      <c r="D631" t="s">
        <v>34</v>
      </c>
      <c r="F631" t="s">
        <v>28</v>
      </c>
      <c r="G631">
        <v>47.7</v>
      </c>
      <c r="H631">
        <v>0</v>
      </c>
      <c r="I631">
        <v>47.7</v>
      </c>
      <c r="J631" s="1">
        <v>45875</v>
      </c>
      <c r="K631">
        <v>14</v>
      </c>
      <c r="L631">
        <v>2.2999999999999998</v>
      </c>
      <c r="M631" t="b">
        <v>0</v>
      </c>
    </row>
    <row r="632" spans="1:14" x14ac:dyDescent="0.25">
      <c r="A632" t="s">
        <v>685</v>
      </c>
      <c r="B632" t="s">
        <v>21</v>
      </c>
      <c r="C632" t="s">
        <v>32</v>
      </c>
      <c r="D632" t="s">
        <v>23</v>
      </c>
      <c r="E632" t="s">
        <v>39</v>
      </c>
      <c r="F632" t="s">
        <v>19</v>
      </c>
      <c r="G632">
        <v>96.08</v>
      </c>
      <c r="H632">
        <v>0</v>
      </c>
      <c r="I632">
        <v>96.08</v>
      </c>
      <c r="J632" s="1">
        <v>45875</v>
      </c>
      <c r="K632">
        <v>7</v>
      </c>
      <c r="L632">
        <v>2.5</v>
      </c>
      <c r="M632" t="b">
        <v>0</v>
      </c>
    </row>
    <row r="633" spans="1:14" x14ac:dyDescent="0.25">
      <c r="A633" t="s">
        <v>686</v>
      </c>
      <c r="B633" t="s">
        <v>21</v>
      </c>
      <c r="C633" t="s">
        <v>48</v>
      </c>
      <c r="D633" t="s">
        <v>23</v>
      </c>
      <c r="E633" t="s">
        <v>55</v>
      </c>
      <c r="F633" t="s">
        <v>70</v>
      </c>
      <c r="G633">
        <v>28</v>
      </c>
      <c r="H633">
        <v>2.6</v>
      </c>
      <c r="I633">
        <v>27.27</v>
      </c>
      <c r="J633" s="1">
        <v>45875</v>
      </c>
      <c r="K633">
        <v>2</v>
      </c>
      <c r="M633" t="b">
        <v>0</v>
      </c>
    </row>
    <row r="634" spans="1:14" x14ac:dyDescent="0.25">
      <c r="A634" t="s">
        <v>687</v>
      </c>
      <c r="B634" t="s">
        <v>38</v>
      </c>
      <c r="C634" t="s">
        <v>16</v>
      </c>
      <c r="D634" t="s">
        <v>23</v>
      </c>
      <c r="E634" t="s">
        <v>39</v>
      </c>
      <c r="F634" t="s">
        <v>70</v>
      </c>
      <c r="G634">
        <v>52.43</v>
      </c>
      <c r="H634">
        <v>6.4</v>
      </c>
      <c r="I634">
        <v>49.07</v>
      </c>
      <c r="J634" s="1">
        <v>45875</v>
      </c>
      <c r="K634">
        <v>42</v>
      </c>
      <c r="L634">
        <v>2.6</v>
      </c>
      <c r="M634" t="b">
        <v>0</v>
      </c>
    </row>
    <row r="635" spans="1:14" x14ac:dyDescent="0.25">
      <c r="A635" t="s">
        <v>688</v>
      </c>
      <c r="B635" t="s">
        <v>27</v>
      </c>
      <c r="C635" t="s">
        <v>61</v>
      </c>
      <c r="D635" t="s">
        <v>62</v>
      </c>
      <c r="F635" t="s">
        <v>25</v>
      </c>
      <c r="G635">
        <v>67.95</v>
      </c>
      <c r="H635">
        <v>18.3</v>
      </c>
      <c r="I635">
        <v>55.52</v>
      </c>
      <c r="J635" s="1">
        <v>45875</v>
      </c>
      <c r="K635">
        <v>37</v>
      </c>
      <c r="M635" t="b">
        <v>0</v>
      </c>
    </row>
    <row r="636" spans="1:14" x14ac:dyDescent="0.25">
      <c r="A636" t="s">
        <v>689</v>
      </c>
      <c r="B636" t="s">
        <v>42</v>
      </c>
      <c r="C636" t="s">
        <v>53</v>
      </c>
      <c r="D636" t="s">
        <v>34</v>
      </c>
      <c r="F636" t="s">
        <v>19</v>
      </c>
      <c r="G636">
        <v>131.91999999999999</v>
      </c>
      <c r="H636">
        <v>0</v>
      </c>
      <c r="I636">
        <v>131.91999999999999</v>
      </c>
      <c r="J636" s="1">
        <v>45875</v>
      </c>
      <c r="K636">
        <v>10</v>
      </c>
      <c r="L636">
        <v>2.5</v>
      </c>
      <c r="M636" t="b">
        <v>0</v>
      </c>
    </row>
    <row r="637" spans="1:14" x14ac:dyDescent="0.25">
      <c r="A637" t="s">
        <v>690</v>
      </c>
      <c r="B637" t="s">
        <v>15</v>
      </c>
      <c r="C637" t="s">
        <v>53</v>
      </c>
      <c r="D637" t="s">
        <v>17</v>
      </c>
      <c r="E637" t="s">
        <v>55</v>
      </c>
      <c r="F637" t="s">
        <v>35</v>
      </c>
      <c r="G637">
        <v>205.77</v>
      </c>
      <c r="H637">
        <v>0</v>
      </c>
      <c r="I637">
        <v>205.77</v>
      </c>
      <c r="J637" s="1">
        <v>45688</v>
      </c>
      <c r="K637">
        <v>38</v>
      </c>
      <c r="L637">
        <v>1</v>
      </c>
      <c r="M637" t="b">
        <v>0</v>
      </c>
    </row>
    <row r="638" spans="1:14" x14ac:dyDescent="0.25">
      <c r="A638" t="s">
        <v>691</v>
      </c>
      <c r="B638" t="s">
        <v>21</v>
      </c>
      <c r="C638" t="s">
        <v>22</v>
      </c>
      <c r="D638" t="s">
        <v>23</v>
      </c>
      <c r="E638" t="s">
        <v>18</v>
      </c>
      <c r="F638" t="s">
        <v>35</v>
      </c>
      <c r="G638">
        <v>97.88</v>
      </c>
      <c r="H638">
        <v>11.3</v>
      </c>
      <c r="I638">
        <v>86.82</v>
      </c>
      <c r="J638" s="1">
        <v>45875</v>
      </c>
      <c r="K638">
        <v>27</v>
      </c>
      <c r="L638">
        <v>1.3</v>
      </c>
      <c r="M638" t="b">
        <v>0</v>
      </c>
    </row>
    <row r="639" spans="1:14" x14ac:dyDescent="0.25">
      <c r="A639" t="s">
        <v>692</v>
      </c>
      <c r="B639" t="s">
        <v>30</v>
      </c>
      <c r="C639" t="s">
        <v>16</v>
      </c>
      <c r="D639" t="s">
        <v>62</v>
      </c>
      <c r="E639" t="s">
        <v>24</v>
      </c>
      <c r="F639" t="s">
        <v>40</v>
      </c>
      <c r="G639">
        <v>109.55</v>
      </c>
      <c r="H639">
        <v>0</v>
      </c>
      <c r="I639">
        <v>109.55</v>
      </c>
      <c r="J639" s="1">
        <v>45875</v>
      </c>
      <c r="K639">
        <v>32</v>
      </c>
      <c r="L639">
        <v>1.4</v>
      </c>
      <c r="M639" t="b">
        <v>0</v>
      </c>
    </row>
    <row r="640" spans="1:14" x14ac:dyDescent="0.25">
      <c r="A640" t="s">
        <v>693</v>
      </c>
      <c r="B640" t="s">
        <v>38</v>
      </c>
      <c r="C640" t="s">
        <v>16</v>
      </c>
      <c r="D640" t="s">
        <v>34</v>
      </c>
      <c r="E640" t="s">
        <v>24</v>
      </c>
      <c r="F640" t="s">
        <v>40</v>
      </c>
      <c r="G640">
        <v>52.94</v>
      </c>
      <c r="H640">
        <v>10.6</v>
      </c>
      <c r="I640">
        <v>47.33</v>
      </c>
      <c r="J640" s="1">
        <v>45875</v>
      </c>
      <c r="K640">
        <v>50</v>
      </c>
      <c r="L640">
        <v>2.7</v>
      </c>
      <c r="M640" t="b">
        <v>0</v>
      </c>
    </row>
    <row r="641" spans="1:14" x14ac:dyDescent="0.25">
      <c r="A641" t="s">
        <v>694</v>
      </c>
      <c r="B641" t="s">
        <v>38</v>
      </c>
      <c r="C641" t="s">
        <v>32</v>
      </c>
      <c r="D641" t="s">
        <v>23</v>
      </c>
      <c r="E641" t="s">
        <v>55</v>
      </c>
      <c r="F641" t="s">
        <v>25</v>
      </c>
      <c r="G641">
        <v>70.83</v>
      </c>
      <c r="H641">
        <v>18</v>
      </c>
      <c r="I641">
        <v>58.08</v>
      </c>
      <c r="J641" s="1">
        <v>45875</v>
      </c>
      <c r="K641">
        <v>21</v>
      </c>
      <c r="L641">
        <v>2.9</v>
      </c>
      <c r="M641" t="b">
        <v>0</v>
      </c>
    </row>
    <row r="642" spans="1:14" x14ac:dyDescent="0.25">
      <c r="A642" t="s">
        <v>695</v>
      </c>
      <c r="B642" t="s">
        <v>42</v>
      </c>
      <c r="C642" t="s">
        <v>43</v>
      </c>
      <c r="D642" t="s">
        <v>34</v>
      </c>
      <c r="E642" t="s">
        <v>24</v>
      </c>
      <c r="F642" t="s">
        <v>64</v>
      </c>
      <c r="G642">
        <v>53.17</v>
      </c>
      <c r="H642">
        <v>0</v>
      </c>
      <c r="I642">
        <v>53.17</v>
      </c>
      <c r="J642" s="1">
        <v>45875</v>
      </c>
      <c r="K642">
        <v>14</v>
      </c>
      <c r="L642">
        <v>4.5</v>
      </c>
      <c r="M642" t="b">
        <v>1</v>
      </c>
      <c r="N642" t="s">
        <v>115</v>
      </c>
    </row>
    <row r="643" spans="1:14" x14ac:dyDescent="0.25">
      <c r="A643" t="s">
        <v>696</v>
      </c>
      <c r="B643" t="s">
        <v>38</v>
      </c>
      <c r="C643" t="s">
        <v>32</v>
      </c>
      <c r="D643" t="s">
        <v>62</v>
      </c>
      <c r="E643" t="s">
        <v>55</v>
      </c>
      <c r="F643" t="s">
        <v>56</v>
      </c>
      <c r="G643">
        <v>119.56</v>
      </c>
      <c r="H643">
        <v>46.2</v>
      </c>
      <c r="I643">
        <v>64.319999999999993</v>
      </c>
      <c r="J643" s="1">
        <v>45875</v>
      </c>
      <c r="K643">
        <v>14</v>
      </c>
      <c r="M643" t="b">
        <v>0</v>
      </c>
    </row>
    <row r="644" spans="1:14" x14ac:dyDescent="0.25">
      <c r="A644" t="s">
        <v>697</v>
      </c>
      <c r="B644" t="s">
        <v>42</v>
      </c>
      <c r="C644" t="s">
        <v>43</v>
      </c>
      <c r="D644" t="s">
        <v>23</v>
      </c>
      <c r="E644" t="s">
        <v>39</v>
      </c>
      <c r="F644" t="s">
        <v>44</v>
      </c>
      <c r="G644">
        <v>144.43</v>
      </c>
      <c r="H644">
        <v>0</v>
      </c>
      <c r="I644">
        <v>144.43</v>
      </c>
      <c r="J644" s="1">
        <v>45875</v>
      </c>
      <c r="K644">
        <v>41</v>
      </c>
      <c r="L644">
        <v>3.6</v>
      </c>
      <c r="M644" t="b">
        <v>0</v>
      </c>
    </row>
    <row r="645" spans="1:14" x14ac:dyDescent="0.25">
      <c r="A645" t="s">
        <v>698</v>
      </c>
      <c r="B645" t="s">
        <v>15</v>
      </c>
      <c r="C645" t="s">
        <v>43</v>
      </c>
      <c r="D645" t="s">
        <v>17</v>
      </c>
      <c r="E645" t="s">
        <v>39</v>
      </c>
      <c r="F645" t="s">
        <v>66</v>
      </c>
      <c r="G645">
        <v>172.93</v>
      </c>
      <c r="H645">
        <v>0</v>
      </c>
      <c r="I645">
        <v>172.93</v>
      </c>
      <c r="J645" s="1">
        <v>45759</v>
      </c>
      <c r="K645">
        <v>43</v>
      </c>
      <c r="L645">
        <v>4.7</v>
      </c>
      <c r="M645" t="b">
        <v>1</v>
      </c>
      <c r="N645" t="s">
        <v>83</v>
      </c>
    </row>
    <row r="646" spans="1:14" x14ac:dyDescent="0.25">
      <c r="A646" t="s">
        <v>699</v>
      </c>
      <c r="B646" t="s">
        <v>15</v>
      </c>
      <c r="C646" t="s">
        <v>61</v>
      </c>
      <c r="D646" t="s">
        <v>23</v>
      </c>
      <c r="E646" t="s">
        <v>18</v>
      </c>
      <c r="F646" t="s">
        <v>56</v>
      </c>
      <c r="G646">
        <v>191.95</v>
      </c>
      <c r="H646">
        <v>40.4</v>
      </c>
      <c r="I646">
        <v>114.4</v>
      </c>
      <c r="J646" s="1">
        <v>45875</v>
      </c>
      <c r="K646">
        <v>21</v>
      </c>
      <c r="L646">
        <v>2.9</v>
      </c>
      <c r="M646" t="b">
        <v>0</v>
      </c>
    </row>
    <row r="647" spans="1:14" x14ac:dyDescent="0.25">
      <c r="A647" t="s">
        <v>700</v>
      </c>
      <c r="B647" t="s">
        <v>42</v>
      </c>
      <c r="C647" t="s">
        <v>48</v>
      </c>
      <c r="D647" t="s">
        <v>23</v>
      </c>
      <c r="E647" t="s">
        <v>58</v>
      </c>
      <c r="F647" t="s">
        <v>28</v>
      </c>
      <c r="G647">
        <v>128.56</v>
      </c>
      <c r="H647">
        <v>0</v>
      </c>
      <c r="I647">
        <v>128.56</v>
      </c>
      <c r="J647" s="1">
        <v>45875</v>
      </c>
      <c r="K647">
        <v>45</v>
      </c>
      <c r="L647">
        <v>2.4</v>
      </c>
      <c r="M647" t="b">
        <v>0</v>
      </c>
    </row>
    <row r="648" spans="1:14" x14ac:dyDescent="0.25">
      <c r="A648" t="s">
        <v>701</v>
      </c>
      <c r="B648" t="s">
        <v>42</v>
      </c>
      <c r="C648" t="s">
        <v>48</v>
      </c>
      <c r="D648" t="s">
        <v>62</v>
      </c>
      <c r="E648" t="s">
        <v>24</v>
      </c>
      <c r="F648" t="s">
        <v>35</v>
      </c>
      <c r="G648">
        <v>123.08</v>
      </c>
      <c r="H648">
        <v>53</v>
      </c>
      <c r="I648">
        <v>57.85</v>
      </c>
      <c r="J648" s="1">
        <v>45875</v>
      </c>
      <c r="K648">
        <v>38</v>
      </c>
      <c r="L648">
        <v>2.5</v>
      </c>
      <c r="M648" t="b">
        <v>0</v>
      </c>
    </row>
    <row r="649" spans="1:14" x14ac:dyDescent="0.25">
      <c r="A649" t="s">
        <v>702</v>
      </c>
      <c r="B649" t="s">
        <v>15</v>
      </c>
      <c r="C649" t="s">
        <v>53</v>
      </c>
      <c r="D649" t="s">
        <v>17</v>
      </c>
      <c r="E649" t="s">
        <v>39</v>
      </c>
      <c r="F649" t="s">
        <v>66</v>
      </c>
      <c r="G649">
        <v>119.78</v>
      </c>
      <c r="H649">
        <v>0</v>
      </c>
      <c r="I649">
        <v>119.78</v>
      </c>
      <c r="J649" s="1">
        <v>45751</v>
      </c>
      <c r="K649">
        <v>22</v>
      </c>
      <c r="L649">
        <v>1.5</v>
      </c>
      <c r="M649" t="b">
        <v>1</v>
      </c>
      <c r="N649" t="s">
        <v>36</v>
      </c>
    </row>
    <row r="650" spans="1:14" x14ac:dyDescent="0.25">
      <c r="A650" t="s">
        <v>703</v>
      </c>
      <c r="B650" t="s">
        <v>38</v>
      </c>
      <c r="C650" t="s">
        <v>32</v>
      </c>
      <c r="D650" t="s">
        <v>62</v>
      </c>
      <c r="E650" t="s">
        <v>55</v>
      </c>
      <c r="F650" t="s">
        <v>35</v>
      </c>
      <c r="G650">
        <v>110.6</v>
      </c>
      <c r="H650">
        <v>0</v>
      </c>
      <c r="I650">
        <v>110.6</v>
      </c>
      <c r="J650" s="1">
        <v>45875</v>
      </c>
      <c r="K650">
        <v>19</v>
      </c>
      <c r="M650" t="b">
        <v>1</v>
      </c>
      <c r="N650" t="s">
        <v>36</v>
      </c>
    </row>
    <row r="651" spans="1:14" x14ac:dyDescent="0.25">
      <c r="A651" t="s">
        <v>704</v>
      </c>
      <c r="B651" t="s">
        <v>21</v>
      </c>
      <c r="C651" t="s">
        <v>16</v>
      </c>
      <c r="D651" t="s">
        <v>17</v>
      </c>
      <c r="E651" t="s">
        <v>39</v>
      </c>
      <c r="F651" t="s">
        <v>66</v>
      </c>
      <c r="G651">
        <v>58.16</v>
      </c>
      <c r="H651">
        <v>0</v>
      </c>
      <c r="I651">
        <v>58.16</v>
      </c>
      <c r="J651" s="1">
        <v>45840</v>
      </c>
      <c r="K651">
        <v>29</v>
      </c>
      <c r="L651">
        <v>4.0999999999999996</v>
      </c>
      <c r="M651" t="b">
        <v>0</v>
      </c>
    </row>
    <row r="652" spans="1:14" x14ac:dyDescent="0.25">
      <c r="A652" t="s">
        <v>705</v>
      </c>
      <c r="B652" t="s">
        <v>15</v>
      </c>
      <c r="C652" t="s">
        <v>43</v>
      </c>
      <c r="D652" t="s">
        <v>34</v>
      </c>
      <c r="E652" t="s">
        <v>39</v>
      </c>
      <c r="F652" t="s">
        <v>46</v>
      </c>
      <c r="G652">
        <v>208.82</v>
      </c>
      <c r="H652">
        <v>0</v>
      </c>
      <c r="I652">
        <v>208.82</v>
      </c>
      <c r="J652" s="1">
        <v>45875</v>
      </c>
      <c r="K652">
        <v>45</v>
      </c>
      <c r="L652">
        <v>1.8</v>
      </c>
      <c r="M652" t="b">
        <v>0</v>
      </c>
    </row>
    <row r="653" spans="1:14" x14ac:dyDescent="0.25">
      <c r="A653" t="s">
        <v>706</v>
      </c>
      <c r="B653" t="s">
        <v>30</v>
      </c>
      <c r="C653" t="s">
        <v>53</v>
      </c>
      <c r="D653" t="s">
        <v>23</v>
      </c>
      <c r="E653" t="s">
        <v>58</v>
      </c>
      <c r="F653" t="s">
        <v>28</v>
      </c>
      <c r="G653">
        <v>192.74</v>
      </c>
      <c r="H653">
        <v>0</v>
      </c>
      <c r="I653">
        <v>192.74</v>
      </c>
      <c r="J653" s="1">
        <v>45875</v>
      </c>
      <c r="K653">
        <v>43</v>
      </c>
      <c r="L653">
        <v>4.3</v>
      </c>
      <c r="M653" t="b">
        <v>0</v>
      </c>
    </row>
    <row r="654" spans="1:14" x14ac:dyDescent="0.25">
      <c r="A654" t="s">
        <v>707</v>
      </c>
      <c r="B654" t="s">
        <v>27</v>
      </c>
      <c r="C654" t="s">
        <v>61</v>
      </c>
      <c r="D654" t="s">
        <v>34</v>
      </c>
      <c r="F654" t="s">
        <v>19</v>
      </c>
      <c r="G654">
        <v>71.819999999999993</v>
      </c>
      <c r="H654">
        <v>18.399999999999999</v>
      </c>
      <c r="I654">
        <v>58.61</v>
      </c>
      <c r="J654" s="1">
        <v>45875</v>
      </c>
      <c r="K654">
        <v>50</v>
      </c>
      <c r="L654">
        <v>1.9</v>
      </c>
      <c r="M654" t="b">
        <v>0</v>
      </c>
    </row>
    <row r="655" spans="1:14" x14ac:dyDescent="0.25">
      <c r="A655" t="s">
        <v>708</v>
      </c>
      <c r="B655" t="s">
        <v>30</v>
      </c>
      <c r="C655" t="s">
        <v>16</v>
      </c>
      <c r="D655" t="s">
        <v>62</v>
      </c>
      <c r="E655" t="s">
        <v>55</v>
      </c>
      <c r="F655" t="s">
        <v>19</v>
      </c>
      <c r="G655">
        <v>145.4</v>
      </c>
      <c r="H655">
        <v>0</v>
      </c>
      <c r="I655">
        <v>145.4</v>
      </c>
      <c r="J655" s="1">
        <v>45875</v>
      </c>
      <c r="K655">
        <v>14</v>
      </c>
      <c r="L655">
        <v>2</v>
      </c>
      <c r="M655" t="b">
        <v>0</v>
      </c>
    </row>
    <row r="656" spans="1:14" x14ac:dyDescent="0.25">
      <c r="A656" t="s">
        <v>709</v>
      </c>
      <c r="B656" t="s">
        <v>38</v>
      </c>
      <c r="C656" t="s">
        <v>43</v>
      </c>
      <c r="D656" t="s">
        <v>62</v>
      </c>
      <c r="E656" t="s">
        <v>49</v>
      </c>
      <c r="F656" t="s">
        <v>70</v>
      </c>
      <c r="G656">
        <v>51.94</v>
      </c>
      <c r="H656">
        <v>0</v>
      </c>
      <c r="I656">
        <v>51.94</v>
      </c>
      <c r="J656" s="1">
        <v>45875</v>
      </c>
      <c r="K656">
        <v>9</v>
      </c>
      <c r="L656">
        <v>3.2</v>
      </c>
      <c r="M656" t="b">
        <v>0</v>
      </c>
    </row>
    <row r="657" spans="1:14" x14ac:dyDescent="0.25">
      <c r="A657" t="s">
        <v>710</v>
      </c>
      <c r="B657" t="s">
        <v>27</v>
      </c>
      <c r="C657" t="s">
        <v>53</v>
      </c>
      <c r="D657" t="s">
        <v>17</v>
      </c>
      <c r="F657" t="s">
        <v>28</v>
      </c>
      <c r="G657">
        <v>77.48</v>
      </c>
      <c r="H657">
        <v>0</v>
      </c>
      <c r="I657">
        <v>77.48</v>
      </c>
      <c r="J657" s="1">
        <v>45572</v>
      </c>
      <c r="K657">
        <v>49</v>
      </c>
      <c r="L657">
        <v>3.3</v>
      </c>
      <c r="M657" t="b">
        <v>1</v>
      </c>
      <c r="N657" t="s">
        <v>83</v>
      </c>
    </row>
    <row r="658" spans="1:14" x14ac:dyDescent="0.25">
      <c r="A658" t="s">
        <v>711</v>
      </c>
      <c r="B658" t="s">
        <v>42</v>
      </c>
      <c r="C658" t="s">
        <v>43</v>
      </c>
      <c r="D658" t="s">
        <v>62</v>
      </c>
      <c r="E658" t="s">
        <v>24</v>
      </c>
      <c r="F658" t="s">
        <v>28</v>
      </c>
      <c r="G658">
        <v>59.66</v>
      </c>
      <c r="H658">
        <v>45.2</v>
      </c>
      <c r="I658">
        <v>32.69</v>
      </c>
      <c r="J658" s="1">
        <v>45875</v>
      </c>
      <c r="K658">
        <v>14</v>
      </c>
      <c r="L658">
        <v>2.6</v>
      </c>
      <c r="M658" t="b">
        <v>0</v>
      </c>
    </row>
    <row r="659" spans="1:14" x14ac:dyDescent="0.25">
      <c r="A659" t="s">
        <v>712</v>
      </c>
      <c r="B659" t="s">
        <v>38</v>
      </c>
      <c r="C659" t="s">
        <v>22</v>
      </c>
      <c r="D659" t="s">
        <v>62</v>
      </c>
      <c r="E659" t="s">
        <v>39</v>
      </c>
      <c r="F659" t="s">
        <v>19</v>
      </c>
      <c r="G659">
        <v>102.07</v>
      </c>
      <c r="H659">
        <v>0</v>
      </c>
      <c r="I659">
        <v>102.07</v>
      </c>
      <c r="J659" s="1">
        <v>45875</v>
      </c>
      <c r="K659">
        <v>26</v>
      </c>
      <c r="M659" t="b">
        <v>1</v>
      </c>
      <c r="N659" t="s">
        <v>36</v>
      </c>
    </row>
    <row r="660" spans="1:14" x14ac:dyDescent="0.25">
      <c r="A660" t="s">
        <v>713</v>
      </c>
      <c r="B660" t="s">
        <v>27</v>
      </c>
      <c r="C660" t="s">
        <v>32</v>
      </c>
      <c r="D660" t="s">
        <v>17</v>
      </c>
      <c r="F660" t="s">
        <v>40</v>
      </c>
      <c r="G660">
        <v>48.57</v>
      </c>
      <c r="H660">
        <v>0</v>
      </c>
      <c r="I660">
        <v>48.57</v>
      </c>
      <c r="J660" s="1">
        <v>45632</v>
      </c>
      <c r="K660">
        <v>12</v>
      </c>
      <c r="L660">
        <v>4.7</v>
      </c>
      <c r="M660" t="b">
        <v>0</v>
      </c>
    </row>
    <row r="661" spans="1:14" x14ac:dyDescent="0.25">
      <c r="A661" t="s">
        <v>714</v>
      </c>
      <c r="B661" t="s">
        <v>30</v>
      </c>
      <c r="C661" t="s">
        <v>61</v>
      </c>
      <c r="D661" t="s">
        <v>62</v>
      </c>
      <c r="E661" t="s">
        <v>58</v>
      </c>
      <c r="F661" t="s">
        <v>64</v>
      </c>
      <c r="G661">
        <v>121.55</v>
      </c>
      <c r="H661">
        <v>0</v>
      </c>
      <c r="I661">
        <v>121.55</v>
      </c>
      <c r="J661" s="1">
        <v>45875</v>
      </c>
      <c r="K661">
        <v>16</v>
      </c>
      <c r="M661" t="b">
        <v>1</v>
      </c>
      <c r="N661" t="s">
        <v>78</v>
      </c>
    </row>
    <row r="662" spans="1:14" x14ac:dyDescent="0.25">
      <c r="A662" t="s">
        <v>715</v>
      </c>
      <c r="B662" t="s">
        <v>27</v>
      </c>
      <c r="C662" t="s">
        <v>53</v>
      </c>
      <c r="D662" t="s">
        <v>23</v>
      </c>
      <c r="F662" t="s">
        <v>64</v>
      </c>
      <c r="G662">
        <v>59.22</v>
      </c>
      <c r="H662">
        <v>44.8</v>
      </c>
      <c r="I662">
        <v>32.69</v>
      </c>
      <c r="J662" s="1">
        <v>45875</v>
      </c>
      <c r="K662">
        <v>21</v>
      </c>
      <c r="L662">
        <v>2</v>
      </c>
      <c r="M662" t="b">
        <v>0</v>
      </c>
    </row>
    <row r="663" spans="1:14" x14ac:dyDescent="0.25">
      <c r="A663" t="s">
        <v>716</v>
      </c>
      <c r="B663" t="s">
        <v>21</v>
      </c>
      <c r="C663" t="s">
        <v>53</v>
      </c>
      <c r="D663" t="s">
        <v>17</v>
      </c>
      <c r="E663" t="s">
        <v>55</v>
      </c>
      <c r="F663" t="s">
        <v>56</v>
      </c>
      <c r="G663">
        <v>58.5</v>
      </c>
      <c r="H663">
        <v>2.1</v>
      </c>
      <c r="I663">
        <v>57.27</v>
      </c>
      <c r="J663" s="1">
        <v>45800</v>
      </c>
      <c r="K663">
        <v>24</v>
      </c>
      <c r="L663">
        <v>3.9</v>
      </c>
      <c r="M663" t="b">
        <v>0</v>
      </c>
    </row>
    <row r="664" spans="1:14" x14ac:dyDescent="0.25">
      <c r="A664" t="s">
        <v>717</v>
      </c>
      <c r="B664" t="s">
        <v>27</v>
      </c>
      <c r="C664" t="s">
        <v>75</v>
      </c>
      <c r="D664" t="s">
        <v>34</v>
      </c>
      <c r="F664" t="s">
        <v>46</v>
      </c>
      <c r="G664">
        <v>73.849999999999994</v>
      </c>
      <c r="H664">
        <v>0</v>
      </c>
      <c r="I664">
        <v>73.849999999999994</v>
      </c>
      <c r="J664" s="1">
        <v>45875</v>
      </c>
      <c r="K664">
        <v>46</v>
      </c>
      <c r="L664">
        <v>2</v>
      </c>
      <c r="M664" t="b">
        <v>0</v>
      </c>
    </row>
    <row r="665" spans="1:14" x14ac:dyDescent="0.25">
      <c r="A665" t="s">
        <v>718</v>
      </c>
      <c r="B665" t="s">
        <v>38</v>
      </c>
      <c r="C665" t="s">
        <v>48</v>
      </c>
      <c r="D665" t="s">
        <v>62</v>
      </c>
      <c r="E665" t="s">
        <v>49</v>
      </c>
      <c r="F665" t="s">
        <v>19</v>
      </c>
      <c r="G665">
        <v>114.32</v>
      </c>
      <c r="H665">
        <v>36.5</v>
      </c>
      <c r="I665">
        <v>72.59</v>
      </c>
      <c r="J665" s="1">
        <v>45875</v>
      </c>
      <c r="K665">
        <v>41</v>
      </c>
      <c r="L665">
        <v>4.0999999999999996</v>
      </c>
      <c r="M665" t="b">
        <v>0</v>
      </c>
    </row>
    <row r="666" spans="1:14" x14ac:dyDescent="0.25">
      <c r="A666" t="s">
        <v>719</v>
      </c>
      <c r="B666" t="s">
        <v>38</v>
      </c>
      <c r="C666" t="s">
        <v>75</v>
      </c>
      <c r="D666" t="s">
        <v>62</v>
      </c>
      <c r="E666" t="s">
        <v>55</v>
      </c>
      <c r="F666" t="s">
        <v>40</v>
      </c>
      <c r="G666">
        <v>91.4</v>
      </c>
      <c r="H666">
        <v>11</v>
      </c>
      <c r="I666">
        <v>81.349999999999994</v>
      </c>
      <c r="J666" s="1">
        <v>45875</v>
      </c>
      <c r="K666">
        <v>18</v>
      </c>
      <c r="L666">
        <v>1.6</v>
      </c>
      <c r="M666" t="b">
        <v>0</v>
      </c>
    </row>
    <row r="667" spans="1:14" x14ac:dyDescent="0.25">
      <c r="A667" t="s">
        <v>720</v>
      </c>
      <c r="B667" t="s">
        <v>27</v>
      </c>
      <c r="C667" t="s">
        <v>75</v>
      </c>
      <c r="D667" t="s">
        <v>23</v>
      </c>
      <c r="F667" t="s">
        <v>64</v>
      </c>
      <c r="G667">
        <v>69.77</v>
      </c>
      <c r="H667">
        <v>0</v>
      </c>
      <c r="I667">
        <v>69.77</v>
      </c>
      <c r="J667" s="1">
        <v>45875</v>
      </c>
      <c r="K667">
        <v>30</v>
      </c>
      <c r="M667" t="b">
        <v>1</v>
      </c>
      <c r="N667" t="s">
        <v>36</v>
      </c>
    </row>
    <row r="668" spans="1:14" x14ac:dyDescent="0.25">
      <c r="A668" t="s">
        <v>721</v>
      </c>
      <c r="B668" t="s">
        <v>21</v>
      </c>
      <c r="C668" t="s">
        <v>48</v>
      </c>
      <c r="D668" t="s">
        <v>62</v>
      </c>
      <c r="E668" t="s">
        <v>24</v>
      </c>
      <c r="F668" t="s">
        <v>28</v>
      </c>
      <c r="G668">
        <v>72.95</v>
      </c>
      <c r="H668">
        <v>0</v>
      </c>
      <c r="I668">
        <v>72.95</v>
      </c>
      <c r="J668" s="1">
        <v>45875</v>
      </c>
      <c r="K668">
        <v>27</v>
      </c>
      <c r="L668">
        <v>4.8</v>
      </c>
      <c r="M668" t="b">
        <v>0</v>
      </c>
    </row>
    <row r="669" spans="1:14" x14ac:dyDescent="0.25">
      <c r="A669" t="s">
        <v>722</v>
      </c>
      <c r="B669" t="s">
        <v>38</v>
      </c>
      <c r="C669" t="s">
        <v>53</v>
      </c>
      <c r="D669" t="s">
        <v>62</v>
      </c>
      <c r="E669" t="s">
        <v>18</v>
      </c>
      <c r="F669" t="s">
        <v>56</v>
      </c>
      <c r="G669">
        <v>63.99</v>
      </c>
      <c r="H669">
        <v>42.2</v>
      </c>
      <c r="I669">
        <v>36.99</v>
      </c>
      <c r="J669" s="1">
        <v>45875</v>
      </c>
      <c r="K669">
        <v>35</v>
      </c>
      <c r="L669">
        <v>3.2</v>
      </c>
      <c r="M669" t="b">
        <v>0</v>
      </c>
    </row>
    <row r="670" spans="1:14" x14ac:dyDescent="0.25">
      <c r="A670" t="s">
        <v>723</v>
      </c>
      <c r="B670" t="s">
        <v>42</v>
      </c>
      <c r="C670" t="s">
        <v>32</v>
      </c>
      <c r="D670" t="s">
        <v>62</v>
      </c>
      <c r="E670" t="s">
        <v>18</v>
      </c>
      <c r="F670" t="s">
        <v>44</v>
      </c>
      <c r="G670">
        <v>74.84</v>
      </c>
      <c r="H670">
        <v>51.9</v>
      </c>
      <c r="I670">
        <v>36</v>
      </c>
      <c r="J670" s="1">
        <v>45875</v>
      </c>
      <c r="K670">
        <v>35</v>
      </c>
      <c r="L670">
        <v>2.5</v>
      </c>
      <c r="M670" t="b">
        <v>0</v>
      </c>
    </row>
    <row r="671" spans="1:14" x14ac:dyDescent="0.25">
      <c r="A671" t="s">
        <v>724</v>
      </c>
      <c r="B671" t="s">
        <v>15</v>
      </c>
      <c r="C671" t="s">
        <v>48</v>
      </c>
      <c r="D671" t="s">
        <v>17</v>
      </c>
      <c r="E671" t="s">
        <v>55</v>
      </c>
      <c r="F671" t="s">
        <v>28</v>
      </c>
      <c r="G671">
        <v>158.84</v>
      </c>
      <c r="H671">
        <v>0</v>
      </c>
      <c r="I671">
        <v>158.84</v>
      </c>
      <c r="J671" s="1">
        <v>45763</v>
      </c>
      <c r="K671">
        <v>30</v>
      </c>
      <c r="L671">
        <v>4.5999999999999996</v>
      </c>
      <c r="M671" t="b">
        <v>0</v>
      </c>
    </row>
    <row r="672" spans="1:14" x14ac:dyDescent="0.25">
      <c r="A672" t="s">
        <v>725</v>
      </c>
      <c r="B672" t="s">
        <v>30</v>
      </c>
      <c r="C672" t="s">
        <v>43</v>
      </c>
      <c r="D672" t="s">
        <v>17</v>
      </c>
      <c r="E672" t="s">
        <v>58</v>
      </c>
      <c r="F672" t="s">
        <v>70</v>
      </c>
      <c r="G672">
        <v>96.36</v>
      </c>
      <c r="H672">
        <v>58.6</v>
      </c>
      <c r="I672">
        <v>39.89</v>
      </c>
      <c r="J672" s="1">
        <v>45698</v>
      </c>
      <c r="K672">
        <v>16</v>
      </c>
      <c r="L672">
        <v>3.9</v>
      </c>
      <c r="M672" t="b">
        <v>0</v>
      </c>
    </row>
    <row r="673" spans="1:14" x14ac:dyDescent="0.25">
      <c r="A673" t="s">
        <v>726</v>
      </c>
      <c r="B673" t="s">
        <v>38</v>
      </c>
      <c r="C673" t="s">
        <v>48</v>
      </c>
      <c r="D673" t="s">
        <v>17</v>
      </c>
      <c r="E673" t="s">
        <v>55</v>
      </c>
      <c r="F673" t="s">
        <v>66</v>
      </c>
      <c r="G673">
        <v>51.06</v>
      </c>
      <c r="H673">
        <v>13.9</v>
      </c>
      <c r="I673">
        <v>43.96</v>
      </c>
      <c r="J673" s="1">
        <v>45520</v>
      </c>
      <c r="K673">
        <v>16</v>
      </c>
      <c r="L673">
        <v>1.3</v>
      </c>
      <c r="M673" t="b">
        <v>0</v>
      </c>
    </row>
    <row r="674" spans="1:14" x14ac:dyDescent="0.25">
      <c r="A674" t="s">
        <v>727</v>
      </c>
      <c r="B674" t="s">
        <v>38</v>
      </c>
      <c r="C674" t="s">
        <v>32</v>
      </c>
      <c r="D674" t="s">
        <v>62</v>
      </c>
      <c r="E674" t="s">
        <v>24</v>
      </c>
      <c r="F674" t="s">
        <v>64</v>
      </c>
      <c r="G674">
        <v>49.75</v>
      </c>
      <c r="H674">
        <v>26.4</v>
      </c>
      <c r="I674">
        <v>36.619999999999997</v>
      </c>
      <c r="J674" s="1">
        <v>45875</v>
      </c>
      <c r="K674">
        <v>24</v>
      </c>
      <c r="L674">
        <v>3.8</v>
      </c>
      <c r="M674" t="b">
        <v>0</v>
      </c>
    </row>
    <row r="675" spans="1:14" x14ac:dyDescent="0.25">
      <c r="A675" t="s">
        <v>728</v>
      </c>
      <c r="B675" t="s">
        <v>42</v>
      </c>
      <c r="C675" t="s">
        <v>43</v>
      </c>
      <c r="D675" t="s">
        <v>17</v>
      </c>
      <c r="E675" t="s">
        <v>55</v>
      </c>
      <c r="F675" t="s">
        <v>25</v>
      </c>
      <c r="G675">
        <v>148.97999999999999</v>
      </c>
      <c r="H675">
        <v>0</v>
      </c>
      <c r="I675">
        <v>148.97999999999999</v>
      </c>
      <c r="J675" s="1">
        <v>45591</v>
      </c>
      <c r="K675">
        <v>11</v>
      </c>
      <c r="L675">
        <v>2.2000000000000002</v>
      </c>
      <c r="M675" t="b">
        <v>1</v>
      </c>
      <c r="N675" t="s">
        <v>125</v>
      </c>
    </row>
    <row r="676" spans="1:14" x14ac:dyDescent="0.25">
      <c r="A676" t="s">
        <v>729</v>
      </c>
      <c r="B676" t="s">
        <v>27</v>
      </c>
      <c r="C676" t="s">
        <v>61</v>
      </c>
      <c r="D676" t="s">
        <v>23</v>
      </c>
      <c r="F676" t="s">
        <v>40</v>
      </c>
      <c r="G676">
        <v>72.239999999999995</v>
      </c>
      <c r="H676">
        <v>0</v>
      </c>
      <c r="I676">
        <v>72.239999999999995</v>
      </c>
      <c r="J676" s="1">
        <v>45875</v>
      </c>
      <c r="K676">
        <v>35</v>
      </c>
      <c r="L676">
        <v>4.0999999999999996</v>
      </c>
      <c r="M676" t="b">
        <v>0</v>
      </c>
    </row>
    <row r="677" spans="1:14" x14ac:dyDescent="0.25">
      <c r="A677" t="s">
        <v>730</v>
      </c>
      <c r="B677" t="s">
        <v>21</v>
      </c>
      <c r="C677" t="s">
        <v>43</v>
      </c>
      <c r="D677" t="s">
        <v>23</v>
      </c>
      <c r="E677" t="s">
        <v>55</v>
      </c>
      <c r="F677" t="s">
        <v>44</v>
      </c>
      <c r="G677">
        <v>94.92</v>
      </c>
      <c r="H677">
        <v>0</v>
      </c>
      <c r="I677">
        <v>94.92</v>
      </c>
      <c r="J677" s="1">
        <v>45875</v>
      </c>
      <c r="K677">
        <v>5</v>
      </c>
      <c r="L677">
        <v>3.3</v>
      </c>
      <c r="M677" t="b">
        <v>0</v>
      </c>
    </row>
    <row r="678" spans="1:14" x14ac:dyDescent="0.25">
      <c r="A678" t="s">
        <v>731</v>
      </c>
      <c r="B678" t="s">
        <v>15</v>
      </c>
      <c r="C678" t="s">
        <v>32</v>
      </c>
      <c r="D678" t="s">
        <v>34</v>
      </c>
      <c r="E678" t="s">
        <v>49</v>
      </c>
      <c r="F678" t="s">
        <v>70</v>
      </c>
      <c r="G678">
        <v>91.08</v>
      </c>
      <c r="H678">
        <v>0</v>
      </c>
      <c r="I678">
        <v>91.08</v>
      </c>
      <c r="J678" s="1">
        <v>45875</v>
      </c>
      <c r="K678">
        <v>47</v>
      </c>
      <c r="L678">
        <v>4.9000000000000004</v>
      </c>
      <c r="M678" t="b">
        <v>0</v>
      </c>
    </row>
    <row r="679" spans="1:14" x14ac:dyDescent="0.25">
      <c r="A679" t="s">
        <v>732</v>
      </c>
      <c r="B679" t="s">
        <v>27</v>
      </c>
      <c r="C679" t="s">
        <v>32</v>
      </c>
      <c r="D679" t="s">
        <v>34</v>
      </c>
      <c r="F679" t="s">
        <v>70</v>
      </c>
      <c r="G679">
        <v>49.72</v>
      </c>
      <c r="H679">
        <v>58.3</v>
      </c>
      <c r="I679">
        <v>20.73</v>
      </c>
      <c r="J679" s="1">
        <v>45875</v>
      </c>
      <c r="K679">
        <v>4</v>
      </c>
      <c r="L679">
        <v>1.6</v>
      </c>
      <c r="M679" t="b">
        <v>0</v>
      </c>
    </row>
    <row r="680" spans="1:14" x14ac:dyDescent="0.25">
      <c r="A680" t="s">
        <v>733</v>
      </c>
      <c r="B680" t="s">
        <v>27</v>
      </c>
      <c r="C680" t="s">
        <v>61</v>
      </c>
      <c r="D680" t="s">
        <v>23</v>
      </c>
      <c r="F680" t="s">
        <v>66</v>
      </c>
      <c r="G680">
        <v>23.09</v>
      </c>
      <c r="H680">
        <v>7.1</v>
      </c>
      <c r="I680">
        <v>21.45</v>
      </c>
      <c r="J680" s="1">
        <v>45875</v>
      </c>
      <c r="K680">
        <v>11</v>
      </c>
      <c r="L680">
        <v>1.2</v>
      </c>
      <c r="M680" t="b">
        <v>0</v>
      </c>
    </row>
    <row r="681" spans="1:14" x14ac:dyDescent="0.25">
      <c r="A681" t="s">
        <v>734</v>
      </c>
      <c r="B681" t="s">
        <v>27</v>
      </c>
      <c r="C681" t="s">
        <v>16</v>
      </c>
      <c r="D681" t="s">
        <v>17</v>
      </c>
      <c r="F681" t="s">
        <v>19</v>
      </c>
      <c r="G681">
        <v>49.95</v>
      </c>
      <c r="H681">
        <v>0</v>
      </c>
      <c r="I681">
        <v>49.95</v>
      </c>
      <c r="J681" s="1">
        <v>45552</v>
      </c>
      <c r="K681">
        <v>29</v>
      </c>
      <c r="L681">
        <v>4.3</v>
      </c>
      <c r="M681" t="b">
        <v>0</v>
      </c>
    </row>
    <row r="682" spans="1:14" x14ac:dyDescent="0.25">
      <c r="A682" t="s">
        <v>735</v>
      </c>
      <c r="B682" t="s">
        <v>27</v>
      </c>
      <c r="C682" t="s">
        <v>75</v>
      </c>
      <c r="D682" t="s">
        <v>23</v>
      </c>
      <c r="F682" t="s">
        <v>46</v>
      </c>
      <c r="G682">
        <v>25.7</v>
      </c>
      <c r="H682">
        <v>0</v>
      </c>
      <c r="I682">
        <v>25.7</v>
      </c>
      <c r="J682" s="1">
        <v>45875</v>
      </c>
      <c r="K682">
        <v>38</v>
      </c>
      <c r="L682">
        <v>3.2</v>
      </c>
      <c r="M682" t="b">
        <v>1</v>
      </c>
      <c r="N682" t="s">
        <v>83</v>
      </c>
    </row>
    <row r="683" spans="1:14" x14ac:dyDescent="0.25">
      <c r="A683" t="s">
        <v>736</v>
      </c>
      <c r="B683" t="s">
        <v>30</v>
      </c>
      <c r="C683" t="s">
        <v>43</v>
      </c>
      <c r="D683" t="s">
        <v>62</v>
      </c>
      <c r="E683" t="s">
        <v>55</v>
      </c>
      <c r="F683" t="s">
        <v>46</v>
      </c>
      <c r="G683">
        <v>175.22</v>
      </c>
      <c r="H683">
        <v>0</v>
      </c>
      <c r="I683">
        <v>175.22</v>
      </c>
      <c r="J683" s="1">
        <v>45875</v>
      </c>
      <c r="K683">
        <v>8</v>
      </c>
      <c r="L683">
        <v>4.9000000000000004</v>
      </c>
      <c r="M683" t="b">
        <v>0</v>
      </c>
    </row>
    <row r="684" spans="1:14" x14ac:dyDescent="0.25">
      <c r="A684" t="s">
        <v>737</v>
      </c>
      <c r="B684" t="s">
        <v>38</v>
      </c>
      <c r="C684" t="s">
        <v>53</v>
      </c>
      <c r="D684" t="s">
        <v>62</v>
      </c>
      <c r="E684" t="s">
        <v>55</v>
      </c>
      <c r="F684" t="s">
        <v>40</v>
      </c>
      <c r="G684">
        <v>37.57</v>
      </c>
      <c r="H684">
        <v>0</v>
      </c>
      <c r="I684">
        <v>37.57</v>
      </c>
      <c r="J684" s="1">
        <v>45875</v>
      </c>
      <c r="K684">
        <v>18</v>
      </c>
      <c r="L684">
        <v>1.9</v>
      </c>
      <c r="M684" t="b">
        <v>0</v>
      </c>
    </row>
    <row r="685" spans="1:14" x14ac:dyDescent="0.25">
      <c r="A685" t="s">
        <v>738</v>
      </c>
      <c r="B685" t="s">
        <v>15</v>
      </c>
      <c r="C685" t="s">
        <v>16</v>
      </c>
      <c r="D685" t="s">
        <v>17</v>
      </c>
      <c r="E685" t="s">
        <v>58</v>
      </c>
      <c r="F685" t="s">
        <v>46</v>
      </c>
      <c r="G685">
        <v>245.87</v>
      </c>
      <c r="H685">
        <v>0</v>
      </c>
      <c r="I685">
        <v>245.87</v>
      </c>
      <c r="J685" s="1">
        <v>45832</v>
      </c>
      <c r="K685">
        <v>27</v>
      </c>
      <c r="L685">
        <v>2.6</v>
      </c>
      <c r="M685" t="b">
        <v>0</v>
      </c>
    </row>
    <row r="686" spans="1:14" x14ac:dyDescent="0.25">
      <c r="A686" t="s">
        <v>739</v>
      </c>
      <c r="B686" t="s">
        <v>38</v>
      </c>
      <c r="C686" t="s">
        <v>32</v>
      </c>
      <c r="D686" t="s">
        <v>23</v>
      </c>
      <c r="E686" t="s">
        <v>55</v>
      </c>
      <c r="F686" t="s">
        <v>19</v>
      </c>
      <c r="G686">
        <v>116.92</v>
      </c>
      <c r="H686">
        <v>0</v>
      </c>
      <c r="I686">
        <v>116.92</v>
      </c>
      <c r="J686" s="1">
        <v>45875</v>
      </c>
      <c r="K686">
        <v>13</v>
      </c>
      <c r="L686">
        <v>3.2</v>
      </c>
      <c r="M686" t="b">
        <v>0</v>
      </c>
    </row>
    <row r="687" spans="1:14" x14ac:dyDescent="0.25">
      <c r="A687" t="s">
        <v>740</v>
      </c>
      <c r="B687" t="s">
        <v>42</v>
      </c>
      <c r="C687" t="s">
        <v>53</v>
      </c>
      <c r="D687" t="s">
        <v>23</v>
      </c>
      <c r="E687" t="s">
        <v>24</v>
      </c>
      <c r="F687" t="s">
        <v>25</v>
      </c>
      <c r="G687">
        <v>103.11</v>
      </c>
      <c r="H687">
        <v>0</v>
      </c>
      <c r="I687">
        <v>103.11</v>
      </c>
      <c r="J687" s="1">
        <v>45875</v>
      </c>
      <c r="K687">
        <v>17</v>
      </c>
      <c r="M687" t="b">
        <v>0</v>
      </c>
    </row>
    <row r="688" spans="1:14" x14ac:dyDescent="0.25">
      <c r="A688" t="s">
        <v>741</v>
      </c>
      <c r="B688" t="s">
        <v>15</v>
      </c>
      <c r="C688" t="s">
        <v>22</v>
      </c>
      <c r="D688" t="s">
        <v>34</v>
      </c>
      <c r="E688" t="s">
        <v>58</v>
      </c>
      <c r="F688" t="s">
        <v>66</v>
      </c>
      <c r="G688">
        <v>238.89</v>
      </c>
      <c r="H688">
        <v>0.5</v>
      </c>
      <c r="I688">
        <v>237.7</v>
      </c>
      <c r="J688" s="1">
        <v>45875</v>
      </c>
      <c r="K688">
        <v>28</v>
      </c>
      <c r="L688">
        <v>2.7</v>
      </c>
      <c r="M688" t="b">
        <v>0</v>
      </c>
    </row>
    <row r="689" spans="1:14" x14ac:dyDescent="0.25">
      <c r="A689" t="s">
        <v>742</v>
      </c>
      <c r="B689" t="s">
        <v>30</v>
      </c>
      <c r="C689" t="s">
        <v>22</v>
      </c>
      <c r="D689" t="s">
        <v>62</v>
      </c>
      <c r="E689" t="s">
        <v>55</v>
      </c>
      <c r="F689" t="s">
        <v>25</v>
      </c>
      <c r="G689">
        <v>86.81</v>
      </c>
      <c r="H689">
        <v>12.6</v>
      </c>
      <c r="I689">
        <v>75.87</v>
      </c>
      <c r="J689" s="1">
        <v>45875</v>
      </c>
      <c r="K689">
        <v>6</v>
      </c>
      <c r="L689">
        <v>1.7</v>
      </c>
      <c r="M689" t="b">
        <v>0</v>
      </c>
    </row>
    <row r="690" spans="1:14" x14ac:dyDescent="0.25">
      <c r="A690" t="s">
        <v>743</v>
      </c>
      <c r="B690" t="s">
        <v>38</v>
      </c>
      <c r="C690" t="s">
        <v>43</v>
      </c>
      <c r="D690" t="s">
        <v>62</v>
      </c>
      <c r="E690" t="s">
        <v>55</v>
      </c>
      <c r="F690" t="s">
        <v>44</v>
      </c>
      <c r="G690">
        <v>58.8</v>
      </c>
      <c r="H690">
        <v>11.8</v>
      </c>
      <c r="I690">
        <v>51.86</v>
      </c>
      <c r="J690" s="1">
        <v>45875</v>
      </c>
      <c r="K690">
        <v>8</v>
      </c>
      <c r="M690" t="b">
        <v>0</v>
      </c>
    </row>
    <row r="691" spans="1:14" x14ac:dyDescent="0.25">
      <c r="A691" t="s">
        <v>744</v>
      </c>
      <c r="B691" t="s">
        <v>38</v>
      </c>
      <c r="C691" t="s">
        <v>53</v>
      </c>
      <c r="D691" t="s">
        <v>17</v>
      </c>
      <c r="E691" t="s">
        <v>18</v>
      </c>
      <c r="F691" t="s">
        <v>56</v>
      </c>
      <c r="G691">
        <v>41.65</v>
      </c>
      <c r="H691">
        <v>52</v>
      </c>
      <c r="I691">
        <v>19.989999999999998</v>
      </c>
      <c r="J691" s="1">
        <v>45793</v>
      </c>
      <c r="K691">
        <v>20</v>
      </c>
      <c r="L691">
        <v>1.2</v>
      </c>
      <c r="M691" t="b">
        <v>0</v>
      </c>
    </row>
    <row r="692" spans="1:14" x14ac:dyDescent="0.25">
      <c r="A692" t="s">
        <v>745</v>
      </c>
      <c r="B692" t="s">
        <v>21</v>
      </c>
      <c r="C692" t="s">
        <v>48</v>
      </c>
      <c r="D692" t="s">
        <v>17</v>
      </c>
      <c r="E692" t="s">
        <v>18</v>
      </c>
      <c r="F692" t="s">
        <v>28</v>
      </c>
      <c r="G692">
        <v>61.67</v>
      </c>
      <c r="H692">
        <v>46.4</v>
      </c>
      <c r="I692">
        <v>33.06</v>
      </c>
      <c r="J692" s="1">
        <v>45853</v>
      </c>
      <c r="K692">
        <v>50</v>
      </c>
      <c r="L692">
        <v>2.7</v>
      </c>
      <c r="M692" t="b">
        <v>0</v>
      </c>
    </row>
    <row r="693" spans="1:14" x14ac:dyDescent="0.25">
      <c r="A693" t="s">
        <v>746</v>
      </c>
      <c r="B693" t="s">
        <v>38</v>
      </c>
      <c r="C693" t="s">
        <v>48</v>
      </c>
      <c r="D693" t="s">
        <v>34</v>
      </c>
      <c r="E693" t="s">
        <v>55</v>
      </c>
      <c r="F693" t="s">
        <v>28</v>
      </c>
      <c r="G693">
        <v>40.39</v>
      </c>
      <c r="H693">
        <v>0</v>
      </c>
      <c r="I693">
        <v>40.39</v>
      </c>
      <c r="J693" s="1">
        <v>45875</v>
      </c>
      <c r="K693">
        <v>16</v>
      </c>
      <c r="M693" t="b">
        <v>0</v>
      </c>
    </row>
    <row r="694" spans="1:14" x14ac:dyDescent="0.25">
      <c r="A694" t="s">
        <v>747</v>
      </c>
      <c r="B694" t="s">
        <v>21</v>
      </c>
      <c r="C694" t="s">
        <v>53</v>
      </c>
      <c r="D694" t="s">
        <v>34</v>
      </c>
      <c r="E694" t="s">
        <v>49</v>
      </c>
      <c r="F694" t="s">
        <v>66</v>
      </c>
      <c r="G694">
        <v>95.13</v>
      </c>
      <c r="H694">
        <v>45.4</v>
      </c>
      <c r="I694">
        <v>51.94</v>
      </c>
      <c r="J694" s="1">
        <v>45875</v>
      </c>
      <c r="K694">
        <v>46</v>
      </c>
      <c r="L694">
        <v>2.5</v>
      </c>
      <c r="M694" t="b">
        <v>0</v>
      </c>
    </row>
    <row r="695" spans="1:14" x14ac:dyDescent="0.25">
      <c r="A695" t="s">
        <v>748</v>
      </c>
      <c r="B695" t="s">
        <v>38</v>
      </c>
      <c r="C695" t="s">
        <v>16</v>
      </c>
      <c r="D695" t="s">
        <v>34</v>
      </c>
      <c r="E695" t="s">
        <v>39</v>
      </c>
      <c r="F695" t="s">
        <v>46</v>
      </c>
      <c r="G695">
        <v>115.14</v>
      </c>
      <c r="H695">
        <v>0</v>
      </c>
      <c r="I695">
        <v>115.14</v>
      </c>
      <c r="J695" s="1">
        <v>45875</v>
      </c>
      <c r="K695">
        <v>43</v>
      </c>
      <c r="L695">
        <v>2.5</v>
      </c>
      <c r="M695" t="b">
        <v>0</v>
      </c>
    </row>
    <row r="696" spans="1:14" x14ac:dyDescent="0.25">
      <c r="A696" t="s">
        <v>749</v>
      </c>
      <c r="B696" t="s">
        <v>21</v>
      </c>
      <c r="C696" t="s">
        <v>48</v>
      </c>
      <c r="D696" t="s">
        <v>62</v>
      </c>
      <c r="F696" t="s">
        <v>56</v>
      </c>
      <c r="G696">
        <v>59.58</v>
      </c>
      <c r="H696">
        <v>0</v>
      </c>
      <c r="I696">
        <v>59.58</v>
      </c>
      <c r="J696" s="1">
        <v>45875</v>
      </c>
      <c r="K696">
        <v>27</v>
      </c>
      <c r="L696">
        <v>3.3</v>
      </c>
      <c r="M696" t="b">
        <v>0</v>
      </c>
    </row>
    <row r="697" spans="1:14" x14ac:dyDescent="0.25">
      <c r="A697" t="s">
        <v>750</v>
      </c>
      <c r="B697" t="s">
        <v>30</v>
      </c>
      <c r="C697" t="s">
        <v>22</v>
      </c>
      <c r="D697" t="s">
        <v>17</v>
      </c>
      <c r="E697" t="s">
        <v>58</v>
      </c>
      <c r="F697" t="s">
        <v>66</v>
      </c>
      <c r="G697">
        <v>169.89</v>
      </c>
      <c r="H697">
        <v>0</v>
      </c>
      <c r="I697">
        <v>169.89</v>
      </c>
      <c r="J697" s="1">
        <v>45852</v>
      </c>
      <c r="K697">
        <v>12</v>
      </c>
      <c r="L697">
        <v>1.2</v>
      </c>
      <c r="M697" t="b">
        <v>0</v>
      </c>
    </row>
    <row r="698" spans="1:14" x14ac:dyDescent="0.25">
      <c r="A698" t="s">
        <v>751</v>
      </c>
      <c r="B698" t="s">
        <v>30</v>
      </c>
      <c r="C698" t="s">
        <v>43</v>
      </c>
      <c r="D698" t="s">
        <v>23</v>
      </c>
      <c r="E698" t="s">
        <v>39</v>
      </c>
      <c r="F698" t="s">
        <v>28</v>
      </c>
      <c r="G698">
        <v>117.38</v>
      </c>
      <c r="H698">
        <v>22.5</v>
      </c>
      <c r="I698">
        <v>90.97</v>
      </c>
      <c r="J698" s="1">
        <v>45875</v>
      </c>
      <c r="K698">
        <v>42</v>
      </c>
      <c r="L698">
        <v>2.8</v>
      </c>
      <c r="M698" t="b">
        <v>1</v>
      </c>
      <c r="N698" t="s">
        <v>36</v>
      </c>
    </row>
    <row r="699" spans="1:14" x14ac:dyDescent="0.25">
      <c r="A699" t="s">
        <v>752</v>
      </c>
      <c r="B699" t="s">
        <v>21</v>
      </c>
      <c r="C699" t="s">
        <v>43</v>
      </c>
      <c r="D699" t="s">
        <v>23</v>
      </c>
      <c r="E699" t="s">
        <v>39</v>
      </c>
      <c r="F699" t="s">
        <v>25</v>
      </c>
      <c r="G699">
        <v>118.95</v>
      </c>
      <c r="H699">
        <v>0</v>
      </c>
      <c r="I699">
        <v>118.95</v>
      </c>
      <c r="J699" s="1">
        <v>45875</v>
      </c>
      <c r="K699">
        <v>18</v>
      </c>
      <c r="L699">
        <v>1.9</v>
      </c>
      <c r="M699" t="b">
        <v>1</v>
      </c>
      <c r="N699" t="s">
        <v>83</v>
      </c>
    </row>
    <row r="700" spans="1:14" x14ac:dyDescent="0.25">
      <c r="A700" t="s">
        <v>753</v>
      </c>
      <c r="B700" t="s">
        <v>27</v>
      </c>
      <c r="C700" t="s">
        <v>22</v>
      </c>
      <c r="D700" t="s">
        <v>34</v>
      </c>
      <c r="F700" t="s">
        <v>19</v>
      </c>
      <c r="G700">
        <v>39.299999999999997</v>
      </c>
      <c r="H700">
        <v>0</v>
      </c>
      <c r="I700">
        <v>39.299999999999997</v>
      </c>
      <c r="J700" s="1">
        <v>45875</v>
      </c>
      <c r="K700">
        <v>39</v>
      </c>
      <c r="M700" t="b">
        <v>0</v>
      </c>
    </row>
    <row r="701" spans="1:14" x14ac:dyDescent="0.25">
      <c r="A701" t="s">
        <v>754</v>
      </c>
      <c r="B701" t="s">
        <v>21</v>
      </c>
      <c r="C701" t="s">
        <v>48</v>
      </c>
      <c r="D701" t="s">
        <v>23</v>
      </c>
      <c r="E701" t="s">
        <v>24</v>
      </c>
      <c r="F701" t="s">
        <v>56</v>
      </c>
      <c r="G701">
        <v>74.3</v>
      </c>
      <c r="H701">
        <v>0</v>
      </c>
      <c r="I701">
        <v>74.3</v>
      </c>
      <c r="J701" s="1">
        <v>45875</v>
      </c>
      <c r="K701">
        <v>31</v>
      </c>
      <c r="L701">
        <v>3.8</v>
      </c>
      <c r="M701" t="b">
        <v>1</v>
      </c>
      <c r="N701" t="s">
        <v>125</v>
      </c>
    </row>
    <row r="702" spans="1:14" x14ac:dyDescent="0.25">
      <c r="A702" t="s">
        <v>755</v>
      </c>
      <c r="B702" t="s">
        <v>38</v>
      </c>
      <c r="C702" t="s">
        <v>48</v>
      </c>
      <c r="D702" t="s">
        <v>17</v>
      </c>
      <c r="E702" t="s">
        <v>55</v>
      </c>
      <c r="F702" t="s">
        <v>70</v>
      </c>
      <c r="G702">
        <v>62.97</v>
      </c>
      <c r="H702">
        <v>0</v>
      </c>
      <c r="I702">
        <v>62.97</v>
      </c>
      <c r="J702" s="1">
        <v>45803</v>
      </c>
      <c r="K702">
        <v>5</v>
      </c>
      <c r="L702">
        <v>3.5</v>
      </c>
      <c r="M702" t="b">
        <v>0</v>
      </c>
    </row>
    <row r="703" spans="1:14" x14ac:dyDescent="0.25">
      <c r="A703" t="s">
        <v>756</v>
      </c>
      <c r="B703" t="s">
        <v>27</v>
      </c>
      <c r="C703" t="s">
        <v>48</v>
      </c>
      <c r="D703" t="s">
        <v>62</v>
      </c>
      <c r="F703" t="s">
        <v>40</v>
      </c>
      <c r="G703">
        <v>73.599999999999994</v>
      </c>
      <c r="H703">
        <v>0</v>
      </c>
      <c r="I703">
        <v>73.599999999999994</v>
      </c>
      <c r="J703" s="1">
        <v>45875</v>
      </c>
      <c r="K703">
        <v>1</v>
      </c>
      <c r="L703">
        <v>1.8</v>
      </c>
      <c r="M703" t="b">
        <v>0</v>
      </c>
    </row>
    <row r="704" spans="1:14" x14ac:dyDescent="0.25">
      <c r="A704" t="s">
        <v>757</v>
      </c>
      <c r="B704" t="s">
        <v>27</v>
      </c>
      <c r="C704" t="s">
        <v>43</v>
      </c>
      <c r="D704" t="s">
        <v>17</v>
      </c>
      <c r="F704" t="s">
        <v>28</v>
      </c>
      <c r="G704">
        <v>77.849999999999994</v>
      </c>
      <c r="H704">
        <v>34.9</v>
      </c>
      <c r="I704">
        <v>50.68</v>
      </c>
      <c r="J704" s="1">
        <v>45874</v>
      </c>
      <c r="K704">
        <v>11</v>
      </c>
      <c r="M704" t="b">
        <v>0</v>
      </c>
    </row>
    <row r="705" spans="1:14" x14ac:dyDescent="0.25">
      <c r="A705" t="s">
        <v>758</v>
      </c>
      <c r="B705" t="s">
        <v>21</v>
      </c>
      <c r="C705" t="s">
        <v>75</v>
      </c>
      <c r="D705" t="s">
        <v>62</v>
      </c>
      <c r="F705" t="s">
        <v>19</v>
      </c>
      <c r="G705">
        <v>94.31</v>
      </c>
      <c r="H705">
        <v>0</v>
      </c>
      <c r="I705">
        <v>94.31</v>
      </c>
      <c r="J705" s="1">
        <v>45875</v>
      </c>
      <c r="K705">
        <v>20</v>
      </c>
      <c r="L705">
        <v>3</v>
      </c>
      <c r="M705" t="b">
        <v>0</v>
      </c>
    </row>
    <row r="706" spans="1:14" x14ac:dyDescent="0.25">
      <c r="A706" t="s">
        <v>759</v>
      </c>
      <c r="B706" t="s">
        <v>38</v>
      </c>
      <c r="C706" t="s">
        <v>53</v>
      </c>
      <c r="D706" t="s">
        <v>17</v>
      </c>
      <c r="F706" t="s">
        <v>64</v>
      </c>
      <c r="G706">
        <v>60.36</v>
      </c>
      <c r="H706">
        <v>0</v>
      </c>
      <c r="I706">
        <v>60.36</v>
      </c>
      <c r="J706" s="1">
        <v>45536</v>
      </c>
      <c r="K706">
        <v>35</v>
      </c>
      <c r="L706">
        <v>3.3</v>
      </c>
      <c r="M706" t="b">
        <v>0</v>
      </c>
    </row>
    <row r="707" spans="1:14" x14ac:dyDescent="0.25">
      <c r="A707" t="s">
        <v>760</v>
      </c>
      <c r="B707" t="s">
        <v>38</v>
      </c>
      <c r="C707" t="s">
        <v>43</v>
      </c>
      <c r="D707" t="s">
        <v>62</v>
      </c>
      <c r="E707" t="s">
        <v>49</v>
      </c>
      <c r="F707" t="s">
        <v>70</v>
      </c>
      <c r="G707">
        <v>94.85</v>
      </c>
      <c r="H707">
        <v>0</v>
      </c>
      <c r="I707">
        <v>94.85</v>
      </c>
      <c r="J707" s="1">
        <v>45875</v>
      </c>
      <c r="K707">
        <v>28</v>
      </c>
      <c r="L707">
        <v>1.5</v>
      </c>
      <c r="M707" t="b">
        <v>0</v>
      </c>
    </row>
    <row r="708" spans="1:14" x14ac:dyDescent="0.25">
      <c r="A708" t="s">
        <v>761</v>
      </c>
      <c r="B708" t="s">
        <v>27</v>
      </c>
      <c r="C708" t="s">
        <v>22</v>
      </c>
      <c r="D708" t="s">
        <v>23</v>
      </c>
      <c r="F708" t="s">
        <v>44</v>
      </c>
      <c r="G708">
        <v>30.52</v>
      </c>
      <c r="H708">
        <v>7.9</v>
      </c>
      <c r="I708">
        <v>28.11</v>
      </c>
      <c r="J708" s="1">
        <v>45875</v>
      </c>
      <c r="K708">
        <v>43</v>
      </c>
      <c r="L708">
        <v>4.7</v>
      </c>
      <c r="M708" t="b">
        <v>0</v>
      </c>
    </row>
    <row r="709" spans="1:14" x14ac:dyDescent="0.25">
      <c r="A709" t="s">
        <v>762</v>
      </c>
      <c r="B709" t="s">
        <v>42</v>
      </c>
      <c r="C709" t="s">
        <v>43</v>
      </c>
      <c r="D709" t="s">
        <v>62</v>
      </c>
      <c r="E709" t="s">
        <v>55</v>
      </c>
      <c r="F709" t="s">
        <v>64</v>
      </c>
      <c r="G709">
        <v>97.06</v>
      </c>
      <c r="H709">
        <v>0</v>
      </c>
      <c r="I709">
        <v>97.06</v>
      </c>
      <c r="J709" s="1">
        <v>45875</v>
      </c>
      <c r="K709">
        <v>24</v>
      </c>
      <c r="L709">
        <v>3.9</v>
      </c>
      <c r="M709" t="b">
        <v>0</v>
      </c>
    </row>
    <row r="710" spans="1:14" x14ac:dyDescent="0.25">
      <c r="A710" t="s">
        <v>763</v>
      </c>
      <c r="B710" t="s">
        <v>38</v>
      </c>
      <c r="C710" t="s">
        <v>75</v>
      </c>
      <c r="D710" t="s">
        <v>62</v>
      </c>
      <c r="E710" t="s">
        <v>58</v>
      </c>
      <c r="F710" t="s">
        <v>66</v>
      </c>
      <c r="G710">
        <v>57.85</v>
      </c>
      <c r="H710">
        <v>35.4</v>
      </c>
      <c r="I710">
        <v>37.369999999999997</v>
      </c>
      <c r="J710" s="1">
        <v>45875</v>
      </c>
      <c r="K710">
        <v>17</v>
      </c>
      <c r="M710" t="b">
        <v>0</v>
      </c>
    </row>
    <row r="711" spans="1:14" x14ac:dyDescent="0.25">
      <c r="A711" t="s">
        <v>764</v>
      </c>
      <c r="B711" t="s">
        <v>21</v>
      </c>
      <c r="C711" t="s">
        <v>16</v>
      </c>
      <c r="D711" t="s">
        <v>34</v>
      </c>
      <c r="E711" t="s">
        <v>58</v>
      </c>
      <c r="F711" t="s">
        <v>35</v>
      </c>
      <c r="G711">
        <v>51.35</v>
      </c>
      <c r="H711">
        <v>19.7</v>
      </c>
      <c r="I711">
        <v>41.23</v>
      </c>
      <c r="J711" s="1">
        <v>45875</v>
      </c>
      <c r="K711">
        <v>39</v>
      </c>
      <c r="L711">
        <v>1.3</v>
      </c>
      <c r="M711" t="b">
        <v>0</v>
      </c>
    </row>
    <row r="712" spans="1:14" x14ac:dyDescent="0.25">
      <c r="A712" t="s">
        <v>765</v>
      </c>
      <c r="B712" t="s">
        <v>27</v>
      </c>
      <c r="C712" t="s">
        <v>53</v>
      </c>
      <c r="D712" t="s">
        <v>17</v>
      </c>
      <c r="F712" t="s">
        <v>28</v>
      </c>
      <c r="G712">
        <v>61.34</v>
      </c>
      <c r="H712">
        <v>45.4</v>
      </c>
      <c r="I712">
        <v>33.49</v>
      </c>
      <c r="J712" s="1">
        <v>45691</v>
      </c>
      <c r="K712">
        <v>46</v>
      </c>
      <c r="M712" t="b">
        <v>0</v>
      </c>
    </row>
    <row r="713" spans="1:14" x14ac:dyDescent="0.25">
      <c r="A713" t="s">
        <v>766</v>
      </c>
      <c r="B713" t="s">
        <v>15</v>
      </c>
      <c r="C713" t="s">
        <v>32</v>
      </c>
      <c r="D713" t="s">
        <v>62</v>
      </c>
      <c r="E713" t="s">
        <v>24</v>
      </c>
      <c r="F713" t="s">
        <v>66</v>
      </c>
      <c r="G713">
        <v>189.28</v>
      </c>
      <c r="H713">
        <v>0</v>
      </c>
      <c r="I713">
        <v>189.28</v>
      </c>
      <c r="J713" s="1">
        <v>45875</v>
      </c>
      <c r="K713">
        <v>41</v>
      </c>
      <c r="L713">
        <v>2.7</v>
      </c>
      <c r="M713" t="b">
        <v>1</v>
      </c>
      <c r="N713" t="s">
        <v>125</v>
      </c>
    </row>
    <row r="714" spans="1:14" x14ac:dyDescent="0.25">
      <c r="A714" t="s">
        <v>767</v>
      </c>
      <c r="B714" t="s">
        <v>21</v>
      </c>
      <c r="C714" t="s">
        <v>32</v>
      </c>
      <c r="D714" t="s">
        <v>62</v>
      </c>
      <c r="E714" t="s">
        <v>49</v>
      </c>
      <c r="F714" t="s">
        <v>66</v>
      </c>
      <c r="G714">
        <v>86.67</v>
      </c>
      <c r="H714">
        <v>35.799999999999997</v>
      </c>
      <c r="I714">
        <v>55.64</v>
      </c>
      <c r="J714" s="1">
        <v>45875</v>
      </c>
      <c r="K714">
        <v>2</v>
      </c>
      <c r="L714">
        <v>4.9000000000000004</v>
      </c>
      <c r="M714" t="b">
        <v>0</v>
      </c>
    </row>
    <row r="715" spans="1:14" x14ac:dyDescent="0.25">
      <c r="A715" t="s">
        <v>768</v>
      </c>
      <c r="B715" t="s">
        <v>38</v>
      </c>
      <c r="C715" t="s">
        <v>53</v>
      </c>
      <c r="D715" t="s">
        <v>17</v>
      </c>
      <c r="E715" t="s">
        <v>39</v>
      </c>
      <c r="F715" t="s">
        <v>64</v>
      </c>
      <c r="G715">
        <v>102.84</v>
      </c>
      <c r="H715">
        <v>0</v>
      </c>
      <c r="I715">
        <v>102.84</v>
      </c>
      <c r="J715" s="1">
        <v>45545</v>
      </c>
      <c r="K715">
        <v>27</v>
      </c>
      <c r="L715">
        <v>1.8</v>
      </c>
      <c r="M715" t="b">
        <v>0</v>
      </c>
    </row>
    <row r="716" spans="1:14" x14ac:dyDescent="0.25">
      <c r="A716" t="s">
        <v>769</v>
      </c>
      <c r="B716" t="s">
        <v>15</v>
      </c>
      <c r="C716" t="s">
        <v>16</v>
      </c>
      <c r="D716" t="s">
        <v>34</v>
      </c>
      <c r="E716" t="s">
        <v>49</v>
      </c>
      <c r="F716" t="s">
        <v>46</v>
      </c>
      <c r="G716">
        <v>225.21</v>
      </c>
      <c r="H716">
        <v>0</v>
      </c>
      <c r="I716">
        <v>225.21</v>
      </c>
      <c r="J716" s="1">
        <v>45875</v>
      </c>
      <c r="K716">
        <v>27</v>
      </c>
      <c r="L716">
        <v>3.1</v>
      </c>
      <c r="M716" t="b">
        <v>1</v>
      </c>
      <c r="N716" t="s">
        <v>115</v>
      </c>
    </row>
    <row r="717" spans="1:14" x14ac:dyDescent="0.25">
      <c r="A717" t="s">
        <v>770</v>
      </c>
      <c r="B717" t="s">
        <v>42</v>
      </c>
      <c r="C717" t="s">
        <v>22</v>
      </c>
      <c r="D717" t="s">
        <v>23</v>
      </c>
      <c r="E717" t="s">
        <v>18</v>
      </c>
      <c r="F717" t="s">
        <v>40</v>
      </c>
      <c r="G717">
        <v>48.91</v>
      </c>
      <c r="H717">
        <v>27.8</v>
      </c>
      <c r="I717">
        <v>35.31</v>
      </c>
      <c r="J717" s="1">
        <v>45875</v>
      </c>
      <c r="K717">
        <v>0</v>
      </c>
      <c r="L717">
        <v>4.0999999999999996</v>
      </c>
      <c r="M717" t="b">
        <v>0</v>
      </c>
    </row>
    <row r="718" spans="1:14" x14ac:dyDescent="0.25">
      <c r="A718" t="s">
        <v>771</v>
      </c>
      <c r="B718" t="s">
        <v>15</v>
      </c>
      <c r="C718" t="s">
        <v>75</v>
      </c>
      <c r="D718" t="s">
        <v>34</v>
      </c>
      <c r="E718" t="s">
        <v>24</v>
      </c>
      <c r="F718" t="s">
        <v>25</v>
      </c>
      <c r="G718">
        <v>145.93</v>
      </c>
      <c r="H718">
        <v>0</v>
      </c>
      <c r="I718">
        <v>145.93</v>
      </c>
      <c r="J718" s="1">
        <v>45875</v>
      </c>
      <c r="K718">
        <v>19</v>
      </c>
      <c r="L718">
        <v>1.5</v>
      </c>
      <c r="M718" t="b">
        <v>0</v>
      </c>
    </row>
    <row r="719" spans="1:14" x14ac:dyDescent="0.25">
      <c r="A719" t="s">
        <v>772</v>
      </c>
      <c r="B719" t="s">
        <v>15</v>
      </c>
      <c r="C719" t="s">
        <v>32</v>
      </c>
      <c r="D719" t="s">
        <v>23</v>
      </c>
      <c r="F719" t="s">
        <v>46</v>
      </c>
      <c r="G719">
        <v>225.92</v>
      </c>
      <c r="H719">
        <v>43.7</v>
      </c>
      <c r="I719">
        <v>127.19</v>
      </c>
      <c r="J719" s="1">
        <v>45875</v>
      </c>
      <c r="K719">
        <v>30</v>
      </c>
      <c r="L719">
        <v>3.2</v>
      </c>
      <c r="M719" t="b">
        <v>0</v>
      </c>
    </row>
    <row r="720" spans="1:14" x14ac:dyDescent="0.25">
      <c r="A720" t="s">
        <v>773</v>
      </c>
      <c r="B720" t="s">
        <v>15</v>
      </c>
      <c r="C720" t="s">
        <v>22</v>
      </c>
      <c r="D720" t="s">
        <v>62</v>
      </c>
      <c r="E720" t="s">
        <v>18</v>
      </c>
      <c r="F720" t="s">
        <v>46</v>
      </c>
      <c r="G720">
        <v>202.18</v>
      </c>
      <c r="H720">
        <v>39.700000000000003</v>
      </c>
      <c r="I720">
        <v>121.91</v>
      </c>
      <c r="J720" s="1">
        <v>45875</v>
      </c>
      <c r="K720">
        <v>20</v>
      </c>
      <c r="L720">
        <v>4.0999999999999996</v>
      </c>
      <c r="M720" t="b">
        <v>0</v>
      </c>
    </row>
    <row r="721" spans="1:14" x14ac:dyDescent="0.25">
      <c r="A721" t="s">
        <v>774</v>
      </c>
      <c r="B721" t="s">
        <v>21</v>
      </c>
      <c r="C721" t="s">
        <v>22</v>
      </c>
      <c r="D721" t="s">
        <v>34</v>
      </c>
      <c r="E721" t="s">
        <v>18</v>
      </c>
      <c r="F721" t="s">
        <v>44</v>
      </c>
      <c r="G721">
        <v>51.85</v>
      </c>
      <c r="H721">
        <v>0</v>
      </c>
      <c r="I721">
        <v>51.85</v>
      </c>
      <c r="J721" s="1">
        <v>45875</v>
      </c>
      <c r="K721">
        <v>28</v>
      </c>
      <c r="M721" t="b">
        <v>0</v>
      </c>
    </row>
    <row r="722" spans="1:14" x14ac:dyDescent="0.25">
      <c r="A722" t="s">
        <v>775</v>
      </c>
      <c r="B722" t="s">
        <v>21</v>
      </c>
      <c r="C722" t="s">
        <v>22</v>
      </c>
      <c r="D722" t="s">
        <v>62</v>
      </c>
      <c r="E722" t="s">
        <v>24</v>
      </c>
      <c r="F722" t="s">
        <v>40</v>
      </c>
      <c r="G722">
        <v>75.34</v>
      </c>
      <c r="H722">
        <v>0</v>
      </c>
      <c r="I722">
        <v>75.34</v>
      </c>
      <c r="J722" s="1">
        <v>45875</v>
      </c>
      <c r="K722">
        <v>21</v>
      </c>
      <c r="M722" t="b">
        <v>0</v>
      </c>
    </row>
    <row r="723" spans="1:14" x14ac:dyDescent="0.25">
      <c r="A723" t="s">
        <v>776</v>
      </c>
      <c r="B723" t="s">
        <v>30</v>
      </c>
      <c r="C723" t="s">
        <v>61</v>
      </c>
      <c r="D723" t="s">
        <v>17</v>
      </c>
      <c r="E723" t="s">
        <v>39</v>
      </c>
      <c r="F723" t="s">
        <v>25</v>
      </c>
      <c r="G723">
        <v>92.09</v>
      </c>
      <c r="H723">
        <v>54.9</v>
      </c>
      <c r="I723">
        <v>41.53</v>
      </c>
      <c r="J723" s="1">
        <v>45676</v>
      </c>
      <c r="K723">
        <v>44</v>
      </c>
      <c r="L723">
        <v>2.2000000000000002</v>
      </c>
      <c r="M723" t="b">
        <v>0</v>
      </c>
    </row>
    <row r="724" spans="1:14" x14ac:dyDescent="0.25">
      <c r="A724" t="s">
        <v>777</v>
      </c>
      <c r="B724" t="s">
        <v>27</v>
      </c>
      <c r="C724" t="s">
        <v>16</v>
      </c>
      <c r="D724" t="s">
        <v>34</v>
      </c>
      <c r="F724" t="s">
        <v>44</v>
      </c>
      <c r="G724">
        <v>56.39</v>
      </c>
      <c r="H724">
        <v>0</v>
      </c>
      <c r="I724">
        <v>56.39</v>
      </c>
      <c r="J724" s="1">
        <v>45875</v>
      </c>
      <c r="K724">
        <v>49</v>
      </c>
      <c r="L724">
        <v>4.2</v>
      </c>
      <c r="M724" t="b">
        <v>0</v>
      </c>
    </row>
    <row r="725" spans="1:14" x14ac:dyDescent="0.25">
      <c r="A725" t="s">
        <v>778</v>
      </c>
      <c r="B725" t="s">
        <v>21</v>
      </c>
      <c r="C725" t="s">
        <v>43</v>
      </c>
      <c r="D725" t="s">
        <v>34</v>
      </c>
      <c r="E725" t="s">
        <v>24</v>
      </c>
      <c r="F725" t="s">
        <v>25</v>
      </c>
      <c r="G725">
        <v>108.75</v>
      </c>
      <c r="H725">
        <v>0</v>
      </c>
      <c r="I725">
        <v>108.75</v>
      </c>
      <c r="J725" s="1">
        <v>45875</v>
      </c>
      <c r="K725">
        <v>38</v>
      </c>
      <c r="L725">
        <v>3.8</v>
      </c>
      <c r="M725" t="b">
        <v>0</v>
      </c>
    </row>
    <row r="726" spans="1:14" x14ac:dyDescent="0.25">
      <c r="A726" t="s">
        <v>779</v>
      </c>
      <c r="B726" t="s">
        <v>42</v>
      </c>
      <c r="C726" t="s">
        <v>22</v>
      </c>
      <c r="D726" t="s">
        <v>17</v>
      </c>
      <c r="E726" t="s">
        <v>39</v>
      </c>
      <c r="F726" t="s">
        <v>19</v>
      </c>
      <c r="G726">
        <v>156.85</v>
      </c>
      <c r="H726">
        <v>0</v>
      </c>
      <c r="I726">
        <v>156.85</v>
      </c>
      <c r="J726" s="1">
        <v>45748</v>
      </c>
      <c r="K726">
        <v>48</v>
      </c>
      <c r="L726">
        <v>3.4</v>
      </c>
      <c r="M726" t="b">
        <v>0</v>
      </c>
    </row>
    <row r="727" spans="1:14" x14ac:dyDescent="0.25">
      <c r="A727" t="s">
        <v>780</v>
      </c>
      <c r="B727" t="s">
        <v>15</v>
      </c>
      <c r="C727" t="s">
        <v>22</v>
      </c>
      <c r="D727" t="s">
        <v>17</v>
      </c>
      <c r="E727" t="s">
        <v>55</v>
      </c>
      <c r="F727" t="s">
        <v>70</v>
      </c>
      <c r="G727">
        <v>168.13</v>
      </c>
      <c r="H727">
        <v>0</v>
      </c>
      <c r="I727">
        <v>168.13</v>
      </c>
      <c r="J727" s="1">
        <v>45765</v>
      </c>
      <c r="K727">
        <v>42</v>
      </c>
      <c r="L727">
        <v>2.5</v>
      </c>
      <c r="M727" t="b">
        <v>0</v>
      </c>
    </row>
    <row r="728" spans="1:14" x14ac:dyDescent="0.25">
      <c r="A728" t="s">
        <v>781</v>
      </c>
      <c r="B728" t="s">
        <v>30</v>
      </c>
      <c r="C728" t="s">
        <v>75</v>
      </c>
      <c r="D728" t="s">
        <v>62</v>
      </c>
      <c r="E728" t="s">
        <v>39</v>
      </c>
      <c r="F728" t="s">
        <v>46</v>
      </c>
      <c r="G728">
        <v>145.79</v>
      </c>
      <c r="H728">
        <v>57</v>
      </c>
      <c r="I728">
        <v>62.69</v>
      </c>
      <c r="J728" s="1">
        <v>45875</v>
      </c>
      <c r="K728">
        <v>46</v>
      </c>
      <c r="M728" t="b">
        <v>0</v>
      </c>
    </row>
    <row r="729" spans="1:14" x14ac:dyDescent="0.25">
      <c r="A729" t="s">
        <v>782</v>
      </c>
      <c r="B729" t="s">
        <v>38</v>
      </c>
      <c r="C729" t="s">
        <v>61</v>
      </c>
      <c r="D729" t="s">
        <v>23</v>
      </c>
      <c r="E729" t="s">
        <v>39</v>
      </c>
      <c r="F729" t="s">
        <v>35</v>
      </c>
      <c r="G729">
        <v>54.14</v>
      </c>
      <c r="H729">
        <v>0</v>
      </c>
      <c r="I729">
        <v>54.14</v>
      </c>
      <c r="J729" s="1">
        <v>45875</v>
      </c>
      <c r="K729">
        <v>32</v>
      </c>
      <c r="M729" t="b">
        <v>0</v>
      </c>
    </row>
    <row r="730" spans="1:14" x14ac:dyDescent="0.25">
      <c r="A730" t="s">
        <v>783</v>
      </c>
      <c r="B730" t="s">
        <v>27</v>
      </c>
      <c r="C730" t="s">
        <v>16</v>
      </c>
      <c r="D730" t="s">
        <v>34</v>
      </c>
      <c r="F730" t="s">
        <v>64</v>
      </c>
      <c r="G730">
        <v>45.64</v>
      </c>
      <c r="H730">
        <v>0</v>
      </c>
      <c r="I730">
        <v>45.64</v>
      </c>
      <c r="J730" s="1">
        <v>45875</v>
      </c>
      <c r="K730">
        <v>36</v>
      </c>
      <c r="L730">
        <v>3.6</v>
      </c>
      <c r="M730" t="b">
        <v>1</v>
      </c>
      <c r="N730" t="s">
        <v>73</v>
      </c>
    </row>
    <row r="731" spans="1:14" x14ac:dyDescent="0.25">
      <c r="A731" t="s">
        <v>784</v>
      </c>
      <c r="B731" t="s">
        <v>38</v>
      </c>
      <c r="C731" t="s">
        <v>43</v>
      </c>
      <c r="D731" t="s">
        <v>34</v>
      </c>
      <c r="E731" t="s">
        <v>39</v>
      </c>
      <c r="F731" t="s">
        <v>19</v>
      </c>
      <c r="G731">
        <v>46.76</v>
      </c>
      <c r="H731">
        <v>0</v>
      </c>
      <c r="I731">
        <v>46.76</v>
      </c>
      <c r="J731" s="1">
        <v>45875</v>
      </c>
      <c r="K731">
        <v>38</v>
      </c>
      <c r="L731">
        <v>2.7</v>
      </c>
      <c r="M731" t="b">
        <v>0</v>
      </c>
    </row>
    <row r="732" spans="1:14" x14ac:dyDescent="0.25">
      <c r="A732" t="s">
        <v>785</v>
      </c>
      <c r="B732" t="s">
        <v>42</v>
      </c>
      <c r="C732" t="s">
        <v>32</v>
      </c>
      <c r="D732" t="s">
        <v>23</v>
      </c>
      <c r="F732" t="s">
        <v>40</v>
      </c>
      <c r="G732">
        <v>75.23</v>
      </c>
      <c r="H732">
        <v>0</v>
      </c>
      <c r="I732">
        <v>75.23</v>
      </c>
      <c r="J732" s="1">
        <v>45875</v>
      </c>
      <c r="K732">
        <v>42</v>
      </c>
      <c r="L732">
        <v>1.7</v>
      </c>
      <c r="M732" t="b">
        <v>1</v>
      </c>
      <c r="N732" t="s">
        <v>83</v>
      </c>
    </row>
    <row r="733" spans="1:14" x14ac:dyDescent="0.25">
      <c r="A733" t="s">
        <v>786</v>
      </c>
      <c r="B733" t="s">
        <v>42</v>
      </c>
      <c r="C733" t="s">
        <v>43</v>
      </c>
      <c r="D733" t="s">
        <v>62</v>
      </c>
      <c r="E733" t="s">
        <v>18</v>
      </c>
      <c r="F733" t="s">
        <v>35</v>
      </c>
      <c r="G733">
        <v>70.38</v>
      </c>
      <c r="H733">
        <v>0</v>
      </c>
      <c r="I733">
        <v>70.38</v>
      </c>
      <c r="J733" s="1">
        <v>45875</v>
      </c>
      <c r="K733">
        <v>37</v>
      </c>
      <c r="L733">
        <v>2</v>
      </c>
      <c r="M733" t="b">
        <v>0</v>
      </c>
    </row>
    <row r="734" spans="1:14" x14ac:dyDescent="0.25">
      <c r="A734" t="s">
        <v>787</v>
      </c>
      <c r="B734" t="s">
        <v>38</v>
      </c>
      <c r="C734" t="s">
        <v>48</v>
      </c>
      <c r="D734" t="s">
        <v>62</v>
      </c>
      <c r="E734" t="s">
        <v>58</v>
      </c>
      <c r="F734" t="s">
        <v>25</v>
      </c>
      <c r="G734">
        <v>76.040000000000006</v>
      </c>
      <c r="H734">
        <v>0</v>
      </c>
      <c r="I734">
        <v>76.040000000000006</v>
      </c>
      <c r="J734" s="1">
        <v>45875</v>
      </c>
      <c r="K734">
        <v>13</v>
      </c>
      <c r="L734">
        <v>4.4000000000000004</v>
      </c>
      <c r="M734" t="b">
        <v>0</v>
      </c>
    </row>
    <row r="735" spans="1:14" x14ac:dyDescent="0.25">
      <c r="A735" t="s">
        <v>788</v>
      </c>
      <c r="B735" t="s">
        <v>30</v>
      </c>
      <c r="C735" t="s">
        <v>22</v>
      </c>
      <c r="D735" t="s">
        <v>62</v>
      </c>
      <c r="E735" t="s">
        <v>55</v>
      </c>
      <c r="F735" t="s">
        <v>28</v>
      </c>
      <c r="G735">
        <v>110.82</v>
      </c>
      <c r="H735">
        <v>15.7</v>
      </c>
      <c r="I735">
        <v>93.42</v>
      </c>
      <c r="J735" s="1">
        <v>45875</v>
      </c>
      <c r="K735">
        <v>43</v>
      </c>
      <c r="M735" t="b">
        <v>1</v>
      </c>
      <c r="N735" t="s">
        <v>73</v>
      </c>
    </row>
    <row r="736" spans="1:14" x14ac:dyDescent="0.25">
      <c r="A736" t="s">
        <v>789</v>
      </c>
      <c r="B736" t="s">
        <v>27</v>
      </c>
      <c r="C736" t="s">
        <v>75</v>
      </c>
      <c r="D736" t="s">
        <v>34</v>
      </c>
      <c r="F736" t="s">
        <v>64</v>
      </c>
      <c r="G736">
        <v>47.47</v>
      </c>
      <c r="H736">
        <v>0</v>
      </c>
      <c r="I736">
        <v>47.47</v>
      </c>
      <c r="J736" s="1">
        <v>45875</v>
      </c>
      <c r="K736">
        <v>42</v>
      </c>
      <c r="L736">
        <v>4.7</v>
      </c>
      <c r="M736" t="b">
        <v>0</v>
      </c>
    </row>
    <row r="737" spans="1:14" x14ac:dyDescent="0.25">
      <c r="A737" t="s">
        <v>790</v>
      </c>
      <c r="B737" t="s">
        <v>27</v>
      </c>
      <c r="C737" t="s">
        <v>61</v>
      </c>
      <c r="D737" t="s">
        <v>17</v>
      </c>
      <c r="F737" t="s">
        <v>19</v>
      </c>
      <c r="G737">
        <v>79.94</v>
      </c>
      <c r="H737">
        <v>0</v>
      </c>
      <c r="I737">
        <v>79.94</v>
      </c>
      <c r="J737" s="1">
        <v>45869</v>
      </c>
      <c r="K737">
        <v>26</v>
      </c>
      <c r="L737">
        <v>3.8</v>
      </c>
      <c r="M737" t="b">
        <v>0</v>
      </c>
    </row>
    <row r="738" spans="1:14" x14ac:dyDescent="0.25">
      <c r="A738" t="s">
        <v>791</v>
      </c>
      <c r="B738" t="s">
        <v>38</v>
      </c>
      <c r="C738" t="s">
        <v>32</v>
      </c>
      <c r="D738" t="s">
        <v>34</v>
      </c>
      <c r="E738" t="s">
        <v>49</v>
      </c>
      <c r="F738" t="s">
        <v>64</v>
      </c>
      <c r="G738">
        <v>74.67</v>
      </c>
      <c r="H738">
        <v>0</v>
      </c>
      <c r="I738">
        <v>74.67</v>
      </c>
      <c r="J738" s="1">
        <v>45875</v>
      </c>
      <c r="K738">
        <v>15</v>
      </c>
      <c r="L738">
        <v>4.5999999999999996</v>
      </c>
      <c r="M738" t="b">
        <v>0</v>
      </c>
    </row>
    <row r="739" spans="1:14" x14ac:dyDescent="0.25">
      <c r="A739" t="s">
        <v>792</v>
      </c>
      <c r="B739" t="s">
        <v>42</v>
      </c>
      <c r="C739" t="s">
        <v>75</v>
      </c>
      <c r="D739" t="s">
        <v>34</v>
      </c>
      <c r="E739" t="s">
        <v>49</v>
      </c>
      <c r="F739" t="s">
        <v>70</v>
      </c>
      <c r="G739">
        <v>63.79</v>
      </c>
      <c r="H739">
        <v>35.5</v>
      </c>
      <c r="I739">
        <v>41.14</v>
      </c>
      <c r="J739" s="1">
        <v>45875</v>
      </c>
      <c r="K739">
        <v>15</v>
      </c>
      <c r="L739">
        <v>3.1</v>
      </c>
      <c r="M739" t="b">
        <v>1</v>
      </c>
      <c r="N739" t="s">
        <v>83</v>
      </c>
    </row>
    <row r="740" spans="1:14" x14ac:dyDescent="0.25">
      <c r="A740" t="s">
        <v>793</v>
      </c>
      <c r="B740" t="s">
        <v>38</v>
      </c>
      <c r="C740" t="s">
        <v>53</v>
      </c>
      <c r="D740" t="s">
        <v>34</v>
      </c>
      <c r="E740" t="s">
        <v>49</v>
      </c>
      <c r="F740" t="s">
        <v>70</v>
      </c>
      <c r="G740">
        <v>49.6</v>
      </c>
      <c r="H740">
        <v>0</v>
      </c>
      <c r="I740">
        <v>49.6</v>
      </c>
      <c r="J740" s="1">
        <v>45875</v>
      </c>
      <c r="K740">
        <v>32</v>
      </c>
      <c r="L740">
        <v>4.7</v>
      </c>
      <c r="M740" t="b">
        <v>0</v>
      </c>
    </row>
    <row r="741" spans="1:14" x14ac:dyDescent="0.25">
      <c r="A741" t="s">
        <v>794</v>
      </c>
      <c r="B741" t="s">
        <v>21</v>
      </c>
      <c r="C741" t="s">
        <v>16</v>
      </c>
      <c r="D741" t="s">
        <v>17</v>
      </c>
      <c r="E741" t="s">
        <v>18</v>
      </c>
      <c r="F741" t="s">
        <v>19</v>
      </c>
      <c r="G741">
        <v>57.91</v>
      </c>
      <c r="H741">
        <v>0</v>
      </c>
      <c r="I741">
        <v>57.91</v>
      </c>
      <c r="J741" s="1">
        <v>45729</v>
      </c>
      <c r="K741">
        <v>33</v>
      </c>
      <c r="L741">
        <v>3.9</v>
      </c>
      <c r="M741" t="b">
        <v>0</v>
      </c>
    </row>
    <row r="742" spans="1:14" x14ac:dyDescent="0.25">
      <c r="A742" t="s">
        <v>795</v>
      </c>
      <c r="B742" t="s">
        <v>42</v>
      </c>
      <c r="C742" t="s">
        <v>22</v>
      </c>
      <c r="D742" t="s">
        <v>62</v>
      </c>
      <c r="E742" t="s">
        <v>18</v>
      </c>
      <c r="F742" t="s">
        <v>25</v>
      </c>
      <c r="G742">
        <v>135.99</v>
      </c>
      <c r="H742">
        <v>0</v>
      </c>
      <c r="I742">
        <v>135.99</v>
      </c>
      <c r="J742" s="1">
        <v>45875</v>
      </c>
      <c r="K742">
        <v>34</v>
      </c>
      <c r="L742">
        <v>3</v>
      </c>
      <c r="M742" t="b">
        <v>0</v>
      </c>
    </row>
    <row r="743" spans="1:14" x14ac:dyDescent="0.25">
      <c r="A743" t="s">
        <v>796</v>
      </c>
      <c r="B743" t="s">
        <v>42</v>
      </c>
      <c r="C743" t="s">
        <v>43</v>
      </c>
      <c r="D743" t="s">
        <v>23</v>
      </c>
      <c r="E743" t="s">
        <v>39</v>
      </c>
      <c r="F743" t="s">
        <v>66</v>
      </c>
      <c r="G743">
        <v>53.49</v>
      </c>
      <c r="H743">
        <v>21.8</v>
      </c>
      <c r="I743">
        <v>41.83</v>
      </c>
      <c r="J743" s="1">
        <v>45875</v>
      </c>
      <c r="K743">
        <v>41</v>
      </c>
      <c r="L743">
        <v>2.1</v>
      </c>
      <c r="M743" t="b">
        <v>0</v>
      </c>
    </row>
    <row r="744" spans="1:14" x14ac:dyDescent="0.25">
      <c r="A744" t="s">
        <v>797</v>
      </c>
      <c r="B744" t="s">
        <v>21</v>
      </c>
      <c r="C744" t="s">
        <v>75</v>
      </c>
      <c r="D744" t="s">
        <v>62</v>
      </c>
      <c r="E744" t="s">
        <v>39</v>
      </c>
      <c r="F744" t="s">
        <v>25</v>
      </c>
      <c r="G744">
        <v>113.29</v>
      </c>
      <c r="H744">
        <v>34</v>
      </c>
      <c r="I744">
        <v>74.77</v>
      </c>
      <c r="J744" s="1">
        <v>45875</v>
      </c>
      <c r="K744">
        <v>10</v>
      </c>
      <c r="M744" t="b">
        <v>0</v>
      </c>
    </row>
    <row r="745" spans="1:14" x14ac:dyDescent="0.25">
      <c r="A745" t="s">
        <v>798</v>
      </c>
      <c r="B745" t="s">
        <v>21</v>
      </c>
      <c r="C745" t="s">
        <v>48</v>
      </c>
      <c r="D745" t="s">
        <v>23</v>
      </c>
      <c r="E745" t="s">
        <v>24</v>
      </c>
      <c r="F745" t="s">
        <v>35</v>
      </c>
      <c r="G745">
        <v>110.87</v>
      </c>
      <c r="H745">
        <v>6</v>
      </c>
      <c r="I745">
        <v>104.22</v>
      </c>
      <c r="J745" s="1">
        <v>45875</v>
      </c>
      <c r="K745">
        <v>15</v>
      </c>
      <c r="M745" t="b">
        <v>0</v>
      </c>
    </row>
    <row r="746" spans="1:14" x14ac:dyDescent="0.25">
      <c r="A746" t="s">
        <v>799</v>
      </c>
      <c r="B746" t="s">
        <v>21</v>
      </c>
      <c r="C746" t="s">
        <v>53</v>
      </c>
      <c r="D746" t="s">
        <v>34</v>
      </c>
      <c r="F746" t="s">
        <v>64</v>
      </c>
      <c r="G746">
        <v>94.3</v>
      </c>
      <c r="H746">
        <v>0</v>
      </c>
      <c r="I746">
        <v>94.3</v>
      </c>
      <c r="J746" s="1">
        <v>45875</v>
      </c>
      <c r="K746">
        <v>16</v>
      </c>
      <c r="M746" t="b">
        <v>0</v>
      </c>
    </row>
    <row r="747" spans="1:14" x14ac:dyDescent="0.25">
      <c r="A747" t="s">
        <v>800</v>
      </c>
      <c r="B747" t="s">
        <v>27</v>
      </c>
      <c r="C747" t="s">
        <v>75</v>
      </c>
      <c r="D747" t="s">
        <v>17</v>
      </c>
      <c r="F747" t="s">
        <v>19</v>
      </c>
      <c r="G747">
        <v>37.94</v>
      </c>
      <c r="H747">
        <v>0</v>
      </c>
      <c r="I747">
        <v>37.94</v>
      </c>
      <c r="J747" s="1">
        <v>45573</v>
      </c>
      <c r="K747">
        <v>9</v>
      </c>
      <c r="L747">
        <v>4.5999999999999996</v>
      </c>
      <c r="M747" t="b">
        <v>0</v>
      </c>
    </row>
    <row r="748" spans="1:14" x14ac:dyDescent="0.25">
      <c r="A748" t="s">
        <v>801</v>
      </c>
      <c r="B748" t="s">
        <v>15</v>
      </c>
      <c r="C748" t="s">
        <v>53</v>
      </c>
      <c r="D748" t="s">
        <v>23</v>
      </c>
      <c r="E748" t="s">
        <v>49</v>
      </c>
      <c r="F748" t="s">
        <v>40</v>
      </c>
      <c r="G748">
        <v>200.24</v>
      </c>
      <c r="H748">
        <v>23</v>
      </c>
      <c r="I748">
        <v>154.18</v>
      </c>
      <c r="J748" s="1">
        <v>45875</v>
      </c>
      <c r="K748">
        <v>38</v>
      </c>
      <c r="M748" t="b">
        <v>0</v>
      </c>
    </row>
    <row r="749" spans="1:14" x14ac:dyDescent="0.25">
      <c r="A749" t="s">
        <v>802</v>
      </c>
      <c r="B749" t="s">
        <v>27</v>
      </c>
      <c r="C749" t="s">
        <v>75</v>
      </c>
      <c r="D749" t="s">
        <v>23</v>
      </c>
      <c r="F749" t="s">
        <v>66</v>
      </c>
      <c r="G749">
        <v>43.45</v>
      </c>
      <c r="H749">
        <v>0</v>
      </c>
      <c r="I749">
        <v>43.45</v>
      </c>
      <c r="J749" s="1">
        <v>45875</v>
      </c>
      <c r="K749">
        <v>50</v>
      </c>
      <c r="L749">
        <v>4</v>
      </c>
      <c r="M749" t="b">
        <v>0</v>
      </c>
    </row>
    <row r="750" spans="1:14" x14ac:dyDescent="0.25">
      <c r="A750" t="s">
        <v>803</v>
      </c>
      <c r="B750" t="s">
        <v>38</v>
      </c>
      <c r="C750" t="s">
        <v>75</v>
      </c>
      <c r="D750" t="s">
        <v>62</v>
      </c>
      <c r="E750" t="s">
        <v>24</v>
      </c>
      <c r="F750" t="s">
        <v>19</v>
      </c>
      <c r="G750">
        <v>76.92</v>
      </c>
      <c r="H750">
        <v>9.6</v>
      </c>
      <c r="I750">
        <v>69.540000000000006</v>
      </c>
      <c r="J750" s="1">
        <v>45875</v>
      </c>
      <c r="K750">
        <v>20</v>
      </c>
      <c r="L750">
        <v>2</v>
      </c>
      <c r="M750" t="b">
        <v>0</v>
      </c>
    </row>
    <row r="751" spans="1:14" x14ac:dyDescent="0.25">
      <c r="A751" t="s">
        <v>804</v>
      </c>
      <c r="B751" t="s">
        <v>27</v>
      </c>
      <c r="C751" t="s">
        <v>75</v>
      </c>
      <c r="D751" t="s">
        <v>34</v>
      </c>
      <c r="F751" t="s">
        <v>35</v>
      </c>
      <c r="G751">
        <v>21.09</v>
      </c>
      <c r="H751">
        <v>0</v>
      </c>
      <c r="I751">
        <v>21.09</v>
      </c>
      <c r="J751" s="1">
        <v>45875</v>
      </c>
      <c r="K751">
        <v>33</v>
      </c>
      <c r="L751">
        <v>4.0999999999999996</v>
      </c>
      <c r="M751" t="b">
        <v>1</v>
      </c>
      <c r="N751" t="s">
        <v>73</v>
      </c>
    </row>
    <row r="752" spans="1:14" x14ac:dyDescent="0.25">
      <c r="A752" t="s">
        <v>805</v>
      </c>
      <c r="B752" t="s">
        <v>42</v>
      </c>
      <c r="C752" t="s">
        <v>32</v>
      </c>
      <c r="D752" t="s">
        <v>23</v>
      </c>
      <c r="E752" t="s">
        <v>18</v>
      </c>
      <c r="F752" t="s">
        <v>46</v>
      </c>
      <c r="G752">
        <v>55.47</v>
      </c>
      <c r="H752">
        <v>0</v>
      </c>
      <c r="I752">
        <v>55.47</v>
      </c>
      <c r="J752" s="1">
        <v>45875</v>
      </c>
      <c r="K752">
        <v>18</v>
      </c>
      <c r="M752" t="b">
        <v>0</v>
      </c>
    </row>
    <row r="753" spans="1:14" x14ac:dyDescent="0.25">
      <c r="A753" t="s">
        <v>806</v>
      </c>
      <c r="B753" t="s">
        <v>15</v>
      </c>
      <c r="C753" t="s">
        <v>48</v>
      </c>
      <c r="D753" t="s">
        <v>17</v>
      </c>
      <c r="E753" t="s">
        <v>49</v>
      </c>
      <c r="F753" t="s">
        <v>35</v>
      </c>
      <c r="G753">
        <v>122.53</v>
      </c>
      <c r="H753">
        <v>0</v>
      </c>
      <c r="I753">
        <v>122.53</v>
      </c>
      <c r="J753" s="1">
        <v>45556</v>
      </c>
      <c r="K753">
        <v>25</v>
      </c>
      <c r="M753" t="b">
        <v>0</v>
      </c>
    </row>
    <row r="754" spans="1:14" x14ac:dyDescent="0.25">
      <c r="A754" t="s">
        <v>807</v>
      </c>
      <c r="B754" t="s">
        <v>27</v>
      </c>
      <c r="C754" t="s">
        <v>22</v>
      </c>
      <c r="D754" t="s">
        <v>62</v>
      </c>
      <c r="F754" t="s">
        <v>56</v>
      </c>
      <c r="G754">
        <v>61.13</v>
      </c>
      <c r="H754">
        <v>0</v>
      </c>
      <c r="I754">
        <v>61.13</v>
      </c>
      <c r="J754" s="1">
        <v>45875</v>
      </c>
      <c r="K754">
        <v>34</v>
      </c>
      <c r="L754">
        <v>2.6</v>
      </c>
      <c r="M754" t="b">
        <v>0</v>
      </c>
    </row>
    <row r="755" spans="1:14" x14ac:dyDescent="0.25">
      <c r="A755" t="s">
        <v>808</v>
      </c>
      <c r="B755" t="s">
        <v>15</v>
      </c>
      <c r="C755" t="s">
        <v>22</v>
      </c>
      <c r="D755" t="s">
        <v>17</v>
      </c>
      <c r="E755" t="s">
        <v>55</v>
      </c>
      <c r="F755" t="s">
        <v>70</v>
      </c>
      <c r="G755">
        <v>127.59</v>
      </c>
      <c r="H755">
        <v>0</v>
      </c>
      <c r="I755">
        <v>127.59</v>
      </c>
      <c r="J755" s="1">
        <v>45785</v>
      </c>
      <c r="K755">
        <v>1</v>
      </c>
      <c r="L755">
        <v>4.9000000000000004</v>
      </c>
      <c r="M755" t="b">
        <v>0</v>
      </c>
    </row>
    <row r="756" spans="1:14" x14ac:dyDescent="0.25">
      <c r="A756" t="s">
        <v>809</v>
      </c>
      <c r="B756" t="s">
        <v>27</v>
      </c>
      <c r="C756" t="s">
        <v>53</v>
      </c>
      <c r="D756" t="s">
        <v>62</v>
      </c>
      <c r="F756" t="s">
        <v>64</v>
      </c>
      <c r="G756">
        <v>73.040000000000006</v>
      </c>
      <c r="H756">
        <v>0</v>
      </c>
      <c r="I756">
        <v>73.040000000000006</v>
      </c>
      <c r="J756" s="1">
        <v>45875</v>
      </c>
      <c r="K756">
        <v>44</v>
      </c>
      <c r="L756">
        <v>4.2</v>
      </c>
      <c r="M756" t="b">
        <v>0</v>
      </c>
    </row>
    <row r="757" spans="1:14" x14ac:dyDescent="0.25">
      <c r="A757" t="s">
        <v>810</v>
      </c>
      <c r="B757" t="s">
        <v>15</v>
      </c>
      <c r="C757" t="s">
        <v>22</v>
      </c>
      <c r="D757" t="s">
        <v>23</v>
      </c>
      <c r="E757" t="s">
        <v>18</v>
      </c>
      <c r="F757" t="s">
        <v>56</v>
      </c>
      <c r="G757">
        <v>129.46</v>
      </c>
      <c r="H757">
        <v>0</v>
      </c>
      <c r="I757">
        <v>129.46</v>
      </c>
      <c r="J757" s="1">
        <v>45875</v>
      </c>
      <c r="K757">
        <v>32</v>
      </c>
      <c r="L757">
        <v>4</v>
      </c>
      <c r="M757" t="b">
        <v>0</v>
      </c>
    </row>
    <row r="758" spans="1:14" x14ac:dyDescent="0.25">
      <c r="A758" t="s">
        <v>811</v>
      </c>
      <c r="B758" t="s">
        <v>27</v>
      </c>
      <c r="C758" t="s">
        <v>32</v>
      </c>
      <c r="D758" t="s">
        <v>23</v>
      </c>
      <c r="F758" t="s">
        <v>35</v>
      </c>
      <c r="G758">
        <v>51.3</v>
      </c>
      <c r="H758">
        <v>0</v>
      </c>
      <c r="I758">
        <v>51.3</v>
      </c>
      <c r="J758" s="1">
        <v>45875</v>
      </c>
      <c r="K758">
        <v>33</v>
      </c>
      <c r="M758" t="b">
        <v>0</v>
      </c>
    </row>
    <row r="759" spans="1:14" x14ac:dyDescent="0.25">
      <c r="A759" t="s">
        <v>812</v>
      </c>
      <c r="B759" t="s">
        <v>42</v>
      </c>
      <c r="C759" t="s">
        <v>48</v>
      </c>
      <c r="D759" t="s">
        <v>17</v>
      </c>
      <c r="E759" t="s">
        <v>24</v>
      </c>
      <c r="F759" t="s">
        <v>40</v>
      </c>
      <c r="G759">
        <v>173</v>
      </c>
      <c r="H759">
        <v>0</v>
      </c>
      <c r="I759">
        <v>173</v>
      </c>
      <c r="J759" s="1">
        <v>45759</v>
      </c>
      <c r="K759">
        <v>13</v>
      </c>
      <c r="L759">
        <v>3.9</v>
      </c>
      <c r="M759" t="b">
        <v>0</v>
      </c>
    </row>
    <row r="760" spans="1:14" x14ac:dyDescent="0.25">
      <c r="A760" t="s">
        <v>813</v>
      </c>
      <c r="B760" t="s">
        <v>27</v>
      </c>
      <c r="C760" t="s">
        <v>22</v>
      </c>
      <c r="D760" t="s">
        <v>62</v>
      </c>
      <c r="F760" t="s">
        <v>46</v>
      </c>
      <c r="G760">
        <v>70.72</v>
      </c>
      <c r="H760">
        <v>0</v>
      </c>
      <c r="I760">
        <v>70.72</v>
      </c>
      <c r="J760" s="1">
        <v>45875</v>
      </c>
      <c r="K760">
        <v>18</v>
      </c>
      <c r="L760">
        <v>2.8</v>
      </c>
      <c r="M760" t="b">
        <v>0</v>
      </c>
    </row>
    <row r="761" spans="1:14" x14ac:dyDescent="0.25">
      <c r="A761" t="s">
        <v>814</v>
      </c>
      <c r="B761" t="s">
        <v>42</v>
      </c>
      <c r="C761" t="s">
        <v>75</v>
      </c>
      <c r="D761" t="s">
        <v>62</v>
      </c>
      <c r="E761" t="s">
        <v>39</v>
      </c>
      <c r="F761" t="s">
        <v>28</v>
      </c>
      <c r="G761">
        <v>126.37</v>
      </c>
      <c r="H761">
        <v>0</v>
      </c>
      <c r="I761">
        <v>126.37</v>
      </c>
      <c r="J761" s="1">
        <v>45875</v>
      </c>
      <c r="K761">
        <v>42</v>
      </c>
      <c r="L761">
        <v>2</v>
      </c>
      <c r="M761" t="b">
        <v>0</v>
      </c>
    </row>
    <row r="762" spans="1:14" x14ac:dyDescent="0.25">
      <c r="A762" t="s">
        <v>815</v>
      </c>
      <c r="B762" t="s">
        <v>38</v>
      </c>
      <c r="C762" t="s">
        <v>16</v>
      </c>
      <c r="D762" t="s">
        <v>23</v>
      </c>
      <c r="E762" t="s">
        <v>49</v>
      </c>
      <c r="F762" t="s">
        <v>44</v>
      </c>
      <c r="G762">
        <v>84.19</v>
      </c>
      <c r="H762">
        <v>9.6</v>
      </c>
      <c r="I762">
        <v>76.11</v>
      </c>
      <c r="J762" s="1">
        <v>45875</v>
      </c>
      <c r="K762">
        <v>45</v>
      </c>
      <c r="L762">
        <v>2.1</v>
      </c>
      <c r="M762" t="b">
        <v>0</v>
      </c>
    </row>
    <row r="763" spans="1:14" x14ac:dyDescent="0.25">
      <c r="A763" t="s">
        <v>816</v>
      </c>
      <c r="B763" t="s">
        <v>27</v>
      </c>
      <c r="C763" t="s">
        <v>75</v>
      </c>
      <c r="D763" t="s">
        <v>62</v>
      </c>
      <c r="F763" t="s">
        <v>25</v>
      </c>
      <c r="G763">
        <v>59.39</v>
      </c>
      <c r="H763">
        <v>44.6</v>
      </c>
      <c r="I763">
        <v>32.9</v>
      </c>
      <c r="J763" s="1">
        <v>45875</v>
      </c>
      <c r="K763">
        <v>41</v>
      </c>
      <c r="L763">
        <v>2.2999999999999998</v>
      </c>
      <c r="M763" t="b">
        <v>1</v>
      </c>
      <c r="N763" t="s">
        <v>36</v>
      </c>
    </row>
    <row r="764" spans="1:14" x14ac:dyDescent="0.25">
      <c r="A764" t="s">
        <v>817</v>
      </c>
      <c r="B764" t="s">
        <v>15</v>
      </c>
      <c r="C764" t="s">
        <v>43</v>
      </c>
      <c r="D764" t="s">
        <v>34</v>
      </c>
      <c r="E764" t="s">
        <v>58</v>
      </c>
      <c r="F764" t="s">
        <v>46</v>
      </c>
      <c r="G764">
        <v>195.38</v>
      </c>
      <c r="H764">
        <v>0.3</v>
      </c>
      <c r="I764">
        <v>194.79</v>
      </c>
      <c r="J764" s="1">
        <v>45875</v>
      </c>
      <c r="K764">
        <v>30</v>
      </c>
      <c r="L764">
        <v>2.9</v>
      </c>
      <c r="M764" t="b">
        <v>0</v>
      </c>
    </row>
    <row r="765" spans="1:14" x14ac:dyDescent="0.25">
      <c r="A765" t="s">
        <v>818</v>
      </c>
      <c r="B765" t="s">
        <v>42</v>
      </c>
      <c r="C765" t="s">
        <v>61</v>
      </c>
      <c r="D765" t="s">
        <v>17</v>
      </c>
      <c r="E765" t="s">
        <v>39</v>
      </c>
      <c r="F765" t="s">
        <v>35</v>
      </c>
      <c r="G765">
        <v>107.64</v>
      </c>
      <c r="H765">
        <v>7.5</v>
      </c>
      <c r="I765">
        <v>99.57</v>
      </c>
      <c r="J765" s="1">
        <v>45545</v>
      </c>
      <c r="K765">
        <v>21</v>
      </c>
      <c r="L765">
        <v>4.5999999999999996</v>
      </c>
      <c r="M765" t="b">
        <v>0</v>
      </c>
    </row>
    <row r="766" spans="1:14" x14ac:dyDescent="0.25">
      <c r="A766" t="s">
        <v>819</v>
      </c>
      <c r="B766" t="s">
        <v>30</v>
      </c>
      <c r="C766" t="s">
        <v>48</v>
      </c>
      <c r="D766" t="s">
        <v>17</v>
      </c>
      <c r="E766" t="s">
        <v>24</v>
      </c>
      <c r="F766" t="s">
        <v>44</v>
      </c>
      <c r="G766">
        <v>63.12</v>
      </c>
      <c r="H766">
        <v>0</v>
      </c>
      <c r="I766">
        <v>63.12</v>
      </c>
      <c r="J766" s="1">
        <v>45604</v>
      </c>
      <c r="K766">
        <v>35</v>
      </c>
      <c r="L766">
        <v>2.9</v>
      </c>
      <c r="M766" t="b">
        <v>0</v>
      </c>
    </row>
    <row r="767" spans="1:14" x14ac:dyDescent="0.25">
      <c r="A767" t="s">
        <v>820</v>
      </c>
      <c r="B767" t="s">
        <v>38</v>
      </c>
      <c r="C767" t="s">
        <v>61</v>
      </c>
      <c r="D767" t="s">
        <v>34</v>
      </c>
      <c r="E767" t="s">
        <v>24</v>
      </c>
      <c r="F767" t="s">
        <v>44</v>
      </c>
      <c r="G767">
        <v>58.91</v>
      </c>
      <c r="H767">
        <v>0</v>
      </c>
      <c r="I767">
        <v>58.91</v>
      </c>
      <c r="J767" s="1">
        <v>45875</v>
      </c>
      <c r="K767">
        <v>17</v>
      </c>
      <c r="L767">
        <v>2</v>
      </c>
      <c r="M767" t="b">
        <v>0</v>
      </c>
    </row>
    <row r="768" spans="1:14" x14ac:dyDescent="0.25">
      <c r="A768" t="s">
        <v>821</v>
      </c>
      <c r="B768" t="s">
        <v>38</v>
      </c>
      <c r="C768" t="s">
        <v>48</v>
      </c>
      <c r="D768" t="s">
        <v>62</v>
      </c>
      <c r="E768" t="s">
        <v>24</v>
      </c>
      <c r="F768" t="s">
        <v>46</v>
      </c>
      <c r="G768">
        <v>93.27</v>
      </c>
      <c r="H768">
        <v>0</v>
      </c>
      <c r="I768">
        <v>93.27</v>
      </c>
      <c r="J768" s="1">
        <v>45875</v>
      </c>
      <c r="K768">
        <v>18</v>
      </c>
      <c r="L768">
        <v>3.7</v>
      </c>
      <c r="M768" t="b">
        <v>0</v>
      </c>
    </row>
    <row r="769" spans="1:14" x14ac:dyDescent="0.25">
      <c r="A769" t="s">
        <v>822</v>
      </c>
      <c r="B769" t="s">
        <v>42</v>
      </c>
      <c r="C769" t="s">
        <v>75</v>
      </c>
      <c r="D769" t="s">
        <v>17</v>
      </c>
      <c r="E769" t="s">
        <v>18</v>
      </c>
      <c r="F769" t="s">
        <v>46</v>
      </c>
      <c r="G769">
        <v>147.88</v>
      </c>
      <c r="H769">
        <v>36.799999999999997</v>
      </c>
      <c r="I769">
        <v>93.46</v>
      </c>
      <c r="J769" s="1">
        <v>45543</v>
      </c>
      <c r="K769">
        <v>37</v>
      </c>
      <c r="L769">
        <v>3.3</v>
      </c>
      <c r="M769" t="b">
        <v>0</v>
      </c>
    </row>
    <row r="770" spans="1:14" x14ac:dyDescent="0.25">
      <c r="A770" t="s">
        <v>823</v>
      </c>
      <c r="B770" t="s">
        <v>21</v>
      </c>
      <c r="C770" t="s">
        <v>22</v>
      </c>
      <c r="D770" t="s">
        <v>34</v>
      </c>
      <c r="E770" t="s">
        <v>24</v>
      </c>
      <c r="F770" t="s">
        <v>40</v>
      </c>
      <c r="G770">
        <v>30.53</v>
      </c>
      <c r="H770">
        <v>0</v>
      </c>
      <c r="I770">
        <v>30.53</v>
      </c>
      <c r="J770" s="1">
        <v>45875</v>
      </c>
      <c r="K770">
        <v>25</v>
      </c>
      <c r="L770">
        <v>2.5</v>
      </c>
      <c r="M770" t="b">
        <v>0</v>
      </c>
    </row>
    <row r="771" spans="1:14" x14ac:dyDescent="0.25">
      <c r="A771" t="s">
        <v>824</v>
      </c>
      <c r="B771" t="s">
        <v>21</v>
      </c>
      <c r="C771" t="s">
        <v>16</v>
      </c>
      <c r="D771" t="s">
        <v>34</v>
      </c>
      <c r="E771" t="s">
        <v>39</v>
      </c>
      <c r="F771" t="s">
        <v>35</v>
      </c>
      <c r="G771">
        <v>104.96</v>
      </c>
      <c r="H771">
        <v>1.6</v>
      </c>
      <c r="I771">
        <v>103.28</v>
      </c>
      <c r="J771" s="1">
        <v>45875</v>
      </c>
      <c r="K771">
        <v>33</v>
      </c>
      <c r="L771">
        <v>2</v>
      </c>
      <c r="M771" t="b">
        <v>0</v>
      </c>
    </row>
    <row r="772" spans="1:14" x14ac:dyDescent="0.25">
      <c r="A772" t="s">
        <v>825</v>
      </c>
      <c r="B772" t="s">
        <v>42</v>
      </c>
      <c r="C772" t="s">
        <v>48</v>
      </c>
      <c r="D772" t="s">
        <v>23</v>
      </c>
      <c r="E772" t="s">
        <v>55</v>
      </c>
      <c r="F772" t="s">
        <v>44</v>
      </c>
      <c r="G772">
        <v>75.52</v>
      </c>
      <c r="H772">
        <v>0</v>
      </c>
      <c r="I772">
        <v>75.52</v>
      </c>
      <c r="J772" s="1">
        <v>45875</v>
      </c>
      <c r="K772">
        <v>2</v>
      </c>
      <c r="L772">
        <v>2.8</v>
      </c>
      <c r="M772" t="b">
        <v>0</v>
      </c>
    </row>
    <row r="773" spans="1:14" x14ac:dyDescent="0.25">
      <c r="A773" t="s">
        <v>826</v>
      </c>
      <c r="B773" t="s">
        <v>38</v>
      </c>
      <c r="C773" t="s">
        <v>61</v>
      </c>
      <c r="D773" t="s">
        <v>23</v>
      </c>
      <c r="E773" t="s">
        <v>58</v>
      </c>
      <c r="F773" t="s">
        <v>19</v>
      </c>
      <c r="G773">
        <v>54.7</v>
      </c>
      <c r="H773">
        <v>0</v>
      </c>
      <c r="I773">
        <v>54.7</v>
      </c>
      <c r="J773" s="1">
        <v>45875</v>
      </c>
      <c r="K773">
        <v>18</v>
      </c>
      <c r="L773">
        <v>4.2</v>
      </c>
      <c r="M773" t="b">
        <v>0</v>
      </c>
    </row>
    <row r="774" spans="1:14" x14ac:dyDescent="0.25">
      <c r="A774" t="s">
        <v>827</v>
      </c>
      <c r="B774" t="s">
        <v>30</v>
      </c>
      <c r="C774" t="s">
        <v>53</v>
      </c>
      <c r="D774" t="s">
        <v>62</v>
      </c>
      <c r="E774" t="s">
        <v>55</v>
      </c>
      <c r="F774" t="s">
        <v>28</v>
      </c>
      <c r="G774">
        <v>126.25</v>
      </c>
      <c r="H774">
        <v>25.9</v>
      </c>
      <c r="I774">
        <v>93.55</v>
      </c>
      <c r="J774" s="1">
        <v>45875</v>
      </c>
      <c r="K774">
        <v>40</v>
      </c>
      <c r="L774">
        <v>1.5</v>
      </c>
      <c r="M774" t="b">
        <v>1</v>
      </c>
      <c r="N774" t="s">
        <v>73</v>
      </c>
    </row>
    <row r="775" spans="1:14" x14ac:dyDescent="0.25">
      <c r="A775" t="s">
        <v>828</v>
      </c>
      <c r="B775" t="s">
        <v>30</v>
      </c>
      <c r="C775" t="s">
        <v>32</v>
      </c>
      <c r="D775" t="s">
        <v>62</v>
      </c>
      <c r="E775" t="s">
        <v>55</v>
      </c>
      <c r="F775" t="s">
        <v>44</v>
      </c>
      <c r="G775">
        <v>63.86</v>
      </c>
      <c r="H775">
        <v>52.8</v>
      </c>
      <c r="I775">
        <v>30.14</v>
      </c>
      <c r="J775" s="1">
        <v>45875</v>
      </c>
      <c r="K775">
        <v>23</v>
      </c>
      <c r="M775" t="b">
        <v>0</v>
      </c>
    </row>
    <row r="776" spans="1:14" x14ac:dyDescent="0.25">
      <c r="A776" t="s">
        <v>829</v>
      </c>
      <c r="B776" t="s">
        <v>27</v>
      </c>
      <c r="C776" t="s">
        <v>22</v>
      </c>
      <c r="D776" t="s">
        <v>23</v>
      </c>
      <c r="F776" t="s">
        <v>19</v>
      </c>
      <c r="G776">
        <v>75.930000000000007</v>
      </c>
      <c r="H776">
        <v>0</v>
      </c>
      <c r="I776">
        <v>75.930000000000007</v>
      </c>
      <c r="J776" s="1">
        <v>45875</v>
      </c>
      <c r="K776">
        <v>32</v>
      </c>
      <c r="L776">
        <v>3.1</v>
      </c>
      <c r="M776" t="b">
        <v>0</v>
      </c>
    </row>
    <row r="777" spans="1:14" x14ac:dyDescent="0.25">
      <c r="A777" t="s">
        <v>830</v>
      </c>
      <c r="B777" t="s">
        <v>21</v>
      </c>
      <c r="C777" t="s">
        <v>16</v>
      </c>
      <c r="D777" t="s">
        <v>34</v>
      </c>
      <c r="E777" t="s">
        <v>58</v>
      </c>
      <c r="F777" t="s">
        <v>70</v>
      </c>
      <c r="G777">
        <v>82.51</v>
      </c>
      <c r="H777">
        <v>27.3</v>
      </c>
      <c r="I777">
        <v>59.98</v>
      </c>
      <c r="J777" s="1">
        <v>45875</v>
      </c>
      <c r="K777">
        <v>9</v>
      </c>
      <c r="L777">
        <v>3.8</v>
      </c>
      <c r="M777" t="b">
        <v>0</v>
      </c>
    </row>
    <row r="778" spans="1:14" x14ac:dyDescent="0.25">
      <c r="A778" t="s">
        <v>831</v>
      </c>
      <c r="B778" t="s">
        <v>38</v>
      </c>
      <c r="C778" t="s">
        <v>32</v>
      </c>
      <c r="D778" t="s">
        <v>34</v>
      </c>
      <c r="E778" t="s">
        <v>49</v>
      </c>
      <c r="F778" t="s">
        <v>46</v>
      </c>
      <c r="G778">
        <v>46.02</v>
      </c>
      <c r="H778">
        <v>0</v>
      </c>
      <c r="I778">
        <v>46.02</v>
      </c>
      <c r="J778" s="1">
        <v>45875</v>
      </c>
      <c r="K778">
        <v>21</v>
      </c>
      <c r="L778">
        <v>1.1000000000000001</v>
      </c>
      <c r="M778" t="b">
        <v>0</v>
      </c>
    </row>
    <row r="779" spans="1:14" x14ac:dyDescent="0.25">
      <c r="A779" t="s">
        <v>832</v>
      </c>
      <c r="B779" t="s">
        <v>42</v>
      </c>
      <c r="C779" t="s">
        <v>43</v>
      </c>
      <c r="D779" t="s">
        <v>23</v>
      </c>
      <c r="E779" t="s">
        <v>49</v>
      </c>
      <c r="F779" t="s">
        <v>70</v>
      </c>
      <c r="G779">
        <v>125.67</v>
      </c>
      <c r="H779">
        <v>45.5</v>
      </c>
      <c r="I779">
        <v>68.489999999999995</v>
      </c>
      <c r="J779" s="1">
        <v>45875</v>
      </c>
      <c r="K779">
        <v>27</v>
      </c>
      <c r="L779">
        <v>1.6</v>
      </c>
      <c r="M779" t="b">
        <v>0</v>
      </c>
    </row>
    <row r="780" spans="1:14" x14ac:dyDescent="0.25">
      <c r="A780" t="s">
        <v>833</v>
      </c>
      <c r="B780" t="s">
        <v>30</v>
      </c>
      <c r="C780" t="s">
        <v>43</v>
      </c>
      <c r="D780" t="s">
        <v>23</v>
      </c>
      <c r="E780" t="s">
        <v>39</v>
      </c>
      <c r="F780" t="s">
        <v>19</v>
      </c>
      <c r="G780">
        <v>65.61</v>
      </c>
      <c r="H780">
        <v>50.7</v>
      </c>
      <c r="I780">
        <v>32.35</v>
      </c>
      <c r="J780" s="1">
        <v>45875</v>
      </c>
      <c r="K780">
        <v>23</v>
      </c>
      <c r="L780">
        <v>1.1000000000000001</v>
      </c>
      <c r="M780" t="b">
        <v>0</v>
      </c>
    </row>
    <row r="781" spans="1:14" x14ac:dyDescent="0.25">
      <c r="A781" t="s">
        <v>834</v>
      </c>
      <c r="B781" t="s">
        <v>42</v>
      </c>
      <c r="C781" t="s">
        <v>32</v>
      </c>
      <c r="D781" t="s">
        <v>62</v>
      </c>
      <c r="E781" t="s">
        <v>55</v>
      </c>
      <c r="F781" t="s">
        <v>56</v>
      </c>
      <c r="G781">
        <v>91.61</v>
      </c>
      <c r="H781">
        <v>0</v>
      </c>
      <c r="I781">
        <v>91.61</v>
      </c>
      <c r="J781" s="1">
        <v>45875</v>
      </c>
      <c r="K781">
        <v>31</v>
      </c>
      <c r="L781">
        <v>1.4</v>
      </c>
      <c r="M781" t="b">
        <v>0</v>
      </c>
    </row>
    <row r="782" spans="1:14" x14ac:dyDescent="0.25">
      <c r="A782" t="s">
        <v>835</v>
      </c>
      <c r="B782" t="s">
        <v>15</v>
      </c>
      <c r="C782" t="s">
        <v>48</v>
      </c>
      <c r="D782" t="s">
        <v>62</v>
      </c>
      <c r="E782" t="s">
        <v>55</v>
      </c>
      <c r="F782" t="s">
        <v>25</v>
      </c>
      <c r="G782">
        <v>162.78</v>
      </c>
      <c r="H782">
        <v>0</v>
      </c>
      <c r="I782">
        <v>162.78</v>
      </c>
      <c r="J782" s="1">
        <v>45875</v>
      </c>
      <c r="K782">
        <v>0</v>
      </c>
      <c r="M782" t="b">
        <v>0</v>
      </c>
    </row>
    <row r="783" spans="1:14" x14ac:dyDescent="0.25">
      <c r="A783" t="s">
        <v>836</v>
      </c>
      <c r="B783" t="s">
        <v>15</v>
      </c>
      <c r="C783" t="s">
        <v>43</v>
      </c>
      <c r="D783" t="s">
        <v>23</v>
      </c>
      <c r="E783" t="s">
        <v>58</v>
      </c>
      <c r="F783" t="s">
        <v>40</v>
      </c>
      <c r="G783">
        <v>134.35</v>
      </c>
      <c r="H783">
        <v>35.299999999999997</v>
      </c>
      <c r="I783">
        <v>86.92</v>
      </c>
      <c r="J783" s="1">
        <v>45875</v>
      </c>
      <c r="K783">
        <v>36</v>
      </c>
      <c r="M783" t="b">
        <v>0</v>
      </c>
    </row>
    <row r="784" spans="1:14" x14ac:dyDescent="0.25">
      <c r="A784" t="s">
        <v>837</v>
      </c>
      <c r="B784" t="s">
        <v>38</v>
      </c>
      <c r="C784" t="s">
        <v>43</v>
      </c>
      <c r="D784" t="s">
        <v>17</v>
      </c>
      <c r="F784" t="s">
        <v>40</v>
      </c>
      <c r="G784">
        <v>77.739999999999995</v>
      </c>
      <c r="H784">
        <v>38.799999999999997</v>
      </c>
      <c r="I784">
        <v>47.58</v>
      </c>
      <c r="J784" s="1">
        <v>45849</v>
      </c>
      <c r="K784">
        <v>23</v>
      </c>
      <c r="L784">
        <v>4.3</v>
      </c>
      <c r="M784" t="b">
        <v>0</v>
      </c>
    </row>
    <row r="785" spans="1:14" x14ac:dyDescent="0.25">
      <c r="A785" t="s">
        <v>838</v>
      </c>
      <c r="B785" t="s">
        <v>27</v>
      </c>
      <c r="C785" t="s">
        <v>61</v>
      </c>
      <c r="D785" t="s">
        <v>62</v>
      </c>
      <c r="F785" t="s">
        <v>70</v>
      </c>
      <c r="G785">
        <v>49.33</v>
      </c>
      <c r="H785">
        <v>59.9</v>
      </c>
      <c r="I785">
        <v>19.78</v>
      </c>
      <c r="J785" s="1">
        <v>45875</v>
      </c>
      <c r="K785">
        <v>47</v>
      </c>
      <c r="M785" t="b">
        <v>0</v>
      </c>
    </row>
    <row r="786" spans="1:14" x14ac:dyDescent="0.25">
      <c r="A786" t="s">
        <v>839</v>
      </c>
      <c r="B786" t="s">
        <v>15</v>
      </c>
      <c r="C786" t="s">
        <v>75</v>
      </c>
      <c r="D786" t="s">
        <v>62</v>
      </c>
      <c r="E786" t="s">
        <v>39</v>
      </c>
      <c r="F786" t="s">
        <v>40</v>
      </c>
      <c r="G786">
        <v>231.52</v>
      </c>
      <c r="H786">
        <v>17.3</v>
      </c>
      <c r="I786">
        <v>191.47</v>
      </c>
      <c r="J786" s="1">
        <v>45875</v>
      </c>
      <c r="K786">
        <v>49</v>
      </c>
      <c r="L786">
        <v>2.1</v>
      </c>
      <c r="M786" t="b">
        <v>0</v>
      </c>
    </row>
    <row r="787" spans="1:14" x14ac:dyDescent="0.25">
      <c r="A787" t="s">
        <v>840</v>
      </c>
      <c r="B787" t="s">
        <v>15</v>
      </c>
      <c r="C787" t="s">
        <v>61</v>
      </c>
      <c r="D787" t="s">
        <v>23</v>
      </c>
      <c r="E787" t="s">
        <v>18</v>
      </c>
      <c r="F787" t="s">
        <v>35</v>
      </c>
      <c r="G787">
        <v>140.1</v>
      </c>
      <c r="H787">
        <v>0</v>
      </c>
      <c r="I787">
        <v>140.1</v>
      </c>
      <c r="J787" s="1">
        <v>45875</v>
      </c>
      <c r="K787">
        <v>14</v>
      </c>
      <c r="L787">
        <v>3.9</v>
      </c>
      <c r="M787" t="b">
        <v>0</v>
      </c>
    </row>
    <row r="788" spans="1:14" x14ac:dyDescent="0.25">
      <c r="A788" t="s">
        <v>841</v>
      </c>
      <c r="B788" t="s">
        <v>42</v>
      </c>
      <c r="C788" t="s">
        <v>53</v>
      </c>
      <c r="D788" t="s">
        <v>62</v>
      </c>
      <c r="E788" t="s">
        <v>39</v>
      </c>
      <c r="F788" t="s">
        <v>25</v>
      </c>
      <c r="G788">
        <v>117.38</v>
      </c>
      <c r="H788">
        <v>27.8</v>
      </c>
      <c r="I788">
        <v>84.75</v>
      </c>
      <c r="J788" s="1">
        <v>45875</v>
      </c>
      <c r="K788">
        <v>34</v>
      </c>
      <c r="L788">
        <v>2.8</v>
      </c>
      <c r="M788" t="b">
        <v>1</v>
      </c>
      <c r="N788" t="s">
        <v>83</v>
      </c>
    </row>
    <row r="789" spans="1:14" x14ac:dyDescent="0.25">
      <c r="A789" t="s">
        <v>842</v>
      </c>
      <c r="B789" t="s">
        <v>21</v>
      </c>
      <c r="C789" t="s">
        <v>53</v>
      </c>
      <c r="D789" t="s">
        <v>17</v>
      </c>
      <c r="E789" t="s">
        <v>39</v>
      </c>
      <c r="F789" t="s">
        <v>66</v>
      </c>
      <c r="G789">
        <v>83.98</v>
      </c>
      <c r="H789">
        <v>0</v>
      </c>
      <c r="I789">
        <v>83.98</v>
      </c>
      <c r="J789" s="1">
        <v>45533</v>
      </c>
      <c r="K789">
        <v>23</v>
      </c>
      <c r="L789">
        <v>1.9</v>
      </c>
      <c r="M789" t="b">
        <v>0</v>
      </c>
    </row>
    <row r="790" spans="1:14" x14ac:dyDescent="0.25">
      <c r="A790" t="s">
        <v>843</v>
      </c>
      <c r="B790" t="s">
        <v>42</v>
      </c>
      <c r="C790" t="s">
        <v>48</v>
      </c>
      <c r="D790" t="s">
        <v>17</v>
      </c>
      <c r="E790" t="s">
        <v>18</v>
      </c>
      <c r="F790" t="s">
        <v>64</v>
      </c>
      <c r="G790">
        <v>111.67</v>
      </c>
      <c r="H790">
        <v>53.5</v>
      </c>
      <c r="I790">
        <v>51.93</v>
      </c>
      <c r="J790" s="1">
        <v>45693</v>
      </c>
      <c r="K790">
        <v>19</v>
      </c>
      <c r="M790" t="b">
        <v>0</v>
      </c>
    </row>
    <row r="791" spans="1:14" x14ac:dyDescent="0.25">
      <c r="A791" t="s">
        <v>844</v>
      </c>
      <c r="B791" t="s">
        <v>38</v>
      </c>
      <c r="C791" t="s">
        <v>48</v>
      </c>
      <c r="D791" t="s">
        <v>62</v>
      </c>
      <c r="E791" t="s">
        <v>39</v>
      </c>
      <c r="F791" t="s">
        <v>35</v>
      </c>
      <c r="G791">
        <v>25.16</v>
      </c>
      <c r="H791">
        <v>0</v>
      </c>
      <c r="I791">
        <v>25.16</v>
      </c>
      <c r="J791" s="1">
        <v>45875</v>
      </c>
      <c r="K791">
        <v>37</v>
      </c>
      <c r="L791">
        <v>2.8</v>
      </c>
      <c r="M791" t="b">
        <v>0</v>
      </c>
    </row>
    <row r="792" spans="1:14" x14ac:dyDescent="0.25">
      <c r="A792" t="s">
        <v>845</v>
      </c>
      <c r="B792" t="s">
        <v>15</v>
      </c>
      <c r="C792" t="s">
        <v>32</v>
      </c>
      <c r="D792" t="s">
        <v>34</v>
      </c>
      <c r="E792" t="s">
        <v>18</v>
      </c>
      <c r="F792" t="s">
        <v>44</v>
      </c>
      <c r="G792">
        <v>175.82</v>
      </c>
      <c r="H792">
        <v>23</v>
      </c>
      <c r="I792">
        <v>135.38</v>
      </c>
      <c r="J792" s="1">
        <v>45875</v>
      </c>
      <c r="K792">
        <v>1</v>
      </c>
      <c r="L792">
        <v>3.7</v>
      </c>
      <c r="M792" t="b">
        <v>0</v>
      </c>
    </row>
    <row r="793" spans="1:14" x14ac:dyDescent="0.25">
      <c r="A793" t="s">
        <v>846</v>
      </c>
      <c r="B793" t="s">
        <v>21</v>
      </c>
      <c r="C793" t="s">
        <v>43</v>
      </c>
      <c r="D793" t="s">
        <v>62</v>
      </c>
      <c r="E793" t="s">
        <v>55</v>
      </c>
      <c r="F793" t="s">
        <v>46</v>
      </c>
      <c r="G793">
        <v>53.25</v>
      </c>
      <c r="H793">
        <v>37.5</v>
      </c>
      <c r="I793">
        <v>33.28</v>
      </c>
      <c r="J793" s="1">
        <v>45875</v>
      </c>
      <c r="K793">
        <v>33</v>
      </c>
      <c r="L793">
        <v>4.3</v>
      </c>
      <c r="M793" t="b">
        <v>0</v>
      </c>
    </row>
    <row r="794" spans="1:14" x14ac:dyDescent="0.25">
      <c r="A794" t="s">
        <v>847</v>
      </c>
      <c r="B794" t="s">
        <v>15</v>
      </c>
      <c r="C794" t="s">
        <v>32</v>
      </c>
      <c r="D794" t="s">
        <v>34</v>
      </c>
      <c r="E794" t="s">
        <v>58</v>
      </c>
      <c r="F794" t="s">
        <v>66</v>
      </c>
      <c r="G794">
        <v>215.19</v>
      </c>
      <c r="H794">
        <v>43</v>
      </c>
      <c r="I794">
        <v>122.66</v>
      </c>
      <c r="J794" s="1">
        <v>45875</v>
      </c>
      <c r="K794">
        <v>48</v>
      </c>
      <c r="L794">
        <v>2.5</v>
      </c>
      <c r="M794" t="b">
        <v>0</v>
      </c>
    </row>
    <row r="795" spans="1:14" x14ac:dyDescent="0.25">
      <c r="A795" t="s">
        <v>848</v>
      </c>
      <c r="B795" t="s">
        <v>38</v>
      </c>
      <c r="C795" t="s">
        <v>16</v>
      </c>
      <c r="D795" t="s">
        <v>62</v>
      </c>
      <c r="E795" t="s">
        <v>39</v>
      </c>
      <c r="F795" t="s">
        <v>25</v>
      </c>
      <c r="G795">
        <v>78.41</v>
      </c>
      <c r="H795">
        <v>20.7</v>
      </c>
      <c r="I795">
        <v>62.18</v>
      </c>
      <c r="J795" s="1">
        <v>45875</v>
      </c>
      <c r="K795">
        <v>9</v>
      </c>
      <c r="L795">
        <v>4.4000000000000004</v>
      </c>
      <c r="M795" t="b">
        <v>0</v>
      </c>
    </row>
    <row r="796" spans="1:14" x14ac:dyDescent="0.25">
      <c r="A796" t="s">
        <v>849</v>
      </c>
      <c r="B796" t="s">
        <v>30</v>
      </c>
      <c r="C796" t="s">
        <v>16</v>
      </c>
      <c r="D796" t="s">
        <v>62</v>
      </c>
      <c r="E796" t="s">
        <v>49</v>
      </c>
      <c r="F796" t="s">
        <v>25</v>
      </c>
      <c r="G796">
        <v>173.15</v>
      </c>
      <c r="H796">
        <v>0</v>
      </c>
      <c r="I796">
        <v>173.15</v>
      </c>
      <c r="J796" s="1">
        <v>45875</v>
      </c>
      <c r="K796">
        <v>45</v>
      </c>
      <c r="L796">
        <v>2.2000000000000002</v>
      </c>
      <c r="M796" t="b">
        <v>0</v>
      </c>
    </row>
    <row r="797" spans="1:14" x14ac:dyDescent="0.25">
      <c r="A797" t="s">
        <v>850</v>
      </c>
      <c r="B797" t="s">
        <v>27</v>
      </c>
      <c r="C797" t="s">
        <v>16</v>
      </c>
      <c r="D797" t="s">
        <v>34</v>
      </c>
      <c r="F797" t="s">
        <v>44</v>
      </c>
      <c r="G797">
        <v>16.84</v>
      </c>
      <c r="H797">
        <v>36.6</v>
      </c>
      <c r="I797">
        <v>10.68</v>
      </c>
      <c r="J797" s="1">
        <v>45875</v>
      </c>
      <c r="K797">
        <v>34</v>
      </c>
      <c r="L797">
        <v>1.7</v>
      </c>
      <c r="M797" t="b">
        <v>0</v>
      </c>
    </row>
    <row r="798" spans="1:14" x14ac:dyDescent="0.25">
      <c r="A798" t="s">
        <v>851</v>
      </c>
      <c r="B798" t="s">
        <v>15</v>
      </c>
      <c r="C798" t="s">
        <v>75</v>
      </c>
      <c r="D798" t="s">
        <v>62</v>
      </c>
      <c r="E798" t="s">
        <v>39</v>
      </c>
      <c r="F798" t="s">
        <v>66</v>
      </c>
      <c r="G798">
        <v>128.6</v>
      </c>
      <c r="H798">
        <v>0</v>
      </c>
      <c r="I798">
        <v>128.6</v>
      </c>
      <c r="J798" s="1">
        <v>45875</v>
      </c>
      <c r="K798">
        <v>11</v>
      </c>
      <c r="L798">
        <v>2.2999999999999998</v>
      </c>
      <c r="M798" t="b">
        <v>0</v>
      </c>
    </row>
    <row r="799" spans="1:14" x14ac:dyDescent="0.25">
      <c r="A799" t="s">
        <v>852</v>
      </c>
      <c r="B799" t="s">
        <v>15</v>
      </c>
      <c r="C799" t="s">
        <v>53</v>
      </c>
      <c r="D799" t="s">
        <v>17</v>
      </c>
      <c r="E799" t="s">
        <v>49</v>
      </c>
      <c r="F799" t="s">
        <v>46</v>
      </c>
      <c r="G799">
        <v>131.74</v>
      </c>
      <c r="H799">
        <v>0</v>
      </c>
      <c r="I799">
        <v>131.74</v>
      </c>
      <c r="J799" s="1">
        <v>45548</v>
      </c>
      <c r="K799">
        <v>46</v>
      </c>
      <c r="L799">
        <v>4.5999999999999996</v>
      </c>
      <c r="M799" t="b">
        <v>0</v>
      </c>
    </row>
    <row r="800" spans="1:14" x14ac:dyDescent="0.25">
      <c r="A800" t="s">
        <v>853</v>
      </c>
      <c r="B800" t="s">
        <v>38</v>
      </c>
      <c r="C800" t="s">
        <v>75</v>
      </c>
      <c r="D800" t="s">
        <v>62</v>
      </c>
      <c r="E800" t="s">
        <v>49</v>
      </c>
      <c r="F800" t="s">
        <v>35</v>
      </c>
      <c r="G800">
        <v>28.15</v>
      </c>
      <c r="H800">
        <v>12.7</v>
      </c>
      <c r="I800">
        <v>24.57</v>
      </c>
      <c r="J800" s="1">
        <v>45875</v>
      </c>
      <c r="K800">
        <v>13</v>
      </c>
      <c r="L800">
        <v>3.9</v>
      </c>
      <c r="M800" t="b">
        <v>0</v>
      </c>
    </row>
    <row r="801" spans="1:14" x14ac:dyDescent="0.25">
      <c r="A801" t="s">
        <v>854</v>
      </c>
      <c r="B801" t="s">
        <v>15</v>
      </c>
      <c r="C801" t="s">
        <v>75</v>
      </c>
      <c r="D801" t="s">
        <v>23</v>
      </c>
      <c r="E801" t="s">
        <v>18</v>
      </c>
      <c r="F801" t="s">
        <v>19</v>
      </c>
      <c r="G801">
        <v>165.1</v>
      </c>
      <c r="H801">
        <v>58.4</v>
      </c>
      <c r="I801">
        <v>68.680000000000007</v>
      </c>
      <c r="J801" s="1">
        <v>45875</v>
      </c>
      <c r="K801">
        <v>29</v>
      </c>
      <c r="L801">
        <v>1.2</v>
      </c>
      <c r="M801" t="b">
        <v>0</v>
      </c>
    </row>
    <row r="802" spans="1:14" x14ac:dyDescent="0.25">
      <c r="A802" t="s">
        <v>855</v>
      </c>
      <c r="B802" t="s">
        <v>21</v>
      </c>
      <c r="C802" t="s">
        <v>43</v>
      </c>
      <c r="D802" t="s">
        <v>17</v>
      </c>
      <c r="E802" t="s">
        <v>18</v>
      </c>
      <c r="F802" t="s">
        <v>40</v>
      </c>
      <c r="G802">
        <v>49.62</v>
      </c>
      <c r="H802">
        <v>0.8</v>
      </c>
      <c r="I802">
        <v>49.22</v>
      </c>
      <c r="J802" s="1">
        <v>45613</v>
      </c>
      <c r="K802">
        <v>22</v>
      </c>
      <c r="L802">
        <v>2.2999999999999998</v>
      </c>
      <c r="M802" t="b">
        <v>0</v>
      </c>
    </row>
    <row r="803" spans="1:14" x14ac:dyDescent="0.25">
      <c r="A803" t="s">
        <v>856</v>
      </c>
      <c r="B803" t="s">
        <v>21</v>
      </c>
      <c r="C803" t="s">
        <v>32</v>
      </c>
      <c r="D803" t="s">
        <v>34</v>
      </c>
      <c r="E803" t="s">
        <v>18</v>
      </c>
      <c r="F803" t="s">
        <v>28</v>
      </c>
      <c r="G803">
        <v>98.52</v>
      </c>
      <c r="H803">
        <v>18.899999999999999</v>
      </c>
      <c r="I803">
        <v>79.900000000000006</v>
      </c>
      <c r="J803" s="1">
        <v>45875</v>
      </c>
      <c r="K803">
        <v>37</v>
      </c>
      <c r="L803">
        <v>4.0999999999999996</v>
      </c>
      <c r="M803" t="b">
        <v>1</v>
      </c>
      <c r="N803" t="s">
        <v>125</v>
      </c>
    </row>
    <row r="804" spans="1:14" x14ac:dyDescent="0.25">
      <c r="A804" t="s">
        <v>857</v>
      </c>
      <c r="B804" t="s">
        <v>30</v>
      </c>
      <c r="C804" t="s">
        <v>43</v>
      </c>
      <c r="D804" t="s">
        <v>34</v>
      </c>
      <c r="E804" t="s">
        <v>39</v>
      </c>
      <c r="F804" t="s">
        <v>46</v>
      </c>
      <c r="G804">
        <v>94.19</v>
      </c>
      <c r="H804">
        <v>30.8</v>
      </c>
      <c r="I804">
        <v>65.180000000000007</v>
      </c>
      <c r="J804" s="1">
        <v>45875</v>
      </c>
      <c r="K804">
        <v>31</v>
      </c>
      <c r="L804">
        <v>1.4</v>
      </c>
      <c r="M804" t="b">
        <v>0</v>
      </c>
    </row>
    <row r="805" spans="1:14" x14ac:dyDescent="0.25">
      <c r="A805" t="s">
        <v>858</v>
      </c>
      <c r="B805" t="s">
        <v>27</v>
      </c>
      <c r="C805" t="s">
        <v>75</v>
      </c>
      <c r="D805" t="s">
        <v>23</v>
      </c>
      <c r="F805" t="s">
        <v>40</v>
      </c>
      <c r="G805">
        <v>23.5</v>
      </c>
      <c r="H805">
        <v>0</v>
      </c>
      <c r="I805">
        <v>23.5</v>
      </c>
      <c r="J805" s="1">
        <v>45875</v>
      </c>
      <c r="K805">
        <v>14</v>
      </c>
      <c r="L805">
        <v>3.9</v>
      </c>
      <c r="M805" t="b">
        <v>1</v>
      </c>
      <c r="N805" t="s">
        <v>83</v>
      </c>
    </row>
    <row r="806" spans="1:14" x14ac:dyDescent="0.25">
      <c r="A806" t="s">
        <v>859</v>
      </c>
      <c r="B806" t="s">
        <v>38</v>
      </c>
      <c r="C806" t="s">
        <v>16</v>
      </c>
      <c r="D806" t="s">
        <v>34</v>
      </c>
      <c r="E806" t="s">
        <v>39</v>
      </c>
      <c r="F806" t="s">
        <v>56</v>
      </c>
      <c r="G806">
        <v>109.36</v>
      </c>
      <c r="H806">
        <v>0</v>
      </c>
      <c r="I806">
        <v>109.36</v>
      </c>
      <c r="J806" s="1">
        <v>45875</v>
      </c>
      <c r="K806">
        <v>0</v>
      </c>
      <c r="L806">
        <v>1.1000000000000001</v>
      </c>
      <c r="M806" t="b">
        <v>0</v>
      </c>
    </row>
    <row r="807" spans="1:14" x14ac:dyDescent="0.25">
      <c r="A807" t="s">
        <v>860</v>
      </c>
      <c r="B807" t="s">
        <v>27</v>
      </c>
      <c r="C807" t="s">
        <v>48</v>
      </c>
      <c r="D807" t="s">
        <v>34</v>
      </c>
      <c r="F807" t="s">
        <v>44</v>
      </c>
      <c r="G807">
        <v>69.73</v>
      </c>
      <c r="H807">
        <v>0</v>
      </c>
      <c r="I807">
        <v>69.73</v>
      </c>
      <c r="J807" s="1">
        <v>45875</v>
      </c>
      <c r="K807">
        <v>7</v>
      </c>
      <c r="L807">
        <v>1.1000000000000001</v>
      </c>
      <c r="M807" t="b">
        <v>1</v>
      </c>
      <c r="N807" t="s">
        <v>36</v>
      </c>
    </row>
    <row r="808" spans="1:14" x14ac:dyDescent="0.25">
      <c r="A808" t="s">
        <v>861</v>
      </c>
      <c r="B808" t="s">
        <v>30</v>
      </c>
      <c r="C808" t="s">
        <v>48</v>
      </c>
      <c r="D808" t="s">
        <v>62</v>
      </c>
      <c r="E808" t="s">
        <v>55</v>
      </c>
      <c r="F808" t="s">
        <v>46</v>
      </c>
      <c r="G808">
        <v>199.03</v>
      </c>
      <c r="H808">
        <v>57.3</v>
      </c>
      <c r="I808">
        <v>84.99</v>
      </c>
      <c r="J808" s="1">
        <v>45875</v>
      </c>
      <c r="K808">
        <v>37</v>
      </c>
      <c r="L808">
        <v>3.4</v>
      </c>
      <c r="M808" t="b">
        <v>0</v>
      </c>
    </row>
    <row r="809" spans="1:14" x14ac:dyDescent="0.25">
      <c r="A809" t="s">
        <v>862</v>
      </c>
      <c r="B809" t="s">
        <v>38</v>
      </c>
      <c r="C809" t="s">
        <v>61</v>
      </c>
      <c r="D809" t="s">
        <v>17</v>
      </c>
      <c r="E809" t="s">
        <v>58</v>
      </c>
      <c r="F809" t="s">
        <v>35</v>
      </c>
      <c r="G809">
        <v>82.32</v>
      </c>
      <c r="H809">
        <v>56.7</v>
      </c>
      <c r="I809">
        <v>35.64</v>
      </c>
      <c r="J809" s="1">
        <v>45649</v>
      </c>
      <c r="K809">
        <v>41</v>
      </c>
      <c r="M809" t="b">
        <v>0</v>
      </c>
    </row>
    <row r="810" spans="1:14" x14ac:dyDescent="0.25">
      <c r="A810" t="s">
        <v>863</v>
      </c>
      <c r="B810" t="s">
        <v>38</v>
      </c>
      <c r="C810" t="s">
        <v>22</v>
      </c>
      <c r="D810" t="s">
        <v>17</v>
      </c>
      <c r="E810" t="s">
        <v>58</v>
      </c>
      <c r="F810" t="s">
        <v>64</v>
      </c>
      <c r="G810">
        <v>52.42</v>
      </c>
      <c r="H810">
        <v>9.9</v>
      </c>
      <c r="I810">
        <v>47.23</v>
      </c>
      <c r="J810" s="1">
        <v>45581</v>
      </c>
      <c r="K810">
        <v>42</v>
      </c>
      <c r="L810">
        <v>3.5</v>
      </c>
      <c r="M810" t="b">
        <v>0</v>
      </c>
    </row>
    <row r="811" spans="1:14" x14ac:dyDescent="0.25">
      <c r="A811" t="s">
        <v>864</v>
      </c>
      <c r="B811" t="s">
        <v>15</v>
      </c>
      <c r="C811" t="s">
        <v>53</v>
      </c>
      <c r="D811" t="s">
        <v>34</v>
      </c>
      <c r="E811" t="s">
        <v>39</v>
      </c>
      <c r="F811" t="s">
        <v>35</v>
      </c>
      <c r="G811">
        <v>180.49</v>
      </c>
      <c r="H811">
        <v>0</v>
      </c>
      <c r="I811">
        <v>180.49</v>
      </c>
      <c r="J811" s="1">
        <v>45875</v>
      </c>
      <c r="K811">
        <v>18</v>
      </c>
      <c r="L811">
        <v>2.5</v>
      </c>
      <c r="M811" t="b">
        <v>1</v>
      </c>
      <c r="N811" t="s">
        <v>125</v>
      </c>
    </row>
    <row r="812" spans="1:14" x14ac:dyDescent="0.25">
      <c r="A812" t="s">
        <v>865</v>
      </c>
      <c r="B812" t="s">
        <v>42</v>
      </c>
      <c r="C812" t="s">
        <v>53</v>
      </c>
      <c r="D812" t="s">
        <v>34</v>
      </c>
      <c r="E812" t="s">
        <v>18</v>
      </c>
      <c r="F812" t="s">
        <v>35</v>
      </c>
      <c r="G812">
        <v>63.02</v>
      </c>
      <c r="H812">
        <v>0</v>
      </c>
      <c r="I812">
        <v>63.02</v>
      </c>
      <c r="J812" s="1">
        <v>45875</v>
      </c>
      <c r="K812">
        <v>37</v>
      </c>
      <c r="L812">
        <v>2.5</v>
      </c>
      <c r="M812" t="b">
        <v>0</v>
      </c>
    </row>
    <row r="813" spans="1:14" x14ac:dyDescent="0.25">
      <c r="A813" t="s">
        <v>866</v>
      </c>
      <c r="B813" t="s">
        <v>21</v>
      </c>
      <c r="C813" t="s">
        <v>43</v>
      </c>
      <c r="D813" t="s">
        <v>17</v>
      </c>
      <c r="E813" t="s">
        <v>18</v>
      </c>
      <c r="F813" t="s">
        <v>19</v>
      </c>
      <c r="G813">
        <v>97.05</v>
      </c>
      <c r="H813">
        <v>0</v>
      </c>
      <c r="I813">
        <v>97.05</v>
      </c>
      <c r="J813" s="1">
        <v>45651</v>
      </c>
      <c r="K813">
        <v>9</v>
      </c>
      <c r="M813" t="b">
        <v>0</v>
      </c>
    </row>
    <row r="814" spans="1:14" x14ac:dyDescent="0.25">
      <c r="A814" t="s">
        <v>867</v>
      </c>
      <c r="B814" t="s">
        <v>38</v>
      </c>
      <c r="C814" t="s">
        <v>16</v>
      </c>
      <c r="D814" t="s">
        <v>23</v>
      </c>
      <c r="E814" t="s">
        <v>49</v>
      </c>
      <c r="F814" t="s">
        <v>25</v>
      </c>
      <c r="G814">
        <v>79.62</v>
      </c>
      <c r="H814">
        <v>0</v>
      </c>
      <c r="I814">
        <v>79.62</v>
      </c>
      <c r="J814" s="1">
        <v>45875</v>
      </c>
      <c r="K814">
        <v>37</v>
      </c>
      <c r="L814">
        <v>4.0999999999999996</v>
      </c>
      <c r="M814" t="b">
        <v>0</v>
      </c>
    </row>
    <row r="815" spans="1:14" x14ac:dyDescent="0.25">
      <c r="A815" t="s">
        <v>868</v>
      </c>
      <c r="B815" t="s">
        <v>42</v>
      </c>
      <c r="C815" t="s">
        <v>16</v>
      </c>
      <c r="D815" t="s">
        <v>23</v>
      </c>
      <c r="E815" t="s">
        <v>58</v>
      </c>
      <c r="F815" t="s">
        <v>19</v>
      </c>
      <c r="G815">
        <v>82.5</v>
      </c>
      <c r="H815">
        <v>0</v>
      </c>
      <c r="I815">
        <v>82.5</v>
      </c>
      <c r="J815" s="1">
        <v>45875</v>
      </c>
      <c r="K815">
        <v>0</v>
      </c>
      <c r="M815" t="b">
        <v>0</v>
      </c>
    </row>
    <row r="816" spans="1:14" x14ac:dyDescent="0.25">
      <c r="A816" t="s">
        <v>869</v>
      </c>
      <c r="B816" t="s">
        <v>38</v>
      </c>
      <c r="C816" t="s">
        <v>53</v>
      </c>
      <c r="D816" t="s">
        <v>17</v>
      </c>
      <c r="E816" t="s">
        <v>24</v>
      </c>
      <c r="F816" t="s">
        <v>66</v>
      </c>
      <c r="G816">
        <v>117.18</v>
      </c>
      <c r="H816">
        <v>13.7</v>
      </c>
      <c r="I816">
        <v>101.13</v>
      </c>
      <c r="J816" s="1">
        <v>45871</v>
      </c>
      <c r="K816">
        <v>5</v>
      </c>
      <c r="L816">
        <v>4.8</v>
      </c>
      <c r="M816" t="b">
        <v>0</v>
      </c>
    </row>
    <row r="817" spans="1:14" x14ac:dyDescent="0.25">
      <c r="A817" t="s">
        <v>870</v>
      </c>
      <c r="B817" t="s">
        <v>15</v>
      </c>
      <c r="C817" t="s">
        <v>53</v>
      </c>
      <c r="D817" t="s">
        <v>17</v>
      </c>
      <c r="E817" t="s">
        <v>55</v>
      </c>
      <c r="F817" t="s">
        <v>70</v>
      </c>
      <c r="G817">
        <v>174.05</v>
      </c>
      <c r="H817">
        <v>0</v>
      </c>
      <c r="I817">
        <v>174.05</v>
      </c>
      <c r="J817" s="1">
        <v>45760</v>
      </c>
      <c r="K817">
        <v>9</v>
      </c>
      <c r="M817" t="b">
        <v>0</v>
      </c>
    </row>
    <row r="818" spans="1:14" x14ac:dyDescent="0.25">
      <c r="A818" t="s">
        <v>871</v>
      </c>
      <c r="B818" t="s">
        <v>38</v>
      </c>
      <c r="C818" t="s">
        <v>75</v>
      </c>
      <c r="D818" t="s">
        <v>17</v>
      </c>
      <c r="E818" t="s">
        <v>55</v>
      </c>
      <c r="F818" t="s">
        <v>70</v>
      </c>
      <c r="G818">
        <v>58.29</v>
      </c>
      <c r="H818">
        <v>0</v>
      </c>
      <c r="I818">
        <v>58.29</v>
      </c>
      <c r="J818" s="1">
        <v>45664</v>
      </c>
      <c r="K818">
        <v>22</v>
      </c>
      <c r="L818">
        <v>2.2999999999999998</v>
      </c>
      <c r="M818" t="b">
        <v>0</v>
      </c>
    </row>
    <row r="819" spans="1:14" x14ac:dyDescent="0.25">
      <c r="A819" t="s">
        <v>872</v>
      </c>
      <c r="B819" t="s">
        <v>38</v>
      </c>
      <c r="C819" t="s">
        <v>48</v>
      </c>
      <c r="D819" t="s">
        <v>62</v>
      </c>
      <c r="E819" t="s">
        <v>58</v>
      </c>
      <c r="F819" t="s">
        <v>35</v>
      </c>
      <c r="G819">
        <v>61.42</v>
      </c>
      <c r="H819">
        <v>57.5</v>
      </c>
      <c r="I819">
        <v>26.1</v>
      </c>
      <c r="J819" s="1">
        <v>45875</v>
      </c>
      <c r="K819">
        <v>3</v>
      </c>
      <c r="L819">
        <v>4.8</v>
      </c>
      <c r="M819" t="b">
        <v>0</v>
      </c>
    </row>
    <row r="820" spans="1:14" x14ac:dyDescent="0.25">
      <c r="A820" t="s">
        <v>873</v>
      </c>
      <c r="B820" t="s">
        <v>27</v>
      </c>
      <c r="C820" t="s">
        <v>16</v>
      </c>
      <c r="D820" t="s">
        <v>23</v>
      </c>
      <c r="F820" t="s">
        <v>25</v>
      </c>
      <c r="G820">
        <v>20.239999999999998</v>
      </c>
      <c r="H820">
        <v>0</v>
      </c>
      <c r="I820">
        <v>20.239999999999998</v>
      </c>
      <c r="J820" s="1">
        <v>45875</v>
      </c>
      <c r="K820">
        <v>20</v>
      </c>
      <c r="L820">
        <v>4.0999999999999996</v>
      </c>
      <c r="M820" t="b">
        <v>0</v>
      </c>
    </row>
    <row r="821" spans="1:14" x14ac:dyDescent="0.25">
      <c r="A821" t="s">
        <v>874</v>
      </c>
      <c r="B821" t="s">
        <v>38</v>
      </c>
      <c r="C821" t="s">
        <v>16</v>
      </c>
      <c r="D821" t="s">
        <v>34</v>
      </c>
      <c r="E821" t="s">
        <v>24</v>
      </c>
      <c r="F821" t="s">
        <v>19</v>
      </c>
      <c r="G821">
        <v>88.58</v>
      </c>
      <c r="H821">
        <v>0</v>
      </c>
      <c r="I821">
        <v>88.58</v>
      </c>
      <c r="J821" s="1">
        <v>45875</v>
      </c>
      <c r="K821">
        <v>50</v>
      </c>
      <c r="M821" t="b">
        <v>0</v>
      </c>
    </row>
    <row r="822" spans="1:14" x14ac:dyDescent="0.25">
      <c r="A822" t="s">
        <v>875</v>
      </c>
      <c r="B822" t="s">
        <v>38</v>
      </c>
      <c r="C822" t="s">
        <v>53</v>
      </c>
      <c r="D822" t="s">
        <v>23</v>
      </c>
      <c r="E822" t="s">
        <v>49</v>
      </c>
      <c r="F822" t="s">
        <v>66</v>
      </c>
      <c r="G822">
        <v>67.92</v>
      </c>
      <c r="H822">
        <v>0</v>
      </c>
      <c r="I822">
        <v>67.92</v>
      </c>
      <c r="J822" s="1">
        <v>45875</v>
      </c>
      <c r="K822">
        <v>23</v>
      </c>
      <c r="L822">
        <v>1.8</v>
      </c>
      <c r="M822" t="b">
        <v>1</v>
      </c>
      <c r="N822" t="s">
        <v>73</v>
      </c>
    </row>
    <row r="823" spans="1:14" x14ac:dyDescent="0.25">
      <c r="A823" t="s">
        <v>876</v>
      </c>
      <c r="B823" t="s">
        <v>27</v>
      </c>
      <c r="C823" t="s">
        <v>53</v>
      </c>
      <c r="D823" t="s">
        <v>34</v>
      </c>
      <c r="F823" t="s">
        <v>35</v>
      </c>
      <c r="G823">
        <v>25.39</v>
      </c>
      <c r="H823">
        <v>0</v>
      </c>
      <c r="I823">
        <v>25.39</v>
      </c>
      <c r="J823" s="1">
        <v>45875</v>
      </c>
      <c r="K823">
        <v>42</v>
      </c>
      <c r="L823">
        <v>1.8</v>
      </c>
      <c r="M823" t="b">
        <v>0</v>
      </c>
    </row>
    <row r="824" spans="1:14" x14ac:dyDescent="0.25">
      <c r="A824" t="s">
        <v>877</v>
      </c>
      <c r="B824" t="s">
        <v>42</v>
      </c>
      <c r="C824" t="s">
        <v>75</v>
      </c>
      <c r="D824" t="s">
        <v>23</v>
      </c>
      <c r="E824" t="s">
        <v>39</v>
      </c>
      <c r="F824" t="s">
        <v>28</v>
      </c>
      <c r="G824">
        <v>115.89</v>
      </c>
      <c r="H824">
        <v>39.4</v>
      </c>
      <c r="I824">
        <v>70.23</v>
      </c>
      <c r="J824" s="1">
        <v>45875</v>
      </c>
      <c r="K824">
        <v>14</v>
      </c>
      <c r="L824">
        <v>3.8</v>
      </c>
      <c r="M824" t="b">
        <v>1</v>
      </c>
      <c r="N824" t="s">
        <v>78</v>
      </c>
    </row>
    <row r="825" spans="1:14" x14ac:dyDescent="0.25">
      <c r="A825" t="s">
        <v>878</v>
      </c>
      <c r="B825" t="s">
        <v>38</v>
      </c>
      <c r="C825" t="s">
        <v>75</v>
      </c>
      <c r="D825" t="s">
        <v>62</v>
      </c>
      <c r="E825" t="s">
        <v>18</v>
      </c>
      <c r="F825" t="s">
        <v>44</v>
      </c>
      <c r="G825">
        <v>103.94</v>
      </c>
      <c r="H825">
        <v>16.100000000000001</v>
      </c>
      <c r="I825">
        <v>87.21</v>
      </c>
      <c r="J825" s="1">
        <v>45875</v>
      </c>
      <c r="K825">
        <v>6</v>
      </c>
      <c r="L825">
        <v>4.9000000000000004</v>
      </c>
      <c r="M825" t="b">
        <v>1</v>
      </c>
      <c r="N825" t="s">
        <v>115</v>
      </c>
    </row>
    <row r="826" spans="1:14" x14ac:dyDescent="0.25">
      <c r="A826" t="s">
        <v>879</v>
      </c>
      <c r="B826" t="s">
        <v>30</v>
      </c>
      <c r="C826" t="s">
        <v>61</v>
      </c>
      <c r="D826" t="s">
        <v>23</v>
      </c>
      <c r="E826" t="s">
        <v>24</v>
      </c>
      <c r="F826" t="s">
        <v>19</v>
      </c>
      <c r="G826">
        <v>94.72</v>
      </c>
      <c r="H826">
        <v>20.5</v>
      </c>
      <c r="I826">
        <v>75.3</v>
      </c>
      <c r="J826" s="1">
        <v>45875</v>
      </c>
      <c r="K826">
        <v>24</v>
      </c>
      <c r="L826">
        <v>3.6</v>
      </c>
      <c r="M826" t="b">
        <v>0</v>
      </c>
    </row>
    <row r="827" spans="1:14" x14ac:dyDescent="0.25">
      <c r="A827" t="s">
        <v>880</v>
      </c>
      <c r="B827" t="s">
        <v>27</v>
      </c>
      <c r="C827" t="s">
        <v>53</v>
      </c>
      <c r="D827" t="s">
        <v>34</v>
      </c>
      <c r="F827" t="s">
        <v>25</v>
      </c>
      <c r="G827">
        <v>23.28</v>
      </c>
      <c r="H827">
        <v>0</v>
      </c>
      <c r="I827">
        <v>23.28</v>
      </c>
      <c r="J827" s="1">
        <v>45875</v>
      </c>
      <c r="K827">
        <v>44</v>
      </c>
      <c r="L827">
        <v>3.1</v>
      </c>
      <c r="M827" t="b">
        <v>1</v>
      </c>
      <c r="N827" t="s">
        <v>83</v>
      </c>
    </row>
    <row r="828" spans="1:14" x14ac:dyDescent="0.25">
      <c r="A828" t="s">
        <v>881</v>
      </c>
      <c r="B828" t="s">
        <v>21</v>
      </c>
      <c r="C828" t="s">
        <v>61</v>
      </c>
      <c r="D828" t="s">
        <v>62</v>
      </c>
      <c r="E828" t="s">
        <v>39</v>
      </c>
      <c r="F828" t="s">
        <v>25</v>
      </c>
      <c r="G828">
        <v>90.73</v>
      </c>
      <c r="H828">
        <v>0</v>
      </c>
      <c r="I828">
        <v>90.73</v>
      </c>
      <c r="J828" s="1">
        <v>45875</v>
      </c>
      <c r="K828">
        <v>14</v>
      </c>
      <c r="L828">
        <v>1.1000000000000001</v>
      </c>
      <c r="M828" t="b">
        <v>0</v>
      </c>
    </row>
    <row r="829" spans="1:14" x14ac:dyDescent="0.25">
      <c r="A829" t="s">
        <v>882</v>
      </c>
      <c r="B829" t="s">
        <v>38</v>
      </c>
      <c r="C829" t="s">
        <v>48</v>
      </c>
      <c r="D829" t="s">
        <v>34</v>
      </c>
      <c r="E829" t="s">
        <v>49</v>
      </c>
      <c r="F829" t="s">
        <v>46</v>
      </c>
      <c r="G829">
        <v>25.74</v>
      </c>
      <c r="H829">
        <v>0</v>
      </c>
      <c r="I829">
        <v>25.74</v>
      </c>
      <c r="J829" s="1">
        <v>45875</v>
      </c>
      <c r="K829">
        <v>33</v>
      </c>
      <c r="L829">
        <v>1.1000000000000001</v>
      </c>
      <c r="M829" t="b">
        <v>1</v>
      </c>
      <c r="N829" t="s">
        <v>36</v>
      </c>
    </row>
    <row r="830" spans="1:14" x14ac:dyDescent="0.25">
      <c r="A830" t="s">
        <v>883</v>
      </c>
      <c r="B830" t="s">
        <v>30</v>
      </c>
      <c r="C830" t="s">
        <v>53</v>
      </c>
      <c r="D830" t="s">
        <v>17</v>
      </c>
      <c r="E830" t="s">
        <v>18</v>
      </c>
      <c r="F830" t="s">
        <v>40</v>
      </c>
      <c r="G830">
        <v>162.97</v>
      </c>
      <c r="H830">
        <v>0</v>
      </c>
      <c r="I830">
        <v>162.97</v>
      </c>
      <c r="J830" s="1">
        <v>45618</v>
      </c>
      <c r="K830">
        <v>47</v>
      </c>
      <c r="L830">
        <v>2.2000000000000002</v>
      </c>
      <c r="M830" t="b">
        <v>1</v>
      </c>
      <c r="N830" t="s">
        <v>125</v>
      </c>
    </row>
    <row r="831" spans="1:14" x14ac:dyDescent="0.25">
      <c r="A831" t="s">
        <v>884</v>
      </c>
      <c r="B831" t="s">
        <v>27</v>
      </c>
      <c r="C831" t="s">
        <v>48</v>
      </c>
      <c r="D831" t="s">
        <v>23</v>
      </c>
      <c r="F831" t="s">
        <v>28</v>
      </c>
      <c r="G831">
        <v>50.33</v>
      </c>
      <c r="H831">
        <v>8.6999999999999993</v>
      </c>
      <c r="I831">
        <v>45.95</v>
      </c>
      <c r="J831" s="1">
        <v>45875</v>
      </c>
      <c r="K831">
        <v>14</v>
      </c>
      <c r="L831">
        <v>1.3</v>
      </c>
      <c r="M831" t="b">
        <v>0</v>
      </c>
    </row>
    <row r="832" spans="1:14" x14ac:dyDescent="0.25">
      <c r="A832" t="s">
        <v>885</v>
      </c>
      <c r="B832" t="s">
        <v>30</v>
      </c>
      <c r="C832" t="s">
        <v>22</v>
      </c>
      <c r="D832" t="s">
        <v>17</v>
      </c>
      <c r="F832" t="s">
        <v>25</v>
      </c>
      <c r="G832">
        <v>60.38</v>
      </c>
      <c r="H832">
        <v>0</v>
      </c>
      <c r="I832">
        <v>60.38</v>
      </c>
      <c r="J832" s="1">
        <v>45776</v>
      </c>
      <c r="K832">
        <v>0</v>
      </c>
      <c r="M832" t="b">
        <v>0</v>
      </c>
    </row>
    <row r="833" spans="1:14" x14ac:dyDescent="0.25">
      <c r="A833" t="s">
        <v>886</v>
      </c>
      <c r="B833" t="s">
        <v>21</v>
      </c>
      <c r="C833" t="s">
        <v>22</v>
      </c>
      <c r="D833" t="s">
        <v>62</v>
      </c>
      <c r="E833" t="s">
        <v>49</v>
      </c>
      <c r="F833" t="s">
        <v>28</v>
      </c>
      <c r="G833">
        <v>103.65</v>
      </c>
      <c r="H833">
        <v>0</v>
      </c>
      <c r="I833">
        <v>103.65</v>
      </c>
      <c r="J833" s="1">
        <v>45875</v>
      </c>
      <c r="K833">
        <v>29</v>
      </c>
      <c r="L833">
        <v>3.7</v>
      </c>
      <c r="M833" t="b">
        <v>0</v>
      </c>
    </row>
    <row r="834" spans="1:14" x14ac:dyDescent="0.25">
      <c r="A834" t="s">
        <v>887</v>
      </c>
      <c r="B834" t="s">
        <v>38</v>
      </c>
      <c r="C834" t="s">
        <v>61</v>
      </c>
      <c r="D834" t="s">
        <v>17</v>
      </c>
      <c r="E834" t="s">
        <v>24</v>
      </c>
      <c r="F834" t="s">
        <v>56</v>
      </c>
      <c r="G834">
        <v>75.14</v>
      </c>
      <c r="H834">
        <v>0</v>
      </c>
      <c r="I834">
        <v>75.14</v>
      </c>
      <c r="J834" s="1">
        <v>45684</v>
      </c>
      <c r="K834">
        <v>41</v>
      </c>
      <c r="M834" t="b">
        <v>1</v>
      </c>
      <c r="N834" t="s">
        <v>115</v>
      </c>
    </row>
    <row r="835" spans="1:14" x14ac:dyDescent="0.25">
      <c r="A835" t="s">
        <v>888</v>
      </c>
      <c r="B835" t="s">
        <v>30</v>
      </c>
      <c r="C835" t="s">
        <v>48</v>
      </c>
      <c r="D835" t="s">
        <v>23</v>
      </c>
      <c r="E835" t="s">
        <v>39</v>
      </c>
      <c r="F835" t="s">
        <v>25</v>
      </c>
      <c r="G835">
        <v>88</v>
      </c>
      <c r="H835">
        <v>0</v>
      </c>
      <c r="I835">
        <v>88</v>
      </c>
      <c r="J835" s="1">
        <v>45875</v>
      </c>
      <c r="K835">
        <v>2</v>
      </c>
      <c r="L835">
        <v>1.9</v>
      </c>
      <c r="M835" t="b">
        <v>0</v>
      </c>
    </row>
    <row r="836" spans="1:14" x14ac:dyDescent="0.25">
      <c r="A836" t="s">
        <v>889</v>
      </c>
      <c r="B836" t="s">
        <v>42</v>
      </c>
      <c r="C836" t="s">
        <v>53</v>
      </c>
      <c r="D836" t="s">
        <v>23</v>
      </c>
      <c r="E836" t="s">
        <v>55</v>
      </c>
      <c r="F836" t="s">
        <v>19</v>
      </c>
      <c r="G836">
        <v>69.540000000000006</v>
      </c>
      <c r="H836">
        <v>0</v>
      </c>
      <c r="I836">
        <v>69.540000000000006</v>
      </c>
      <c r="J836" s="1">
        <v>45875</v>
      </c>
      <c r="K836">
        <v>21</v>
      </c>
      <c r="M836" t="b">
        <v>0</v>
      </c>
    </row>
    <row r="837" spans="1:14" x14ac:dyDescent="0.25">
      <c r="A837" t="s">
        <v>890</v>
      </c>
      <c r="B837" t="s">
        <v>15</v>
      </c>
      <c r="C837" t="s">
        <v>43</v>
      </c>
      <c r="D837" t="s">
        <v>23</v>
      </c>
      <c r="E837" t="s">
        <v>55</v>
      </c>
      <c r="F837" t="s">
        <v>25</v>
      </c>
      <c r="G837">
        <v>209.52</v>
      </c>
      <c r="H837">
        <v>0</v>
      </c>
      <c r="I837">
        <v>209.52</v>
      </c>
      <c r="J837" s="1">
        <v>45875</v>
      </c>
      <c r="K837">
        <v>48</v>
      </c>
      <c r="L837">
        <v>2.6</v>
      </c>
      <c r="M837" t="b">
        <v>0</v>
      </c>
    </row>
    <row r="838" spans="1:14" x14ac:dyDescent="0.25">
      <c r="A838" t="s">
        <v>891</v>
      </c>
      <c r="B838" t="s">
        <v>30</v>
      </c>
      <c r="C838" t="s">
        <v>48</v>
      </c>
      <c r="D838" t="s">
        <v>34</v>
      </c>
      <c r="E838" t="s">
        <v>49</v>
      </c>
      <c r="F838" t="s">
        <v>56</v>
      </c>
      <c r="G838">
        <v>97.42</v>
      </c>
      <c r="H838">
        <v>0</v>
      </c>
      <c r="I838">
        <v>97.42</v>
      </c>
      <c r="J838" s="1">
        <v>45875</v>
      </c>
      <c r="K838">
        <v>35</v>
      </c>
      <c r="L838">
        <v>2</v>
      </c>
      <c r="M838" t="b">
        <v>0</v>
      </c>
    </row>
    <row r="839" spans="1:14" x14ac:dyDescent="0.25">
      <c r="A839" t="s">
        <v>892</v>
      </c>
      <c r="B839" t="s">
        <v>42</v>
      </c>
      <c r="C839" t="s">
        <v>22</v>
      </c>
      <c r="D839" t="s">
        <v>23</v>
      </c>
      <c r="E839" t="s">
        <v>55</v>
      </c>
      <c r="F839" t="s">
        <v>35</v>
      </c>
      <c r="G839">
        <v>154.6</v>
      </c>
      <c r="H839">
        <v>0</v>
      </c>
      <c r="I839">
        <v>154.6</v>
      </c>
      <c r="J839" s="1">
        <v>45875</v>
      </c>
      <c r="K839">
        <v>38</v>
      </c>
      <c r="L839">
        <v>4.5</v>
      </c>
      <c r="M839" t="b">
        <v>1</v>
      </c>
      <c r="N839" t="s">
        <v>115</v>
      </c>
    </row>
    <row r="840" spans="1:14" x14ac:dyDescent="0.25">
      <c r="A840" t="s">
        <v>893</v>
      </c>
      <c r="B840" t="s">
        <v>38</v>
      </c>
      <c r="C840" t="s">
        <v>16</v>
      </c>
      <c r="D840" t="s">
        <v>62</v>
      </c>
      <c r="E840" t="s">
        <v>18</v>
      </c>
      <c r="F840" t="s">
        <v>35</v>
      </c>
      <c r="G840">
        <v>81.59</v>
      </c>
      <c r="H840">
        <v>38</v>
      </c>
      <c r="I840">
        <v>50.59</v>
      </c>
      <c r="J840" s="1">
        <v>45875</v>
      </c>
      <c r="K840">
        <v>31</v>
      </c>
      <c r="L840">
        <v>1.2</v>
      </c>
      <c r="M840" t="b">
        <v>0</v>
      </c>
    </row>
    <row r="841" spans="1:14" x14ac:dyDescent="0.25">
      <c r="A841" t="s">
        <v>894</v>
      </c>
      <c r="B841" t="s">
        <v>27</v>
      </c>
      <c r="C841" t="s">
        <v>43</v>
      </c>
      <c r="D841" t="s">
        <v>23</v>
      </c>
      <c r="F841" t="s">
        <v>70</v>
      </c>
      <c r="G841">
        <v>48.04</v>
      </c>
      <c r="H841">
        <v>0</v>
      </c>
      <c r="I841">
        <v>48.04</v>
      </c>
      <c r="J841" s="1">
        <v>45875</v>
      </c>
      <c r="K841">
        <v>46</v>
      </c>
      <c r="L841">
        <v>4.8</v>
      </c>
      <c r="M841" t="b">
        <v>0</v>
      </c>
    </row>
    <row r="842" spans="1:14" x14ac:dyDescent="0.25">
      <c r="A842" t="s">
        <v>895</v>
      </c>
      <c r="B842" t="s">
        <v>21</v>
      </c>
      <c r="C842" t="s">
        <v>32</v>
      </c>
      <c r="D842" t="s">
        <v>34</v>
      </c>
      <c r="E842" t="s">
        <v>39</v>
      </c>
      <c r="F842" t="s">
        <v>46</v>
      </c>
      <c r="G842">
        <v>70.77</v>
      </c>
      <c r="H842">
        <v>0</v>
      </c>
      <c r="I842">
        <v>70.77</v>
      </c>
      <c r="J842" s="1">
        <v>45875</v>
      </c>
      <c r="K842">
        <v>5</v>
      </c>
      <c r="L842">
        <v>3.7</v>
      </c>
      <c r="M842" t="b">
        <v>0</v>
      </c>
    </row>
    <row r="843" spans="1:14" x14ac:dyDescent="0.25">
      <c r="A843" t="s">
        <v>896</v>
      </c>
      <c r="B843" t="s">
        <v>15</v>
      </c>
      <c r="C843" t="s">
        <v>75</v>
      </c>
      <c r="D843" t="s">
        <v>34</v>
      </c>
      <c r="E843" t="s">
        <v>39</v>
      </c>
      <c r="F843" t="s">
        <v>40</v>
      </c>
      <c r="G843">
        <v>103.49</v>
      </c>
      <c r="H843">
        <v>0</v>
      </c>
      <c r="I843">
        <v>103.49</v>
      </c>
      <c r="J843" s="1">
        <v>45875</v>
      </c>
      <c r="K843">
        <v>12</v>
      </c>
      <c r="L843">
        <v>1.8</v>
      </c>
      <c r="M843" t="b">
        <v>0</v>
      </c>
    </row>
    <row r="844" spans="1:14" x14ac:dyDescent="0.25">
      <c r="A844" t="s">
        <v>897</v>
      </c>
      <c r="B844" t="s">
        <v>15</v>
      </c>
      <c r="C844" t="s">
        <v>22</v>
      </c>
      <c r="D844" t="s">
        <v>17</v>
      </c>
      <c r="E844" t="s">
        <v>24</v>
      </c>
      <c r="F844" t="s">
        <v>66</v>
      </c>
      <c r="G844">
        <v>138.88999999999999</v>
      </c>
      <c r="H844">
        <v>0</v>
      </c>
      <c r="I844">
        <v>138.88999999999999</v>
      </c>
      <c r="J844" s="1">
        <v>45687</v>
      </c>
      <c r="K844">
        <v>10</v>
      </c>
      <c r="M844" t="b">
        <v>0</v>
      </c>
    </row>
    <row r="845" spans="1:14" x14ac:dyDescent="0.25">
      <c r="A845" t="s">
        <v>898</v>
      </c>
      <c r="B845" t="s">
        <v>27</v>
      </c>
      <c r="C845" t="s">
        <v>48</v>
      </c>
      <c r="D845" t="s">
        <v>23</v>
      </c>
      <c r="F845" t="s">
        <v>46</v>
      </c>
      <c r="G845">
        <v>73.510000000000005</v>
      </c>
      <c r="H845">
        <v>32.200000000000003</v>
      </c>
      <c r="I845">
        <v>49.84</v>
      </c>
      <c r="J845" s="1">
        <v>45875</v>
      </c>
      <c r="K845">
        <v>17</v>
      </c>
      <c r="M845" t="b">
        <v>1</v>
      </c>
      <c r="N845" t="s">
        <v>125</v>
      </c>
    </row>
    <row r="846" spans="1:14" x14ac:dyDescent="0.25">
      <c r="A846" t="s">
        <v>899</v>
      </c>
      <c r="B846" t="s">
        <v>38</v>
      </c>
      <c r="C846" t="s">
        <v>16</v>
      </c>
      <c r="D846" t="s">
        <v>17</v>
      </c>
      <c r="E846" t="s">
        <v>58</v>
      </c>
      <c r="F846" t="s">
        <v>66</v>
      </c>
      <c r="G846">
        <v>82.37</v>
      </c>
      <c r="H846">
        <v>0</v>
      </c>
      <c r="I846">
        <v>82.37</v>
      </c>
      <c r="J846" s="1">
        <v>45812</v>
      </c>
      <c r="K846">
        <v>49</v>
      </c>
      <c r="L846">
        <v>3.3</v>
      </c>
      <c r="M846" t="b">
        <v>0</v>
      </c>
    </row>
    <row r="847" spans="1:14" x14ac:dyDescent="0.25">
      <c r="A847" t="s">
        <v>900</v>
      </c>
      <c r="B847" t="s">
        <v>42</v>
      </c>
      <c r="C847" t="s">
        <v>53</v>
      </c>
      <c r="D847" t="s">
        <v>62</v>
      </c>
      <c r="E847" t="s">
        <v>55</v>
      </c>
      <c r="F847" t="s">
        <v>64</v>
      </c>
      <c r="G847">
        <v>81.709999999999994</v>
      </c>
      <c r="H847">
        <v>18</v>
      </c>
      <c r="I847">
        <v>67</v>
      </c>
      <c r="J847" s="1">
        <v>45875</v>
      </c>
      <c r="K847">
        <v>28</v>
      </c>
      <c r="L847">
        <v>4.7</v>
      </c>
      <c r="M847" t="b">
        <v>0</v>
      </c>
    </row>
    <row r="848" spans="1:14" x14ac:dyDescent="0.25">
      <c r="A848" t="s">
        <v>901</v>
      </c>
      <c r="B848" t="s">
        <v>42</v>
      </c>
      <c r="C848" t="s">
        <v>32</v>
      </c>
      <c r="D848" t="s">
        <v>23</v>
      </c>
      <c r="E848" t="s">
        <v>49</v>
      </c>
      <c r="F848" t="s">
        <v>64</v>
      </c>
      <c r="G848">
        <v>107.02</v>
      </c>
      <c r="H848">
        <v>10.6</v>
      </c>
      <c r="I848">
        <v>95.68</v>
      </c>
      <c r="J848" s="1">
        <v>45875</v>
      </c>
      <c r="K848">
        <v>6</v>
      </c>
      <c r="M848" t="b">
        <v>0</v>
      </c>
    </row>
    <row r="849" spans="1:14" x14ac:dyDescent="0.25">
      <c r="A849" t="s">
        <v>902</v>
      </c>
      <c r="B849" t="s">
        <v>38</v>
      </c>
      <c r="C849" t="s">
        <v>48</v>
      </c>
      <c r="D849" t="s">
        <v>62</v>
      </c>
      <c r="E849" t="s">
        <v>18</v>
      </c>
      <c r="F849" t="s">
        <v>25</v>
      </c>
      <c r="G849">
        <v>103.23</v>
      </c>
      <c r="H849">
        <v>18.7</v>
      </c>
      <c r="I849">
        <v>83.93</v>
      </c>
      <c r="J849" s="1">
        <v>45875</v>
      </c>
      <c r="K849">
        <v>6</v>
      </c>
      <c r="L849">
        <v>4</v>
      </c>
      <c r="M849" t="b">
        <v>0</v>
      </c>
    </row>
    <row r="850" spans="1:14" x14ac:dyDescent="0.25">
      <c r="A850" t="s">
        <v>903</v>
      </c>
      <c r="B850" t="s">
        <v>21</v>
      </c>
      <c r="C850" t="s">
        <v>61</v>
      </c>
      <c r="D850" t="s">
        <v>34</v>
      </c>
      <c r="E850" t="s">
        <v>24</v>
      </c>
      <c r="F850" t="s">
        <v>44</v>
      </c>
      <c r="G850">
        <v>100.48</v>
      </c>
      <c r="H850">
        <v>17.600000000000001</v>
      </c>
      <c r="I850">
        <v>82.8</v>
      </c>
      <c r="J850" s="1">
        <v>45875</v>
      </c>
      <c r="K850">
        <v>19</v>
      </c>
      <c r="M850" t="b">
        <v>0</v>
      </c>
    </row>
    <row r="851" spans="1:14" x14ac:dyDescent="0.25">
      <c r="A851" t="s">
        <v>904</v>
      </c>
      <c r="B851" t="s">
        <v>30</v>
      </c>
      <c r="C851" t="s">
        <v>53</v>
      </c>
      <c r="D851" t="s">
        <v>23</v>
      </c>
      <c r="E851" t="s">
        <v>18</v>
      </c>
      <c r="F851" t="s">
        <v>35</v>
      </c>
      <c r="G851">
        <v>160.87</v>
      </c>
      <c r="H851">
        <v>53.7</v>
      </c>
      <c r="I851">
        <v>74.48</v>
      </c>
      <c r="J851" s="1">
        <v>45875</v>
      </c>
      <c r="K851">
        <v>18</v>
      </c>
      <c r="M851" t="b">
        <v>0</v>
      </c>
    </row>
    <row r="852" spans="1:14" x14ac:dyDescent="0.25">
      <c r="A852" t="s">
        <v>905</v>
      </c>
      <c r="B852" t="s">
        <v>27</v>
      </c>
      <c r="C852" t="s">
        <v>43</v>
      </c>
      <c r="D852" t="s">
        <v>34</v>
      </c>
      <c r="F852" t="s">
        <v>35</v>
      </c>
      <c r="G852">
        <v>78.39</v>
      </c>
      <c r="H852">
        <v>0</v>
      </c>
      <c r="I852">
        <v>78.39</v>
      </c>
      <c r="J852" s="1">
        <v>45875</v>
      </c>
      <c r="K852">
        <v>7</v>
      </c>
      <c r="L852">
        <v>4.2</v>
      </c>
      <c r="M852" t="b">
        <v>0</v>
      </c>
    </row>
    <row r="853" spans="1:14" x14ac:dyDescent="0.25">
      <c r="A853" t="s">
        <v>906</v>
      </c>
      <c r="B853" t="s">
        <v>15</v>
      </c>
      <c r="C853" t="s">
        <v>16</v>
      </c>
      <c r="D853" t="s">
        <v>17</v>
      </c>
      <c r="E853" t="s">
        <v>39</v>
      </c>
      <c r="F853" t="s">
        <v>56</v>
      </c>
      <c r="G853">
        <v>168.38</v>
      </c>
      <c r="H853">
        <v>23.1</v>
      </c>
      <c r="I853">
        <v>129.47999999999999</v>
      </c>
      <c r="J853" s="1">
        <v>45812</v>
      </c>
      <c r="K853">
        <v>3</v>
      </c>
      <c r="L853">
        <v>2</v>
      </c>
      <c r="M853" t="b">
        <v>0</v>
      </c>
    </row>
    <row r="854" spans="1:14" x14ac:dyDescent="0.25">
      <c r="A854" t="s">
        <v>907</v>
      </c>
      <c r="B854" t="s">
        <v>30</v>
      </c>
      <c r="C854" t="s">
        <v>32</v>
      </c>
      <c r="D854" t="s">
        <v>23</v>
      </c>
      <c r="E854" t="s">
        <v>39</v>
      </c>
      <c r="F854" t="s">
        <v>64</v>
      </c>
      <c r="G854">
        <v>128.35</v>
      </c>
      <c r="H854">
        <v>0</v>
      </c>
      <c r="I854">
        <v>128.35</v>
      </c>
      <c r="J854" s="1">
        <v>45875</v>
      </c>
      <c r="K854">
        <v>20</v>
      </c>
      <c r="L854">
        <v>2.5</v>
      </c>
      <c r="M854" t="b">
        <v>0</v>
      </c>
    </row>
    <row r="855" spans="1:14" x14ac:dyDescent="0.25">
      <c r="A855" t="s">
        <v>908</v>
      </c>
      <c r="B855" t="s">
        <v>42</v>
      </c>
      <c r="C855" t="s">
        <v>22</v>
      </c>
      <c r="D855" t="s">
        <v>17</v>
      </c>
      <c r="E855" t="s">
        <v>18</v>
      </c>
      <c r="F855" t="s">
        <v>40</v>
      </c>
      <c r="G855">
        <v>138.16999999999999</v>
      </c>
      <c r="H855">
        <v>3</v>
      </c>
      <c r="I855">
        <v>134.02000000000001</v>
      </c>
      <c r="J855" s="1">
        <v>45751</v>
      </c>
      <c r="K855">
        <v>34</v>
      </c>
      <c r="L855">
        <v>4.0999999999999996</v>
      </c>
      <c r="M855" t="b">
        <v>0</v>
      </c>
    </row>
    <row r="856" spans="1:14" x14ac:dyDescent="0.25">
      <c r="A856" t="s">
        <v>909</v>
      </c>
      <c r="B856" t="s">
        <v>42</v>
      </c>
      <c r="C856" t="s">
        <v>22</v>
      </c>
      <c r="D856" t="s">
        <v>34</v>
      </c>
      <c r="E856" t="s">
        <v>58</v>
      </c>
      <c r="F856" t="s">
        <v>64</v>
      </c>
      <c r="G856">
        <v>52.45</v>
      </c>
      <c r="H856">
        <v>0</v>
      </c>
      <c r="I856">
        <v>52.45</v>
      </c>
      <c r="J856" s="1">
        <v>45875</v>
      </c>
      <c r="K856">
        <v>16</v>
      </c>
      <c r="L856">
        <v>1.7</v>
      </c>
      <c r="M856" t="b">
        <v>0</v>
      </c>
    </row>
    <row r="857" spans="1:14" x14ac:dyDescent="0.25">
      <c r="A857" t="s">
        <v>910</v>
      </c>
      <c r="B857" t="s">
        <v>30</v>
      </c>
      <c r="C857" t="s">
        <v>48</v>
      </c>
      <c r="D857" t="s">
        <v>23</v>
      </c>
      <c r="E857" t="s">
        <v>55</v>
      </c>
      <c r="F857" t="s">
        <v>35</v>
      </c>
      <c r="G857">
        <v>171.53</v>
      </c>
      <c r="H857">
        <v>0</v>
      </c>
      <c r="I857">
        <v>171.53</v>
      </c>
      <c r="J857" s="1">
        <v>45875</v>
      </c>
      <c r="K857">
        <v>12</v>
      </c>
      <c r="L857">
        <v>4.8</v>
      </c>
      <c r="M857" t="b">
        <v>0</v>
      </c>
    </row>
    <row r="858" spans="1:14" x14ac:dyDescent="0.25">
      <c r="A858" t="s">
        <v>911</v>
      </c>
      <c r="B858" t="s">
        <v>21</v>
      </c>
      <c r="C858" t="s">
        <v>43</v>
      </c>
      <c r="D858" t="s">
        <v>34</v>
      </c>
      <c r="E858" t="s">
        <v>49</v>
      </c>
      <c r="F858" t="s">
        <v>70</v>
      </c>
      <c r="G858">
        <v>81.23</v>
      </c>
      <c r="H858">
        <v>1.2</v>
      </c>
      <c r="I858">
        <v>80.260000000000005</v>
      </c>
      <c r="J858" s="1">
        <v>45875</v>
      </c>
      <c r="K858">
        <v>10</v>
      </c>
      <c r="L858">
        <v>4.9000000000000004</v>
      </c>
      <c r="M858" t="b">
        <v>0</v>
      </c>
    </row>
    <row r="859" spans="1:14" x14ac:dyDescent="0.25">
      <c r="A859" t="s">
        <v>912</v>
      </c>
      <c r="B859" t="s">
        <v>27</v>
      </c>
      <c r="C859" t="s">
        <v>32</v>
      </c>
      <c r="D859" t="s">
        <v>17</v>
      </c>
      <c r="F859" t="s">
        <v>44</v>
      </c>
      <c r="G859">
        <v>31.37</v>
      </c>
      <c r="H859">
        <v>44.1</v>
      </c>
      <c r="I859">
        <v>17.54</v>
      </c>
      <c r="J859" s="1">
        <v>45548</v>
      </c>
      <c r="K859">
        <v>11</v>
      </c>
      <c r="L859">
        <v>3.4</v>
      </c>
      <c r="M859" t="b">
        <v>0</v>
      </c>
    </row>
    <row r="860" spans="1:14" x14ac:dyDescent="0.25">
      <c r="A860" t="s">
        <v>913</v>
      </c>
      <c r="B860" t="s">
        <v>38</v>
      </c>
      <c r="C860" t="s">
        <v>61</v>
      </c>
      <c r="D860" t="s">
        <v>17</v>
      </c>
      <c r="E860" t="s">
        <v>39</v>
      </c>
      <c r="F860" t="s">
        <v>19</v>
      </c>
      <c r="G860">
        <v>93.89</v>
      </c>
      <c r="H860">
        <v>0</v>
      </c>
      <c r="I860">
        <v>93.89</v>
      </c>
      <c r="J860" s="1">
        <v>45691</v>
      </c>
      <c r="K860">
        <v>3</v>
      </c>
      <c r="L860">
        <v>1.8</v>
      </c>
      <c r="M860" t="b">
        <v>0</v>
      </c>
    </row>
    <row r="861" spans="1:14" x14ac:dyDescent="0.25">
      <c r="A861" t="s">
        <v>914</v>
      </c>
      <c r="B861" t="s">
        <v>38</v>
      </c>
      <c r="C861" t="s">
        <v>22</v>
      </c>
      <c r="D861" t="s">
        <v>17</v>
      </c>
      <c r="E861" t="s">
        <v>18</v>
      </c>
      <c r="F861" t="s">
        <v>40</v>
      </c>
      <c r="G861">
        <v>54.84</v>
      </c>
      <c r="H861">
        <v>0</v>
      </c>
      <c r="I861">
        <v>54.84</v>
      </c>
      <c r="J861" s="1">
        <v>45557</v>
      </c>
      <c r="K861">
        <v>12</v>
      </c>
      <c r="L861">
        <v>3.2</v>
      </c>
      <c r="M861" t="b">
        <v>0</v>
      </c>
    </row>
    <row r="862" spans="1:14" x14ac:dyDescent="0.25">
      <c r="A862" t="s">
        <v>915</v>
      </c>
      <c r="B862" t="s">
        <v>42</v>
      </c>
      <c r="C862" t="s">
        <v>16</v>
      </c>
      <c r="D862" t="s">
        <v>23</v>
      </c>
      <c r="E862" t="s">
        <v>24</v>
      </c>
      <c r="F862" t="s">
        <v>19</v>
      </c>
      <c r="G862">
        <v>140.34</v>
      </c>
      <c r="H862">
        <v>0</v>
      </c>
      <c r="I862">
        <v>140.34</v>
      </c>
      <c r="J862" s="1">
        <v>45875</v>
      </c>
      <c r="K862">
        <v>23</v>
      </c>
      <c r="L862">
        <v>2.8</v>
      </c>
      <c r="M862" t="b">
        <v>1</v>
      </c>
      <c r="N862" t="s">
        <v>115</v>
      </c>
    </row>
    <row r="863" spans="1:14" x14ac:dyDescent="0.25">
      <c r="A863" t="s">
        <v>916</v>
      </c>
      <c r="B863" t="s">
        <v>21</v>
      </c>
      <c r="C863" t="s">
        <v>32</v>
      </c>
      <c r="D863" t="s">
        <v>34</v>
      </c>
      <c r="E863" t="s">
        <v>58</v>
      </c>
      <c r="F863" t="s">
        <v>19</v>
      </c>
      <c r="G863">
        <v>51.88</v>
      </c>
      <c r="H863">
        <v>16.8</v>
      </c>
      <c r="I863">
        <v>43.16</v>
      </c>
      <c r="J863" s="1">
        <v>45875</v>
      </c>
      <c r="K863">
        <v>30</v>
      </c>
      <c r="L863">
        <v>1.5</v>
      </c>
      <c r="M863" t="b">
        <v>0</v>
      </c>
    </row>
    <row r="864" spans="1:14" x14ac:dyDescent="0.25">
      <c r="A864" t="s">
        <v>917</v>
      </c>
      <c r="B864" t="s">
        <v>42</v>
      </c>
      <c r="C864" t="s">
        <v>43</v>
      </c>
      <c r="D864" t="s">
        <v>17</v>
      </c>
      <c r="E864" t="s">
        <v>39</v>
      </c>
      <c r="F864" t="s">
        <v>66</v>
      </c>
      <c r="G864">
        <v>136.19999999999999</v>
      </c>
      <c r="H864">
        <v>44.3</v>
      </c>
      <c r="I864">
        <v>75.86</v>
      </c>
      <c r="J864" s="1">
        <v>45617</v>
      </c>
      <c r="K864">
        <v>49</v>
      </c>
      <c r="M864" t="b">
        <v>0</v>
      </c>
    </row>
    <row r="865" spans="1:14" x14ac:dyDescent="0.25">
      <c r="A865" t="s">
        <v>918</v>
      </c>
      <c r="B865" t="s">
        <v>27</v>
      </c>
      <c r="C865" t="s">
        <v>48</v>
      </c>
      <c r="D865" t="s">
        <v>62</v>
      </c>
      <c r="F865" t="s">
        <v>70</v>
      </c>
      <c r="G865">
        <v>71.19</v>
      </c>
      <c r="H865">
        <v>0</v>
      </c>
      <c r="I865">
        <v>71.19</v>
      </c>
      <c r="J865" s="1">
        <v>45875</v>
      </c>
      <c r="K865">
        <v>14</v>
      </c>
      <c r="L865">
        <v>2.8</v>
      </c>
      <c r="M865" t="b">
        <v>0</v>
      </c>
    </row>
    <row r="866" spans="1:14" x14ac:dyDescent="0.25">
      <c r="A866" t="s">
        <v>919</v>
      </c>
      <c r="B866" t="s">
        <v>15</v>
      </c>
      <c r="C866" t="s">
        <v>75</v>
      </c>
      <c r="D866" t="s">
        <v>17</v>
      </c>
      <c r="E866" t="s">
        <v>39</v>
      </c>
      <c r="F866" t="s">
        <v>64</v>
      </c>
      <c r="G866">
        <v>241.37</v>
      </c>
      <c r="H866">
        <v>44.9</v>
      </c>
      <c r="I866">
        <v>132.99</v>
      </c>
      <c r="J866" s="1">
        <v>45792</v>
      </c>
      <c r="K866">
        <v>23</v>
      </c>
      <c r="L866">
        <v>2.1</v>
      </c>
      <c r="M866" t="b">
        <v>0</v>
      </c>
    </row>
    <row r="867" spans="1:14" x14ac:dyDescent="0.25">
      <c r="A867" t="s">
        <v>920</v>
      </c>
      <c r="B867" t="s">
        <v>15</v>
      </c>
      <c r="C867" t="s">
        <v>61</v>
      </c>
      <c r="D867" t="s">
        <v>34</v>
      </c>
      <c r="E867" t="s">
        <v>49</v>
      </c>
      <c r="F867" t="s">
        <v>44</v>
      </c>
      <c r="G867">
        <v>198.26</v>
      </c>
      <c r="H867">
        <v>51.3</v>
      </c>
      <c r="I867">
        <v>96.55</v>
      </c>
      <c r="J867" s="1">
        <v>45875</v>
      </c>
      <c r="K867">
        <v>38</v>
      </c>
      <c r="M867" t="b">
        <v>0</v>
      </c>
    </row>
    <row r="868" spans="1:14" x14ac:dyDescent="0.25">
      <c r="A868" t="s">
        <v>921</v>
      </c>
      <c r="B868" t="s">
        <v>38</v>
      </c>
      <c r="C868" t="s">
        <v>53</v>
      </c>
      <c r="D868" t="s">
        <v>23</v>
      </c>
      <c r="E868" t="s">
        <v>49</v>
      </c>
      <c r="F868" t="s">
        <v>56</v>
      </c>
      <c r="G868">
        <v>64.069999999999993</v>
      </c>
      <c r="H868">
        <v>0</v>
      </c>
      <c r="I868">
        <v>64.069999999999993</v>
      </c>
      <c r="J868" s="1">
        <v>45875</v>
      </c>
      <c r="K868">
        <v>34</v>
      </c>
      <c r="M868" t="b">
        <v>0</v>
      </c>
    </row>
    <row r="869" spans="1:14" x14ac:dyDescent="0.25">
      <c r="A869" t="s">
        <v>922</v>
      </c>
      <c r="B869" t="s">
        <v>38</v>
      </c>
      <c r="C869" t="s">
        <v>16</v>
      </c>
      <c r="D869" t="s">
        <v>34</v>
      </c>
      <c r="E869" t="s">
        <v>18</v>
      </c>
      <c r="F869" t="s">
        <v>40</v>
      </c>
      <c r="G869">
        <v>110.15</v>
      </c>
      <c r="H869">
        <v>10.4</v>
      </c>
      <c r="I869">
        <v>98.69</v>
      </c>
      <c r="J869" s="1">
        <v>45875</v>
      </c>
      <c r="K869">
        <v>36</v>
      </c>
      <c r="L869">
        <v>1.6</v>
      </c>
      <c r="M869" t="b">
        <v>0</v>
      </c>
    </row>
    <row r="870" spans="1:14" x14ac:dyDescent="0.25">
      <c r="A870" t="s">
        <v>923</v>
      </c>
      <c r="B870" t="s">
        <v>15</v>
      </c>
      <c r="C870" t="s">
        <v>75</v>
      </c>
      <c r="D870" t="s">
        <v>17</v>
      </c>
      <c r="E870" t="s">
        <v>55</v>
      </c>
      <c r="F870" t="s">
        <v>44</v>
      </c>
      <c r="G870">
        <v>120.68</v>
      </c>
      <c r="H870">
        <v>0</v>
      </c>
      <c r="I870">
        <v>120.68</v>
      </c>
      <c r="J870" s="1">
        <v>45647</v>
      </c>
      <c r="K870">
        <v>6</v>
      </c>
      <c r="L870">
        <v>1.9</v>
      </c>
      <c r="M870" t="b">
        <v>0</v>
      </c>
    </row>
    <row r="871" spans="1:14" x14ac:dyDescent="0.25">
      <c r="A871" t="s">
        <v>924</v>
      </c>
      <c r="B871" t="s">
        <v>27</v>
      </c>
      <c r="C871" t="s">
        <v>16</v>
      </c>
      <c r="D871" t="s">
        <v>34</v>
      </c>
      <c r="F871" t="s">
        <v>28</v>
      </c>
      <c r="G871">
        <v>69.180000000000007</v>
      </c>
      <c r="H871">
        <v>31</v>
      </c>
      <c r="I871">
        <v>47.73</v>
      </c>
      <c r="J871" s="1">
        <v>45875</v>
      </c>
      <c r="K871">
        <v>9</v>
      </c>
      <c r="L871">
        <v>2.7</v>
      </c>
      <c r="M871" t="b">
        <v>1</v>
      </c>
      <c r="N871" t="s">
        <v>73</v>
      </c>
    </row>
    <row r="872" spans="1:14" x14ac:dyDescent="0.25">
      <c r="A872" t="s">
        <v>925</v>
      </c>
      <c r="B872" t="s">
        <v>42</v>
      </c>
      <c r="C872" t="s">
        <v>53</v>
      </c>
      <c r="D872" t="s">
        <v>34</v>
      </c>
      <c r="E872" t="s">
        <v>24</v>
      </c>
      <c r="F872" t="s">
        <v>19</v>
      </c>
      <c r="G872">
        <v>134.77000000000001</v>
      </c>
      <c r="H872">
        <v>0</v>
      </c>
      <c r="I872">
        <v>134.77000000000001</v>
      </c>
      <c r="J872" s="1">
        <v>45875</v>
      </c>
      <c r="K872">
        <v>36</v>
      </c>
      <c r="L872">
        <v>4.8</v>
      </c>
      <c r="M872" t="b">
        <v>0</v>
      </c>
    </row>
    <row r="873" spans="1:14" x14ac:dyDescent="0.25">
      <c r="A873" t="s">
        <v>926</v>
      </c>
      <c r="B873" t="s">
        <v>21</v>
      </c>
      <c r="C873" t="s">
        <v>22</v>
      </c>
      <c r="D873" t="s">
        <v>17</v>
      </c>
      <c r="E873" t="s">
        <v>39</v>
      </c>
      <c r="F873" t="s">
        <v>28</v>
      </c>
      <c r="G873">
        <v>29.93</v>
      </c>
      <c r="H873">
        <v>0</v>
      </c>
      <c r="I873">
        <v>29.93</v>
      </c>
      <c r="J873" s="1">
        <v>45575</v>
      </c>
      <c r="K873">
        <v>13</v>
      </c>
      <c r="M873" t="b">
        <v>0</v>
      </c>
    </row>
    <row r="874" spans="1:14" x14ac:dyDescent="0.25">
      <c r="A874" t="s">
        <v>927</v>
      </c>
      <c r="B874" t="s">
        <v>27</v>
      </c>
      <c r="C874" t="s">
        <v>61</v>
      </c>
      <c r="D874" t="s">
        <v>23</v>
      </c>
      <c r="F874" t="s">
        <v>35</v>
      </c>
      <c r="G874">
        <v>56.09</v>
      </c>
      <c r="H874">
        <v>0</v>
      </c>
      <c r="I874">
        <v>56.09</v>
      </c>
      <c r="J874" s="1">
        <v>45875</v>
      </c>
      <c r="K874">
        <v>21</v>
      </c>
      <c r="L874">
        <v>4.9000000000000004</v>
      </c>
      <c r="M874" t="b">
        <v>0</v>
      </c>
    </row>
    <row r="875" spans="1:14" x14ac:dyDescent="0.25">
      <c r="A875" t="s">
        <v>928</v>
      </c>
      <c r="B875" t="s">
        <v>30</v>
      </c>
      <c r="C875" t="s">
        <v>61</v>
      </c>
      <c r="D875" t="s">
        <v>34</v>
      </c>
      <c r="E875" t="s">
        <v>55</v>
      </c>
      <c r="F875" t="s">
        <v>46</v>
      </c>
      <c r="G875">
        <v>124.81</v>
      </c>
      <c r="H875">
        <v>33.1</v>
      </c>
      <c r="I875">
        <v>83.5</v>
      </c>
      <c r="J875" s="1">
        <v>45875</v>
      </c>
      <c r="K875">
        <v>45</v>
      </c>
      <c r="L875">
        <v>2.4</v>
      </c>
      <c r="M875" t="b">
        <v>0</v>
      </c>
    </row>
    <row r="876" spans="1:14" x14ac:dyDescent="0.25">
      <c r="A876" t="s">
        <v>929</v>
      </c>
      <c r="B876" t="s">
        <v>42</v>
      </c>
      <c r="C876" t="s">
        <v>16</v>
      </c>
      <c r="D876" t="s">
        <v>17</v>
      </c>
      <c r="E876" t="s">
        <v>58</v>
      </c>
      <c r="F876" t="s">
        <v>35</v>
      </c>
      <c r="G876">
        <v>94.03</v>
      </c>
      <c r="H876">
        <v>56.1</v>
      </c>
      <c r="I876">
        <v>41.28</v>
      </c>
      <c r="J876" s="1">
        <v>45642</v>
      </c>
      <c r="K876">
        <v>16</v>
      </c>
      <c r="L876">
        <v>1.2</v>
      </c>
      <c r="M876" t="b">
        <v>0</v>
      </c>
    </row>
    <row r="877" spans="1:14" x14ac:dyDescent="0.25">
      <c r="A877" t="s">
        <v>930</v>
      </c>
      <c r="B877" t="s">
        <v>30</v>
      </c>
      <c r="C877" t="s">
        <v>16</v>
      </c>
      <c r="D877" t="s">
        <v>34</v>
      </c>
      <c r="E877" t="s">
        <v>55</v>
      </c>
      <c r="F877" t="s">
        <v>19</v>
      </c>
      <c r="G877">
        <v>109.51</v>
      </c>
      <c r="H877">
        <v>8.1999999999999993</v>
      </c>
      <c r="I877">
        <v>100.53</v>
      </c>
      <c r="J877" s="1">
        <v>45875</v>
      </c>
      <c r="K877">
        <v>12</v>
      </c>
      <c r="M877" t="b">
        <v>0</v>
      </c>
    </row>
    <row r="878" spans="1:14" x14ac:dyDescent="0.25">
      <c r="A878" t="s">
        <v>931</v>
      </c>
      <c r="B878" t="s">
        <v>27</v>
      </c>
      <c r="C878" t="s">
        <v>43</v>
      </c>
      <c r="D878" t="s">
        <v>23</v>
      </c>
      <c r="F878" t="s">
        <v>64</v>
      </c>
      <c r="G878">
        <v>31.13</v>
      </c>
      <c r="H878">
        <v>0</v>
      </c>
      <c r="I878">
        <v>31.13</v>
      </c>
      <c r="J878" s="1">
        <v>45875</v>
      </c>
      <c r="K878">
        <v>29</v>
      </c>
      <c r="L878">
        <v>4.7</v>
      </c>
      <c r="M878" t="b">
        <v>0</v>
      </c>
    </row>
    <row r="879" spans="1:14" x14ac:dyDescent="0.25">
      <c r="A879" t="s">
        <v>932</v>
      </c>
      <c r="B879" t="s">
        <v>27</v>
      </c>
      <c r="C879" t="s">
        <v>32</v>
      </c>
      <c r="D879" t="s">
        <v>34</v>
      </c>
      <c r="F879" t="s">
        <v>44</v>
      </c>
      <c r="G879">
        <v>66.3</v>
      </c>
      <c r="H879">
        <v>1.7</v>
      </c>
      <c r="I879">
        <v>65.17</v>
      </c>
      <c r="J879" s="1">
        <v>45875</v>
      </c>
      <c r="K879">
        <v>28</v>
      </c>
      <c r="L879">
        <v>1.6</v>
      </c>
      <c r="M879" t="b">
        <v>0</v>
      </c>
    </row>
    <row r="880" spans="1:14" x14ac:dyDescent="0.25">
      <c r="A880" t="s">
        <v>933</v>
      </c>
      <c r="B880" t="s">
        <v>38</v>
      </c>
      <c r="C880" t="s">
        <v>48</v>
      </c>
      <c r="D880" t="s">
        <v>23</v>
      </c>
      <c r="E880" t="s">
        <v>58</v>
      </c>
      <c r="F880" t="s">
        <v>19</v>
      </c>
      <c r="G880">
        <v>66.63</v>
      </c>
      <c r="H880">
        <v>28.4</v>
      </c>
      <c r="I880">
        <v>47.71</v>
      </c>
      <c r="J880" s="1">
        <v>45875</v>
      </c>
      <c r="K880">
        <v>32</v>
      </c>
      <c r="L880">
        <v>2</v>
      </c>
      <c r="M880" t="b">
        <v>0</v>
      </c>
    </row>
    <row r="881" spans="1:13" x14ac:dyDescent="0.25">
      <c r="A881" t="s">
        <v>934</v>
      </c>
      <c r="B881" t="s">
        <v>38</v>
      </c>
      <c r="C881" t="s">
        <v>43</v>
      </c>
      <c r="D881" t="s">
        <v>17</v>
      </c>
      <c r="E881" t="s">
        <v>24</v>
      </c>
      <c r="F881" t="s">
        <v>46</v>
      </c>
      <c r="G881">
        <v>117.63</v>
      </c>
      <c r="H881">
        <v>0</v>
      </c>
      <c r="I881">
        <v>117.63</v>
      </c>
      <c r="J881" s="1">
        <v>45563</v>
      </c>
      <c r="K881">
        <v>18</v>
      </c>
      <c r="L881">
        <v>1.2</v>
      </c>
      <c r="M881" t="b">
        <v>0</v>
      </c>
    </row>
    <row r="882" spans="1:13" x14ac:dyDescent="0.25">
      <c r="A882" t="s">
        <v>935</v>
      </c>
      <c r="B882" t="s">
        <v>30</v>
      </c>
      <c r="C882" t="s">
        <v>32</v>
      </c>
      <c r="D882" t="s">
        <v>23</v>
      </c>
      <c r="E882" t="s">
        <v>58</v>
      </c>
      <c r="F882" t="s">
        <v>66</v>
      </c>
      <c r="G882">
        <v>174.53</v>
      </c>
      <c r="H882">
        <v>0</v>
      </c>
      <c r="I882">
        <v>174.53</v>
      </c>
      <c r="J882" s="1">
        <v>45875</v>
      </c>
      <c r="K882">
        <v>45</v>
      </c>
      <c r="M882" t="b">
        <v>0</v>
      </c>
    </row>
    <row r="883" spans="1:13" x14ac:dyDescent="0.25">
      <c r="A883" t="s">
        <v>936</v>
      </c>
      <c r="B883" t="s">
        <v>42</v>
      </c>
      <c r="C883" t="s">
        <v>16</v>
      </c>
      <c r="D883" t="s">
        <v>23</v>
      </c>
      <c r="E883" t="s">
        <v>39</v>
      </c>
      <c r="F883" t="s">
        <v>46</v>
      </c>
      <c r="G883">
        <v>152.65</v>
      </c>
      <c r="H883">
        <v>0</v>
      </c>
      <c r="I883">
        <v>152.65</v>
      </c>
      <c r="J883" s="1">
        <v>45875</v>
      </c>
      <c r="K883">
        <v>27</v>
      </c>
      <c r="L883">
        <v>3.7</v>
      </c>
      <c r="M883" t="b">
        <v>0</v>
      </c>
    </row>
    <row r="884" spans="1:13" x14ac:dyDescent="0.25">
      <c r="A884" t="s">
        <v>937</v>
      </c>
      <c r="B884" t="s">
        <v>15</v>
      </c>
      <c r="C884" t="s">
        <v>53</v>
      </c>
      <c r="D884" t="s">
        <v>62</v>
      </c>
      <c r="E884" t="s">
        <v>18</v>
      </c>
      <c r="F884" t="s">
        <v>44</v>
      </c>
      <c r="G884">
        <v>83.24</v>
      </c>
      <c r="H884">
        <v>0</v>
      </c>
      <c r="I884">
        <v>83.24</v>
      </c>
      <c r="J884" s="1">
        <v>45875</v>
      </c>
      <c r="K884">
        <v>16</v>
      </c>
      <c r="M884" t="b">
        <v>0</v>
      </c>
    </row>
    <row r="885" spans="1:13" x14ac:dyDescent="0.25">
      <c r="A885" t="s">
        <v>938</v>
      </c>
      <c r="B885" t="s">
        <v>27</v>
      </c>
      <c r="C885" t="s">
        <v>16</v>
      </c>
      <c r="D885" t="s">
        <v>23</v>
      </c>
      <c r="F885" t="s">
        <v>70</v>
      </c>
      <c r="G885">
        <v>40.18</v>
      </c>
      <c r="H885">
        <v>0</v>
      </c>
      <c r="I885">
        <v>40.18</v>
      </c>
      <c r="J885" s="1">
        <v>45875</v>
      </c>
      <c r="K885">
        <v>27</v>
      </c>
      <c r="L885">
        <v>4.7</v>
      </c>
      <c r="M885" t="b">
        <v>0</v>
      </c>
    </row>
    <row r="886" spans="1:13" x14ac:dyDescent="0.25">
      <c r="A886" t="s">
        <v>939</v>
      </c>
      <c r="B886" t="s">
        <v>38</v>
      </c>
      <c r="C886" t="s">
        <v>43</v>
      </c>
      <c r="D886" t="s">
        <v>17</v>
      </c>
      <c r="E886" t="s">
        <v>18</v>
      </c>
      <c r="F886" t="s">
        <v>19</v>
      </c>
      <c r="G886">
        <v>73.77</v>
      </c>
      <c r="H886">
        <v>22.8</v>
      </c>
      <c r="I886">
        <v>56.95</v>
      </c>
      <c r="J886" s="1">
        <v>45522</v>
      </c>
      <c r="K886">
        <v>0</v>
      </c>
      <c r="M886" t="b">
        <v>0</v>
      </c>
    </row>
    <row r="887" spans="1:13" x14ac:dyDescent="0.25">
      <c r="A887" t="s">
        <v>940</v>
      </c>
      <c r="B887" t="s">
        <v>27</v>
      </c>
      <c r="C887" t="s">
        <v>75</v>
      </c>
      <c r="D887" t="s">
        <v>23</v>
      </c>
      <c r="F887" t="s">
        <v>19</v>
      </c>
      <c r="G887">
        <v>71.3</v>
      </c>
      <c r="H887">
        <v>0</v>
      </c>
      <c r="I887">
        <v>71.3</v>
      </c>
      <c r="J887" s="1">
        <v>45875</v>
      </c>
      <c r="K887">
        <v>29</v>
      </c>
      <c r="M887" t="b">
        <v>0</v>
      </c>
    </row>
    <row r="888" spans="1:13" x14ac:dyDescent="0.25">
      <c r="A888" t="s">
        <v>941</v>
      </c>
      <c r="B888" t="s">
        <v>27</v>
      </c>
      <c r="C888" t="s">
        <v>75</v>
      </c>
      <c r="D888" t="s">
        <v>62</v>
      </c>
      <c r="F888" t="s">
        <v>56</v>
      </c>
      <c r="G888">
        <v>50.3</v>
      </c>
      <c r="H888">
        <v>52.8</v>
      </c>
      <c r="I888">
        <v>23.74</v>
      </c>
      <c r="J888" s="1">
        <v>45875</v>
      </c>
      <c r="K888">
        <v>11</v>
      </c>
      <c r="M888" t="b">
        <v>0</v>
      </c>
    </row>
    <row r="889" spans="1:13" x14ac:dyDescent="0.25">
      <c r="A889" t="s">
        <v>942</v>
      </c>
      <c r="B889" t="s">
        <v>27</v>
      </c>
      <c r="C889" t="s">
        <v>48</v>
      </c>
      <c r="D889" t="s">
        <v>17</v>
      </c>
      <c r="F889" t="s">
        <v>46</v>
      </c>
      <c r="G889">
        <v>46.97</v>
      </c>
      <c r="H889">
        <v>0</v>
      </c>
      <c r="I889">
        <v>46.97</v>
      </c>
      <c r="J889" s="1">
        <v>45712</v>
      </c>
      <c r="K889">
        <v>33</v>
      </c>
      <c r="L889">
        <v>2.6</v>
      </c>
      <c r="M889" t="b">
        <v>0</v>
      </c>
    </row>
    <row r="890" spans="1:13" x14ac:dyDescent="0.25">
      <c r="A890" t="s">
        <v>943</v>
      </c>
      <c r="B890" t="s">
        <v>30</v>
      </c>
      <c r="C890" t="s">
        <v>16</v>
      </c>
      <c r="D890" t="s">
        <v>34</v>
      </c>
      <c r="F890" t="s">
        <v>70</v>
      </c>
      <c r="G890">
        <v>162.9</v>
      </c>
      <c r="H890">
        <v>0</v>
      </c>
      <c r="I890">
        <v>162.9</v>
      </c>
      <c r="J890" s="1">
        <v>45875</v>
      </c>
      <c r="K890">
        <v>30</v>
      </c>
      <c r="L890">
        <v>1.9</v>
      </c>
      <c r="M890" t="b">
        <v>0</v>
      </c>
    </row>
    <row r="891" spans="1:13" x14ac:dyDescent="0.25">
      <c r="A891" t="s">
        <v>944</v>
      </c>
      <c r="B891" t="s">
        <v>38</v>
      </c>
      <c r="C891" t="s">
        <v>75</v>
      </c>
      <c r="D891" t="s">
        <v>23</v>
      </c>
      <c r="E891" t="s">
        <v>18</v>
      </c>
      <c r="F891" t="s">
        <v>35</v>
      </c>
      <c r="G891">
        <v>57.14</v>
      </c>
      <c r="H891">
        <v>0</v>
      </c>
      <c r="I891">
        <v>57.14</v>
      </c>
      <c r="J891" s="1">
        <v>45875</v>
      </c>
      <c r="K891">
        <v>39</v>
      </c>
      <c r="L891">
        <v>1.4</v>
      </c>
      <c r="M891" t="b">
        <v>0</v>
      </c>
    </row>
    <row r="892" spans="1:13" x14ac:dyDescent="0.25">
      <c r="A892" t="s">
        <v>945</v>
      </c>
      <c r="B892" t="s">
        <v>30</v>
      </c>
      <c r="C892" t="s">
        <v>53</v>
      </c>
      <c r="D892" t="s">
        <v>17</v>
      </c>
      <c r="E892" t="s">
        <v>24</v>
      </c>
      <c r="F892" t="s">
        <v>66</v>
      </c>
      <c r="G892">
        <v>93.6</v>
      </c>
      <c r="H892">
        <v>0</v>
      </c>
      <c r="I892">
        <v>93.6</v>
      </c>
      <c r="J892" s="1">
        <v>45544</v>
      </c>
      <c r="K892">
        <v>49</v>
      </c>
      <c r="L892">
        <v>4.3</v>
      </c>
      <c r="M892" t="b">
        <v>0</v>
      </c>
    </row>
    <row r="893" spans="1:13" x14ac:dyDescent="0.25">
      <c r="A893" t="s">
        <v>946</v>
      </c>
      <c r="B893" t="s">
        <v>27</v>
      </c>
      <c r="C893" t="s">
        <v>75</v>
      </c>
      <c r="D893" t="s">
        <v>17</v>
      </c>
      <c r="F893" t="s">
        <v>70</v>
      </c>
      <c r="G893">
        <v>64.56</v>
      </c>
      <c r="H893">
        <v>43</v>
      </c>
      <c r="I893">
        <v>36.799999999999997</v>
      </c>
      <c r="J893" s="1">
        <v>45510</v>
      </c>
      <c r="K893">
        <v>36</v>
      </c>
      <c r="L893">
        <v>3.9</v>
      </c>
      <c r="M893" t="b">
        <v>0</v>
      </c>
    </row>
    <row r="894" spans="1:13" x14ac:dyDescent="0.25">
      <c r="A894" t="s">
        <v>947</v>
      </c>
      <c r="B894" t="s">
        <v>15</v>
      </c>
      <c r="C894" t="s">
        <v>53</v>
      </c>
      <c r="D894" t="s">
        <v>23</v>
      </c>
      <c r="E894" t="s">
        <v>39</v>
      </c>
      <c r="F894" t="s">
        <v>64</v>
      </c>
      <c r="G894">
        <v>142.34</v>
      </c>
      <c r="H894">
        <v>0</v>
      </c>
      <c r="I894">
        <v>142.34</v>
      </c>
      <c r="J894" s="1">
        <v>45875</v>
      </c>
      <c r="K894">
        <v>43</v>
      </c>
      <c r="M894" t="b">
        <v>0</v>
      </c>
    </row>
    <row r="895" spans="1:13" x14ac:dyDescent="0.25">
      <c r="A895" t="s">
        <v>948</v>
      </c>
      <c r="B895" t="s">
        <v>30</v>
      </c>
      <c r="C895" t="s">
        <v>61</v>
      </c>
      <c r="D895" t="s">
        <v>17</v>
      </c>
      <c r="E895" t="s">
        <v>55</v>
      </c>
      <c r="F895" t="s">
        <v>35</v>
      </c>
      <c r="G895">
        <v>111.02</v>
      </c>
      <c r="H895">
        <v>57.8</v>
      </c>
      <c r="I895">
        <v>46.85</v>
      </c>
      <c r="J895" s="1">
        <v>45796</v>
      </c>
      <c r="K895">
        <v>11</v>
      </c>
      <c r="L895">
        <v>2.2000000000000002</v>
      </c>
      <c r="M895" t="b">
        <v>0</v>
      </c>
    </row>
    <row r="896" spans="1:13" x14ac:dyDescent="0.25">
      <c r="A896" t="s">
        <v>949</v>
      </c>
      <c r="B896" t="s">
        <v>21</v>
      </c>
      <c r="C896" t="s">
        <v>32</v>
      </c>
      <c r="D896" t="s">
        <v>23</v>
      </c>
      <c r="F896" t="s">
        <v>28</v>
      </c>
      <c r="G896">
        <v>29.16</v>
      </c>
      <c r="H896">
        <v>49</v>
      </c>
      <c r="I896">
        <v>14.87</v>
      </c>
      <c r="J896" s="1">
        <v>45875</v>
      </c>
      <c r="K896">
        <v>31</v>
      </c>
      <c r="M896" t="b">
        <v>0</v>
      </c>
    </row>
    <row r="897" spans="1:14" x14ac:dyDescent="0.25">
      <c r="A897" t="s">
        <v>950</v>
      </c>
      <c r="B897" t="s">
        <v>21</v>
      </c>
      <c r="C897" t="s">
        <v>53</v>
      </c>
      <c r="D897" t="s">
        <v>62</v>
      </c>
      <c r="E897" t="s">
        <v>55</v>
      </c>
      <c r="F897" t="s">
        <v>28</v>
      </c>
      <c r="G897">
        <v>30.46</v>
      </c>
      <c r="H897">
        <v>0</v>
      </c>
      <c r="I897">
        <v>30.46</v>
      </c>
      <c r="J897" s="1">
        <v>45875</v>
      </c>
      <c r="K897">
        <v>19</v>
      </c>
      <c r="L897">
        <v>1.2</v>
      </c>
      <c r="M897" t="b">
        <v>0</v>
      </c>
    </row>
    <row r="898" spans="1:14" x14ac:dyDescent="0.25">
      <c r="A898" t="s">
        <v>951</v>
      </c>
      <c r="B898" t="s">
        <v>27</v>
      </c>
      <c r="C898" t="s">
        <v>75</v>
      </c>
      <c r="D898" t="s">
        <v>23</v>
      </c>
      <c r="F898" t="s">
        <v>44</v>
      </c>
      <c r="G898">
        <v>31.32</v>
      </c>
      <c r="H898">
        <v>0</v>
      </c>
      <c r="I898">
        <v>31.32</v>
      </c>
      <c r="J898" s="1">
        <v>45875</v>
      </c>
      <c r="K898">
        <v>28</v>
      </c>
      <c r="L898">
        <v>2.7</v>
      </c>
      <c r="M898" t="b">
        <v>0</v>
      </c>
    </row>
    <row r="899" spans="1:14" x14ac:dyDescent="0.25">
      <c r="A899" t="s">
        <v>952</v>
      </c>
      <c r="B899" t="s">
        <v>38</v>
      </c>
      <c r="C899" t="s">
        <v>22</v>
      </c>
      <c r="D899" t="s">
        <v>17</v>
      </c>
      <c r="E899" t="s">
        <v>58</v>
      </c>
      <c r="F899" t="s">
        <v>25</v>
      </c>
      <c r="G899">
        <v>61.78</v>
      </c>
      <c r="H899">
        <v>0</v>
      </c>
      <c r="I899">
        <v>61.78</v>
      </c>
      <c r="J899" s="1">
        <v>45868</v>
      </c>
      <c r="K899">
        <v>24</v>
      </c>
      <c r="L899">
        <v>3.5</v>
      </c>
      <c r="M899" t="b">
        <v>0</v>
      </c>
    </row>
    <row r="900" spans="1:14" x14ac:dyDescent="0.25">
      <c r="A900" t="s">
        <v>953</v>
      </c>
      <c r="B900" t="s">
        <v>15</v>
      </c>
      <c r="C900" t="s">
        <v>16</v>
      </c>
      <c r="D900" t="s">
        <v>62</v>
      </c>
      <c r="E900" t="s">
        <v>58</v>
      </c>
      <c r="F900" t="s">
        <v>46</v>
      </c>
      <c r="G900">
        <v>126.27</v>
      </c>
      <c r="H900">
        <v>0</v>
      </c>
      <c r="I900">
        <v>126.27</v>
      </c>
      <c r="J900" s="1">
        <v>45875</v>
      </c>
      <c r="K900">
        <v>1</v>
      </c>
      <c r="L900">
        <v>4.7</v>
      </c>
      <c r="M900" t="b">
        <v>0</v>
      </c>
    </row>
    <row r="901" spans="1:14" x14ac:dyDescent="0.25">
      <c r="A901" t="s">
        <v>954</v>
      </c>
      <c r="B901" t="s">
        <v>15</v>
      </c>
      <c r="C901" t="s">
        <v>22</v>
      </c>
      <c r="D901" t="s">
        <v>23</v>
      </c>
      <c r="E901" t="s">
        <v>24</v>
      </c>
      <c r="F901" t="s">
        <v>35</v>
      </c>
      <c r="G901">
        <v>147.53</v>
      </c>
      <c r="H901">
        <v>0</v>
      </c>
      <c r="I901">
        <v>147.53</v>
      </c>
      <c r="J901" s="1">
        <v>45875</v>
      </c>
      <c r="K901">
        <v>33</v>
      </c>
      <c r="L901">
        <v>4.7</v>
      </c>
      <c r="M901" t="b">
        <v>1</v>
      </c>
      <c r="N901" t="s">
        <v>83</v>
      </c>
    </row>
    <row r="902" spans="1:14" x14ac:dyDescent="0.25">
      <c r="A902" t="s">
        <v>955</v>
      </c>
      <c r="B902" t="s">
        <v>27</v>
      </c>
      <c r="C902" t="s">
        <v>32</v>
      </c>
      <c r="D902" t="s">
        <v>62</v>
      </c>
      <c r="F902" t="s">
        <v>19</v>
      </c>
      <c r="G902">
        <v>36.979999999999997</v>
      </c>
      <c r="H902">
        <v>12.2</v>
      </c>
      <c r="I902">
        <v>32.47</v>
      </c>
      <c r="J902" s="1">
        <v>45875</v>
      </c>
      <c r="K902">
        <v>14</v>
      </c>
      <c r="L902">
        <v>4.8</v>
      </c>
      <c r="M902" t="b">
        <v>0</v>
      </c>
    </row>
    <row r="903" spans="1:14" x14ac:dyDescent="0.25">
      <c r="A903" t="s">
        <v>956</v>
      </c>
      <c r="B903" t="s">
        <v>30</v>
      </c>
      <c r="C903" t="s">
        <v>48</v>
      </c>
      <c r="D903" t="s">
        <v>34</v>
      </c>
      <c r="E903" t="s">
        <v>58</v>
      </c>
      <c r="F903" t="s">
        <v>25</v>
      </c>
      <c r="G903">
        <v>172.41</v>
      </c>
      <c r="H903">
        <v>0</v>
      </c>
      <c r="I903">
        <v>172.41</v>
      </c>
      <c r="J903" s="1">
        <v>45875</v>
      </c>
      <c r="K903">
        <v>33</v>
      </c>
      <c r="L903">
        <v>2.2999999999999998</v>
      </c>
      <c r="M903" t="b">
        <v>0</v>
      </c>
    </row>
    <row r="904" spans="1:14" x14ac:dyDescent="0.25">
      <c r="A904" t="s">
        <v>957</v>
      </c>
      <c r="B904" t="s">
        <v>27</v>
      </c>
      <c r="C904" t="s">
        <v>48</v>
      </c>
      <c r="D904" t="s">
        <v>17</v>
      </c>
      <c r="F904" t="s">
        <v>25</v>
      </c>
      <c r="G904">
        <v>53.79</v>
      </c>
      <c r="H904">
        <v>16</v>
      </c>
      <c r="I904">
        <v>45.18</v>
      </c>
      <c r="J904" s="1">
        <v>45566</v>
      </c>
      <c r="K904">
        <v>32</v>
      </c>
      <c r="M904" t="b">
        <v>0</v>
      </c>
    </row>
    <row r="905" spans="1:14" x14ac:dyDescent="0.25">
      <c r="A905" t="s">
        <v>958</v>
      </c>
      <c r="B905" t="s">
        <v>30</v>
      </c>
      <c r="C905" t="s">
        <v>43</v>
      </c>
      <c r="D905" t="s">
        <v>62</v>
      </c>
      <c r="E905" t="s">
        <v>55</v>
      </c>
      <c r="F905" t="s">
        <v>56</v>
      </c>
      <c r="G905">
        <v>80.56</v>
      </c>
      <c r="H905">
        <v>0</v>
      </c>
      <c r="I905">
        <v>80.56</v>
      </c>
      <c r="J905" s="1">
        <v>45875</v>
      </c>
      <c r="K905">
        <v>7</v>
      </c>
      <c r="L905">
        <v>1.9</v>
      </c>
      <c r="M905" t="b">
        <v>0</v>
      </c>
    </row>
    <row r="906" spans="1:14" x14ac:dyDescent="0.25">
      <c r="A906" t="s">
        <v>959</v>
      </c>
      <c r="B906" t="s">
        <v>27</v>
      </c>
      <c r="C906" t="s">
        <v>43</v>
      </c>
      <c r="D906" t="s">
        <v>34</v>
      </c>
      <c r="F906" t="s">
        <v>25</v>
      </c>
      <c r="G906">
        <v>51.72</v>
      </c>
      <c r="H906">
        <v>0</v>
      </c>
      <c r="I906">
        <v>51.72</v>
      </c>
      <c r="J906" s="1">
        <v>45875</v>
      </c>
      <c r="K906">
        <v>35</v>
      </c>
      <c r="L906">
        <v>3.7</v>
      </c>
      <c r="M906" t="b">
        <v>1</v>
      </c>
      <c r="N906" t="s">
        <v>78</v>
      </c>
    </row>
    <row r="907" spans="1:14" x14ac:dyDescent="0.25">
      <c r="A907" t="s">
        <v>960</v>
      </c>
      <c r="B907" t="s">
        <v>38</v>
      </c>
      <c r="C907" t="s">
        <v>43</v>
      </c>
      <c r="D907" t="s">
        <v>17</v>
      </c>
      <c r="E907" t="s">
        <v>18</v>
      </c>
      <c r="F907" t="s">
        <v>25</v>
      </c>
      <c r="G907">
        <v>107.22</v>
      </c>
      <c r="H907">
        <v>37.799999999999997</v>
      </c>
      <c r="I907">
        <v>66.69</v>
      </c>
      <c r="J907" s="1">
        <v>45849</v>
      </c>
      <c r="K907">
        <v>21</v>
      </c>
      <c r="L907">
        <v>2.9</v>
      </c>
      <c r="M907" t="b">
        <v>0</v>
      </c>
    </row>
    <row r="908" spans="1:14" x14ac:dyDescent="0.25">
      <c r="A908" t="s">
        <v>961</v>
      </c>
      <c r="B908" t="s">
        <v>30</v>
      </c>
      <c r="C908" t="s">
        <v>48</v>
      </c>
      <c r="D908" t="s">
        <v>34</v>
      </c>
      <c r="E908" t="s">
        <v>49</v>
      </c>
      <c r="F908" t="s">
        <v>46</v>
      </c>
      <c r="G908">
        <v>174.99</v>
      </c>
      <c r="H908">
        <v>50.1</v>
      </c>
      <c r="I908">
        <v>87.32</v>
      </c>
      <c r="J908" s="1">
        <v>45875</v>
      </c>
      <c r="K908">
        <v>7</v>
      </c>
      <c r="L908">
        <v>4.9000000000000004</v>
      </c>
      <c r="M908" t="b">
        <v>0</v>
      </c>
    </row>
    <row r="909" spans="1:14" x14ac:dyDescent="0.25">
      <c r="A909" t="s">
        <v>962</v>
      </c>
      <c r="B909" t="s">
        <v>42</v>
      </c>
      <c r="C909" t="s">
        <v>75</v>
      </c>
      <c r="D909" t="s">
        <v>17</v>
      </c>
      <c r="E909" t="s">
        <v>39</v>
      </c>
      <c r="F909" t="s">
        <v>44</v>
      </c>
      <c r="G909">
        <v>90.52</v>
      </c>
      <c r="H909">
        <v>53.2</v>
      </c>
      <c r="I909">
        <v>42.36</v>
      </c>
      <c r="J909" s="1">
        <v>45866</v>
      </c>
      <c r="K909">
        <v>37</v>
      </c>
      <c r="L909">
        <v>2.2000000000000002</v>
      </c>
      <c r="M909" t="b">
        <v>0</v>
      </c>
    </row>
    <row r="910" spans="1:14" x14ac:dyDescent="0.25">
      <c r="A910" t="s">
        <v>963</v>
      </c>
      <c r="B910" t="s">
        <v>30</v>
      </c>
      <c r="C910" t="s">
        <v>75</v>
      </c>
      <c r="D910" t="s">
        <v>62</v>
      </c>
      <c r="E910" t="s">
        <v>49</v>
      </c>
      <c r="F910" t="s">
        <v>46</v>
      </c>
      <c r="G910">
        <v>94.93</v>
      </c>
      <c r="H910">
        <v>16.600000000000001</v>
      </c>
      <c r="I910">
        <v>79.17</v>
      </c>
      <c r="J910" s="1">
        <v>45875</v>
      </c>
      <c r="K910">
        <v>39</v>
      </c>
      <c r="L910">
        <v>4.8</v>
      </c>
      <c r="M910" t="b">
        <v>0</v>
      </c>
    </row>
    <row r="911" spans="1:14" x14ac:dyDescent="0.25">
      <c r="A911" t="s">
        <v>964</v>
      </c>
      <c r="B911" t="s">
        <v>30</v>
      </c>
      <c r="C911" t="s">
        <v>32</v>
      </c>
      <c r="D911" t="s">
        <v>23</v>
      </c>
      <c r="E911" t="s">
        <v>55</v>
      </c>
      <c r="F911" t="s">
        <v>40</v>
      </c>
      <c r="G911">
        <v>179.82</v>
      </c>
      <c r="H911">
        <v>0</v>
      </c>
      <c r="I911">
        <v>179.82</v>
      </c>
      <c r="J911" s="1">
        <v>45875</v>
      </c>
      <c r="K911">
        <v>28</v>
      </c>
      <c r="L911">
        <v>2.4</v>
      </c>
      <c r="M911" t="b">
        <v>1</v>
      </c>
      <c r="N911" t="s">
        <v>78</v>
      </c>
    </row>
    <row r="912" spans="1:14" x14ac:dyDescent="0.25">
      <c r="A912" t="s">
        <v>965</v>
      </c>
      <c r="B912" t="s">
        <v>21</v>
      </c>
      <c r="C912" t="s">
        <v>22</v>
      </c>
      <c r="D912" t="s">
        <v>17</v>
      </c>
      <c r="F912" t="s">
        <v>70</v>
      </c>
      <c r="G912">
        <v>101.96</v>
      </c>
      <c r="H912">
        <v>23.7</v>
      </c>
      <c r="I912">
        <v>77.8</v>
      </c>
      <c r="J912" s="1">
        <v>45798</v>
      </c>
      <c r="K912">
        <v>29</v>
      </c>
      <c r="L912">
        <v>3.6</v>
      </c>
      <c r="M912" t="b">
        <v>0</v>
      </c>
    </row>
    <row r="913" spans="1:14" x14ac:dyDescent="0.25">
      <c r="A913" t="s">
        <v>966</v>
      </c>
      <c r="B913" t="s">
        <v>38</v>
      </c>
      <c r="C913" t="s">
        <v>32</v>
      </c>
      <c r="D913" t="s">
        <v>17</v>
      </c>
      <c r="E913" t="s">
        <v>39</v>
      </c>
      <c r="F913" t="s">
        <v>46</v>
      </c>
      <c r="G913">
        <v>27.11</v>
      </c>
      <c r="H913">
        <v>16.2</v>
      </c>
      <c r="I913">
        <v>22.72</v>
      </c>
      <c r="J913" s="1">
        <v>45634</v>
      </c>
      <c r="K913">
        <v>10</v>
      </c>
      <c r="L913">
        <v>2.4</v>
      </c>
      <c r="M913" t="b">
        <v>1</v>
      </c>
      <c r="N913" t="s">
        <v>115</v>
      </c>
    </row>
    <row r="914" spans="1:14" x14ac:dyDescent="0.25">
      <c r="A914" t="s">
        <v>967</v>
      </c>
      <c r="B914" t="s">
        <v>15</v>
      </c>
      <c r="C914" t="s">
        <v>61</v>
      </c>
      <c r="D914" t="s">
        <v>62</v>
      </c>
      <c r="E914" t="s">
        <v>39</v>
      </c>
      <c r="F914" t="s">
        <v>28</v>
      </c>
      <c r="G914">
        <v>141.83000000000001</v>
      </c>
      <c r="H914">
        <v>0</v>
      </c>
      <c r="I914">
        <v>141.83000000000001</v>
      </c>
      <c r="J914" s="1">
        <v>45875</v>
      </c>
      <c r="K914">
        <v>2</v>
      </c>
      <c r="L914">
        <v>2.4</v>
      </c>
      <c r="M914" t="b">
        <v>1</v>
      </c>
      <c r="N914" t="s">
        <v>36</v>
      </c>
    </row>
    <row r="915" spans="1:14" x14ac:dyDescent="0.25">
      <c r="A915" t="s">
        <v>968</v>
      </c>
      <c r="B915" t="s">
        <v>30</v>
      </c>
      <c r="C915" t="s">
        <v>61</v>
      </c>
      <c r="D915" t="s">
        <v>17</v>
      </c>
      <c r="F915" t="s">
        <v>56</v>
      </c>
      <c r="G915">
        <v>156.34</v>
      </c>
      <c r="H915">
        <v>37</v>
      </c>
      <c r="I915">
        <v>98.49</v>
      </c>
      <c r="J915" s="1">
        <v>45760</v>
      </c>
      <c r="K915">
        <v>45</v>
      </c>
      <c r="L915">
        <v>2.9</v>
      </c>
      <c r="M915" t="b">
        <v>1</v>
      </c>
      <c r="N915" t="s">
        <v>73</v>
      </c>
    </row>
    <row r="916" spans="1:14" x14ac:dyDescent="0.25">
      <c r="A916" t="s">
        <v>969</v>
      </c>
      <c r="B916" t="s">
        <v>21</v>
      </c>
      <c r="C916" t="s">
        <v>75</v>
      </c>
      <c r="D916" t="s">
        <v>62</v>
      </c>
      <c r="E916" t="s">
        <v>55</v>
      </c>
      <c r="F916" t="s">
        <v>70</v>
      </c>
      <c r="G916">
        <v>81.84</v>
      </c>
      <c r="H916">
        <v>0</v>
      </c>
      <c r="I916">
        <v>81.84</v>
      </c>
      <c r="J916" s="1">
        <v>45875</v>
      </c>
      <c r="K916">
        <v>41</v>
      </c>
      <c r="L916">
        <v>2.4</v>
      </c>
      <c r="M916" t="b">
        <v>0</v>
      </c>
    </row>
    <row r="917" spans="1:14" x14ac:dyDescent="0.25">
      <c r="A917" t="s">
        <v>970</v>
      </c>
      <c r="B917" t="s">
        <v>38</v>
      </c>
      <c r="C917" t="s">
        <v>48</v>
      </c>
      <c r="D917" t="s">
        <v>34</v>
      </c>
      <c r="E917" t="s">
        <v>24</v>
      </c>
      <c r="F917" t="s">
        <v>28</v>
      </c>
      <c r="G917">
        <v>36.44</v>
      </c>
      <c r="H917">
        <v>19.899999999999999</v>
      </c>
      <c r="I917">
        <v>29.19</v>
      </c>
      <c r="J917" s="1">
        <v>45875</v>
      </c>
      <c r="K917">
        <v>39</v>
      </c>
      <c r="L917">
        <v>1.8</v>
      </c>
      <c r="M917" t="b">
        <v>0</v>
      </c>
    </row>
    <row r="918" spans="1:14" x14ac:dyDescent="0.25">
      <c r="A918" t="s">
        <v>971</v>
      </c>
      <c r="B918" t="s">
        <v>15</v>
      </c>
      <c r="C918" t="s">
        <v>53</v>
      </c>
      <c r="D918" t="s">
        <v>34</v>
      </c>
      <c r="E918" t="s">
        <v>39</v>
      </c>
      <c r="F918" t="s">
        <v>25</v>
      </c>
      <c r="G918">
        <v>155.30000000000001</v>
      </c>
      <c r="H918">
        <v>0</v>
      </c>
      <c r="I918">
        <v>155.30000000000001</v>
      </c>
      <c r="J918" s="1">
        <v>45875</v>
      </c>
      <c r="K918">
        <v>9</v>
      </c>
      <c r="L918">
        <v>3</v>
      </c>
      <c r="M918" t="b">
        <v>0</v>
      </c>
    </row>
    <row r="919" spans="1:14" x14ac:dyDescent="0.25">
      <c r="A919" t="s">
        <v>972</v>
      </c>
      <c r="B919" t="s">
        <v>38</v>
      </c>
      <c r="C919" t="s">
        <v>22</v>
      </c>
      <c r="D919" t="s">
        <v>34</v>
      </c>
      <c r="E919" t="s">
        <v>18</v>
      </c>
      <c r="F919" t="s">
        <v>19</v>
      </c>
      <c r="G919">
        <v>84.04</v>
      </c>
      <c r="H919">
        <v>28.5</v>
      </c>
      <c r="I919">
        <v>60.09</v>
      </c>
      <c r="J919" s="1">
        <v>45875</v>
      </c>
      <c r="K919">
        <v>3</v>
      </c>
      <c r="L919">
        <v>1</v>
      </c>
      <c r="M919" t="b">
        <v>0</v>
      </c>
    </row>
    <row r="920" spans="1:14" x14ac:dyDescent="0.25">
      <c r="A920" t="s">
        <v>973</v>
      </c>
      <c r="B920" t="s">
        <v>30</v>
      </c>
      <c r="C920" t="s">
        <v>61</v>
      </c>
      <c r="D920" t="s">
        <v>34</v>
      </c>
      <c r="E920" t="s">
        <v>55</v>
      </c>
      <c r="F920" t="s">
        <v>70</v>
      </c>
      <c r="G920">
        <v>98.76</v>
      </c>
      <c r="H920">
        <v>56.4</v>
      </c>
      <c r="I920">
        <v>43.06</v>
      </c>
      <c r="J920" s="1">
        <v>45875</v>
      </c>
      <c r="K920">
        <v>22</v>
      </c>
      <c r="L920">
        <v>4.5</v>
      </c>
      <c r="M920" t="b">
        <v>0</v>
      </c>
    </row>
    <row r="921" spans="1:14" x14ac:dyDescent="0.25">
      <c r="A921" t="s">
        <v>974</v>
      </c>
      <c r="B921" t="s">
        <v>27</v>
      </c>
      <c r="C921" t="s">
        <v>53</v>
      </c>
      <c r="D921" t="s">
        <v>62</v>
      </c>
      <c r="F921" t="s">
        <v>35</v>
      </c>
      <c r="G921">
        <v>52.99</v>
      </c>
      <c r="H921">
        <v>59.1</v>
      </c>
      <c r="I921">
        <v>21.67</v>
      </c>
      <c r="J921" s="1">
        <v>45875</v>
      </c>
      <c r="K921">
        <v>50</v>
      </c>
      <c r="L921">
        <v>3.4</v>
      </c>
      <c r="M921" t="b">
        <v>1</v>
      </c>
      <c r="N921" t="s">
        <v>73</v>
      </c>
    </row>
    <row r="922" spans="1:14" x14ac:dyDescent="0.25">
      <c r="A922" t="s">
        <v>975</v>
      </c>
      <c r="B922" t="s">
        <v>38</v>
      </c>
      <c r="C922" t="s">
        <v>22</v>
      </c>
      <c r="D922" t="s">
        <v>17</v>
      </c>
      <c r="E922" t="s">
        <v>24</v>
      </c>
      <c r="F922" t="s">
        <v>19</v>
      </c>
      <c r="G922">
        <v>39.840000000000003</v>
      </c>
      <c r="H922">
        <v>0</v>
      </c>
      <c r="I922">
        <v>39.840000000000003</v>
      </c>
      <c r="J922" s="1">
        <v>45765</v>
      </c>
      <c r="K922">
        <v>24</v>
      </c>
      <c r="L922">
        <v>2.4</v>
      </c>
      <c r="M922" t="b">
        <v>0</v>
      </c>
    </row>
    <row r="923" spans="1:14" x14ac:dyDescent="0.25">
      <c r="A923" t="s">
        <v>976</v>
      </c>
      <c r="B923" t="s">
        <v>27</v>
      </c>
      <c r="C923" t="s">
        <v>53</v>
      </c>
      <c r="D923" t="s">
        <v>17</v>
      </c>
      <c r="F923" t="s">
        <v>46</v>
      </c>
      <c r="G923">
        <v>40.01</v>
      </c>
      <c r="H923">
        <v>0</v>
      </c>
      <c r="I923">
        <v>40.01</v>
      </c>
      <c r="J923" s="1">
        <v>45813</v>
      </c>
      <c r="K923">
        <v>22</v>
      </c>
      <c r="L923">
        <v>4.5</v>
      </c>
      <c r="M923" t="b">
        <v>0</v>
      </c>
    </row>
    <row r="924" spans="1:14" x14ac:dyDescent="0.25">
      <c r="A924" t="s">
        <v>977</v>
      </c>
      <c r="B924" t="s">
        <v>15</v>
      </c>
      <c r="C924" t="s">
        <v>53</v>
      </c>
      <c r="D924" t="s">
        <v>62</v>
      </c>
      <c r="E924" t="s">
        <v>24</v>
      </c>
      <c r="F924" t="s">
        <v>64</v>
      </c>
      <c r="G924">
        <v>245.75</v>
      </c>
      <c r="H924">
        <v>0</v>
      </c>
      <c r="I924">
        <v>245.75</v>
      </c>
      <c r="J924" s="1">
        <v>45875</v>
      </c>
      <c r="K924">
        <v>12</v>
      </c>
      <c r="M924" t="b">
        <v>1</v>
      </c>
      <c r="N924" t="s">
        <v>115</v>
      </c>
    </row>
    <row r="925" spans="1:14" x14ac:dyDescent="0.25">
      <c r="A925" t="s">
        <v>978</v>
      </c>
      <c r="B925" t="s">
        <v>38</v>
      </c>
      <c r="C925" t="s">
        <v>16</v>
      </c>
      <c r="D925" t="s">
        <v>23</v>
      </c>
      <c r="E925" t="s">
        <v>18</v>
      </c>
      <c r="F925" t="s">
        <v>40</v>
      </c>
      <c r="G925">
        <v>102.25</v>
      </c>
      <c r="H925">
        <v>0</v>
      </c>
      <c r="I925">
        <v>102.25</v>
      </c>
      <c r="J925" s="1">
        <v>45875</v>
      </c>
      <c r="K925">
        <v>6</v>
      </c>
      <c r="L925">
        <v>3.8</v>
      </c>
      <c r="M925" t="b">
        <v>0</v>
      </c>
    </row>
    <row r="926" spans="1:14" x14ac:dyDescent="0.25">
      <c r="A926" t="s">
        <v>979</v>
      </c>
      <c r="B926" t="s">
        <v>21</v>
      </c>
      <c r="C926" t="s">
        <v>53</v>
      </c>
      <c r="D926" t="s">
        <v>62</v>
      </c>
      <c r="E926" t="s">
        <v>58</v>
      </c>
      <c r="F926" t="s">
        <v>40</v>
      </c>
      <c r="G926">
        <v>76.33</v>
      </c>
      <c r="H926">
        <v>0</v>
      </c>
      <c r="I926">
        <v>76.33</v>
      </c>
      <c r="J926" s="1">
        <v>45875</v>
      </c>
      <c r="K926">
        <v>15</v>
      </c>
      <c r="L926">
        <v>2</v>
      </c>
      <c r="M926" t="b">
        <v>1</v>
      </c>
      <c r="N926" t="s">
        <v>125</v>
      </c>
    </row>
    <row r="927" spans="1:14" x14ac:dyDescent="0.25">
      <c r="A927" t="s">
        <v>980</v>
      </c>
      <c r="B927" t="s">
        <v>27</v>
      </c>
      <c r="C927" t="s">
        <v>16</v>
      </c>
      <c r="D927" t="s">
        <v>17</v>
      </c>
      <c r="F927" t="s">
        <v>40</v>
      </c>
      <c r="G927">
        <v>51.79</v>
      </c>
      <c r="H927">
        <v>39</v>
      </c>
      <c r="I927">
        <v>31.59</v>
      </c>
      <c r="J927" s="1">
        <v>45733</v>
      </c>
      <c r="K927">
        <v>37</v>
      </c>
      <c r="L927">
        <v>2.5</v>
      </c>
      <c r="M927" t="b">
        <v>0</v>
      </c>
    </row>
    <row r="928" spans="1:14" x14ac:dyDescent="0.25">
      <c r="A928" t="s">
        <v>981</v>
      </c>
      <c r="B928" t="s">
        <v>15</v>
      </c>
      <c r="C928" t="s">
        <v>16</v>
      </c>
      <c r="D928" t="s">
        <v>17</v>
      </c>
      <c r="E928" t="s">
        <v>49</v>
      </c>
      <c r="F928" t="s">
        <v>25</v>
      </c>
      <c r="G928">
        <v>141.24</v>
      </c>
      <c r="H928">
        <v>12.9</v>
      </c>
      <c r="I928">
        <v>123.02</v>
      </c>
      <c r="J928" s="1">
        <v>45567</v>
      </c>
      <c r="K928">
        <v>23</v>
      </c>
      <c r="L928">
        <v>1.7</v>
      </c>
      <c r="M928" t="b">
        <v>0</v>
      </c>
    </row>
    <row r="929" spans="1:14" x14ac:dyDescent="0.25">
      <c r="A929" t="s">
        <v>982</v>
      </c>
      <c r="B929" t="s">
        <v>27</v>
      </c>
      <c r="C929" t="s">
        <v>22</v>
      </c>
      <c r="D929" t="s">
        <v>17</v>
      </c>
      <c r="F929" t="s">
        <v>28</v>
      </c>
      <c r="G929">
        <v>66.180000000000007</v>
      </c>
      <c r="H929">
        <v>0</v>
      </c>
      <c r="I929">
        <v>66.180000000000007</v>
      </c>
      <c r="J929" s="1">
        <v>45800</v>
      </c>
      <c r="K929">
        <v>20</v>
      </c>
      <c r="L929">
        <v>1.7</v>
      </c>
      <c r="M929" t="b">
        <v>0</v>
      </c>
    </row>
    <row r="930" spans="1:14" x14ac:dyDescent="0.25">
      <c r="A930" t="s">
        <v>983</v>
      </c>
      <c r="B930" t="s">
        <v>21</v>
      </c>
      <c r="C930" t="s">
        <v>32</v>
      </c>
      <c r="D930" t="s">
        <v>62</v>
      </c>
      <c r="E930" t="s">
        <v>58</v>
      </c>
      <c r="F930" t="s">
        <v>64</v>
      </c>
      <c r="G930">
        <v>35.15</v>
      </c>
      <c r="H930">
        <v>0</v>
      </c>
      <c r="I930">
        <v>35.15</v>
      </c>
      <c r="J930" s="1">
        <v>45875</v>
      </c>
      <c r="K930">
        <v>38</v>
      </c>
      <c r="L930">
        <v>2.2000000000000002</v>
      </c>
      <c r="M930" t="b">
        <v>0</v>
      </c>
    </row>
    <row r="931" spans="1:14" x14ac:dyDescent="0.25">
      <c r="A931" t="s">
        <v>984</v>
      </c>
      <c r="B931" t="s">
        <v>27</v>
      </c>
      <c r="C931" t="s">
        <v>48</v>
      </c>
      <c r="D931" t="s">
        <v>17</v>
      </c>
      <c r="F931" t="s">
        <v>25</v>
      </c>
      <c r="G931">
        <v>35.619999999999997</v>
      </c>
      <c r="H931">
        <v>41.2</v>
      </c>
      <c r="I931">
        <v>20.94</v>
      </c>
      <c r="J931" s="1">
        <v>45736</v>
      </c>
      <c r="K931">
        <v>4</v>
      </c>
      <c r="L931">
        <v>3.7</v>
      </c>
      <c r="M931" t="b">
        <v>0</v>
      </c>
    </row>
    <row r="932" spans="1:14" x14ac:dyDescent="0.25">
      <c r="A932" t="s">
        <v>985</v>
      </c>
      <c r="B932" t="s">
        <v>27</v>
      </c>
      <c r="C932" t="s">
        <v>75</v>
      </c>
      <c r="D932" t="s">
        <v>62</v>
      </c>
      <c r="F932" t="s">
        <v>46</v>
      </c>
      <c r="G932">
        <v>35.64</v>
      </c>
      <c r="H932">
        <v>0</v>
      </c>
      <c r="I932">
        <v>35.64</v>
      </c>
      <c r="J932" s="1">
        <v>45875</v>
      </c>
      <c r="K932">
        <v>48</v>
      </c>
      <c r="L932">
        <v>5</v>
      </c>
      <c r="M932" t="b">
        <v>1</v>
      </c>
      <c r="N932" t="s">
        <v>36</v>
      </c>
    </row>
    <row r="933" spans="1:14" x14ac:dyDescent="0.25">
      <c r="A933" t="s">
        <v>986</v>
      </c>
      <c r="B933" t="s">
        <v>38</v>
      </c>
      <c r="C933" t="s">
        <v>53</v>
      </c>
      <c r="D933" t="s">
        <v>62</v>
      </c>
      <c r="E933" t="s">
        <v>24</v>
      </c>
      <c r="F933" t="s">
        <v>19</v>
      </c>
      <c r="G933">
        <v>86.68</v>
      </c>
      <c r="H933">
        <v>0</v>
      </c>
      <c r="I933">
        <v>86.68</v>
      </c>
      <c r="J933" s="1">
        <v>45875</v>
      </c>
      <c r="K933">
        <v>2</v>
      </c>
      <c r="M933" t="b">
        <v>0</v>
      </c>
    </row>
    <row r="934" spans="1:14" x14ac:dyDescent="0.25">
      <c r="A934" t="s">
        <v>987</v>
      </c>
      <c r="B934" t="s">
        <v>27</v>
      </c>
      <c r="C934" t="s">
        <v>48</v>
      </c>
      <c r="D934" t="s">
        <v>34</v>
      </c>
      <c r="F934" t="s">
        <v>25</v>
      </c>
      <c r="G934">
        <v>17.72</v>
      </c>
      <c r="H934">
        <v>0</v>
      </c>
      <c r="I934">
        <v>17.72</v>
      </c>
      <c r="J934" s="1">
        <v>45875</v>
      </c>
      <c r="K934">
        <v>9</v>
      </c>
      <c r="L934">
        <v>1.2</v>
      </c>
      <c r="M934" t="b">
        <v>0</v>
      </c>
    </row>
    <row r="935" spans="1:14" x14ac:dyDescent="0.25">
      <c r="A935" t="s">
        <v>988</v>
      </c>
      <c r="B935" t="s">
        <v>15</v>
      </c>
      <c r="C935" t="s">
        <v>22</v>
      </c>
      <c r="D935" t="s">
        <v>34</v>
      </c>
      <c r="E935" t="s">
        <v>49</v>
      </c>
      <c r="F935" t="s">
        <v>25</v>
      </c>
      <c r="G935">
        <v>87.95</v>
      </c>
      <c r="H935">
        <v>13.3</v>
      </c>
      <c r="I935">
        <v>76.25</v>
      </c>
      <c r="J935" s="1">
        <v>45875</v>
      </c>
      <c r="K935">
        <v>4</v>
      </c>
      <c r="L935">
        <v>4.5</v>
      </c>
      <c r="M935" t="b">
        <v>0</v>
      </c>
    </row>
    <row r="936" spans="1:14" x14ac:dyDescent="0.25">
      <c r="A936" t="s">
        <v>989</v>
      </c>
      <c r="B936" t="s">
        <v>15</v>
      </c>
      <c r="C936" t="s">
        <v>43</v>
      </c>
      <c r="D936" t="s">
        <v>17</v>
      </c>
      <c r="E936" t="s">
        <v>55</v>
      </c>
      <c r="F936" t="s">
        <v>40</v>
      </c>
      <c r="G936">
        <v>216.26</v>
      </c>
      <c r="H936">
        <v>0</v>
      </c>
      <c r="I936">
        <v>216.26</v>
      </c>
      <c r="J936" s="1">
        <v>45763</v>
      </c>
      <c r="K936">
        <v>26</v>
      </c>
      <c r="L936">
        <v>1.1000000000000001</v>
      </c>
      <c r="M936" t="b">
        <v>0</v>
      </c>
    </row>
    <row r="937" spans="1:14" x14ac:dyDescent="0.25">
      <c r="A937" t="s">
        <v>990</v>
      </c>
      <c r="B937" t="s">
        <v>15</v>
      </c>
      <c r="C937" t="s">
        <v>43</v>
      </c>
      <c r="D937" t="s">
        <v>62</v>
      </c>
      <c r="E937" t="s">
        <v>39</v>
      </c>
      <c r="F937" t="s">
        <v>28</v>
      </c>
      <c r="G937">
        <v>238.11</v>
      </c>
      <c r="H937">
        <v>0</v>
      </c>
      <c r="I937">
        <v>238.11</v>
      </c>
      <c r="J937" s="1">
        <v>45875</v>
      </c>
      <c r="K937">
        <v>49</v>
      </c>
      <c r="M937" t="b">
        <v>0</v>
      </c>
    </row>
    <row r="938" spans="1:14" x14ac:dyDescent="0.25">
      <c r="A938" t="s">
        <v>991</v>
      </c>
      <c r="B938" t="s">
        <v>30</v>
      </c>
      <c r="C938" t="s">
        <v>22</v>
      </c>
      <c r="D938" t="s">
        <v>23</v>
      </c>
      <c r="E938" t="s">
        <v>49</v>
      </c>
      <c r="F938" t="s">
        <v>25</v>
      </c>
      <c r="G938">
        <v>112.77</v>
      </c>
      <c r="H938">
        <v>0</v>
      </c>
      <c r="I938">
        <v>112.77</v>
      </c>
      <c r="J938" s="1">
        <v>45875</v>
      </c>
      <c r="K938">
        <v>11</v>
      </c>
      <c r="L938">
        <v>4.0999999999999996</v>
      </c>
      <c r="M938" t="b">
        <v>0</v>
      </c>
    </row>
    <row r="939" spans="1:14" x14ac:dyDescent="0.25">
      <c r="A939" t="s">
        <v>992</v>
      </c>
      <c r="B939" t="s">
        <v>27</v>
      </c>
      <c r="C939" t="s">
        <v>61</v>
      </c>
      <c r="D939" t="s">
        <v>23</v>
      </c>
      <c r="F939" t="s">
        <v>64</v>
      </c>
      <c r="G939">
        <v>39.020000000000003</v>
      </c>
      <c r="H939">
        <v>44.8</v>
      </c>
      <c r="I939">
        <v>21.54</v>
      </c>
      <c r="J939" s="1">
        <v>45875</v>
      </c>
      <c r="K939">
        <v>29</v>
      </c>
      <c r="L939">
        <v>3.4</v>
      </c>
      <c r="M939" t="b">
        <v>0</v>
      </c>
    </row>
    <row r="940" spans="1:14" x14ac:dyDescent="0.25">
      <c r="A940" t="s">
        <v>993</v>
      </c>
      <c r="B940" t="s">
        <v>21</v>
      </c>
      <c r="C940" t="s">
        <v>53</v>
      </c>
      <c r="D940" t="s">
        <v>17</v>
      </c>
      <c r="E940" t="s">
        <v>49</v>
      </c>
      <c r="F940" t="s">
        <v>66</v>
      </c>
      <c r="G940">
        <v>69.77</v>
      </c>
      <c r="H940">
        <v>0</v>
      </c>
      <c r="I940">
        <v>69.77</v>
      </c>
      <c r="J940" s="1">
        <v>45605</v>
      </c>
      <c r="K940">
        <v>29</v>
      </c>
      <c r="L940">
        <v>5</v>
      </c>
      <c r="M940" t="b">
        <v>0</v>
      </c>
    </row>
    <row r="941" spans="1:14" x14ac:dyDescent="0.25">
      <c r="A941" t="s">
        <v>994</v>
      </c>
      <c r="B941" t="s">
        <v>42</v>
      </c>
      <c r="C941" t="s">
        <v>48</v>
      </c>
      <c r="D941" t="s">
        <v>17</v>
      </c>
      <c r="E941" t="s">
        <v>58</v>
      </c>
      <c r="F941" t="s">
        <v>66</v>
      </c>
      <c r="G941">
        <v>124.92</v>
      </c>
      <c r="H941">
        <v>48.4</v>
      </c>
      <c r="I941">
        <v>64.459999999999994</v>
      </c>
      <c r="J941" s="1">
        <v>45780</v>
      </c>
      <c r="K941">
        <v>22</v>
      </c>
      <c r="L941">
        <v>3.2</v>
      </c>
      <c r="M941" t="b">
        <v>0</v>
      </c>
    </row>
    <row r="942" spans="1:14" x14ac:dyDescent="0.25">
      <c r="A942" t="s">
        <v>995</v>
      </c>
      <c r="B942" t="s">
        <v>42</v>
      </c>
      <c r="C942" t="s">
        <v>32</v>
      </c>
      <c r="D942" t="s">
        <v>62</v>
      </c>
      <c r="F942" t="s">
        <v>66</v>
      </c>
      <c r="G942">
        <v>83.92</v>
      </c>
      <c r="H942">
        <v>29.4</v>
      </c>
      <c r="I942">
        <v>59.25</v>
      </c>
      <c r="J942" s="1">
        <v>45875</v>
      </c>
      <c r="K942">
        <v>20</v>
      </c>
      <c r="L942">
        <v>2.1</v>
      </c>
      <c r="M942" t="b">
        <v>1</v>
      </c>
      <c r="N942" t="s">
        <v>83</v>
      </c>
    </row>
    <row r="943" spans="1:14" x14ac:dyDescent="0.25">
      <c r="A943" t="s">
        <v>996</v>
      </c>
      <c r="B943" t="s">
        <v>15</v>
      </c>
      <c r="C943" t="s">
        <v>75</v>
      </c>
      <c r="D943" t="s">
        <v>34</v>
      </c>
      <c r="E943" t="s">
        <v>55</v>
      </c>
      <c r="F943" t="s">
        <v>56</v>
      </c>
      <c r="G943">
        <v>180.91</v>
      </c>
      <c r="H943">
        <v>0</v>
      </c>
      <c r="I943">
        <v>180.91</v>
      </c>
      <c r="J943" s="1">
        <v>45875</v>
      </c>
      <c r="K943">
        <v>10</v>
      </c>
      <c r="L943">
        <v>3.8</v>
      </c>
      <c r="M943" t="b">
        <v>0</v>
      </c>
    </row>
    <row r="944" spans="1:14" x14ac:dyDescent="0.25">
      <c r="A944" t="s">
        <v>997</v>
      </c>
      <c r="B944" t="s">
        <v>30</v>
      </c>
      <c r="C944" t="s">
        <v>75</v>
      </c>
      <c r="D944" t="s">
        <v>17</v>
      </c>
      <c r="E944" t="s">
        <v>49</v>
      </c>
      <c r="F944" t="s">
        <v>70</v>
      </c>
      <c r="G944">
        <v>120.11</v>
      </c>
      <c r="H944">
        <v>0</v>
      </c>
      <c r="I944">
        <v>120.11</v>
      </c>
      <c r="J944" s="1">
        <v>45650</v>
      </c>
      <c r="K944">
        <v>27</v>
      </c>
      <c r="L944">
        <v>4.0999999999999996</v>
      </c>
      <c r="M944" t="b">
        <v>0</v>
      </c>
    </row>
    <row r="945" spans="1:14" x14ac:dyDescent="0.25">
      <c r="A945" t="s">
        <v>998</v>
      </c>
      <c r="B945" t="s">
        <v>15</v>
      </c>
      <c r="C945" t="s">
        <v>75</v>
      </c>
      <c r="D945" t="s">
        <v>62</v>
      </c>
      <c r="E945" t="s">
        <v>18</v>
      </c>
      <c r="F945" t="s">
        <v>19</v>
      </c>
      <c r="G945">
        <v>225.01</v>
      </c>
      <c r="H945">
        <v>0</v>
      </c>
      <c r="I945">
        <v>225.01</v>
      </c>
      <c r="J945" s="1">
        <v>45875</v>
      </c>
      <c r="K945">
        <v>50</v>
      </c>
      <c r="L945">
        <v>1.9</v>
      </c>
      <c r="M945" t="b">
        <v>1</v>
      </c>
      <c r="N945" t="s">
        <v>73</v>
      </c>
    </row>
    <row r="946" spans="1:14" x14ac:dyDescent="0.25">
      <c r="A946" t="s">
        <v>999</v>
      </c>
      <c r="B946" t="s">
        <v>42</v>
      </c>
      <c r="C946" t="s">
        <v>43</v>
      </c>
      <c r="D946" t="s">
        <v>62</v>
      </c>
      <c r="E946" t="s">
        <v>24</v>
      </c>
      <c r="F946" t="s">
        <v>46</v>
      </c>
      <c r="G946">
        <v>115.57</v>
      </c>
      <c r="H946">
        <v>0</v>
      </c>
      <c r="I946">
        <v>115.57</v>
      </c>
      <c r="J946" s="1">
        <v>45875</v>
      </c>
      <c r="K946">
        <v>32</v>
      </c>
      <c r="L946">
        <v>3</v>
      </c>
      <c r="M946" t="b">
        <v>0</v>
      </c>
    </row>
    <row r="947" spans="1:14" x14ac:dyDescent="0.25">
      <c r="A947" t="s">
        <v>1000</v>
      </c>
      <c r="B947" t="s">
        <v>27</v>
      </c>
      <c r="C947" t="s">
        <v>61</v>
      </c>
      <c r="D947" t="s">
        <v>34</v>
      </c>
      <c r="F947" t="s">
        <v>44</v>
      </c>
      <c r="G947">
        <v>21.2</v>
      </c>
      <c r="H947">
        <v>19</v>
      </c>
      <c r="I947">
        <v>17.170000000000002</v>
      </c>
      <c r="J947" s="1">
        <v>45875</v>
      </c>
      <c r="K947">
        <v>22</v>
      </c>
      <c r="L947">
        <v>1.3</v>
      </c>
      <c r="M947" t="b">
        <v>0</v>
      </c>
    </row>
    <row r="948" spans="1:14" x14ac:dyDescent="0.25">
      <c r="A948" t="s">
        <v>1001</v>
      </c>
      <c r="B948" t="s">
        <v>38</v>
      </c>
      <c r="C948" t="s">
        <v>16</v>
      </c>
      <c r="D948" t="s">
        <v>17</v>
      </c>
      <c r="E948" t="s">
        <v>49</v>
      </c>
      <c r="F948" t="s">
        <v>28</v>
      </c>
      <c r="G948">
        <v>52.36</v>
      </c>
      <c r="H948">
        <v>0</v>
      </c>
      <c r="I948">
        <v>52.36</v>
      </c>
      <c r="J948" s="1">
        <v>45769</v>
      </c>
      <c r="K948">
        <v>35</v>
      </c>
      <c r="M948" t="b">
        <v>0</v>
      </c>
    </row>
    <row r="949" spans="1:14" x14ac:dyDescent="0.25">
      <c r="A949" t="s">
        <v>1002</v>
      </c>
      <c r="B949" t="s">
        <v>27</v>
      </c>
      <c r="C949" t="s">
        <v>53</v>
      </c>
      <c r="D949" t="s">
        <v>34</v>
      </c>
      <c r="F949" t="s">
        <v>40</v>
      </c>
      <c r="G949">
        <v>73.430000000000007</v>
      </c>
      <c r="H949">
        <v>0</v>
      </c>
      <c r="I949">
        <v>73.430000000000007</v>
      </c>
      <c r="J949" s="1">
        <v>45875</v>
      </c>
      <c r="K949">
        <v>22</v>
      </c>
      <c r="L949">
        <v>2.2999999999999998</v>
      </c>
      <c r="M949" t="b">
        <v>0</v>
      </c>
    </row>
    <row r="950" spans="1:14" x14ac:dyDescent="0.25">
      <c r="A950" t="s">
        <v>1003</v>
      </c>
      <c r="B950" t="s">
        <v>27</v>
      </c>
      <c r="C950" t="s">
        <v>53</v>
      </c>
      <c r="D950" t="s">
        <v>17</v>
      </c>
      <c r="F950" t="s">
        <v>66</v>
      </c>
      <c r="G950">
        <v>70.75</v>
      </c>
      <c r="H950">
        <v>0</v>
      </c>
      <c r="I950">
        <v>70.75</v>
      </c>
      <c r="J950" s="1">
        <v>45789</v>
      </c>
      <c r="K950">
        <v>0</v>
      </c>
      <c r="L950">
        <v>1.4</v>
      </c>
      <c r="M950" t="b">
        <v>0</v>
      </c>
    </row>
    <row r="951" spans="1:14" x14ac:dyDescent="0.25">
      <c r="A951" t="s">
        <v>1004</v>
      </c>
      <c r="B951" t="s">
        <v>27</v>
      </c>
      <c r="C951" t="s">
        <v>61</v>
      </c>
      <c r="D951" t="s">
        <v>34</v>
      </c>
      <c r="F951" t="s">
        <v>35</v>
      </c>
      <c r="G951">
        <v>58.9</v>
      </c>
      <c r="H951">
        <v>0</v>
      </c>
      <c r="I951">
        <v>58.9</v>
      </c>
      <c r="J951" s="1">
        <v>45875</v>
      </c>
      <c r="K951">
        <v>39</v>
      </c>
      <c r="L951">
        <v>4</v>
      </c>
      <c r="M951" t="b">
        <v>0</v>
      </c>
    </row>
    <row r="952" spans="1:14" x14ac:dyDescent="0.25">
      <c r="A952" t="s">
        <v>1005</v>
      </c>
      <c r="B952" t="s">
        <v>15</v>
      </c>
      <c r="C952" t="s">
        <v>75</v>
      </c>
      <c r="D952" t="s">
        <v>23</v>
      </c>
      <c r="E952" t="s">
        <v>24</v>
      </c>
      <c r="F952" t="s">
        <v>66</v>
      </c>
      <c r="G952">
        <v>104.78</v>
      </c>
      <c r="H952">
        <v>16.899999999999999</v>
      </c>
      <c r="I952">
        <v>87.07</v>
      </c>
      <c r="J952" s="1">
        <v>45875</v>
      </c>
      <c r="K952">
        <v>43</v>
      </c>
      <c r="L952">
        <v>4.3</v>
      </c>
      <c r="M952" t="b">
        <v>0</v>
      </c>
    </row>
    <row r="953" spans="1:14" x14ac:dyDescent="0.25">
      <c r="A953" t="s">
        <v>1006</v>
      </c>
      <c r="B953" t="s">
        <v>27</v>
      </c>
      <c r="C953" t="s">
        <v>75</v>
      </c>
      <c r="D953" t="s">
        <v>34</v>
      </c>
      <c r="F953" t="s">
        <v>44</v>
      </c>
      <c r="G953">
        <v>55.3</v>
      </c>
      <c r="H953">
        <v>0</v>
      </c>
      <c r="I953">
        <v>55.3</v>
      </c>
      <c r="J953" s="1">
        <v>45875</v>
      </c>
      <c r="K953">
        <v>17</v>
      </c>
      <c r="L953">
        <v>2.5</v>
      </c>
      <c r="M953" t="b">
        <v>0</v>
      </c>
    </row>
    <row r="954" spans="1:14" x14ac:dyDescent="0.25">
      <c r="A954" t="s">
        <v>1007</v>
      </c>
      <c r="B954" t="s">
        <v>38</v>
      </c>
      <c r="C954" t="s">
        <v>61</v>
      </c>
      <c r="D954" t="s">
        <v>62</v>
      </c>
      <c r="E954" t="s">
        <v>55</v>
      </c>
      <c r="F954" t="s">
        <v>28</v>
      </c>
      <c r="G954">
        <v>56.65</v>
      </c>
      <c r="H954">
        <v>34</v>
      </c>
      <c r="I954">
        <v>37.39</v>
      </c>
      <c r="J954" s="1">
        <v>45875</v>
      </c>
      <c r="K954">
        <v>23</v>
      </c>
      <c r="L954">
        <v>4.3</v>
      </c>
      <c r="M954" t="b">
        <v>0</v>
      </c>
    </row>
    <row r="955" spans="1:14" x14ac:dyDescent="0.25">
      <c r="A955" t="s">
        <v>1008</v>
      </c>
      <c r="B955" t="s">
        <v>30</v>
      </c>
      <c r="C955" t="s">
        <v>22</v>
      </c>
      <c r="D955" t="s">
        <v>34</v>
      </c>
      <c r="E955" t="s">
        <v>55</v>
      </c>
      <c r="F955" t="s">
        <v>25</v>
      </c>
      <c r="G955">
        <v>199.14</v>
      </c>
      <c r="H955">
        <v>0</v>
      </c>
      <c r="I955">
        <v>199.14</v>
      </c>
      <c r="J955" s="1">
        <v>45875</v>
      </c>
      <c r="K955">
        <v>18</v>
      </c>
      <c r="M955" t="b">
        <v>0</v>
      </c>
    </row>
    <row r="956" spans="1:14" x14ac:dyDescent="0.25">
      <c r="A956" t="s">
        <v>1009</v>
      </c>
      <c r="B956" t="s">
        <v>30</v>
      </c>
      <c r="C956" t="s">
        <v>16</v>
      </c>
      <c r="D956" t="s">
        <v>34</v>
      </c>
      <c r="E956" t="s">
        <v>58</v>
      </c>
      <c r="F956" t="s">
        <v>25</v>
      </c>
      <c r="G956">
        <v>128.68</v>
      </c>
      <c r="H956">
        <v>0</v>
      </c>
      <c r="I956">
        <v>128.68</v>
      </c>
      <c r="J956" s="1">
        <v>45875</v>
      </c>
      <c r="K956">
        <v>8</v>
      </c>
      <c r="L956">
        <v>2.2000000000000002</v>
      </c>
      <c r="M956" t="b">
        <v>0</v>
      </c>
    </row>
    <row r="957" spans="1:14" x14ac:dyDescent="0.25">
      <c r="A957" t="s">
        <v>1010</v>
      </c>
      <c r="B957" t="s">
        <v>15</v>
      </c>
      <c r="C957" t="s">
        <v>22</v>
      </c>
      <c r="D957" t="s">
        <v>34</v>
      </c>
      <c r="E957" t="s">
        <v>18</v>
      </c>
      <c r="F957" t="s">
        <v>56</v>
      </c>
      <c r="G957">
        <v>150.37</v>
      </c>
      <c r="H957">
        <v>51.9</v>
      </c>
      <c r="I957">
        <v>72.33</v>
      </c>
      <c r="J957" s="1">
        <v>45875</v>
      </c>
      <c r="K957">
        <v>15</v>
      </c>
      <c r="L957">
        <v>5</v>
      </c>
      <c r="M957" t="b">
        <v>0</v>
      </c>
    </row>
    <row r="958" spans="1:14" x14ac:dyDescent="0.25">
      <c r="A958" t="s">
        <v>1011</v>
      </c>
      <c r="B958" t="s">
        <v>42</v>
      </c>
      <c r="C958" t="s">
        <v>75</v>
      </c>
      <c r="D958" t="s">
        <v>23</v>
      </c>
      <c r="E958" t="s">
        <v>58</v>
      </c>
      <c r="F958" t="s">
        <v>25</v>
      </c>
      <c r="G958">
        <v>162.65</v>
      </c>
      <c r="H958">
        <v>0</v>
      </c>
      <c r="I958">
        <v>162.65</v>
      </c>
      <c r="J958" s="1">
        <v>45875</v>
      </c>
      <c r="K958">
        <v>36</v>
      </c>
      <c r="L958">
        <v>1.4</v>
      </c>
      <c r="M958" t="b">
        <v>0</v>
      </c>
    </row>
    <row r="959" spans="1:14" x14ac:dyDescent="0.25">
      <c r="A959" t="s">
        <v>1012</v>
      </c>
      <c r="B959" t="s">
        <v>38</v>
      </c>
      <c r="C959" t="s">
        <v>43</v>
      </c>
      <c r="D959" t="s">
        <v>62</v>
      </c>
      <c r="E959" t="s">
        <v>49</v>
      </c>
      <c r="F959" t="s">
        <v>35</v>
      </c>
      <c r="G959">
        <v>28.9</v>
      </c>
      <c r="H959">
        <v>0</v>
      </c>
      <c r="I959">
        <v>28.9</v>
      </c>
      <c r="J959" s="1">
        <v>45875</v>
      </c>
      <c r="K959">
        <v>5</v>
      </c>
      <c r="L959">
        <v>4.5999999999999996</v>
      </c>
      <c r="M959" t="b">
        <v>0</v>
      </c>
    </row>
    <row r="960" spans="1:14" x14ac:dyDescent="0.25">
      <c r="A960" t="s">
        <v>1013</v>
      </c>
      <c r="B960" t="s">
        <v>27</v>
      </c>
      <c r="C960" t="s">
        <v>75</v>
      </c>
      <c r="D960" t="s">
        <v>17</v>
      </c>
      <c r="F960" t="s">
        <v>25</v>
      </c>
      <c r="G960">
        <v>75.59</v>
      </c>
      <c r="H960">
        <v>38.799999999999997</v>
      </c>
      <c r="I960">
        <v>46.26</v>
      </c>
      <c r="J960" s="1">
        <v>45745</v>
      </c>
      <c r="K960">
        <v>43</v>
      </c>
      <c r="L960">
        <v>1.1000000000000001</v>
      </c>
      <c r="M960" t="b">
        <v>0</v>
      </c>
    </row>
    <row r="961" spans="1:14" x14ac:dyDescent="0.25">
      <c r="A961" t="s">
        <v>1014</v>
      </c>
      <c r="B961" t="s">
        <v>21</v>
      </c>
      <c r="C961" t="s">
        <v>16</v>
      </c>
      <c r="D961" t="s">
        <v>17</v>
      </c>
      <c r="E961" t="s">
        <v>39</v>
      </c>
      <c r="F961" t="s">
        <v>70</v>
      </c>
      <c r="G961">
        <v>30.9</v>
      </c>
      <c r="H961">
        <v>5.5</v>
      </c>
      <c r="I961">
        <v>29.2</v>
      </c>
      <c r="J961" s="1">
        <v>45602</v>
      </c>
      <c r="K961">
        <v>25</v>
      </c>
      <c r="L961">
        <v>1.4</v>
      </c>
      <c r="M961" t="b">
        <v>0</v>
      </c>
    </row>
    <row r="962" spans="1:14" x14ac:dyDescent="0.25">
      <c r="A962" t="s">
        <v>1015</v>
      </c>
      <c r="B962" t="s">
        <v>15</v>
      </c>
      <c r="C962" t="s">
        <v>43</v>
      </c>
      <c r="D962" t="s">
        <v>62</v>
      </c>
      <c r="E962" t="s">
        <v>39</v>
      </c>
      <c r="F962" t="s">
        <v>44</v>
      </c>
      <c r="G962">
        <v>101.04</v>
      </c>
      <c r="H962">
        <v>0</v>
      </c>
      <c r="I962">
        <v>101.04</v>
      </c>
      <c r="J962" s="1">
        <v>45875</v>
      </c>
      <c r="K962">
        <v>35</v>
      </c>
      <c r="L962">
        <v>3.5</v>
      </c>
      <c r="M962" t="b">
        <v>0</v>
      </c>
    </row>
    <row r="963" spans="1:14" x14ac:dyDescent="0.25">
      <c r="A963" t="s">
        <v>1016</v>
      </c>
      <c r="B963" t="s">
        <v>42</v>
      </c>
      <c r="C963" t="s">
        <v>75</v>
      </c>
      <c r="D963" t="s">
        <v>34</v>
      </c>
      <c r="E963" t="s">
        <v>39</v>
      </c>
      <c r="F963" t="s">
        <v>35</v>
      </c>
      <c r="G963">
        <v>54.81</v>
      </c>
      <c r="H963">
        <v>0</v>
      </c>
      <c r="I963">
        <v>54.81</v>
      </c>
      <c r="J963" s="1">
        <v>45875</v>
      </c>
      <c r="K963">
        <v>41</v>
      </c>
      <c r="L963">
        <v>1.2</v>
      </c>
      <c r="M963" t="b">
        <v>1</v>
      </c>
      <c r="N963" t="s">
        <v>125</v>
      </c>
    </row>
    <row r="964" spans="1:14" x14ac:dyDescent="0.25">
      <c r="A964" t="s">
        <v>1017</v>
      </c>
      <c r="B964" t="s">
        <v>30</v>
      </c>
      <c r="C964" t="s">
        <v>48</v>
      </c>
      <c r="D964" t="s">
        <v>62</v>
      </c>
      <c r="E964" t="s">
        <v>58</v>
      </c>
      <c r="F964" t="s">
        <v>64</v>
      </c>
      <c r="G964">
        <v>191.61</v>
      </c>
      <c r="H964">
        <v>42.1</v>
      </c>
      <c r="I964">
        <v>110.94</v>
      </c>
      <c r="J964" s="1">
        <v>45875</v>
      </c>
      <c r="K964">
        <v>28</v>
      </c>
      <c r="L964">
        <v>4</v>
      </c>
      <c r="M964" t="b">
        <v>0</v>
      </c>
    </row>
    <row r="965" spans="1:14" x14ac:dyDescent="0.25">
      <c r="A965" t="s">
        <v>1018</v>
      </c>
      <c r="B965" t="s">
        <v>21</v>
      </c>
      <c r="C965" t="s">
        <v>43</v>
      </c>
      <c r="D965" t="s">
        <v>62</v>
      </c>
      <c r="E965" t="s">
        <v>49</v>
      </c>
      <c r="F965" t="s">
        <v>25</v>
      </c>
      <c r="G965">
        <v>100.5</v>
      </c>
      <c r="H965">
        <v>0</v>
      </c>
      <c r="I965">
        <v>100.5</v>
      </c>
      <c r="J965" s="1">
        <v>45875</v>
      </c>
      <c r="K965">
        <v>12</v>
      </c>
      <c r="L965">
        <v>2.7</v>
      </c>
      <c r="M965" t="b">
        <v>1</v>
      </c>
      <c r="N965" t="s">
        <v>78</v>
      </c>
    </row>
    <row r="966" spans="1:14" x14ac:dyDescent="0.25">
      <c r="A966" t="s">
        <v>1019</v>
      </c>
      <c r="B966" t="s">
        <v>30</v>
      </c>
      <c r="C966" t="s">
        <v>43</v>
      </c>
      <c r="D966" t="s">
        <v>17</v>
      </c>
      <c r="E966" t="s">
        <v>49</v>
      </c>
      <c r="F966" t="s">
        <v>46</v>
      </c>
      <c r="G966">
        <v>92.35</v>
      </c>
      <c r="H966">
        <v>23.6</v>
      </c>
      <c r="I966">
        <v>70.56</v>
      </c>
      <c r="J966" s="1">
        <v>45624</v>
      </c>
      <c r="K966">
        <v>32</v>
      </c>
      <c r="L966">
        <v>2.2000000000000002</v>
      </c>
      <c r="M966" t="b">
        <v>0</v>
      </c>
    </row>
    <row r="967" spans="1:14" x14ac:dyDescent="0.25">
      <c r="A967" t="s">
        <v>1020</v>
      </c>
      <c r="B967" t="s">
        <v>30</v>
      </c>
      <c r="C967" t="s">
        <v>53</v>
      </c>
      <c r="D967" t="s">
        <v>62</v>
      </c>
      <c r="E967" t="s">
        <v>58</v>
      </c>
      <c r="F967" t="s">
        <v>40</v>
      </c>
      <c r="G967">
        <v>161.24</v>
      </c>
      <c r="H967">
        <v>56.6</v>
      </c>
      <c r="I967">
        <v>69.98</v>
      </c>
      <c r="J967" s="1">
        <v>45875</v>
      </c>
      <c r="K967">
        <v>8</v>
      </c>
      <c r="L967">
        <v>2.1</v>
      </c>
      <c r="M967" t="b">
        <v>0</v>
      </c>
    </row>
    <row r="968" spans="1:14" x14ac:dyDescent="0.25">
      <c r="A968" t="s">
        <v>1021</v>
      </c>
      <c r="B968" t="s">
        <v>42</v>
      </c>
      <c r="C968" t="s">
        <v>43</v>
      </c>
      <c r="D968" t="s">
        <v>23</v>
      </c>
      <c r="E968" t="s">
        <v>55</v>
      </c>
      <c r="F968" t="s">
        <v>40</v>
      </c>
      <c r="G968">
        <v>68.03</v>
      </c>
      <c r="H968">
        <v>6.3</v>
      </c>
      <c r="I968">
        <v>63.74</v>
      </c>
      <c r="J968" s="1">
        <v>45875</v>
      </c>
      <c r="K968">
        <v>43</v>
      </c>
      <c r="L968">
        <v>3.4</v>
      </c>
      <c r="M968" t="b">
        <v>0</v>
      </c>
    </row>
    <row r="969" spans="1:14" x14ac:dyDescent="0.25">
      <c r="A969" t="s">
        <v>1022</v>
      </c>
      <c r="B969" t="s">
        <v>30</v>
      </c>
      <c r="C969" t="s">
        <v>53</v>
      </c>
      <c r="D969" t="s">
        <v>34</v>
      </c>
      <c r="E969" t="s">
        <v>55</v>
      </c>
      <c r="F969" t="s">
        <v>66</v>
      </c>
      <c r="G969">
        <v>121.21</v>
      </c>
      <c r="H969">
        <v>47.4</v>
      </c>
      <c r="I969">
        <v>63.76</v>
      </c>
      <c r="J969" s="1">
        <v>45875</v>
      </c>
      <c r="K969">
        <v>45</v>
      </c>
      <c r="L969">
        <v>3</v>
      </c>
      <c r="M969" t="b">
        <v>1</v>
      </c>
      <c r="N969" t="s">
        <v>115</v>
      </c>
    </row>
    <row r="970" spans="1:14" x14ac:dyDescent="0.25">
      <c r="A970" t="s">
        <v>1023</v>
      </c>
      <c r="B970" t="s">
        <v>21</v>
      </c>
      <c r="C970" t="s">
        <v>16</v>
      </c>
      <c r="D970" t="s">
        <v>23</v>
      </c>
      <c r="E970" t="s">
        <v>24</v>
      </c>
      <c r="F970" t="s">
        <v>44</v>
      </c>
      <c r="G970">
        <v>69.599999999999994</v>
      </c>
      <c r="H970">
        <v>28.8</v>
      </c>
      <c r="I970">
        <v>49.56</v>
      </c>
      <c r="J970" s="1">
        <v>45875</v>
      </c>
      <c r="K970">
        <v>42</v>
      </c>
      <c r="L970">
        <v>3.7</v>
      </c>
      <c r="M970" t="b">
        <v>0</v>
      </c>
    </row>
    <row r="971" spans="1:14" x14ac:dyDescent="0.25">
      <c r="A971" t="s">
        <v>1024</v>
      </c>
      <c r="B971" t="s">
        <v>15</v>
      </c>
      <c r="C971" t="s">
        <v>32</v>
      </c>
      <c r="D971" t="s">
        <v>23</v>
      </c>
      <c r="E971" t="s">
        <v>55</v>
      </c>
      <c r="F971" t="s">
        <v>35</v>
      </c>
      <c r="G971">
        <v>222.5</v>
      </c>
      <c r="H971">
        <v>18.7</v>
      </c>
      <c r="I971">
        <v>180.89</v>
      </c>
      <c r="J971" s="1">
        <v>45875</v>
      </c>
      <c r="K971">
        <v>47</v>
      </c>
      <c r="M971" t="b">
        <v>0</v>
      </c>
    </row>
    <row r="972" spans="1:14" x14ac:dyDescent="0.25">
      <c r="A972" t="s">
        <v>1025</v>
      </c>
      <c r="B972" t="s">
        <v>38</v>
      </c>
      <c r="C972" t="s">
        <v>75</v>
      </c>
      <c r="D972" t="s">
        <v>34</v>
      </c>
      <c r="E972" t="s">
        <v>49</v>
      </c>
      <c r="F972" t="s">
        <v>25</v>
      </c>
      <c r="G972">
        <v>25.58</v>
      </c>
      <c r="H972">
        <v>54.5</v>
      </c>
      <c r="I972">
        <v>11.64</v>
      </c>
      <c r="J972" s="1">
        <v>45875</v>
      </c>
      <c r="K972">
        <v>34</v>
      </c>
      <c r="L972">
        <v>2.4</v>
      </c>
      <c r="M972" t="b">
        <v>0</v>
      </c>
    </row>
    <row r="973" spans="1:14" x14ac:dyDescent="0.25">
      <c r="A973" t="s">
        <v>1026</v>
      </c>
      <c r="B973" t="s">
        <v>42</v>
      </c>
      <c r="C973" t="s">
        <v>43</v>
      </c>
      <c r="D973" t="s">
        <v>62</v>
      </c>
      <c r="E973" t="s">
        <v>18</v>
      </c>
      <c r="F973" t="s">
        <v>44</v>
      </c>
      <c r="G973">
        <v>54.46</v>
      </c>
      <c r="H973">
        <v>6.6</v>
      </c>
      <c r="I973">
        <v>50.87</v>
      </c>
      <c r="J973" s="1">
        <v>45875</v>
      </c>
      <c r="K973">
        <v>17</v>
      </c>
      <c r="L973">
        <v>1.7</v>
      </c>
      <c r="M973" t="b">
        <v>0</v>
      </c>
    </row>
    <row r="974" spans="1:14" x14ac:dyDescent="0.25">
      <c r="A974" t="s">
        <v>1027</v>
      </c>
      <c r="B974" t="s">
        <v>38</v>
      </c>
      <c r="C974" t="s">
        <v>75</v>
      </c>
      <c r="D974" t="s">
        <v>23</v>
      </c>
      <c r="E974" t="s">
        <v>39</v>
      </c>
      <c r="F974" t="s">
        <v>25</v>
      </c>
      <c r="G974">
        <v>43.32</v>
      </c>
      <c r="H974">
        <v>0</v>
      </c>
      <c r="I974">
        <v>43.32</v>
      </c>
      <c r="J974" s="1">
        <v>45875</v>
      </c>
      <c r="K974">
        <v>0</v>
      </c>
      <c r="L974">
        <v>2.6</v>
      </c>
      <c r="M974" t="b">
        <v>0</v>
      </c>
    </row>
    <row r="975" spans="1:14" x14ac:dyDescent="0.25">
      <c r="A975" t="s">
        <v>1028</v>
      </c>
      <c r="B975" t="s">
        <v>27</v>
      </c>
      <c r="C975" t="s">
        <v>75</v>
      </c>
      <c r="D975" t="s">
        <v>23</v>
      </c>
      <c r="F975" t="s">
        <v>19</v>
      </c>
      <c r="G975">
        <v>75.09</v>
      </c>
      <c r="H975">
        <v>0</v>
      </c>
      <c r="I975">
        <v>75.09</v>
      </c>
      <c r="J975" s="1">
        <v>45875</v>
      </c>
      <c r="K975">
        <v>41</v>
      </c>
      <c r="L975">
        <v>3.5</v>
      </c>
      <c r="M975" t="b">
        <v>0</v>
      </c>
    </row>
    <row r="976" spans="1:14" x14ac:dyDescent="0.25">
      <c r="A976" t="s">
        <v>1029</v>
      </c>
      <c r="B976" t="s">
        <v>42</v>
      </c>
      <c r="C976" t="s">
        <v>22</v>
      </c>
      <c r="D976" t="s">
        <v>17</v>
      </c>
      <c r="E976" t="s">
        <v>55</v>
      </c>
      <c r="F976" t="s">
        <v>19</v>
      </c>
      <c r="G976">
        <v>167.46</v>
      </c>
      <c r="H976">
        <v>0</v>
      </c>
      <c r="I976">
        <v>167.46</v>
      </c>
      <c r="J976" s="1">
        <v>45522</v>
      </c>
      <c r="K976">
        <v>4</v>
      </c>
      <c r="L976">
        <v>1.3</v>
      </c>
      <c r="M976" t="b">
        <v>0</v>
      </c>
    </row>
    <row r="977" spans="1:14" x14ac:dyDescent="0.25">
      <c r="A977" t="s">
        <v>1030</v>
      </c>
      <c r="B977" t="s">
        <v>30</v>
      </c>
      <c r="C977" t="s">
        <v>32</v>
      </c>
      <c r="D977" t="s">
        <v>34</v>
      </c>
      <c r="E977" t="s">
        <v>24</v>
      </c>
      <c r="F977" t="s">
        <v>44</v>
      </c>
      <c r="G977">
        <v>111.24</v>
      </c>
      <c r="H977">
        <v>34.299999999999997</v>
      </c>
      <c r="I977">
        <v>73.08</v>
      </c>
      <c r="J977" s="1">
        <v>45875</v>
      </c>
      <c r="K977">
        <v>3</v>
      </c>
      <c r="L977">
        <v>2.2000000000000002</v>
      </c>
      <c r="M977" t="b">
        <v>0</v>
      </c>
    </row>
    <row r="978" spans="1:14" x14ac:dyDescent="0.25">
      <c r="A978" t="s">
        <v>1031</v>
      </c>
      <c r="B978" t="s">
        <v>38</v>
      </c>
      <c r="C978" t="s">
        <v>22</v>
      </c>
      <c r="D978" t="s">
        <v>34</v>
      </c>
      <c r="E978" t="s">
        <v>49</v>
      </c>
      <c r="F978" t="s">
        <v>64</v>
      </c>
      <c r="G978">
        <v>59.36</v>
      </c>
      <c r="H978">
        <v>0</v>
      </c>
      <c r="I978">
        <v>59.36</v>
      </c>
      <c r="J978" s="1">
        <v>45875</v>
      </c>
      <c r="K978">
        <v>16</v>
      </c>
      <c r="M978" t="b">
        <v>0</v>
      </c>
    </row>
    <row r="979" spans="1:14" x14ac:dyDescent="0.25">
      <c r="A979" t="s">
        <v>1032</v>
      </c>
      <c r="B979" t="s">
        <v>30</v>
      </c>
      <c r="C979" t="s">
        <v>32</v>
      </c>
      <c r="D979" t="s">
        <v>34</v>
      </c>
      <c r="E979" t="s">
        <v>39</v>
      </c>
      <c r="F979" t="s">
        <v>64</v>
      </c>
      <c r="G979">
        <v>199.46</v>
      </c>
      <c r="H979">
        <v>0</v>
      </c>
      <c r="I979">
        <v>199.46</v>
      </c>
      <c r="J979" s="1">
        <v>45875</v>
      </c>
      <c r="K979">
        <v>15</v>
      </c>
      <c r="L979">
        <v>1.4</v>
      </c>
      <c r="M979" t="b">
        <v>0</v>
      </c>
    </row>
    <row r="980" spans="1:14" x14ac:dyDescent="0.25">
      <c r="A980" t="s">
        <v>1033</v>
      </c>
      <c r="B980" t="s">
        <v>30</v>
      </c>
      <c r="C980" t="s">
        <v>75</v>
      </c>
      <c r="D980" t="s">
        <v>34</v>
      </c>
      <c r="E980" t="s">
        <v>58</v>
      </c>
      <c r="F980" t="s">
        <v>35</v>
      </c>
      <c r="G980">
        <v>72.75</v>
      </c>
      <c r="H980">
        <v>50.2</v>
      </c>
      <c r="I980">
        <v>36.229999999999997</v>
      </c>
      <c r="J980" s="1">
        <v>45875</v>
      </c>
      <c r="K980">
        <v>28</v>
      </c>
      <c r="L980">
        <v>3.6</v>
      </c>
      <c r="M980" t="b">
        <v>0</v>
      </c>
    </row>
    <row r="981" spans="1:14" x14ac:dyDescent="0.25">
      <c r="A981" t="s">
        <v>1034</v>
      </c>
      <c r="B981" t="s">
        <v>38</v>
      </c>
      <c r="C981" t="s">
        <v>43</v>
      </c>
      <c r="D981" t="s">
        <v>34</v>
      </c>
      <c r="E981" t="s">
        <v>55</v>
      </c>
      <c r="F981" t="s">
        <v>25</v>
      </c>
      <c r="G981">
        <v>86.52</v>
      </c>
      <c r="H981">
        <v>27.6</v>
      </c>
      <c r="I981">
        <v>62.64</v>
      </c>
      <c r="J981" s="1">
        <v>45875</v>
      </c>
      <c r="K981">
        <v>47</v>
      </c>
      <c r="L981">
        <v>1.1000000000000001</v>
      </c>
      <c r="M981" t="b">
        <v>0</v>
      </c>
    </row>
    <row r="982" spans="1:14" x14ac:dyDescent="0.25">
      <c r="A982" t="s">
        <v>1035</v>
      </c>
      <c r="B982" t="s">
        <v>27</v>
      </c>
      <c r="C982" t="s">
        <v>75</v>
      </c>
      <c r="D982" t="s">
        <v>17</v>
      </c>
      <c r="F982" t="s">
        <v>44</v>
      </c>
      <c r="G982">
        <v>52.69</v>
      </c>
      <c r="H982">
        <v>40.200000000000003</v>
      </c>
      <c r="I982">
        <v>31.51</v>
      </c>
      <c r="J982" s="1">
        <v>45611</v>
      </c>
      <c r="K982">
        <v>7</v>
      </c>
      <c r="L982">
        <v>2.7</v>
      </c>
      <c r="M982" t="b">
        <v>0</v>
      </c>
    </row>
    <row r="983" spans="1:14" x14ac:dyDescent="0.25">
      <c r="A983" t="s">
        <v>1036</v>
      </c>
      <c r="B983" t="s">
        <v>15</v>
      </c>
      <c r="C983" t="s">
        <v>32</v>
      </c>
      <c r="D983" t="s">
        <v>34</v>
      </c>
      <c r="E983" t="s">
        <v>24</v>
      </c>
      <c r="F983" t="s">
        <v>28</v>
      </c>
      <c r="G983">
        <v>104.18</v>
      </c>
      <c r="H983">
        <v>0</v>
      </c>
      <c r="I983">
        <v>104.18</v>
      </c>
      <c r="J983" s="1">
        <v>45875</v>
      </c>
      <c r="K983">
        <v>12</v>
      </c>
      <c r="L983">
        <v>5</v>
      </c>
      <c r="M983" t="b">
        <v>0</v>
      </c>
    </row>
    <row r="984" spans="1:14" x14ac:dyDescent="0.25">
      <c r="A984" t="s">
        <v>1037</v>
      </c>
      <c r="B984" t="s">
        <v>15</v>
      </c>
      <c r="C984" t="s">
        <v>48</v>
      </c>
      <c r="D984" t="s">
        <v>23</v>
      </c>
      <c r="E984" t="s">
        <v>24</v>
      </c>
      <c r="F984" t="s">
        <v>19</v>
      </c>
      <c r="G984">
        <v>132.38</v>
      </c>
      <c r="H984">
        <v>58.2</v>
      </c>
      <c r="I984">
        <v>55.33</v>
      </c>
      <c r="J984" s="1">
        <v>45875</v>
      </c>
      <c r="K984">
        <v>24</v>
      </c>
      <c r="M984" t="b">
        <v>0</v>
      </c>
    </row>
    <row r="985" spans="1:14" x14ac:dyDescent="0.25">
      <c r="A985" t="s">
        <v>1038</v>
      </c>
      <c r="B985" t="s">
        <v>30</v>
      </c>
      <c r="C985" t="s">
        <v>48</v>
      </c>
      <c r="D985" t="s">
        <v>34</v>
      </c>
      <c r="E985" t="s">
        <v>18</v>
      </c>
      <c r="F985" t="s">
        <v>25</v>
      </c>
      <c r="G985">
        <v>64.400000000000006</v>
      </c>
      <c r="H985">
        <v>0</v>
      </c>
      <c r="I985">
        <v>64.400000000000006</v>
      </c>
      <c r="J985" s="1">
        <v>45875</v>
      </c>
      <c r="K985">
        <v>40</v>
      </c>
      <c r="L985">
        <v>4.9000000000000004</v>
      </c>
      <c r="M985" t="b">
        <v>0</v>
      </c>
    </row>
    <row r="986" spans="1:14" x14ac:dyDescent="0.25">
      <c r="A986" t="s">
        <v>1039</v>
      </c>
      <c r="B986" t="s">
        <v>38</v>
      </c>
      <c r="C986" t="s">
        <v>16</v>
      </c>
      <c r="D986" t="s">
        <v>62</v>
      </c>
      <c r="E986" t="s">
        <v>18</v>
      </c>
      <c r="F986" t="s">
        <v>40</v>
      </c>
      <c r="G986">
        <v>34.07</v>
      </c>
      <c r="H986">
        <v>0</v>
      </c>
      <c r="I986">
        <v>34.07</v>
      </c>
      <c r="J986" s="1">
        <v>45875</v>
      </c>
      <c r="K986">
        <v>25</v>
      </c>
      <c r="L986">
        <v>4.2</v>
      </c>
      <c r="M986" t="b">
        <v>1</v>
      </c>
      <c r="N986" t="s">
        <v>125</v>
      </c>
    </row>
    <row r="987" spans="1:14" x14ac:dyDescent="0.25">
      <c r="A987" t="s">
        <v>1040</v>
      </c>
      <c r="B987" t="s">
        <v>38</v>
      </c>
      <c r="C987" t="s">
        <v>16</v>
      </c>
      <c r="D987" t="s">
        <v>23</v>
      </c>
      <c r="E987" t="s">
        <v>49</v>
      </c>
      <c r="F987" t="s">
        <v>19</v>
      </c>
      <c r="G987">
        <v>43.33</v>
      </c>
      <c r="H987">
        <v>45.3</v>
      </c>
      <c r="I987">
        <v>23.7</v>
      </c>
      <c r="J987" s="1">
        <v>45875</v>
      </c>
      <c r="K987">
        <v>1</v>
      </c>
      <c r="L987">
        <v>3.4</v>
      </c>
      <c r="M987" t="b">
        <v>0</v>
      </c>
    </row>
    <row r="988" spans="1:14" x14ac:dyDescent="0.25">
      <c r="A988" t="s">
        <v>1041</v>
      </c>
      <c r="B988" t="s">
        <v>15</v>
      </c>
      <c r="C988" t="s">
        <v>22</v>
      </c>
      <c r="D988" t="s">
        <v>17</v>
      </c>
      <c r="E988" t="s">
        <v>18</v>
      </c>
      <c r="F988" t="s">
        <v>35</v>
      </c>
      <c r="G988">
        <v>122.92</v>
      </c>
      <c r="H988">
        <v>0</v>
      </c>
      <c r="I988">
        <v>122.92</v>
      </c>
      <c r="J988" s="1">
        <v>45602</v>
      </c>
      <c r="K988">
        <v>41</v>
      </c>
      <c r="L988">
        <v>2.9</v>
      </c>
      <c r="M988" t="b">
        <v>0</v>
      </c>
    </row>
    <row r="989" spans="1:14" x14ac:dyDescent="0.25">
      <c r="A989" t="s">
        <v>1042</v>
      </c>
      <c r="B989" t="s">
        <v>30</v>
      </c>
      <c r="C989" t="s">
        <v>16</v>
      </c>
      <c r="D989" t="s">
        <v>17</v>
      </c>
      <c r="E989" t="s">
        <v>39</v>
      </c>
      <c r="F989" t="s">
        <v>40</v>
      </c>
      <c r="G989">
        <v>142.84</v>
      </c>
      <c r="H989">
        <v>0</v>
      </c>
      <c r="I989">
        <v>142.84</v>
      </c>
      <c r="J989" s="1">
        <v>45702</v>
      </c>
      <c r="K989">
        <v>36</v>
      </c>
      <c r="M989" t="b">
        <v>0</v>
      </c>
    </row>
    <row r="990" spans="1:14" x14ac:dyDescent="0.25">
      <c r="A990" t="s">
        <v>1043</v>
      </c>
      <c r="B990" t="s">
        <v>30</v>
      </c>
      <c r="C990" t="s">
        <v>61</v>
      </c>
      <c r="D990" t="s">
        <v>62</v>
      </c>
      <c r="E990" t="s">
        <v>49</v>
      </c>
      <c r="F990" t="s">
        <v>28</v>
      </c>
      <c r="G990">
        <v>131.55000000000001</v>
      </c>
      <c r="H990">
        <v>0</v>
      </c>
      <c r="I990">
        <v>131.55000000000001</v>
      </c>
      <c r="J990" s="1">
        <v>45875</v>
      </c>
      <c r="K990">
        <v>45</v>
      </c>
      <c r="L990">
        <v>1.8</v>
      </c>
      <c r="M990" t="b">
        <v>0</v>
      </c>
    </row>
    <row r="991" spans="1:14" x14ac:dyDescent="0.25">
      <c r="A991" t="s">
        <v>1044</v>
      </c>
      <c r="B991" t="s">
        <v>15</v>
      </c>
      <c r="C991" t="s">
        <v>16</v>
      </c>
      <c r="D991" t="s">
        <v>17</v>
      </c>
      <c r="E991" t="s">
        <v>39</v>
      </c>
      <c r="F991" t="s">
        <v>19</v>
      </c>
      <c r="G991">
        <v>192.58</v>
      </c>
      <c r="H991">
        <v>0</v>
      </c>
      <c r="I991">
        <v>192.58</v>
      </c>
      <c r="J991" s="1">
        <v>45764</v>
      </c>
      <c r="K991">
        <v>16</v>
      </c>
      <c r="L991">
        <v>1.2</v>
      </c>
      <c r="M991" t="b">
        <v>0</v>
      </c>
    </row>
    <row r="992" spans="1:14" x14ac:dyDescent="0.25">
      <c r="A992" t="s">
        <v>1045</v>
      </c>
      <c r="B992" t="s">
        <v>27</v>
      </c>
      <c r="C992" t="s">
        <v>53</v>
      </c>
      <c r="D992" t="s">
        <v>17</v>
      </c>
      <c r="F992" t="s">
        <v>66</v>
      </c>
      <c r="G992">
        <v>33.56</v>
      </c>
      <c r="H992">
        <v>0</v>
      </c>
      <c r="I992">
        <v>33.56</v>
      </c>
      <c r="J992" s="1">
        <v>45743</v>
      </c>
      <c r="K992">
        <v>24</v>
      </c>
      <c r="L992">
        <v>3</v>
      </c>
      <c r="M992" t="b">
        <v>0</v>
      </c>
    </row>
    <row r="993" spans="1:14" x14ac:dyDescent="0.25">
      <c r="A993" t="s">
        <v>1046</v>
      </c>
      <c r="B993" t="s">
        <v>27</v>
      </c>
      <c r="C993" t="s">
        <v>22</v>
      </c>
      <c r="D993" t="s">
        <v>62</v>
      </c>
      <c r="F993" t="s">
        <v>44</v>
      </c>
      <c r="G993">
        <v>59.1</v>
      </c>
      <c r="H993">
        <v>0</v>
      </c>
      <c r="I993">
        <v>59.1</v>
      </c>
      <c r="J993" s="1">
        <v>45875</v>
      </c>
      <c r="K993">
        <v>29</v>
      </c>
      <c r="L993">
        <v>1.3</v>
      </c>
      <c r="M993" t="b">
        <v>0</v>
      </c>
    </row>
    <row r="994" spans="1:14" x14ac:dyDescent="0.25">
      <c r="A994" t="s">
        <v>1047</v>
      </c>
      <c r="B994" t="s">
        <v>30</v>
      </c>
      <c r="C994" t="s">
        <v>61</v>
      </c>
      <c r="D994" t="s">
        <v>34</v>
      </c>
      <c r="E994" t="s">
        <v>39</v>
      </c>
      <c r="F994" t="s">
        <v>40</v>
      </c>
      <c r="G994">
        <v>109.15</v>
      </c>
      <c r="H994">
        <v>20.7</v>
      </c>
      <c r="I994">
        <v>86.56</v>
      </c>
      <c r="J994" s="1">
        <v>45875</v>
      </c>
      <c r="K994">
        <v>28</v>
      </c>
      <c r="L994">
        <v>2</v>
      </c>
      <c r="M994" t="b">
        <v>1</v>
      </c>
      <c r="N994" t="s">
        <v>115</v>
      </c>
    </row>
    <row r="995" spans="1:14" x14ac:dyDescent="0.25">
      <c r="A995" t="s">
        <v>1048</v>
      </c>
      <c r="B995" t="s">
        <v>38</v>
      </c>
      <c r="C995" t="s">
        <v>53</v>
      </c>
      <c r="D995" t="s">
        <v>34</v>
      </c>
      <c r="F995" t="s">
        <v>56</v>
      </c>
      <c r="G995">
        <v>59.1</v>
      </c>
      <c r="H995">
        <v>0</v>
      </c>
      <c r="I995">
        <v>59.1</v>
      </c>
      <c r="J995" s="1">
        <v>45875</v>
      </c>
      <c r="K995">
        <v>47</v>
      </c>
      <c r="L995">
        <v>4.5999999999999996</v>
      </c>
      <c r="M995" t="b">
        <v>0</v>
      </c>
    </row>
    <row r="996" spans="1:14" x14ac:dyDescent="0.25">
      <c r="A996" t="s">
        <v>1049</v>
      </c>
      <c r="B996" t="s">
        <v>30</v>
      </c>
      <c r="C996" t="s">
        <v>61</v>
      </c>
      <c r="D996" t="s">
        <v>17</v>
      </c>
      <c r="E996" t="s">
        <v>58</v>
      </c>
      <c r="F996" t="s">
        <v>66</v>
      </c>
      <c r="G996">
        <v>99.33</v>
      </c>
      <c r="H996">
        <v>0</v>
      </c>
      <c r="I996">
        <v>99.33</v>
      </c>
      <c r="J996" s="1">
        <v>45798</v>
      </c>
      <c r="K996">
        <v>16</v>
      </c>
      <c r="L996">
        <v>3.9</v>
      </c>
      <c r="M996" t="b">
        <v>0</v>
      </c>
    </row>
    <row r="997" spans="1:14" x14ac:dyDescent="0.25">
      <c r="A997" t="s">
        <v>1050</v>
      </c>
      <c r="B997" t="s">
        <v>42</v>
      </c>
      <c r="C997" t="s">
        <v>53</v>
      </c>
      <c r="D997" t="s">
        <v>23</v>
      </c>
      <c r="E997" t="s">
        <v>18</v>
      </c>
      <c r="F997" t="s">
        <v>64</v>
      </c>
      <c r="G997">
        <v>92.75</v>
      </c>
      <c r="H997">
        <v>0</v>
      </c>
      <c r="I997">
        <v>92.75</v>
      </c>
      <c r="J997" s="1">
        <v>45875</v>
      </c>
      <c r="K997">
        <v>29</v>
      </c>
      <c r="M997" t="b">
        <v>1</v>
      </c>
      <c r="N997" t="s">
        <v>115</v>
      </c>
    </row>
    <row r="998" spans="1:14" x14ac:dyDescent="0.25">
      <c r="A998" t="s">
        <v>1051</v>
      </c>
      <c r="B998" t="s">
        <v>21</v>
      </c>
      <c r="C998" t="s">
        <v>16</v>
      </c>
      <c r="D998" t="s">
        <v>62</v>
      </c>
      <c r="E998" t="s">
        <v>39</v>
      </c>
      <c r="F998" t="s">
        <v>56</v>
      </c>
      <c r="G998">
        <v>116.82</v>
      </c>
      <c r="H998">
        <v>0</v>
      </c>
      <c r="I998">
        <v>116.82</v>
      </c>
      <c r="J998" s="1">
        <v>45875</v>
      </c>
      <c r="K998">
        <v>34</v>
      </c>
      <c r="M998" t="b">
        <v>0</v>
      </c>
    </row>
    <row r="999" spans="1:14" x14ac:dyDescent="0.25">
      <c r="A999" t="s">
        <v>1052</v>
      </c>
      <c r="B999" t="s">
        <v>15</v>
      </c>
      <c r="C999" t="s">
        <v>53</v>
      </c>
      <c r="D999" t="s">
        <v>62</v>
      </c>
      <c r="E999" t="s">
        <v>18</v>
      </c>
      <c r="F999" t="s">
        <v>46</v>
      </c>
      <c r="G999">
        <v>129.78</v>
      </c>
      <c r="H999">
        <v>9.5</v>
      </c>
      <c r="I999">
        <v>117.45</v>
      </c>
      <c r="J999" s="1">
        <v>45875</v>
      </c>
      <c r="K999">
        <v>17</v>
      </c>
      <c r="L999">
        <v>4</v>
      </c>
      <c r="M999" t="b">
        <v>0</v>
      </c>
    </row>
    <row r="1000" spans="1:14" x14ac:dyDescent="0.25">
      <c r="A1000" t="s">
        <v>1053</v>
      </c>
      <c r="B1000" t="s">
        <v>42</v>
      </c>
      <c r="C1000" t="s">
        <v>32</v>
      </c>
      <c r="D1000" t="s">
        <v>17</v>
      </c>
      <c r="E1000" t="s">
        <v>55</v>
      </c>
      <c r="F1000" t="s">
        <v>70</v>
      </c>
      <c r="G1000">
        <v>135.69</v>
      </c>
      <c r="H1000">
        <v>3</v>
      </c>
      <c r="I1000">
        <v>131.62</v>
      </c>
      <c r="J1000" s="1">
        <v>45533</v>
      </c>
      <c r="K1000">
        <v>16</v>
      </c>
      <c r="M1000" t="b">
        <v>0</v>
      </c>
    </row>
    <row r="1001" spans="1:14" x14ac:dyDescent="0.25">
      <c r="A1001" t="s">
        <v>1054</v>
      </c>
      <c r="B1001" t="s">
        <v>42</v>
      </c>
      <c r="C1001" t="s">
        <v>61</v>
      </c>
      <c r="D1001" t="s">
        <v>34</v>
      </c>
      <c r="F1001" t="s">
        <v>19</v>
      </c>
      <c r="G1001">
        <v>48.14</v>
      </c>
      <c r="H1001">
        <v>28.3</v>
      </c>
      <c r="I1001">
        <v>34.520000000000003</v>
      </c>
      <c r="J1001" s="1">
        <v>45875</v>
      </c>
      <c r="K1001">
        <v>41</v>
      </c>
      <c r="M1001" t="b">
        <v>0</v>
      </c>
    </row>
    <row r="1002" spans="1:14" x14ac:dyDescent="0.25">
      <c r="A1002" t="s">
        <v>1055</v>
      </c>
      <c r="B1002" t="s">
        <v>42</v>
      </c>
      <c r="C1002" t="s">
        <v>43</v>
      </c>
      <c r="D1002" t="s">
        <v>34</v>
      </c>
      <c r="E1002" t="s">
        <v>55</v>
      </c>
      <c r="F1002" t="s">
        <v>44</v>
      </c>
      <c r="G1002">
        <v>142.96</v>
      </c>
      <c r="H1002">
        <v>47.7</v>
      </c>
      <c r="I1002">
        <v>74.77</v>
      </c>
      <c r="J1002" s="1">
        <v>45875</v>
      </c>
      <c r="K1002">
        <v>7</v>
      </c>
      <c r="M1002" t="b">
        <v>0</v>
      </c>
    </row>
    <row r="1003" spans="1:14" x14ac:dyDescent="0.25">
      <c r="A1003" t="s">
        <v>1056</v>
      </c>
      <c r="B1003" t="s">
        <v>21</v>
      </c>
      <c r="C1003" t="s">
        <v>75</v>
      </c>
      <c r="D1003" t="s">
        <v>17</v>
      </c>
      <c r="E1003" t="s">
        <v>24</v>
      </c>
      <c r="F1003" t="s">
        <v>56</v>
      </c>
      <c r="G1003">
        <v>51.72</v>
      </c>
      <c r="H1003">
        <v>0</v>
      </c>
      <c r="I1003">
        <v>51.72</v>
      </c>
      <c r="J1003" s="1">
        <v>45702</v>
      </c>
      <c r="K1003">
        <v>50</v>
      </c>
      <c r="M1003" t="b">
        <v>0</v>
      </c>
    </row>
    <row r="1004" spans="1:14" x14ac:dyDescent="0.25">
      <c r="A1004" t="s">
        <v>1057</v>
      </c>
      <c r="B1004" t="s">
        <v>27</v>
      </c>
      <c r="C1004" t="s">
        <v>16</v>
      </c>
      <c r="D1004" t="s">
        <v>34</v>
      </c>
      <c r="F1004" t="s">
        <v>70</v>
      </c>
      <c r="G1004">
        <v>18.3</v>
      </c>
      <c r="H1004">
        <v>38.299999999999997</v>
      </c>
      <c r="I1004">
        <v>11.29</v>
      </c>
      <c r="J1004" s="1">
        <v>45875</v>
      </c>
      <c r="K1004">
        <v>14</v>
      </c>
      <c r="L1004">
        <v>1.1000000000000001</v>
      </c>
      <c r="M1004" t="b">
        <v>0</v>
      </c>
    </row>
    <row r="1005" spans="1:14" x14ac:dyDescent="0.25">
      <c r="A1005" t="s">
        <v>1058</v>
      </c>
      <c r="B1005" t="s">
        <v>15</v>
      </c>
      <c r="C1005" t="s">
        <v>43</v>
      </c>
      <c r="D1005" t="s">
        <v>17</v>
      </c>
      <c r="E1005" t="s">
        <v>24</v>
      </c>
      <c r="F1005" t="s">
        <v>64</v>
      </c>
      <c r="G1005">
        <v>214.99</v>
      </c>
      <c r="H1005">
        <v>29</v>
      </c>
      <c r="I1005">
        <v>152.63999999999999</v>
      </c>
      <c r="J1005" s="1">
        <v>45541</v>
      </c>
      <c r="K1005">
        <v>32</v>
      </c>
      <c r="L1005">
        <v>2.8</v>
      </c>
      <c r="M1005" t="b">
        <v>1</v>
      </c>
      <c r="N1005" t="s">
        <v>125</v>
      </c>
    </row>
    <row r="1006" spans="1:14" x14ac:dyDescent="0.25">
      <c r="A1006" t="s">
        <v>1059</v>
      </c>
      <c r="B1006" t="s">
        <v>27</v>
      </c>
      <c r="C1006" t="s">
        <v>61</v>
      </c>
      <c r="D1006" t="s">
        <v>17</v>
      </c>
      <c r="F1006" t="s">
        <v>19</v>
      </c>
      <c r="G1006">
        <v>20.77</v>
      </c>
      <c r="H1006">
        <v>0</v>
      </c>
      <c r="I1006">
        <v>20.77</v>
      </c>
      <c r="J1006" s="1">
        <v>45521</v>
      </c>
      <c r="K1006">
        <v>31</v>
      </c>
      <c r="L1006">
        <v>2</v>
      </c>
      <c r="M1006" t="b">
        <v>0</v>
      </c>
    </row>
    <row r="1007" spans="1:14" x14ac:dyDescent="0.25">
      <c r="A1007" t="s">
        <v>1060</v>
      </c>
      <c r="B1007" t="s">
        <v>27</v>
      </c>
      <c r="C1007" t="s">
        <v>61</v>
      </c>
      <c r="D1007" t="s">
        <v>62</v>
      </c>
      <c r="F1007" t="s">
        <v>25</v>
      </c>
      <c r="G1007">
        <v>77.959999999999994</v>
      </c>
      <c r="H1007">
        <v>0</v>
      </c>
      <c r="I1007">
        <v>77.959999999999994</v>
      </c>
      <c r="J1007" s="1">
        <v>45875</v>
      </c>
      <c r="K1007">
        <v>39</v>
      </c>
      <c r="L1007">
        <v>4.8</v>
      </c>
      <c r="M1007" t="b">
        <v>0</v>
      </c>
    </row>
    <row r="1008" spans="1:14" x14ac:dyDescent="0.25">
      <c r="A1008" t="s">
        <v>1061</v>
      </c>
      <c r="B1008" t="s">
        <v>27</v>
      </c>
      <c r="C1008" t="s">
        <v>16</v>
      </c>
      <c r="D1008" t="s">
        <v>34</v>
      </c>
      <c r="F1008" t="s">
        <v>66</v>
      </c>
      <c r="G1008">
        <v>73.33</v>
      </c>
      <c r="H1008">
        <v>34.6</v>
      </c>
      <c r="I1008">
        <v>47.96</v>
      </c>
      <c r="J1008" s="1">
        <v>45875</v>
      </c>
      <c r="K1008">
        <v>45</v>
      </c>
      <c r="L1008">
        <v>2.1</v>
      </c>
      <c r="M1008" t="b">
        <v>0</v>
      </c>
    </row>
    <row r="1009" spans="1:14" x14ac:dyDescent="0.25">
      <c r="A1009" t="s">
        <v>1062</v>
      </c>
      <c r="B1009" t="s">
        <v>27</v>
      </c>
      <c r="C1009" t="s">
        <v>75</v>
      </c>
      <c r="D1009" t="s">
        <v>34</v>
      </c>
      <c r="F1009" t="s">
        <v>66</v>
      </c>
      <c r="G1009">
        <v>75.22</v>
      </c>
      <c r="H1009">
        <v>25.9</v>
      </c>
      <c r="I1009">
        <v>55.74</v>
      </c>
      <c r="J1009" s="1">
        <v>45875</v>
      </c>
      <c r="K1009">
        <v>31</v>
      </c>
      <c r="L1009">
        <v>1.9</v>
      </c>
      <c r="M1009" t="b">
        <v>1</v>
      </c>
      <c r="N1009" t="s">
        <v>36</v>
      </c>
    </row>
    <row r="1010" spans="1:14" x14ac:dyDescent="0.25">
      <c r="A1010" t="s">
        <v>1063</v>
      </c>
      <c r="B1010" t="s">
        <v>38</v>
      </c>
      <c r="C1010" t="s">
        <v>61</v>
      </c>
      <c r="D1010" t="s">
        <v>34</v>
      </c>
      <c r="E1010" t="s">
        <v>55</v>
      </c>
      <c r="F1010" t="s">
        <v>28</v>
      </c>
      <c r="G1010">
        <v>46.65</v>
      </c>
      <c r="H1010">
        <v>24.2</v>
      </c>
      <c r="I1010">
        <v>35.36</v>
      </c>
      <c r="J1010" s="1">
        <v>45875</v>
      </c>
      <c r="K1010">
        <v>8</v>
      </c>
      <c r="L1010">
        <v>3.2</v>
      </c>
      <c r="M1010" t="b">
        <v>0</v>
      </c>
    </row>
    <row r="1011" spans="1:14" x14ac:dyDescent="0.25">
      <c r="A1011" t="s">
        <v>1064</v>
      </c>
      <c r="B1011" t="s">
        <v>42</v>
      </c>
      <c r="C1011" t="s">
        <v>43</v>
      </c>
      <c r="D1011" t="s">
        <v>34</v>
      </c>
      <c r="E1011" t="s">
        <v>49</v>
      </c>
      <c r="F1011" t="s">
        <v>25</v>
      </c>
      <c r="G1011">
        <v>108.19</v>
      </c>
      <c r="H1011">
        <v>0</v>
      </c>
      <c r="I1011">
        <v>108.19</v>
      </c>
      <c r="J1011" s="1">
        <v>45875</v>
      </c>
      <c r="K1011">
        <v>21</v>
      </c>
      <c r="M1011" t="b">
        <v>0</v>
      </c>
    </row>
    <row r="1012" spans="1:14" x14ac:dyDescent="0.25">
      <c r="A1012" t="s">
        <v>1065</v>
      </c>
      <c r="B1012" t="s">
        <v>42</v>
      </c>
      <c r="C1012" t="s">
        <v>16</v>
      </c>
      <c r="D1012" t="s">
        <v>17</v>
      </c>
      <c r="E1012" t="s">
        <v>24</v>
      </c>
      <c r="F1012" t="s">
        <v>19</v>
      </c>
      <c r="G1012">
        <v>62.82</v>
      </c>
      <c r="H1012">
        <v>0</v>
      </c>
      <c r="I1012">
        <v>62.82</v>
      </c>
      <c r="J1012" s="1">
        <v>45573</v>
      </c>
      <c r="K1012">
        <v>36</v>
      </c>
      <c r="L1012">
        <v>2.1</v>
      </c>
      <c r="M1012" t="b">
        <v>0</v>
      </c>
    </row>
    <row r="1013" spans="1:14" x14ac:dyDescent="0.25">
      <c r="A1013" t="s">
        <v>1066</v>
      </c>
      <c r="B1013" t="s">
        <v>21</v>
      </c>
      <c r="C1013" t="s">
        <v>16</v>
      </c>
      <c r="D1013" t="s">
        <v>62</v>
      </c>
      <c r="E1013" t="s">
        <v>39</v>
      </c>
      <c r="F1013" t="s">
        <v>25</v>
      </c>
      <c r="G1013">
        <v>57.32</v>
      </c>
      <c r="H1013">
        <v>57.4</v>
      </c>
      <c r="I1013">
        <v>24.42</v>
      </c>
      <c r="J1013" s="1">
        <v>45875</v>
      </c>
      <c r="K1013">
        <v>46</v>
      </c>
      <c r="L1013">
        <v>3.1</v>
      </c>
      <c r="M1013" t="b">
        <v>0</v>
      </c>
    </row>
    <row r="1014" spans="1:14" x14ac:dyDescent="0.25">
      <c r="A1014" t="s">
        <v>1067</v>
      </c>
      <c r="B1014" t="s">
        <v>15</v>
      </c>
      <c r="C1014" t="s">
        <v>48</v>
      </c>
      <c r="D1014" t="s">
        <v>23</v>
      </c>
      <c r="E1014" t="s">
        <v>49</v>
      </c>
      <c r="F1014" t="s">
        <v>46</v>
      </c>
      <c r="G1014">
        <v>153.59</v>
      </c>
      <c r="H1014">
        <v>0</v>
      </c>
      <c r="I1014">
        <v>153.59</v>
      </c>
      <c r="J1014" s="1">
        <v>45875</v>
      </c>
      <c r="K1014">
        <v>31</v>
      </c>
      <c r="L1014">
        <v>2.9</v>
      </c>
      <c r="M1014" t="b">
        <v>1</v>
      </c>
      <c r="N1014" t="s">
        <v>78</v>
      </c>
    </row>
    <row r="1015" spans="1:14" x14ac:dyDescent="0.25">
      <c r="A1015" t="s">
        <v>1068</v>
      </c>
      <c r="B1015" t="s">
        <v>30</v>
      </c>
      <c r="C1015" t="s">
        <v>43</v>
      </c>
      <c r="D1015" t="s">
        <v>23</v>
      </c>
      <c r="E1015" t="s">
        <v>18</v>
      </c>
      <c r="F1015" t="s">
        <v>66</v>
      </c>
      <c r="G1015">
        <v>101.14</v>
      </c>
      <c r="H1015">
        <v>0</v>
      </c>
      <c r="I1015">
        <v>101.14</v>
      </c>
      <c r="J1015" s="1">
        <v>45875</v>
      </c>
      <c r="K1015">
        <v>43</v>
      </c>
      <c r="L1015">
        <v>2.8</v>
      </c>
      <c r="M1015" t="b">
        <v>0</v>
      </c>
    </row>
    <row r="1016" spans="1:14" x14ac:dyDescent="0.25">
      <c r="A1016" t="s">
        <v>1069</v>
      </c>
      <c r="B1016" t="s">
        <v>38</v>
      </c>
      <c r="C1016" t="s">
        <v>53</v>
      </c>
      <c r="D1016" t="s">
        <v>17</v>
      </c>
      <c r="E1016" t="s">
        <v>49</v>
      </c>
      <c r="F1016" t="s">
        <v>70</v>
      </c>
      <c r="G1016">
        <v>43.89</v>
      </c>
      <c r="H1016">
        <v>15.6</v>
      </c>
      <c r="I1016">
        <v>37.04</v>
      </c>
      <c r="J1016" s="1">
        <v>45777</v>
      </c>
      <c r="K1016">
        <v>31</v>
      </c>
      <c r="L1016">
        <v>1.7</v>
      </c>
      <c r="M1016" t="b">
        <v>1</v>
      </c>
      <c r="N1016" t="s">
        <v>125</v>
      </c>
    </row>
    <row r="1017" spans="1:14" x14ac:dyDescent="0.25">
      <c r="A1017" t="s">
        <v>1070</v>
      </c>
      <c r="B1017" t="s">
        <v>15</v>
      </c>
      <c r="C1017" t="s">
        <v>16</v>
      </c>
      <c r="D1017" t="s">
        <v>23</v>
      </c>
      <c r="E1017" t="s">
        <v>39</v>
      </c>
      <c r="F1017" t="s">
        <v>40</v>
      </c>
      <c r="G1017">
        <v>130.16</v>
      </c>
      <c r="H1017">
        <v>47.5</v>
      </c>
      <c r="I1017">
        <v>68.33</v>
      </c>
      <c r="J1017" s="1">
        <v>45875</v>
      </c>
      <c r="K1017">
        <v>21</v>
      </c>
      <c r="M1017" t="b">
        <v>0</v>
      </c>
    </row>
    <row r="1018" spans="1:14" x14ac:dyDescent="0.25">
      <c r="A1018" t="s">
        <v>1071</v>
      </c>
      <c r="B1018" t="s">
        <v>42</v>
      </c>
      <c r="C1018" t="s">
        <v>61</v>
      </c>
      <c r="D1018" t="s">
        <v>23</v>
      </c>
      <c r="E1018" t="s">
        <v>24</v>
      </c>
      <c r="F1018" t="s">
        <v>28</v>
      </c>
      <c r="G1018">
        <v>153.12</v>
      </c>
      <c r="H1018">
        <v>0</v>
      </c>
      <c r="I1018">
        <v>153.12</v>
      </c>
      <c r="J1018" s="1">
        <v>45875</v>
      </c>
      <c r="K1018">
        <v>27</v>
      </c>
      <c r="L1018">
        <v>3.3</v>
      </c>
      <c r="M1018" t="b">
        <v>0</v>
      </c>
    </row>
    <row r="1019" spans="1:14" x14ac:dyDescent="0.25">
      <c r="A1019" t="s">
        <v>1072</v>
      </c>
      <c r="B1019" t="s">
        <v>21</v>
      </c>
      <c r="C1019" t="s">
        <v>75</v>
      </c>
      <c r="D1019" t="s">
        <v>62</v>
      </c>
      <c r="E1019" t="s">
        <v>49</v>
      </c>
      <c r="F1019" t="s">
        <v>44</v>
      </c>
      <c r="G1019">
        <v>37.119999999999997</v>
      </c>
      <c r="H1019">
        <v>12.1</v>
      </c>
      <c r="I1019">
        <v>32.630000000000003</v>
      </c>
      <c r="J1019" s="1">
        <v>45875</v>
      </c>
      <c r="K1019">
        <v>43</v>
      </c>
      <c r="L1019">
        <v>3.2</v>
      </c>
      <c r="M1019" t="b">
        <v>0</v>
      </c>
    </row>
    <row r="1020" spans="1:14" x14ac:dyDescent="0.25">
      <c r="A1020" t="s">
        <v>1073</v>
      </c>
      <c r="B1020" t="s">
        <v>21</v>
      </c>
      <c r="C1020" t="s">
        <v>43</v>
      </c>
      <c r="D1020" t="s">
        <v>62</v>
      </c>
      <c r="E1020" t="s">
        <v>49</v>
      </c>
      <c r="F1020" t="s">
        <v>66</v>
      </c>
      <c r="G1020">
        <v>41.05</v>
      </c>
      <c r="H1020">
        <v>0</v>
      </c>
      <c r="I1020">
        <v>41.05</v>
      </c>
      <c r="J1020" s="1">
        <v>45875</v>
      </c>
      <c r="K1020">
        <v>24</v>
      </c>
      <c r="M1020" t="b">
        <v>0</v>
      </c>
    </row>
    <row r="1021" spans="1:14" x14ac:dyDescent="0.25">
      <c r="A1021" t="s">
        <v>1074</v>
      </c>
      <c r="B1021" t="s">
        <v>30</v>
      </c>
      <c r="C1021" t="s">
        <v>75</v>
      </c>
      <c r="D1021" t="s">
        <v>34</v>
      </c>
      <c r="E1021" t="s">
        <v>58</v>
      </c>
      <c r="F1021" t="s">
        <v>64</v>
      </c>
      <c r="G1021">
        <v>61.04</v>
      </c>
      <c r="H1021">
        <v>0</v>
      </c>
      <c r="I1021">
        <v>61.04</v>
      </c>
      <c r="J1021" s="1">
        <v>45875</v>
      </c>
      <c r="K1021">
        <v>43</v>
      </c>
      <c r="L1021">
        <v>1.9</v>
      </c>
      <c r="M1021" t="b">
        <v>0</v>
      </c>
    </row>
    <row r="1022" spans="1:14" x14ac:dyDescent="0.25">
      <c r="A1022" t="s">
        <v>1075</v>
      </c>
      <c r="B1022" t="s">
        <v>21</v>
      </c>
      <c r="C1022" t="s">
        <v>53</v>
      </c>
      <c r="D1022" t="s">
        <v>62</v>
      </c>
      <c r="E1022" t="s">
        <v>39</v>
      </c>
      <c r="F1022" t="s">
        <v>28</v>
      </c>
      <c r="G1022">
        <v>97.17</v>
      </c>
      <c r="H1022">
        <v>0</v>
      </c>
      <c r="I1022">
        <v>97.17</v>
      </c>
      <c r="J1022" s="1">
        <v>45875</v>
      </c>
      <c r="K1022">
        <v>35</v>
      </c>
      <c r="L1022">
        <v>3</v>
      </c>
      <c r="M1022" t="b">
        <v>0</v>
      </c>
    </row>
    <row r="1023" spans="1:14" x14ac:dyDescent="0.25">
      <c r="A1023" t="s">
        <v>1076</v>
      </c>
      <c r="B1023" t="s">
        <v>27</v>
      </c>
      <c r="C1023" t="s">
        <v>22</v>
      </c>
      <c r="D1023" t="s">
        <v>62</v>
      </c>
      <c r="F1023" t="s">
        <v>19</v>
      </c>
      <c r="G1023">
        <v>63.45</v>
      </c>
      <c r="H1023">
        <v>0</v>
      </c>
      <c r="I1023">
        <v>63.45</v>
      </c>
      <c r="J1023" s="1">
        <v>45875</v>
      </c>
      <c r="K1023">
        <v>4</v>
      </c>
      <c r="L1023">
        <v>3.9</v>
      </c>
      <c r="M1023" t="b">
        <v>0</v>
      </c>
    </row>
    <row r="1024" spans="1:14" x14ac:dyDescent="0.25">
      <c r="A1024" t="s">
        <v>1077</v>
      </c>
      <c r="B1024" t="s">
        <v>21</v>
      </c>
      <c r="C1024" t="s">
        <v>43</v>
      </c>
      <c r="D1024" t="s">
        <v>34</v>
      </c>
      <c r="F1024" t="s">
        <v>40</v>
      </c>
      <c r="G1024">
        <v>117.39</v>
      </c>
      <c r="H1024">
        <v>0</v>
      </c>
      <c r="I1024">
        <v>117.39</v>
      </c>
      <c r="J1024" s="1">
        <v>45875</v>
      </c>
      <c r="K1024">
        <v>14</v>
      </c>
      <c r="L1024">
        <v>3.2</v>
      </c>
      <c r="M1024" t="b">
        <v>0</v>
      </c>
    </row>
    <row r="1025" spans="1:14" x14ac:dyDescent="0.25">
      <c r="A1025" t="s">
        <v>1078</v>
      </c>
      <c r="B1025" t="s">
        <v>21</v>
      </c>
      <c r="C1025" t="s">
        <v>32</v>
      </c>
      <c r="D1025" t="s">
        <v>17</v>
      </c>
      <c r="E1025" t="s">
        <v>39</v>
      </c>
      <c r="F1025" t="s">
        <v>70</v>
      </c>
      <c r="G1025">
        <v>32.89</v>
      </c>
      <c r="H1025">
        <v>0</v>
      </c>
      <c r="I1025">
        <v>32.89</v>
      </c>
      <c r="J1025" s="1">
        <v>45846</v>
      </c>
      <c r="K1025">
        <v>6</v>
      </c>
      <c r="L1025">
        <v>4.5999999999999996</v>
      </c>
      <c r="M1025" t="b">
        <v>0</v>
      </c>
    </row>
    <row r="1026" spans="1:14" x14ac:dyDescent="0.25">
      <c r="A1026" t="s">
        <v>1079</v>
      </c>
      <c r="B1026" t="s">
        <v>38</v>
      </c>
      <c r="C1026" t="s">
        <v>53</v>
      </c>
      <c r="D1026" t="s">
        <v>17</v>
      </c>
      <c r="E1026" t="s">
        <v>24</v>
      </c>
      <c r="F1026" t="s">
        <v>44</v>
      </c>
      <c r="G1026">
        <v>102.6</v>
      </c>
      <c r="H1026">
        <v>38.6</v>
      </c>
      <c r="I1026">
        <v>63</v>
      </c>
      <c r="J1026" s="1">
        <v>45787</v>
      </c>
      <c r="K1026">
        <v>14</v>
      </c>
      <c r="L1026">
        <v>4</v>
      </c>
      <c r="M1026" t="b">
        <v>0</v>
      </c>
    </row>
    <row r="1027" spans="1:14" x14ac:dyDescent="0.25">
      <c r="A1027" t="s">
        <v>1080</v>
      </c>
      <c r="B1027" t="s">
        <v>30</v>
      </c>
      <c r="C1027" t="s">
        <v>61</v>
      </c>
      <c r="D1027" t="s">
        <v>17</v>
      </c>
      <c r="E1027" t="s">
        <v>49</v>
      </c>
      <c r="F1027" t="s">
        <v>64</v>
      </c>
      <c r="G1027">
        <v>155.91999999999999</v>
      </c>
      <c r="H1027">
        <v>32.200000000000003</v>
      </c>
      <c r="I1027">
        <v>105.71</v>
      </c>
      <c r="J1027" s="1">
        <v>45567</v>
      </c>
      <c r="K1027">
        <v>5</v>
      </c>
      <c r="L1027">
        <v>2</v>
      </c>
      <c r="M1027" t="b">
        <v>0</v>
      </c>
    </row>
    <row r="1028" spans="1:14" x14ac:dyDescent="0.25">
      <c r="A1028" t="s">
        <v>1081</v>
      </c>
      <c r="B1028" t="s">
        <v>15</v>
      </c>
      <c r="C1028" t="s">
        <v>61</v>
      </c>
      <c r="D1028" t="s">
        <v>34</v>
      </c>
      <c r="E1028" t="s">
        <v>24</v>
      </c>
      <c r="F1028" t="s">
        <v>66</v>
      </c>
      <c r="G1028">
        <v>178.39</v>
      </c>
      <c r="H1028">
        <v>0</v>
      </c>
      <c r="I1028">
        <v>178.39</v>
      </c>
      <c r="J1028" s="1">
        <v>45875</v>
      </c>
      <c r="K1028">
        <v>29</v>
      </c>
      <c r="L1028">
        <v>4.2</v>
      </c>
      <c r="M1028" t="b">
        <v>0</v>
      </c>
    </row>
    <row r="1029" spans="1:14" x14ac:dyDescent="0.25">
      <c r="A1029" t="s">
        <v>1082</v>
      </c>
      <c r="B1029" t="s">
        <v>15</v>
      </c>
      <c r="C1029" t="s">
        <v>48</v>
      </c>
      <c r="D1029" t="s">
        <v>17</v>
      </c>
      <c r="E1029" t="s">
        <v>18</v>
      </c>
      <c r="F1029" t="s">
        <v>40</v>
      </c>
      <c r="G1029">
        <v>151.1</v>
      </c>
      <c r="H1029">
        <v>0</v>
      </c>
      <c r="I1029">
        <v>151.1</v>
      </c>
      <c r="J1029" s="1">
        <v>45738</v>
      </c>
      <c r="K1029">
        <v>24</v>
      </c>
      <c r="L1029">
        <v>2.4</v>
      </c>
      <c r="M1029" t="b">
        <v>0</v>
      </c>
    </row>
    <row r="1030" spans="1:14" x14ac:dyDescent="0.25">
      <c r="A1030" t="s">
        <v>1083</v>
      </c>
      <c r="B1030" t="s">
        <v>21</v>
      </c>
      <c r="C1030" t="s">
        <v>75</v>
      </c>
      <c r="D1030" t="s">
        <v>62</v>
      </c>
      <c r="E1030" t="s">
        <v>49</v>
      </c>
      <c r="F1030" t="s">
        <v>56</v>
      </c>
      <c r="G1030">
        <v>91.03</v>
      </c>
      <c r="H1030">
        <v>55.4</v>
      </c>
      <c r="I1030">
        <v>40.6</v>
      </c>
      <c r="J1030" s="1">
        <v>45875</v>
      </c>
      <c r="K1030">
        <v>2</v>
      </c>
      <c r="L1030">
        <v>2.5</v>
      </c>
      <c r="M1030" t="b">
        <v>0</v>
      </c>
    </row>
    <row r="1031" spans="1:14" x14ac:dyDescent="0.25">
      <c r="A1031" t="s">
        <v>1084</v>
      </c>
      <c r="B1031" t="s">
        <v>21</v>
      </c>
      <c r="C1031" t="s">
        <v>48</v>
      </c>
      <c r="D1031" t="s">
        <v>34</v>
      </c>
      <c r="E1031" t="s">
        <v>58</v>
      </c>
      <c r="F1031" t="s">
        <v>40</v>
      </c>
      <c r="G1031">
        <v>89.03</v>
      </c>
      <c r="H1031">
        <v>41.3</v>
      </c>
      <c r="I1031">
        <v>52.26</v>
      </c>
      <c r="J1031" s="1">
        <v>45875</v>
      </c>
      <c r="K1031">
        <v>50</v>
      </c>
      <c r="M1031" t="b">
        <v>0</v>
      </c>
    </row>
    <row r="1032" spans="1:14" x14ac:dyDescent="0.25">
      <c r="A1032" t="s">
        <v>1085</v>
      </c>
      <c r="B1032" t="s">
        <v>42</v>
      </c>
      <c r="C1032" t="s">
        <v>53</v>
      </c>
      <c r="D1032" t="s">
        <v>62</v>
      </c>
      <c r="E1032" t="s">
        <v>39</v>
      </c>
      <c r="F1032" t="s">
        <v>46</v>
      </c>
      <c r="G1032">
        <v>147.58000000000001</v>
      </c>
      <c r="H1032">
        <v>0</v>
      </c>
      <c r="I1032">
        <v>147.58000000000001</v>
      </c>
      <c r="J1032" s="1">
        <v>45875</v>
      </c>
      <c r="K1032">
        <v>10</v>
      </c>
      <c r="L1032">
        <v>4.3</v>
      </c>
      <c r="M1032" t="b">
        <v>0</v>
      </c>
    </row>
    <row r="1033" spans="1:14" x14ac:dyDescent="0.25">
      <c r="A1033" t="s">
        <v>1086</v>
      </c>
      <c r="B1033" t="s">
        <v>42</v>
      </c>
      <c r="C1033" t="s">
        <v>32</v>
      </c>
      <c r="D1033" t="s">
        <v>62</v>
      </c>
      <c r="E1033" t="s">
        <v>18</v>
      </c>
      <c r="F1033" t="s">
        <v>44</v>
      </c>
      <c r="G1033">
        <v>79.98</v>
      </c>
      <c r="H1033">
        <v>0</v>
      </c>
      <c r="I1033">
        <v>79.98</v>
      </c>
      <c r="J1033" s="1">
        <v>45875</v>
      </c>
      <c r="K1033">
        <v>25</v>
      </c>
      <c r="L1033">
        <v>1.5</v>
      </c>
      <c r="M1033" t="b">
        <v>0</v>
      </c>
    </row>
    <row r="1034" spans="1:14" x14ac:dyDescent="0.25">
      <c r="A1034" t="s">
        <v>1087</v>
      </c>
      <c r="B1034" t="s">
        <v>42</v>
      </c>
      <c r="C1034" t="s">
        <v>48</v>
      </c>
      <c r="D1034" t="s">
        <v>34</v>
      </c>
      <c r="E1034" t="s">
        <v>55</v>
      </c>
      <c r="F1034" t="s">
        <v>56</v>
      </c>
      <c r="G1034">
        <v>86.38</v>
      </c>
      <c r="H1034">
        <v>0</v>
      </c>
      <c r="I1034">
        <v>86.38</v>
      </c>
      <c r="J1034" s="1">
        <v>45875</v>
      </c>
      <c r="K1034">
        <v>40</v>
      </c>
      <c r="L1034">
        <v>2.7</v>
      </c>
      <c r="M1034" t="b">
        <v>0</v>
      </c>
    </row>
    <row r="1035" spans="1:14" x14ac:dyDescent="0.25">
      <c r="A1035" t="s">
        <v>1088</v>
      </c>
      <c r="B1035" t="s">
        <v>21</v>
      </c>
      <c r="C1035" t="s">
        <v>32</v>
      </c>
      <c r="D1035" t="s">
        <v>62</v>
      </c>
      <c r="E1035" t="s">
        <v>49</v>
      </c>
      <c r="F1035" t="s">
        <v>70</v>
      </c>
      <c r="G1035">
        <v>47.29</v>
      </c>
      <c r="H1035">
        <v>40.4</v>
      </c>
      <c r="I1035">
        <v>28.18</v>
      </c>
      <c r="J1035" s="1">
        <v>45875</v>
      </c>
      <c r="K1035">
        <v>26</v>
      </c>
      <c r="L1035">
        <v>4.4000000000000004</v>
      </c>
      <c r="M1035" t="b">
        <v>0</v>
      </c>
    </row>
    <row r="1036" spans="1:14" x14ac:dyDescent="0.25">
      <c r="A1036" t="s">
        <v>1089</v>
      </c>
      <c r="B1036" t="s">
        <v>15</v>
      </c>
      <c r="C1036" t="s">
        <v>75</v>
      </c>
      <c r="D1036" t="s">
        <v>17</v>
      </c>
      <c r="E1036" t="s">
        <v>24</v>
      </c>
      <c r="F1036" t="s">
        <v>64</v>
      </c>
      <c r="G1036">
        <v>196.54</v>
      </c>
      <c r="H1036">
        <v>22.6</v>
      </c>
      <c r="I1036">
        <v>152.12</v>
      </c>
      <c r="J1036" s="1">
        <v>45789</v>
      </c>
      <c r="K1036">
        <v>33</v>
      </c>
      <c r="L1036">
        <v>1.4</v>
      </c>
      <c r="M1036" t="b">
        <v>0</v>
      </c>
    </row>
    <row r="1037" spans="1:14" x14ac:dyDescent="0.25">
      <c r="A1037" t="s">
        <v>1090</v>
      </c>
      <c r="B1037" t="s">
        <v>21</v>
      </c>
      <c r="C1037" t="s">
        <v>16</v>
      </c>
      <c r="D1037" t="s">
        <v>17</v>
      </c>
      <c r="E1037" t="s">
        <v>49</v>
      </c>
      <c r="F1037" t="s">
        <v>40</v>
      </c>
      <c r="G1037">
        <v>72.72</v>
      </c>
      <c r="H1037">
        <v>0</v>
      </c>
      <c r="I1037">
        <v>72.72</v>
      </c>
      <c r="J1037" s="1">
        <v>45688</v>
      </c>
      <c r="K1037">
        <v>23</v>
      </c>
      <c r="L1037">
        <v>1.6</v>
      </c>
      <c r="M1037" t="b">
        <v>0</v>
      </c>
    </row>
    <row r="1038" spans="1:14" x14ac:dyDescent="0.25">
      <c r="A1038" t="s">
        <v>1091</v>
      </c>
      <c r="B1038" t="s">
        <v>21</v>
      </c>
      <c r="C1038" t="s">
        <v>61</v>
      </c>
      <c r="D1038" t="s">
        <v>62</v>
      </c>
      <c r="E1038" t="s">
        <v>49</v>
      </c>
      <c r="F1038" t="s">
        <v>56</v>
      </c>
      <c r="G1038">
        <v>115.5</v>
      </c>
      <c r="H1038">
        <v>0</v>
      </c>
      <c r="I1038">
        <v>115.5</v>
      </c>
      <c r="J1038" s="1">
        <v>45875</v>
      </c>
      <c r="K1038">
        <v>36</v>
      </c>
      <c r="M1038" t="b">
        <v>1</v>
      </c>
      <c r="N1038" t="s">
        <v>83</v>
      </c>
    </row>
    <row r="1039" spans="1:14" x14ac:dyDescent="0.25">
      <c r="A1039" t="s">
        <v>1092</v>
      </c>
      <c r="B1039" t="s">
        <v>27</v>
      </c>
      <c r="C1039" t="s">
        <v>48</v>
      </c>
      <c r="D1039" t="s">
        <v>62</v>
      </c>
      <c r="F1039" t="s">
        <v>40</v>
      </c>
      <c r="G1039">
        <v>68.22</v>
      </c>
      <c r="H1039">
        <v>8.1</v>
      </c>
      <c r="I1039">
        <v>62.69</v>
      </c>
      <c r="J1039" s="1">
        <v>45875</v>
      </c>
      <c r="K1039">
        <v>28</v>
      </c>
      <c r="L1039">
        <v>4</v>
      </c>
      <c r="M1039" t="b">
        <v>0</v>
      </c>
    </row>
    <row r="1040" spans="1:14" x14ac:dyDescent="0.25">
      <c r="A1040" t="s">
        <v>1093</v>
      </c>
      <c r="B1040" t="s">
        <v>21</v>
      </c>
      <c r="C1040" t="s">
        <v>43</v>
      </c>
      <c r="D1040" t="s">
        <v>34</v>
      </c>
      <c r="E1040" t="s">
        <v>49</v>
      </c>
      <c r="F1040" t="s">
        <v>28</v>
      </c>
      <c r="G1040">
        <v>91.03</v>
      </c>
      <c r="H1040">
        <v>0</v>
      </c>
      <c r="I1040">
        <v>91.03</v>
      </c>
      <c r="J1040" s="1">
        <v>45875</v>
      </c>
      <c r="K1040">
        <v>20</v>
      </c>
      <c r="L1040">
        <v>2.1</v>
      </c>
      <c r="M1040" t="b">
        <v>0</v>
      </c>
    </row>
    <row r="1041" spans="1:14" x14ac:dyDescent="0.25">
      <c r="A1041" t="s">
        <v>1094</v>
      </c>
      <c r="B1041" t="s">
        <v>15</v>
      </c>
      <c r="C1041" t="s">
        <v>75</v>
      </c>
      <c r="D1041" t="s">
        <v>34</v>
      </c>
      <c r="E1041" t="s">
        <v>49</v>
      </c>
      <c r="F1041" t="s">
        <v>66</v>
      </c>
      <c r="G1041">
        <v>100.39</v>
      </c>
      <c r="H1041">
        <v>16.5</v>
      </c>
      <c r="I1041">
        <v>83.83</v>
      </c>
      <c r="J1041" s="1">
        <v>45875</v>
      </c>
      <c r="K1041">
        <v>17</v>
      </c>
      <c r="L1041">
        <v>4.5999999999999996</v>
      </c>
      <c r="M1041" t="b">
        <v>0</v>
      </c>
    </row>
    <row r="1042" spans="1:14" x14ac:dyDescent="0.25">
      <c r="A1042" t="s">
        <v>1095</v>
      </c>
      <c r="B1042" t="s">
        <v>21</v>
      </c>
      <c r="C1042" t="s">
        <v>61</v>
      </c>
      <c r="D1042" t="s">
        <v>34</v>
      </c>
      <c r="E1042" t="s">
        <v>55</v>
      </c>
      <c r="F1042" t="s">
        <v>64</v>
      </c>
      <c r="G1042">
        <v>100.03</v>
      </c>
      <c r="H1042">
        <v>0</v>
      </c>
      <c r="I1042">
        <v>100.03</v>
      </c>
      <c r="J1042" s="1">
        <v>45875</v>
      </c>
      <c r="K1042">
        <v>39</v>
      </c>
      <c r="L1042">
        <v>1.2</v>
      </c>
      <c r="M1042" t="b">
        <v>0</v>
      </c>
    </row>
    <row r="1043" spans="1:14" x14ac:dyDescent="0.25">
      <c r="A1043" t="s">
        <v>1096</v>
      </c>
      <c r="B1043" t="s">
        <v>27</v>
      </c>
      <c r="C1043" t="s">
        <v>61</v>
      </c>
      <c r="D1043" t="s">
        <v>17</v>
      </c>
      <c r="F1043" t="s">
        <v>35</v>
      </c>
      <c r="G1043">
        <v>50.14</v>
      </c>
      <c r="H1043">
        <v>29.2</v>
      </c>
      <c r="I1043">
        <v>35.5</v>
      </c>
      <c r="J1043" s="1">
        <v>45692</v>
      </c>
      <c r="K1043">
        <v>33</v>
      </c>
      <c r="L1043">
        <v>4.4000000000000004</v>
      </c>
      <c r="M1043" t="b">
        <v>0</v>
      </c>
    </row>
    <row r="1044" spans="1:14" x14ac:dyDescent="0.25">
      <c r="A1044" t="s">
        <v>1097</v>
      </c>
      <c r="B1044" t="s">
        <v>38</v>
      </c>
      <c r="C1044" t="s">
        <v>16</v>
      </c>
      <c r="D1044" t="s">
        <v>62</v>
      </c>
      <c r="E1044" t="s">
        <v>18</v>
      </c>
      <c r="F1044" t="s">
        <v>28</v>
      </c>
      <c r="G1044">
        <v>33.130000000000003</v>
      </c>
      <c r="H1044">
        <v>0</v>
      </c>
      <c r="I1044">
        <v>33.130000000000003</v>
      </c>
      <c r="J1044" s="1">
        <v>45875</v>
      </c>
      <c r="K1044">
        <v>41</v>
      </c>
      <c r="L1044">
        <v>3.3</v>
      </c>
      <c r="M1044" t="b">
        <v>0</v>
      </c>
    </row>
    <row r="1045" spans="1:14" x14ac:dyDescent="0.25">
      <c r="A1045" t="s">
        <v>1098</v>
      </c>
      <c r="B1045" t="s">
        <v>27</v>
      </c>
      <c r="C1045" t="s">
        <v>48</v>
      </c>
      <c r="D1045" t="s">
        <v>17</v>
      </c>
      <c r="F1045" t="s">
        <v>64</v>
      </c>
      <c r="G1045">
        <v>67.67</v>
      </c>
      <c r="H1045">
        <v>0</v>
      </c>
      <c r="I1045">
        <v>67.67</v>
      </c>
      <c r="J1045" s="1">
        <v>45560</v>
      </c>
      <c r="K1045">
        <v>7</v>
      </c>
      <c r="L1045">
        <v>3.3</v>
      </c>
      <c r="M1045" t="b">
        <v>0</v>
      </c>
    </row>
    <row r="1046" spans="1:14" x14ac:dyDescent="0.25">
      <c r="A1046" t="s">
        <v>1099</v>
      </c>
      <c r="B1046" t="s">
        <v>38</v>
      </c>
      <c r="C1046" t="s">
        <v>32</v>
      </c>
      <c r="D1046" t="s">
        <v>62</v>
      </c>
      <c r="E1046" t="s">
        <v>39</v>
      </c>
      <c r="F1046" t="s">
        <v>28</v>
      </c>
      <c r="G1046">
        <v>93.94</v>
      </c>
      <c r="H1046">
        <v>56.3</v>
      </c>
      <c r="I1046">
        <v>41.05</v>
      </c>
      <c r="J1046" s="1">
        <v>45875</v>
      </c>
      <c r="K1046">
        <v>36</v>
      </c>
      <c r="L1046">
        <v>1.1000000000000001</v>
      </c>
      <c r="M1046" t="b">
        <v>0</v>
      </c>
    </row>
    <row r="1047" spans="1:14" x14ac:dyDescent="0.25">
      <c r="A1047" t="s">
        <v>1100</v>
      </c>
      <c r="B1047" t="s">
        <v>21</v>
      </c>
      <c r="C1047" t="s">
        <v>32</v>
      </c>
      <c r="D1047" t="s">
        <v>34</v>
      </c>
      <c r="E1047" t="s">
        <v>55</v>
      </c>
      <c r="F1047" t="s">
        <v>28</v>
      </c>
      <c r="G1047">
        <v>34.56</v>
      </c>
      <c r="H1047">
        <v>11.2</v>
      </c>
      <c r="I1047">
        <v>30.69</v>
      </c>
      <c r="J1047" s="1">
        <v>45875</v>
      </c>
      <c r="K1047">
        <v>46</v>
      </c>
      <c r="L1047">
        <v>3.4</v>
      </c>
      <c r="M1047" t="b">
        <v>0</v>
      </c>
    </row>
    <row r="1048" spans="1:14" x14ac:dyDescent="0.25">
      <c r="A1048" t="s">
        <v>1101</v>
      </c>
      <c r="B1048" t="s">
        <v>15</v>
      </c>
      <c r="C1048" t="s">
        <v>53</v>
      </c>
      <c r="D1048" t="s">
        <v>62</v>
      </c>
      <c r="E1048" t="s">
        <v>58</v>
      </c>
      <c r="F1048" t="s">
        <v>28</v>
      </c>
      <c r="G1048">
        <v>235.33</v>
      </c>
      <c r="H1048">
        <v>0</v>
      </c>
      <c r="I1048">
        <v>235.33</v>
      </c>
      <c r="J1048" s="1">
        <v>45875</v>
      </c>
      <c r="K1048">
        <v>11</v>
      </c>
      <c r="L1048">
        <v>4.7</v>
      </c>
      <c r="M1048" t="b">
        <v>1</v>
      </c>
      <c r="N1048" t="s">
        <v>73</v>
      </c>
    </row>
    <row r="1049" spans="1:14" x14ac:dyDescent="0.25">
      <c r="A1049" t="s">
        <v>1102</v>
      </c>
      <c r="B1049" t="s">
        <v>21</v>
      </c>
      <c r="C1049" t="s">
        <v>22</v>
      </c>
      <c r="D1049" t="s">
        <v>17</v>
      </c>
      <c r="E1049" t="s">
        <v>55</v>
      </c>
      <c r="F1049" t="s">
        <v>19</v>
      </c>
      <c r="G1049">
        <v>25.45</v>
      </c>
      <c r="H1049">
        <v>0</v>
      </c>
      <c r="I1049">
        <v>25.45</v>
      </c>
      <c r="J1049" s="1">
        <v>45514</v>
      </c>
      <c r="K1049">
        <v>29</v>
      </c>
      <c r="L1049">
        <v>3.7</v>
      </c>
      <c r="M1049" t="b">
        <v>0</v>
      </c>
    </row>
    <row r="1050" spans="1:14" x14ac:dyDescent="0.25">
      <c r="A1050" t="s">
        <v>1103</v>
      </c>
      <c r="B1050" t="s">
        <v>21</v>
      </c>
      <c r="C1050" t="s">
        <v>61</v>
      </c>
      <c r="D1050" t="s">
        <v>23</v>
      </c>
      <c r="E1050" t="s">
        <v>18</v>
      </c>
      <c r="F1050" t="s">
        <v>40</v>
      </c>
      <c r="G1050">
        <v>71.44</v>
      </c>
      <c r="H1050">
        <v>0</v>
      </c>
      <c r="I1050">
        <v>71.44</v>
      </c>
      <c r="J1050" s="1">
        <v>45875</v>
      </c>
      <c r="K1050">
        <v>18</v>
      </c>
      <c r="L1050">
        <v>4.3</v>
      </c>
      <c r="M1050" t="b">
        <v>0</v>
      </c>
    </row>
    <row r="1051" spans="1:14" x14ac:dyDescent="0.25">
      <c r="A1051" t="s">
        <v>1104</v>
      </c>
      <c r="B1051" t="s">
        <v>42</v>
      </c>
      <c r="C1051" t="s">
        <v>32</v>
      </c>
      <c r="D1051" t="s">
        <v>62</v>
      </c>
      <c r="E1051" t="s">
        <v>18</v>
      </c>
      <c r="F1051" t="s">
        <v>35</v>
      </c>
      <c r="G1051">
        <v>98.33</v>
      </c>
      <c r="H1051">
        <v>0</v>
      </c>
      <c r="I1051">
        <v>98.33</v>
      </c>
      <c r="J1051" s="1">
        <v>45875</v>
      </c>
      <c r="K1051">
        <v>46</v>
      </c>
      <c r="L1051">
        <v>3.7</v>
      </c>
      <c r="M1051" t="b">
        <v>0</v>
      </c>
    </row>
    <row r="1052" spans="1:14" x14ac:dyDescent="0.25">
      <c r="A1052" t="s">
        <v>1105</v>
      </c>
      <c r="B1052" t="s">
        <v>42</v>
      </c>
      <c r="C1052" t="s">
        <v>75</v>
      </c>
      <c r="D1052" t="s">
        <v>17</v>
      </c>
      <c r="E1052" t="s">
        <v>39</v>
      </c>
      <c r="F1052" t="s">
        <v>44</v>
      </c>
      <c r="G1052">
        <v>171.1</v>
      </c>
      <c r="H1052">
        <v>0</v>
      </c>
      <c r="I1052">
        <v>171.1</v>
      </c>
      <c r="J1052" s="1">
        <v>45861</v>
      </c>
      <c r="K1052">
        <v>34</v>
      </c>
      <c r="M1052" t="b">
        <v>0</v>
      </c>
    </row>
    <row r="1053" spans="1:14" x14ac:dyDescent="0.25">
      <c r="A1053" t="s">
        <v>1106</v>
      </c>
      <c r="B1053" t="s">
        <v>42</v>
      </c>
      <c r="C1053" t="s">
        <v>75</v>
      </c>
      <c r="D1053" t="s">
        <v>23</v>
      </c>
      <c r="E1053" t="s">
        <v>55</v>
      </c>
      <c r="F1053" t="s">
        <v>35</v>
      </c>
      <c r="G1053">
        <v>155.57</v>
      </c>
      <c r="H1053">
        <v>0</v>
      </c>
      <c r="I1053">
        <v>155.57</v>
      </c>
      <c r="J1053" s="1">
        <v>45875</v>
      </c>
      <c r="K1053">
        <v>48</v>
      </c>
      <c r="L1053">
        <v>3.8</v>
      </c>
      <c r="M1053" t="b">
        <v>0</v>
      </c>
    </row>
    <row r="1054" spans="1:14" x14ac:dyDescent="0.25">
      <c r="A1054" t="s">
        <v>1107</v>
      </c>
      <c r="B1054" t="s">
        <v>15</v>
      </c>
      <c r="C1054" t="s">
        <v>43</v>
      </c>
      <c r="D1054" t="s">
        <v>34</v>
      </c>
      <c r="E1054" t="s">
        <v>24</v>
      </c>
      <c r="F1054" t="s">
        <v>46</v>
      </c>
      <c r="G1054">
        <v>198.44</v>
      </c>
      <c r="H1054">
        <v>0</v>
      </c>
      <c r="I1054">
        <v>198.44</v>
      </c>
      <c r="J1054" s="1">
        <v>45875</v>
      </c>
      <c r="K1054">
        <v>40</v>
      </c>
      <c r="L1054">
        <v>2.2000000000000002</v>
      </c>
      <c r="M1054" t="b">
        <v>0</v>
      </c>
    </row>
    <row r="1055" spans="1:14" x14ac:dyDescent="0.25">
      <c r="A1055" t="s">
        <v>1108</v>
      </c>
      <c r="B1055" t="s">
        <v>30</v>
      </c>
      <c r="C1055" t="s">
        <v>53</v>
      </c>
      <c r="D1055" t="s">
        <v>17</v>
      </c>
      <c r="E1055" t="s">
        <v>58</v>
      </c>
      <c r="F1055" t="s">
        <v>28</v>
      </c>
      <c r="G1055">
        <v>175.85</v>
      </c>
      <c r="H1055">
        <v>18.100000000000001</v>
      </c>
      <c r="I1055">
        <v>144.02000000000001</v>
      </c>
      <c r="J1055" s="1">
        <v>45686</v>
      </c>
      <c r="K1055">
        <v>4</v>
      </c>
      <c r="L1055">
        <v>4</v>
      </c>
      <c r="M1055" t="b">
        <v>0</v>
      </c>
    </row>
    <row r="1056" spans="1:14" x14ac:dyDescent="0.25">
      <c r="A1056" t="s">
        <v>1109</v>
      </c>
      <c r="B1056" t="s">
        <v>15</v>
      </c>
      <c r="C1056" t="s">
        <v>75</v>
      </c>
      <c r="D1056" t="s">
        <v>62</v>
      </c>
      <c r="E1056" t="s">
        <v>58</v>
      </c>
      <c r="F1056" t="s">
        <v>25</v>
      </c>
      <c r="G1056">
        <v>100.23</v>
      </c>
      <c r="H1056">
        <v>0</v>
      </c>
      <c r="I1056">
        <v>100.23</v>
      </c>
      <c r="J1056" s="1">
        <v>45875</v>
      </c>
      <c r="K1056">
        <v>12</v>
      </c>
      <c r="L1056">
        <v>3.5</v>
      </c>
      <c r="M1056" t="b">
        <v>0</v>
      </c>
    </row>
    <row r="1057" spans="1:14" x14ac:dyDescent="0.25">
      <c r="A1057" t="s">
        <v>1110</v>
      </c>
      <c r="B1057" t="s">
        <v>15</v>
      </c>
      <c r="C1057" t="s">
        <v>16</v>
      </c>
      <c r="D1057" t="s">
        <v>23</v>
      </c>
      <c r="E1057" t="s">
        <v>49</v>
      </c>
      <c r="F1057" t="s">
        <v>56</v>
      </c>
      <c r="G1057">
        <v>88.94</v>
      </c>
      <c r="H1057">
        <v>0</v>
      </c>
      <c r="I1057">
        <v>88.94</v>
      </c>
      <c r="J1057" s="1">
        <v>45875</v>
      </c>
      <c r="K1057">
        <v>36</v>
      </c>
      <c r="M1057" t="b">
        <v>0</v>
      </c>
    </row>
    <row r="1058" spans="1:14" x14ac:dyDescent="0.25">
      <c r="A1058" t="s">
        <v>1111</v>
      </c>
      <c r="B1058" t="s">
        <v>15</v>
      </c>
      <c r="C1058" t="s">
        <v>48</v>
      </c>
      <c r="D1058" t="s">
        <v>34</v>
      </c>
      <c r="E1058" t="s">
        <v>49</v>
      </c>
      <c r="F1058" t="s">
        <v>64</v>
      </c>
      <c r="G1058">
        <v>205.91</v>
      </c>
      <c r="H1058">
        <v>0</v>
      </c>
      <c r="I1058">
        <v>205.91</v>
      </c>
      <c r="J1058" s="1">
        <v>45875</v>
      </c>
      <c r="K1058">
        <v>3</v>
      </c>
      <c r="L1058">
        <v>4.8</v>
      </c>
      <c r="M1058" t="b">
        <v>0</v>
      </c>
    </row>
    <row r="1059" spans="1:14" x14ac:dyDescent="0.25">
      <c r="A1059" t="s">
        <v>1112</v>
      </c>
      <c r="B1059" t="s">
        <v>27</v>
      </c>
      <c r="C1059" t="s">
        <v>22</v>
      </c>
      <c r="D1059" t="s">
        <v>34</v>
      </c>
      <c r="F1059" t="s">
        <v>25</v>
      </c>
      <c r="G1059">
        <v>29.06</v>
      </c>
      <c r="H1059">
        <v>1.1000000000000001</v>
      </c>
      <c r="I1059">
        <v>28.74</v>
      </c>
      <c r="J1059" s="1">
        <v>45875</v>
      </c>
      <c r="K1059">
        <v>12</v>
      </c>
      <c r="L1059">
        <v>1.1000000000000001</v>
      </c>
      <c r="M1059" t="b">
        <v>1</v>
      </c>
      <c r="N1059" t="s">
        <v>36</v>
      </c>
    </row>
    <row r="1060" spans="1:14" x14ac:dyDescent="0.25">
      <c r="A1060" t="s">
        <v>1113</v>
      </c>
      <c r="B1060" t="s">
        <v>27</v>
      </c>
      <c r="C1060" t="s">
        <v>61</v>
      </c>
      <c r="D1060" t="s">
        <v>62</v>
      </c>
      <c r="F1060" t="s">
        <v>70</v>
      </c>
      <c r="G1060">
        <v>68.56</v>
      </c>
      <c r="H1060">
        <v>0</v>
      </c>
      <c r="I1060">
        <v>68.56</v>
      </c>
      <c r="J1060" s="1">
        <v>45875</v>
      </c>
      <c r="K1060">
        <v>2</v>
      </c>
      <c r="L1060">
        <v>2.4</v>
      </c>
      <c r="M1060" t="b">
        <v>0</v>
      </c>
    </row>
    <row r="1061" spans="1:14" x14ac:dyDescent="0.25">
      <c r="A1061" t="s">
        <v>1114</v>
      </c>
      <c r="B1061" t="s">
        <v>21</v>
      </c>
      <c r="C1061" t="s">
        <v>75</v>
      </c>
      <c r="D1061" t="s">
        <v>62</v>
      </c>
      <c r="E1061" t="s">
        <v>24</v>
      </c>
      <c r="F1061" t="s">
        <v>66</v>
      </c>
      <c r="G1061">
        <v>91.6</v>
      </c>
      <c r="H1061">
        <v>59.5</v>
      </c>
      <c r="I1061">
        <v>37.1</v>
      </c>
      <c r="J1061" s="1">
        <v>45875</v>
      </c>
      <c r="K1061">
        <v>2</v>
      </c>
      <c r="L1061">
        <v>4.3</v>
      </c>
      <c r="M1061" t="b">
        <v>0</v>
      </c>
    </row>
    <row r="1062" spans="1:14" x14ac:dyDescent="0.25">
      <c r="A1062" t="s">
        <v>1115</v>
      </c>
      <c r="B1062" t="s">
        <v>42</v>
      </c>
      <c r="C1062" t="s">
        <v>48</v>
      </c>
      <c r="D1062" t="s">
        <v>62</v>
      </c>
      <c r="E1062" t="s">
        <v>55</v>
      </c>
      <c r="F1062" t="s">
        <v>28</v>
      </c>
      <c r="G1062">
        <v>96.57</v>
      </c>
      <c r="H1062">
        <v>0</v>
      </c>
      <c r="I1062">
        <v>96.57</v>
      </c>
      <c r="J1062" s="1">
        <v>45875</v>
      </c>
      <c r="K1062">
        <v>6</v>
      </c>
      <c r="L1062">
        <v>1.9</v>
      </c>
      <c r="M1062" t="b">
        <v>0</v>
      </c>
    </row>
    <row r="1063" spans="1:14" x14ac:dyDescent="0.25">
      <c r="A1063" t="s">
        <v>1116</v>
      </c>
      <c r="B1063" t="s">
        <v>38</v>
      </c>
      <c r="C1063" t="s">
        <v>48</v>
      </c>
      <c r="D1063" t="s">
        <v>23</v>
      </c>
      <c r="E1063" t="s">
        <v>39</v>
      </c>
      <c r="F1063" t="s">
        <v>25</v>
      </c>
      <c r="G1063">
        <v>35.630000000000003</v>
      </c>
      <c r="H1063">
        <v>57.9</v>
      </c>
      <c r="I1063">
        <v>15</v>
      </c>
      <c r="J1063" s="1">
        <v>45875</v>
      </c>
      <c r="K1063">
        <v>11</v>
      </c>
      <c r="L1063">
        <v>1.8</v>
      </c>
      <c r="M1063" t="b">
        <v>0</v>
      </c>
    </row>
    <row r="1064" spans="1:14" x14ac:dyDescent="0.25">
      <c r="A1064" t="s">
        <v>1117</v>
      </c>
      <c r="B1064" t="s">
        <v>30</v>
      </c>
      <c r="C1064" t="s">
        <v>22</v>
      </c>
      <c r="D1064" t="s">
        <v>23</v>
      </c>
      <c r="E1064" t="s">
        <v>55</v>
      </c>
      <c r="F1064" t="s">
        <v>46</v>
      </c>
      <c r="G1064">
        <v>118.98</v>
      </c>
      <c r="H1064">
        <v>38.1</v>
      </c>
      <c r="I1064">
        <v>73.650000000000006</v>
      </c>
      <c r="J1064" s="1">
        <v>45875</v>
      </c>
      <c r="K1064">
        <v>36</v>
      </c>
      <c r="L1064">
        <v>1.1000000000000001</v>
      </c>
      <c r="M1064" t="b">
        <v>1</v>
      </c>
      <c r="N1064" t="s">
        <v>36</v>
      </c>
    </row>
    <row r="1065" spans="1:14" x14ac:dyDescent="0.25">
      <c r="A1065" t="s">
        <v>1118</v>
      </c>
      <c r="B1065" t="s">
        <v>30</v>
      </c>
      <c r="C1065" t="s">
        <v>48</v>
      </c>
      <c r="D1065" t="s">
        <v>17</v>
      </c>
      <c r="E1065" t="s">
        <v>18</v>
      </c>
      <c r="F1065" t="s">
        <v>19</v>
      </c>
      <c r="G1065">
        <v>62.62</v>
      </c>
      <c r="H1065">
        <v>10.1</v>
      </c>
      <c r="I1065">
        <v>56.3</v>
      </c>
      <c r="J1065" s="1">
        <v>45762</v>
      </c>
      <c r="K1065">
        <v>32</v>
      </c>
      <c r="L1065">
        <v>2.9</v>
      </c>
      <c r="M1065" t="b">
        <v>0</v>
      </c>
    </row>
    <row r="1066" spans="1:14" x14ac:dyDescent="0.25">
      <c r="A1066" t="s">
        <v>1119</v>
      </c>
      <c r="B1066" t="s">
        <v>30</v>
      </c>
      <c r="C1066" t="s">
        <v>75</v>
      </c>
      <c r="D1066" t="s">
        <v>62</v>
      </c>
      <c r="E1066" t="s">
        <v>58</v>
      </c>
      <c r="F1066" t="s">
        <v>70</v>
      </c>
      <c r="G1066">
        <v>153.34</v>
      </c>
      <c r="H1066">
        <v>55.5</v>
      </c>
      <c r="I1066">
        <v>68.239999999999995</v>
      </c>
      <c r="J1066" s="1">
        <v>45875</v>
      </c>
      <c r="K1066">
        <v>46</v>
      </c>
      <c r="L1066">
        <v>4.2</v>
      </c>
      <c r="M1066" t="b">
        <v>1</v>
      </c>
      <c r="N1066" t="s">
        <v>125</v>
      </c>
    </row>
    <row r="1067" spans="1:14" x14ac:dyDescent="0.25">
      <c r="A1067" t="s">
        <v>1120</v>
      </c>
      <c r="B1067" t="s">
        <v>21</v>
      </c>
      <c r="C1067" t="s">
        <v>53</v>
      </c>
      <c r="D1067" t="s">
        <v>62</v>
      </c>
      <c r="E1067" t="s">
        <v>24</v>
      </c>
      <c r="F1067" t="s">
        <v>46</v>
      </c>
      <c r="G1067">
        <v>71.66</v>
      </c>
      <c r="H1067">
        <v>49.7</v>
      </c>
      <c r="I1067">
        <v>36.04</v>
      </c>
      <c r="J1067" s="1">
        <v>45875</v>
      </c>
      <c r="K1067">
        <v>33</v>
      </c>
      <c r="M1067" t="b">
        <v>1</v>
      </c>
      <c r="N1067" t="s">
        <v>36</v>
      </c>
    </row>
    <row r="1068" spans="1:14" x14ac:dyDescent="0.25">
      <c r="A1068" t="s">
        <v>1121</v>
      </c>
      <c r="B1068" t="s">
        <v>42</v>
      </c>
      <c r="C1068" t="s">
        <v>53</v>
      </c>
      <c r="D1068" t="s">
        <v>17</v>
      </c>
      <c r="E1068" t="s">
        <v>39</v>
      </c>
      <c r="F1068" t="s">
        <v>28</v>
      </c>
      <c r="G1068">
        <v>107.58</v>
      </c>
      <c r="H1068">
        <v>55.9</v>
      </c>
      <c r="I1068">
        <v>47.44</v>
      </c>
      <c r="J1068" s="1">
        <v>45703</v>
      </c>
      <c r="K1068">
        <v>19</v>
      </c>
      <c r="L1068">
        <v>4.4000000000000004</v>
      </c>
      <c r="M1068" t="b">
        <v>0</v>
      </c>
    </row>
    <row r="1069" spans="1:14" x14ac:dyDescent="0.25">
      <c r="A1069" t="s">
        <v>1122</v>
      </c>
      <c r="B1069" t="s">
        <v>30</v>
      </c>
      <c r="C1069" t="s">
        <v>16</v>
      </c>
      <c r="D1069" t="s">
        <v>17</v>
      </c>
      <c r="E1069" t="s">
        <v>18</v>
      </c>
      <c r="F1069" t="s">
        <v>44</v>
      </c>
      <c r="G1069">
        <v>137.16</v>
      </c>
      <c r="H1069">
        <v>0</v>
      </c>
      <c r="I1069">
        <v>137.16</v>
      </c>
      <c r="J1069" s="1">
        <v>45749</v>
      </c>
      <c r="K1069">
        <v>34</v>
      </c>
      <c r="L1069">
        <v>4</v>
      </c>
      <c r="M1069" t="b">
        <v>0</v>
      </c>
    </row>
    <row r="1070" spans="1:14" x14ac:dyDescent="0.25">
      <c r="A1070" t="s">
        <v>1123</v>
      </c>
      <c r="B1070" t="s">
        <v>21</v>
      </c>
      <c r="C1070" t="s">
        <v>32</v>
      </c>
      <c r="D1070" t="s">
        <v>23</v>
      </c>
      <c r="E1070" t="s">
        <v>58</v>
      </c>
      <c r="F1070" t="s">
        <v>35</v>
      </c>
      <c r="G1070">
        <v>119.29</v>
      </c>
      <c r="H1070">
        <v>0</v>
      </c>
      <c r="I1070">
        <v>119.29</v>
      </c>
      <c r="J1070" s="1">
        <v>45875</v>
      </c>
      <c r="K1070">
        <v>3</v>
      </c>
      <c r="M1070" t="b">
        <v>0</v>
      </c>
    </row>
    <row r="1071" spans="1:14" x14ac:dyDescent="0.25">
      <c r="A1071" t="s">
        <v>1124</v>
      </c>
      <c r="B1071" t="s">
        <v>21</v>
      </c>
      <c r="C1071" t="s">
        <v>43</v>
      </c>
      <c r="D1071" t="s">
        <v>17</v>
      </c>
      <c r="E1071" t="s">
        <v>58</v>
      </c>
      <c r="F1071" t="s">
        <v>64</v>
      </c>
      <c r="G1071">
        <v>104.09</v>
      </c>
      <c r="H1071">
        <v>0</v>
      </c>
      <c r="I1071">
        <v>104.09</v>
      </c>
      <c r="J1071" s="1">
        <v>45647</v>
      </c>
      <c r="K1071">
        <v>29</v>
      </c>
      <c r="M1071" t="b">
        <v>0</v>
      </c>
    </row>
    <row r="1072" spans="1:14" x14ac:dyDescent="0.25">
      <c r="A1072" t="s">
        <v>1125</v>
      </c>
      <c r="B1072" t="s">
        <v>42</v>
      </c>
      <c r="C1072" t="s">
        <v>32</v>
      </c>
      <c r="D1072" t="s">
        <v>34</v>
      </c>
      <c r="F1072" t="s">
        <v>25</v>
      </c>
      <c r="G1072">
        <v>73.069999999999993</v>
      </c>
      <c r="H1072">
        <v>0</v>
      </c>
      <c r="I1072">
        <v>73.069999999999993</v>
      </c>
      <c r="J1072" s="1">
        <v>45875</v>
      </c>
      <c r="K1072">
        <v>5</v>
      </c>
      <c r="L1072">
        <v>4.2</v>
      </c>
      <c r="M1072" t="b">
        <v>0</v>
      </c>
    </row>
    <row r="1073" spans="1:14" x14ac:dyDescent="0.25">
      <c r="A1073" t="s">
        <v>1126</v>
      </c>
      <c r="B1073" t="s">
        <v>38</v>
      </c>
      <c r="C1073" t="s">
        <v>16</v>
      </c>
      <c r="D1073" t="s">
        <v>34</v>
      </c>
      <c r="E1073" t="s">
        <v>49</v>
      </c>
      <c r="F1073" t="s">
        <v>46</v>
      </c>
      <c r="G1073">
        <v>76.94</v>
      </c>
      <c r="H1073">
        <v>7.6</v>
      </c>
      <c r="I1073">
        <v>71.09</v>
      </c>
      <c r="J1073" s="1">
        <v>45875</v>
      </c>
      <c r="K1073">
        <v>20</v>
      </c>
      <c r="L1073">
        <v>3.7</v>
      </c>
      <c r="M1073" t="b">
        <v>0</v>
      </c>
    </row>
    <row r="1074" spans="1:14" x14ac:dyDescent="0.25">
      <c r="A1074" t="s">
        <v>1127</v>
      </c>
      <c r="B1074" t="s">
        <v>38</v>
      </c>
      <c r="C1074" t="s">
        <v>75</v>
      </c>
      <c r="D1074" t="s">
        <v>23</v>
      </c>
      <c r="E1074" t="s">
        <v>18</v>
      </c>
      <c r="F1074" t="s">
        <v>56</v>
      </c>
      <c r="G1074">
        <v>119.92</v>
      </c>
      <c r="H1074">
        <v>0</v>
      </c>
      <c r="I1074">
        <v>119.92</v>
      </c>
      <c r="J1074" s="1">
        <v>45875</v>
      </c>
      <c r="K1074">
        <v>37</v>
      </c>
      <c r="L1074">
        <v>5</v>
      </c>
      <c r="M1074" t="b">
        <v>0</v>
      </c>
    </row>
    <row r="1075" spans="1:14" x14ac:dyDescent="0.25">
      <c r="A1075" t="s">
        <v>1128</v>
      </c>
      <c r="B1075" t="s">
        <v>15</v>
      </c>
      <c r="C1075" t="s">
        <v>53</v>
      </c>
      <c r="D1075" t="s">
        <v>23</v>
      </c>
      <c r="E1075" t="s">
        <v>55</v>
      </c>
      <c r="F1075" t="s">
        <v>35</v>
      </c>
      <c r="G1075">
        <v>116.49</v>
      </c>
      <c r="H1075">
        <v>0</v>
      </c>
      <c r="I1075">
        <v>116.49</v>
      </c>
      <c r="J1075" s="1">
        <v>45875</v>
      </c>
      <c r="K1075">
        <v>17</v>
      </c>
      <c r="L1075">
        <v>3.3</v>
      </c>
      <c r="M1075" t="b">
        <v>1</v>
      </c>
      <c r="N1075" t="s">
        <v>78</v>
      </c>
    </row>
    <row r="1076" spans="1:14" x14ac:dyDescent="0.25">
      <c r="A1076" t="s">
        <v>1129</v>
      </c>
      <c r="B1076" t="s">
        <v>30</v>
      </c>
      <c r="C1076" t="s">
        <v>61</v>
      </c>
      <c r="D1076" t="s">
        <v>34</v>
      </c>
      <c r="E1076" t="s">
        <v>18</v>
      </c>
      <c r="F1076" t="s">
        <v>25</v>
      </c>
      <c r="G1076">
        <v>179.59</v>
      </c>
      <c r="H1076">
        <v>14.7</v>
      </c>
      <c r="I1076">
        <v>153.19</v>
      </c>
      <c r="J1076" s="1">
        <v>45875</v>
      </c>
      <c r="K1076">
        <v>47</v>
      </c>
      <c r="L1076">
        <v>2.9</v>
      </c>
      <c r="M1076" t="b">
        <v>0</v>
      </c>
    </row>
    <row r="1077" spans="1:14" x14ac:dyDescent="0.25">
      <c r="A1077" t="s">
        <v>1130</v>
      </c>
      <c r="B1077" t="s">
        <v>27</v>
      </c>
      <c r="C1077" t="s">
        <v>22</v>
      </c>
      <c r="D1077" t="s">
        <v>23</v>
      </c>
      <c r="F1077" t="s">
        <v>28</v>
      </c>
      <c r="G1077">
        <v>33.799999999999997</v>
      </c>
      <c r="H1077">
        <v>0</v>
      </c>
      <c r="I1077">
        <v>33.799999999999997</v>
      </c>
      <c r="J1077" s="1">
        <v>45875</v>
      </c>
      <c r="K1077">
        <v>34</v>
      </c>
      <c r="L1077">
        <v>4.8</v>
      </c>
      <c r="M1077" t="b">
        <v>0</v>
      </c>
    </row>
    <row r="1078" spans="1:14" x14ac:dyDescent="0.25">
      <c r="A1078" t="s">
        <v>1131</v>
      </c>
      <c r="B1078" t="s">
        <v>21</v>
      </c>
      <c r="C1078" t="s">
        <v>22</v>
      </c>
      <c r="D1078" t="s">
        <v>34</v>
      </c>
      <c r="E1078" t="s">
        <v>24</v>
      </c>
      <c r="F1078" t="s">
        <v>56</v>
      </c>
      <c r="G1078">
        <v>41.57</v>
      </c>
      <c r="H1078">
        <v>3.3</v>
      </c>
      <c r="I1078">
        <v>40.200000000000003</v>
      </c>
      <c r="J1078" s="1">
        <v>45875</v>
      </c>
      <c r="K1078">
        <v>5</v>
      </c>
      <c r="L1078">
        <v>2.9</v>
      </c>
      <c r="M1078" t="b">
        <v>0</v>
      </c>
    </row>
    <row r="1079" spans="1:14" x14ac:dyDescent="0.25">
      <c r="A1079" t="s">
        <v>1132</v>
      </c>
      <c r="B1079" t="s">
        <v>30</v>
      </c>
      <c r="C1079" t="s">
        <v>75</v>
      </c>
      <c r="D1079" t="s">
        <v>17</v>
      </c>
      <c r="E1079" t="s">
        <v>18</v>
      </c>
      <c r="F1079" t="s">
        <v>66</v>
      </c>
      <c r="G1079">
        <v>139.1</v>
      </c>
      <c r="H1079">
        <v>47</v>
      </c>
      <c r="I1079">
        <v>73.72</v>
      </c>
      <c r="J1079" s="1">
        <v>45661</v>
      </c>
      <c r="K1079">
        <v>6</v>
      </c>
      <c r="L1079">
        <v>3.4</v>
      </c>
      <c r="M1079" t="b">
        <v>0</v>
      </c>
    </row>
    <row r="1080" spans="1:14" x14ac:dyDescent="0.25">
      <c r="A1080" t="s">
        <v>1133</v>
      </c>
      <c r="B1080" t="s">
        <v>42</v>
      </c>
      <c r="C1080" t="s">
        <v>43</v>
      </c>
      <c r="D1080" t="s">
        <v>34</v>
      </c>
      <c r="E1080" t="s">
        <v>24</v>
      </c>
      <c r="F1080" t="s">
        <v>25</v>
      </c>
      <c r="G1080">
        <v>102.04</v>
      </c>
      <c r="H1080">
        <v>0</v>
      </c>
      <c r="I1080">
        <v>102.04</v>
      </c>
      <c r="J1080" s="1">
        <v>45875</v>
      </c>
      <c r="K1080">
        <v>34</v>
      </c>
      <c r="L1080">
        <v>3.4</v>
      </c>
      <c r="M1080" t="b">
        <v>0</v>
      </c>
    </row>
    <row r="1081" spans="1:14" x14ac:dyDescent="0.25">
      <c r="A1081" t="s">
        <v>1134</v>
      </c>
      <c r="B1081" t="s">
        <v>38</v>
      </c>
      <c r="C1081" t="s">
        <v>61</v>
      </c>
      <c r="D1081" t="s">
        <v>34</v>
      </c>
      <c r="E1081" t="s">
        <v>49</v>
      </c>
      <c r="F1081" t="s">
        <v>64</v>
      </c>
      <c r="G1081">
        <v>47.25</v>
      </c>
      <c r="H1081">
        <v>54.2</v>
      </c>
      <c r="I1081">
        <v>21.64</v>
      </c>
      <c r="J1081" s="1">
        <v>45875</v>
      </c>
      <c r="K1081">
        <v>4</v>
      </c>
      <c r="L1081">
        <v>4.9000000000000004</v>
      </c>
      <c r="M1081" t="b">
        <v>0</v>
      </c>
    </row>
    <row r="1082" spans="1:14" x14ac:dyDescent="0.25">
      <c r="A1082" t="s">
        <v>1135</v>
      </c>
      <c r="B1082" t="s">
        <v>42</v>
      </c>
      <c r="C1082" t="s">
        <v>22</v>
      </c>
      <c r="D1082" t="s">
        <v>62</v>
      </c>
      <c r="E1082" t="s">
        <v>55</v>
      </c>
      <c r="F1082" t="s">
        <v>35</v>
      </c>
      <c r="G1082">
        <v>55.08</v>
      </c>
      <c r="H1082">
        <v>0</v>
      </c>
      <c r="I1082">
        <v>55.08</v>
      </c>
      <c r="J1082" s="1">
        <v>45875</v>
      </c>
      <c r="K1082">
        <v>48</v>
      </c>
      <c r="L1082">
        <v>4.0999999999999996</v>
      </c>
      <c r="M1082" t="b">
        <v>0</v>
      </c>
    </row>
    <row r="1083" spans="1:14" x14ac:dyDescent="0.25">
      <c r="A1083" t="s">
        <v>1136</v>
      </c>
      <c r="B1083" t="s">
        <v>15</v>
      </c>
      <c r="C1083" t="s">
        <v>75</v>
      </c>
      <c r="D1083" t="s">
        <v>23</v>
      </c>
      <c r="E1083" t="s">
        <v>24</v>
      </c>
      <c r="F1083" t="s">
        <v>46</v>
      </c>
      <c r="G1083">
        <v>88.32</v>
      </c>
      <c r="H1083">
        <v>54.8</v>
      </c>
      <c r="I1083">
        <v>39.92</v>
      </c>
      <c r="J1083" s="1">
        <v>45875</v>
      </c>
      <c r="K1083">
        <v>36</v>
      </c>
      <c r="L1083">
        <v>3.1</v>
      </c>
      <c r="M1083" t="b">
        <v>0</v>
      </c>
    </row>
    <row r="1084" spans="1:14" x14ac:dyDescent="0.25">
      <c r="A1084" t="s">
        <v>1137</v>
      </c>
      <c r="B1084" t="s">
        <v>38</v>
      </c>
      <c r="C1084" t="s">
        <v>43</v>
      </c>
      <c r="D1084" t="s">
        <v>34</v>
      </c>
      <c r="E1084" t="s">
        <v>58</v>
      </c>
      <c r="F1084" t="s">
        <v>19</v>
      </c>
      <c r="G1084">
        <v>74.900000000000006</v>
      </c>
      <c r="H1084">
        <v>16.8</v>
      </c>
      <c r="I1084">
        <v>62.32</v>
      </c>
      <c r="J1084" s="1">
        <v>45875</v>
      </c>
      <c r="K1084">
        <v>13</v>
      </c>
      <c r="M1084" t="b">
        <v>1</v>
      </c>
      <c r="N1084" t="s">
        <v>36</v>
      </c>
    </row>
    <row r="1085" spans="1:14" x14ac:dyDescent="0.25">
      <c r="A1085" t="s">
        <v>1138</v>
      </c>
      <c r="B1085" t="s">
        <v>38</v>
      </c>
      <c r="C1085" t="s">
        <v>43</v>
      </c>
      <c r="D1085" t="s">
        <v>23</v>
      </c>
      <c r="E1085" t="s">
        <v>58</v>
      </c>
      <c r="F1085" t="s">
        <v>35</v>
      </c>
      <c r="G1085">
        <v>69.88</v>
      </c>
      <c r="H1085">
        <v>57.4</v>
      </c>
      <c r="I1085">
        <v>29.77</v>
      </c>
      <c r="J1085" s="1">
        <v>45875</v>
      </c>
      <c r="K1085">
        <v>30</v>
      </c>
      <c r="L1085">
        <v>4.2</v>
      </c>
      <c r="M1085" t="b">
        <v>0</v>
      </c>
    </row>
    <row r="1086" spans="1:14" x14ac:dyDescent="0.25">
      <c r="A1086" t="s">
        <v>1139</v>
      </c>
      <c r="B1086" t="s">
        <v>30</v>
      </c>
      <c r="C1086" t="s">
        <v>22</v>
      </c>
      <c r="D1086" t="s">
        <v>34</v>
      </c>
      <c r="E1086" t="s">
        <v>39</v>
      </c>
      <c r="F1086" t="s">
        <v>40</v>
      </c>
      <c r="G1086">
        <v>142.83000000000001</v>
      </c>
      <c r="H1086">
        <v>0</v>
      </c>
      <c r="I1086">
        <v>142.83000000000001</v>
      </c>
      <c r="J1086" s="1">
        <v>45875</v>
      </c>
      <c r="K1086">
        <v>25</v>
      </c>
      <c r="L1086">
        <v>3.5</v>
      </c>
      <c r="M1086" t="b">
        <v>0</v>
      </c>
    </row>
    <row r="1087" spans="1:14" x14ac:dyDescent="0.25">
      <c r="A1087" t="s">
        <v>1140</v>
      </c>
      <c r="B1087" t="s">
        <v>30</v>
      </c>
      <c r="C1087" t="s">
        <v>16</v>
      </c>
      <c r="D1087" t="s">
        <v>34</v>
      </c>
      <c r="F1087" t="s">
        <v>66</v>
      </c>
      <c r="G1087">
        <v>140.16999999999999</v>
      </c>
      <c r="H1087">
        <v>0</v>
      </c>
      <c r="I1087">
        <v>140.16999999999999</v>
      </c>
      <c r="J1087" s="1">
        <v>45875</v>
      </c>
      <c r="K1087">
        <v>43</v>
      </c>
      <c r="L1087">
        <v>3.1</v>
      </c>
      <c r="M1087" t="b">
        <v>0</v>
      </c>
    </row>
    <row r="1088" spans="1:14" x14ac:dyDescent="0.25">
      <c r="A1088" t="s">
        <v>1141</v>
      </c>
      <c r="B1088" t="s">
        <v>21</v>
      </c>
      <c r="C1088" t="s">
        <v>61</v>
      </c>
      <c r="D1088" t="s">
        <v>23</v>
      </c>
      <c r="E1088" t="s">
        <v>58</v>
      </c>
      <c r="F1088" t="s">
        <v>70</v>
      </c>
      <c r="G1088">
        <v>106.11</v>
      </c>
      <c r="H1088">
        <v>33.799999999999997</v>
      </c>
      <c r="I1088">
        <v>70.239999999999995</v>
      </c>
      <c r="J1088" s="1">
        <v>45875</v>
      </c>
      <c r="K1088">
        <v>15</v>
      </c>
      <c r="L1088">
        <v>4.5</v>
      </c>
      <c r="M1088" t="b">
        <v>0</v>
      </c>
    </row>
    <row r="1089" spans="1:14" x14ac:dyDescent="0.25">
      <c r="A1089" t="s">
        <v>1142</v>
      </c>
      <c r="B1089" t="s">
        <v>42</v>
      </c>
      <c r="C1089" t="s">
        <v>48</v>
      </c>
      <c r="D1089" t="s">
        <v>62</v>
      </c>
      <c r="E1089" t="s">
        <v>55</v>
      </c>
      <c r="F1089" t="s">
        <v>25</v>
      </c>
      <c r="G1089">
        <v>53.23</v>
      </c>
      <c r="H1089">
        <v>0</v>
      </c>
      <c r="I1089">
        <v>53.23</v>
      </c>
      <c r="J1089" s="1">
        <v>45875</v>
      </c>
      <c r="K1089">
        <v>41</v>
      </c>
      <c r="L1089">
        <v>2.8</v>
      </c>
      <c r="M1089" t="b">
        <v>1</v>
      </c>
      <c r="N1089" t="s">
        <v>36</v>
      </c>
    </row>
    <row r="1090" spans="1:14" x14ac:dyDescent="0.25">
      <c r="A1090" t="s">
        <v>1143</v>
      </c>
      <c r="B1090" t="s">
        <v>15</v>
      </c>
      <c r="C1090" t="s">
        <v>32</v>
      </c>
      <c r="D1090" t="s">
        <v>17</v>
      </c>
      <c r="E1090" t="s">
        <v>49</v>
      </c>
      <c r="F1090" t="s">
        <v>28</v>
      </c>
      <c r="G1090">
        <v>92.25</v>
      </c>
      <c r="H1090">
        <v>0</v>
      </c>
      <c r="I1090">
        <v>92.25</v>
      </c>
      <c r="J1090" s="1">
        <v>45805</v>
      </c>
      <c r="K1090">
        <v>22</v>
      </c>
      <c r="L1090">
        <v>3.3</v>
      </c>
      <c r="M1090" t="b">
        <v>1</v>
      </c>
      <c r="N1090" t="s">
        <v>125</v>
      </c>
    </row>
    <row r="1091" spans="1:14" x14ac:dyDescent="0.25">
      <c r="A1091" t="s">
        <v>1144</v>
      </c>
      <c r="B1091" t="s">
        <v>27</v>
      </c>
      <c r="C1091" t="s">
        <v>53</v>
      </c>
      <c r="D1091" t="s">
        <v>62</v>
      </c>
      <c r="F1091" t="s">
        <v>70</v>
      </c>
      <c r="G1091">
        <v>39.17</v>
      </c>
      <c r="H1091">
        <v>0</v>
      </c>
      <c r="I1091">
        <v>39.17</v>
      </c>
      <c r="J1091" s="1">
        <v>45875</v>
      </c>
      <c r="K1091">
        <v>4</v>
      </c>
      <c r="L1091">
        <v>3.5</v>
      </c>
      <c r="M1091" t="b">
        <v>1</v>
      </c>
      <c r="N1091" t="s">
        <v>36</v>
      </c>
    </row>
    <row r="1092" spans="1:14" x14ac:dyDescent="0.25">
      <c r="A1092" t="s">
        <v>1145</v>
      </c>
      <c r="B1092" t="s">
        <v>27</v>
      </c>
      <c r="C1092" t="s">
        <v>61</v>
      </c>
      <c r="D1092" t="s">
        <v>17</v>
      </c>
      <c r="F1092" t="s">
        <v>35</v>
      </c>
      <c r="G1092">
        <v>72.83</v>
      </c>
      <c r="H1092">
        <v>0</v>
      </c>
      <c r="I1092">
        <v>72.83</v>
      </c>
      <c r="J1092" s="1">
        <v>45622</v>
      </c>
      <c r="K1092">
        <v>6</v>
      </c>
      <c r="L1092">
        <v>2</v>
      </c>
      <c r="M1092" t="b">
        <v>0</v>
      </c>
    </row>
    <row r="1093" spans="1:14" x14ac:dyDescent="0.25">
      <c r="A1093" t="s">
        <v>1146</v>
      </c>
      <c r="B1093" t="s">
        <v>38</v>
      </c>
      <c r="C1093" t="s">
        <v>75</v>
      </c>
      <c r="D1093" t="s">
        <v>23</v>
      </c>
      <c r="E1093" t="s">
        <v>39</v>
      </c>
      <c r="F1093" t="s">
        <v>70</v>
      </c>
      <c r="G1093">
        <v>29.73</v>
      </c>
      <c r="H1093">
        <v>28.7</v>
      </c>
      <c r="I1093">
        <v>21.2</v>
      </c>
      <c r="J1093" s="1">
        <v>45875</v>
      </c>
      <c r="K1093">
        <v>37</v>
      </c>
      <c r="L1093">
        <v>2.5</v>
      </c>
      <c r="M1093" t="b">
        <v>0</v>
      </c>
    </row>
    <row r="1094" spans="1:14" x14ac:dyDescent="0.25">
      <c r="A1094" t="s">
        <v>1147</v>
      </c>
      <c r="B1094" t="s">
        <v>42</v>
      </c>
      <c r="C1094" t="s">
        <v>43</v>
      </c>
      <c r="D1094" t="s">
        <v>23</v>
      </c>
      <c r="E1094" t="s">
        <v>18</v>
      </c>
      <c r="F1094" t="s">
        <v>28</v>
      </c>
      <c r="G1094">
        <v>144.1</v>
      </c>
      <c r="H1094">
        <v>0</v>
      </c>
      <c r="I1094">
        <v>144.1</v>
      </c>
      <c r="J1094" s="1">
        <v>45875</v>
      </c>
      <c r="K1094">
        <v>36</v>
      </c>
      <c r="L1094">
        <v>2.5</v>
      </c>
      <c r="M1094" t="b">
        <v>0</v>
      </c>
    </row>
    <row r="1095" spans="1:14" x14ac:dyDescent="0.25">
      <c r="A1095" t="s">
        <v>1148</v>
      </c>
      <c r="B1095" t="s">
        <v>42</v>
      </c>
      <c r="C1095" t="s">
        <v>48</v>
      </c>
      <c r="D1095" t="s">
        <v>62</v>
      </c>
      <c r="E1095" t="s">
        <v>18</v>
      </c>
      <c r="F1095" t="s">
        <v>70</v>
      </c>
      <c r="G1095">
        <v>109.23</v>
      </c>
      <c r="H1095">
        <v>10.8</v>
      </c>
      <c r="I1095">
        <v>97.43</v>
      </c>
      <c r="J1095" s="1">
        <v>45875</v>
      </c>
      <c r="K1095">
        <v>38</v>
      </c>
      <c r="L1095">
        <v>3.3</v>
      </c>
      <c r="M1095" t="b">
        <v>0</v>
      </c>
    </row>
    <row r="1096" spans="1:14" x14ac:dyDescent="0.25">
      <c r="A1096" t="s">
        <v>1149</v>
      </c>
      <c r="B1096" t="s">
        <v>15</v>
      </c>
      <c r="C1096" t="s">
        <v>43</v>
      </c>
      <c r="D1096" t="s">
        <v>23</v>
      </c>
      <c r="E1096" t="s">
        <v>18</v>
      </c>
      <c r="F1096" t="s">
        <v>25</v>
      </c>
      <c r="G1096">
        <v>180.65</v>
      </c>
      <c r="H1096">
        <v>17.5</v>
      </c>
      <c r="I1096">
        <v>149.04</v>
      </c>
      <c r="J1096" s="1">
        <v>45875</v>
      </c>
      <c r="K1096">
        <v>41</v>
      </c>
      <c r="L1096">
        <v>1.4</v>
      </c>
      <c r="M1096" t="b">
        <v>0</v>
      </c>
    </row>
    <row r="1097" spans="1:14" x14ac:dyDescent="0.25">
      <c r="A1097" t="s">
        <v>1150</v>
      </c>
      <c r="B1097" t="s">
        <v>15</v>
      </c>
      <c r="C1097" t="s">
        <v>32</v>
      </c>
      <c r="D1097" t="s">
        <v>17</v>
      </c>
      <c r="E1097" t="s">
        <v>58</v>
      </c>
      <c r="F1097" t="s">
        <v>46</v>
      </c>
      <c r="G1097">
        <v>129.24</v>
      </c>
      <c r="H1097">
        <v>46.2</v>
      </c>
      <c r="I1097">
        <v>69.53</v>
      </c>
      <c r="J1097" s="1">
        <v>45743</v>
      </c>
      <c r="K1097">
        <v>28</v>
      </c>
      <c r="L1097">
        <v>3.2</v>
      </c>
      <c r="M1097" t="b">
        <v>0</v>
      </c>
    </row>
    <row r="1098" spans="1:14" x14ac:dyDescent="0.25">
      <c r="A1098" t="s">
        <v>1151</v>
      </c>
      <c r="B1098" t="s">
        <v>30</v>
      </c>
      <c r="C1098" t="s">
        <v>61</v>
      </c>
      <c r="D1098" t="s">
        <v>62</v>
      </c>
      <c r="E1098" t="s">
        <v>55</v>
      </c>
      <c r="F1098" t="s">
        <v>44</v>
      </c>
      <c r="G1098">
        <v>195.67</v>
      </c>
      <c r="H1098">
        <v>47.1</v>
      </c>
      <c r="I1098">
        <v>103.51</v>
      </c>
      <c r="J1098" s="1">
        <v>45875</v>
      </c>
      <c r="K1098">
        <v>36</v>
      </c>
      <c r="L1098">
        <v>4</v>
      </c>
      <c r="M1098" t="b">
        <v>0</v>
      </c>
    </row>
    <row r="1099" spans="1:14" x14ac:dyDescent="0.25">
      <c r="A1099" t="s">
        <v>1152</v>
      </c>
      <c r="B1099" t="s">
        <v>27</v>
      </c>
      <c r="C1099" t="s">
        <v>32</v>
      </c>
      <c r="D1099" t="s">
        <v>23</v>
      </c>
      <c r="F1099" t="s">
        <v>64</v>
      </c>
      <c r="G1099">
        <v>65.64</v>
      </c>
      <c r="H1099">
        <v>20.7</v>
      </c>
      <c r="I1099">
        <v>52.05</v>
      </c>
      <c r="J1099" s="1">
        <v>45875</v>
      </c>
      <c r="K1099">
        <v>20</v>
      </c>
      <c r="L1099">
        <v>2.6</v>
      </c>
      <c r="M1099" t="b">
        <v>0</v>
      </c>
    </row>
    <row r="1100" spans="1:14" x14ac:dyDescent="0.25">
      <c r="A1100" t="s">
        <v>1153</v>
      </c>
      <c r="B1100" t="s">
        <v>38</v>
      </c>
      <c r="C1100" t="s">
        <v>48</v>
      </c>
      <c r="D1100" t="s">
        <v>17</v>
      </c>
      <c r="E1100" t="s">
        <v>55</v>
      </c>
      <c r="F1100" t="s">
        <v>66</v>
      </c>
      <c r="G1100">
        <v>113.18</v>
      </c>
      <c r="H1100">
        <v>0</v>
      </c>
      <c r="I1100">
        <v>113.18</v>
      </c>
      <c r="J1100" s="1">
        <v>45749</v>
      </c>
      <c r="K1100">
        <v>3</v>
      </c>
      <c r="L1100">
        <v>4.9000000000000004</v>
      </c>
      <c r="M1100" t="b">
        <v>0</v>
      </c>
    </row>
    <row r="1101" spans="1:14" x14ac:dyDescent="0.25">
      <c r="A1101" t="s">
        <v>1154</v>
      </c>
      <c r="B1101" t="s">
        <v>30</v>
      </c>
      <c r="C1101" t="s">
        <v>53</v>
      </c>
      <c r="D1101" t="s">
        <v>34</v>
      </c>
      <c r="E1101" t="s">
        <v>18</v>
      </c>
      <c r="F1101" t="s">
        <v>56</v>
      </c>
      <c r="G1101">
        <v>173.69</v>
      </c>
      <c r="H1101">
        <v>0</v>
      </c>
      <c r="I1101">
        <v>173.69</v>
      </c>
      <c r="J1101" s="1">
        <v>45875</v>
      </c>
      <c r="K1101">
        <v>25</v>
      </c>
      <c r="L1101">
        <v>3.6</v>
      </c>
      <c r="M1101" t="b">
        <v>0</v>
      </c>
    </row>
    <row r="1102" spans="1:14" x14ac:dyDescent="0.25">
      <c r="A1102" t="s">
        <v>1155</v>
      </c>
      <c r="B1102" t="s">
        <v>15</v>
      </c>
      <c r="C1102" t="s">
        <v>16</v>
      </c>
      <c r="D1102" t="s">
        <v>34</v>
      </c>
      <c r="E1102" t="s">
        <v>39</v>
      </c>
      <c r="F1102" t="s">
        <v>40</v>
      </c>
      <c r="G1102">
        <v>156.54</v>
      </c>
      <c r="H1102">
        <v>0</v>
      </c>
      <c r="I1102">
        <v>156.54</v>
      </c>
      <c r="J1102" s="1">
        <v>45875</v>
      </c>
      <c r="K1102">
        <v>23</v>
      </c>
      <c r="L1102">
        <v>1.8</v>
      </c>
      <c r="M1102" t="b">
        <v>0</v>
      </c>
    </row>
    <row r="1103" spans="1:14" x14ac:dyDescent="0.25">
      <c r="A1103" t="s">
        <v>1156</v>
      </c>
      <c r="B1103" t="s">
        <v>42</v>
      </c>
      <c r="C1103" t="s">
        <v>48</v>
      </c>
      <c r="D1103" t="s">
        <v>17</v>
      </c>
      <c r="E1103" t="s">
        <v>18</v>
      </c>
      <c r="F1103" t="s">
        <v>70</v>
      </c>
      <c r="G1103">
        <v>103.78</v>
      </c>
      <c r="H1103">
        <v>39</v>
      </c>
      <c r="I1103">
        <v>63.31</v>
      </c>
      <c r="J1103" s="1">
        <v>45577</v>
      </c>
      <c r="K1103">
        <v>5</v>
      </c>
      <c r="M1103" t="b">
        <v>0</v>
      </c>
    </row>
    <row r="1104" spans="1:14" x14ac:dyDescent="0.25">
      <c r="A1104" t="s">
        <v>1157</v>
      </c>
      <c r="B1104" t="s">
        <v>27</v>
      </c>
      <c r="C1104" t="s">
        <v>61</v>
      </c>
      <c r="D1104" t="s">
        <v>34</v>
      </c>
      <c r="F1104" t="s">
        <v>28</v>
      </c>
      <c r="G1104">
        <v>79.599999999999994</v>
      </c>
      <c r="H1104">
        <v>0</v>
      </c>
      <c r="I1104">
        <v>79.599999999999994</v>
      </c>
      <c r="J1104" s="1">
        <v>45875</v>
      </c>
      <c r="K1104">
        <v>22</v>
      </c>
      <c r="M1104" t="b">
        <v>0</v>
      </c>
    </row>
    <row r="1105" spans="1:14" x14ac:dyDescent="0.25">
      <c r="A1105" t="s">
        <v>1158</v>
      </c>
      <c r="B1105" t="s">
        <v>27</v>
      </c>
      <c r="C1105" t="s">
        <v>53</v>
      </c>
      <c r="D1105" t="s">
        <v>34</v>
      </c>
      <c r="F1105" t="s">
        <v>56</v>
      </c>
      <c r="G1105">
        <v>34.18</v>
      </c>
      <c r="H1105">
        <v>18.899999999999999</v>
      </c>
      <c r="I1105">
        <v>27.72</v>
      </c>
      <c r="J1105" s="1">
        <v>45875</v>
      </c>
      <c r="K1105">
        <v>50</v>
      </c>
      <c r="L1105">
        <v>3.6</v>
      </c>
      <c r="M1105" t="b">
        <v>0</v>
      </c>
    </row>
    <row r="1106" spans="1:14" x14ac:dyDescent="0.25">
      <c r="A1106" t="s">
        <v>1159</v>
      </c>
      <c r="B1106" t="s">
        <v>38</v>
      </c>
      <c r="C1106" t="s">
        <v>61</v>
      </c>
      <c r="D1106" t="s">
        <v>23</v>
      </c>
      <c r="E1106" t="s">
        <v>49</v>
      </c>
      <c r="F1106" t="s">
        <v>44</v>
      </c>
      <c r="G1106">
        <v>58.44</v>
      </c>
      <c r="H1106">
        <v>0</v>
      </c>
      <c r="I1106">
        <v>58.44</v>
      </c>
      <c r="J1106" s="1">
        <v>45875</v>
      </c>
      <c r="K1106">
        <v>3</v>
      </c>
      <c r="L1106">
        <v>2.6</v>
      </c>
      <c r="M1106" t="b">
        <v>1</v>
      </c>
      <c r="N1106" t="s">
        <v>125</v>
      </c>
    </row>
    <row r="1107" spans="1:14" x14ac:dyDescent="0.25">
      <c r="A1107" t="s">
        <v>1160</v>
      </c>
      <c r="B1107" t="s">
        <v>27</v>
      </c>
      <c r="C1107" t="s">
        <v>16</v>
      </c>
      <c r="D1107" t="s">
        <v>62</v>
      </c>
      <c r="F1107" t="s">
        <v>64</v>
      </c>
      <c r="G1107">
        <v>30.62</v>
      </c>
      <c r="H1107">
        <v>0</v>
      </c>
      <c r="I1107">
        <v>30.62</v>
      </c>
      <c r="J1107" s="1">
        <v>45875</v>
      </c>
      <c r="K1107">
        <v>31</v>
      </c>
      <c r="L1107">
        <v>3</v>
      </c>
      <c r="M1107" t="b">
        <v>1</v>
      </c>
      <c r="N1107" t="s">
        <v>78</v>
      </c>
    </row>
    <row r="1108" spans="1:14" x14ac:dyDescent="0.25">
      <c r="A1108" t="s">
        <v>1161</v>
      </c>
      <c r="B1108" t="s">
        <v>15</v>
      </c>
      <c r="C1108" t="s">
        <v>22</v>
      </c>
      <c r="D1108" t="s">
        <v>34</v>
      </c>
      <c r="E1108" t="s">
        <v>49</v>
      </c>
      <c r="F1108" t="s">
        <v>66</v>
      </c>
      <c r="G1108">
        <v>213.94</v>
      </c>
      <c r="H1108">
        <v>0</v>
      </c>
      <c r="I1108">
        <v>213.94</v>
      </c>
      <c r="J1108" s="1">
        <v>45875</v>
      </c>
      <c r="K1108">
        <v>16</v>
      </c>
      <c r="L1108">
        <v>4.7</v>
      </c>
      <c r="M1108" t="b">
        <v>0</v>
      </c>
    </row>
    <row r="1109" spans="1:14" x14ac:dyDescent="0.25">
      <c r="A1109" t="s">
        <v>1162</v>
      </c>
      <c r="B1109" t="s">
        <v>38</v>
      </c>
      <c r="C1109" t="s">
        <v>75</v>
      </c>
      <c r="D1109" t="s">
        <v>34</v>
      </c>
      <c r="E1109" t="s">
        <v>18</v>
      </c>
      <c r="F1109" t="s">
        <v>25</v>
      </c>
      <c r="G1109">
        <v>29.31</v>
      </c>
      <c r="H1109">
        <v>0</v>
      </c>
      <c r="I1109">
        <v>29.31</v>
      </c>
      <c r="J1109" s="1">
        <v>45875</v>
      </c>
      <c r="K1109">
        <v>25</v>
      </c>
      <c r="L1109">
        <v>4.5999999999999996</v>
      </c>
      <c r="M1109" t="b">
        <v>1</v>
      </c>
      <c r="N1109" t="s">
        <v>115</v>
      </c>
    </row>
    <row r="1110" spans="1:14" x14ac:dyDescent="0.25">
      <c r="A1110" t="s">
        <v>1163</v>
      </c>
      <c r="B1110" t="s">
        <v>21</v>
      </c>
      <c r="C1110" t="s">
        <v>75</v>
      </c>
      <c r="D1110" t="s">
        <v>17</v>
      </c>
      <c r="E1110" t="s">
        <v>58</v>
      </c>
      <c r="F1110" t="s">
        <v>19</v>
      </c>
      <c r="G1110">
        <v>49.12</v>
      </c>
      <c r="H1110">
        <v>0</v>
      </c>
      <c r="I1110">
        <v>49.12</v>
      </c>
      <c r="J1110" s="1">
        <v>45836</v>
      </c>
      <c r="K1110">
        <v>47</v>
      </c>
      <c r="M1110" t="b">
        <v>0</v>
      </c>
    </row>
    <row r="1111" spans="1:14" x14ac:dyDescent="0.25">
      <c r="A1111" t="s">
        <v>1164</v>
      </c>
      <c r="B1111" t="s">
        <v>38</v>
      </c>
      <c r="C1111" t="s">
        <v>32</v>
      </c>
      <c r="D1111" t="s">
        <v>34</v>
      </c>
      <c r="F1111" t="s">
        <v>66</v>
      </c>
      <c r="G1111">
        <v>113.23</v>
      </c>
      <c r="H1111">
        <v>0</v>
      </c>
      <c r="I1111">
        <v>113.23</v>
      </c>
      <c r="J1111" s="1">
        <v>45875</v>
      </c>
      <c r="K1111">
        <v>13</v>
      </c>
      <c r="L1111">
        <v>3.7</v>
      </c>
      <c r="M1111" t="b">
        <v>0</v>
      </c>
    </row>
    <row r="1112" spans="1:14" x14ac:dyDescent="0.25">
      <c r="A1112" t="s">
        <v>1165</v>
      </c>
      <c r="B1112" t="s">
        <v>15</v>
      </c>
      <c r="C1112" t="s">
        <v>32</v>
      </c>
      <c r="D1112" t="s">
        <v>17</v>
      </c>
      <c r="E1112" t="s">
        <v>49</v>
      </c>
      <c r="F1112" t="s">
        <v>70</v>
      </c>
      <c r="G1112">
        <v>103.65</v>
      </c>
      <c r="H1112">
        <v>0</v>
      </c>
      <c r="I1112">
        <v>103.65</v>
      </c>
      <c r="J1112" s="1">
        <v>45612</v>
      </c>
      <c r="K1112">
        <v>4</v>
      </c>
      <c r="L1112">
        <v>1</v>
      </c>
      <c r="M1112" t="b">
        <v>0</v>
      </c>
    </row>
    <row r="1113" spans="1:14" x14ac:dyDescent="0.25">
      <c r="A1113" t="s">
        <v>1166</v>
      </c>
      <c r="B1113" t="s">
        <v>42</v>
      </c>
      <c r="C1113" t="s">
        <v>53</v>
      </c>
      <c r="D1113" t="s">
        <v>34</v>
      </c>
      <c r="F1113" t="s">
        <v>40</v>
      </c>
      <c r="G1113">
        <v>71.84</v>
      </c>
      <c r="H1113">
        <v>49.4</v>
      </c>
      <c r="I1113">
        <v>36.35</v>
      </c>
      <c r="J1113" s="1">
        <v>45875</v>
      </c>
      <c r="K1113">
        <v>25</v>
      </c>
      <c r="M1113" t="b">
        <v>0</v>
      </c>
    </row>
    <row r="1114" spans="1:14" x14ac:dyDescent="0.25">
      <c r="A1114" t="s">
        <v>1167</v>
      </c>
      <c r="B1114" t="s">
        <v>30</v>
      </c>
      <c r="C1114" t="s">
        <v>16</v>
      </c>
      <c r="D1114" t="s">
        <v>23</v>
      </c>
      <c r="E1114" t="s">
        <v>24</v>
      </c>
      <c r="F1114" t="s">
        <v>40</v>
      </c>
      <c r="G1114">
        <v>128.31</v>
      </c>
      <c r="H1114">
        <v>0</v>
      </c>
      <c r="I1114">
        <v>128.31</v>
      </c>
      <c r="J1114" s="1">
        <v>45875</v>
      </c>
      <c r="K1114">
        <v>36</v>
      </c>
      <c r="L1114">
        <v>4</v>
      </c>
      <c r="M1114" t="b">
        <v>1</v>
      </c>
      <c r="N1114" t="s">
        <v>115</v>
      </c>
    </row>
    <row r="1115" spans="1:14" x14ac:dyDescent="0.25">
      <c r="A1115" t="s">
        <v>1168</v>
      </c>
      <c r="B1115" t="s">
        <v>30</v>
      </c>
      <c r="C1115" t="s">
        <v>75</v>
      </c>
      <c r="D1115" t="s">
        <v>23</v>
      </c>
      <c r="E1115" t="s">
        <v>24</v>
      </c>
      <c r="F1115" t="s">
        <v>44</v>
      </c>
      <c r="G1115">
        <v>118.97</v>
      </c>
      <c r="H1115">
        <v>0</v>
      </c>
      <c r="I1115">
        <v>118.97</v>
      </c>
      <c r="J1115" s="1">
        <v>45875</v>
      </c>
      <c r="K1115">
        <v>45</v>
      </c>
      <c r="L1115">
        <v>3.8</v>
      </c>
      <c r="M1115" t="b">
        <v>0</v>
      </c>
    </row>
    <row r="1116" spans="1:14" x14ac:dyDescent="0.25">
      <c r="A1116" t="s">
        <v>1169</v>
      </c>
      <c r="B1116" t="s">
        <v>38</v>
      </c>
      <c r="C1116" t="s">
        <v>16</v>
      </c>
      <c r="D1116" t="s">
        <v>23</v>
      </c>
      <c r="E1116" t="s">
        <v>39</v>
      </c>
      <c r="F1116" t="s">
        <v>19</v>
      </c>
      <c r="G1116">
        <v>31.98</v>
      </c>
      <c r="H1116">
        <v>16.5</v>
      </c>
      <c r="I1116">
        <v>26.7</v>
      </c>
      <c r="J1116" s="1">
        <v>45875</v>
      </c>
      <c r="K1116">
        <v>48</v>
      </c>
      <c r="L1116">
        <v>1.8</v>
      </c>
      <c r="M1116" t="b">
        <v>0</v>
      </c>
    </row>
    <row r="1117" spans="1:14" x14ac:dyDescent="0.25">
      <c r="A1117" t="s">
        <v>1170</v>
      </c>
      <c r="B1117" t="s">
        <v>21</v>
      </c>
      <c r="C1117" t="s">
        <v>32</v>
      </c>
      <c r="D1117" t="s">
        <v>23</v>
      </c>
      <c r="E1117" t="s">
        <v>49</v>
      </c>
      <c r="F1117" t="s">
        <v>66</v>
      </c>
      <c r="G1117">
        <v>115.89</v>
      </c>
      <c r="H1117">
        <v>26.8</v>
      </c>
      <c r="I1117">
        <v>84.83</v>
      </c>
      <c r="J1117" s="1">
        <v>45875</v>
      </c>
      <c r="K1117">
        <v>26</v>
      </c>
      <c r="L1117">
        <v>4.5999999999999996</v>
      </c>
      <c r="M1117" t="b">
        <v>0</v>
      </c>
    </row>
    <row r="1118" spans="1:14" x14ac:dyDescent="0.25">
      <c r="A1118" t="s">
        <v>1171</v>
      </c>
      <c r="B1118" t="s">
        <v>42</v>
      </c>
      <c r="C1118" t="s">
        <v>53</v>
      </c>
      <c r="D1118" t="s">
        <v>34</v>
      </c>
      <c r="E1118" t="s">
        <v>18</v>
      </c>
      <c r="F1118" t="s">
        <v>25</v>
      </c>
      <c r="G1118">
        <v>140.06</v>
      </c>
      <c r="H1118">
        <v>0</v>
      </c>
      <c r="I1118">
        <v>140.06</v>
      </c>
      <c r="J1118" s="1">
        <v>45875</v>
      </c>
      <c r="K1118">
        <v>37</v>
      </c>
      <c r="L1118">
        <v>2.2999999999999998</v>
      </c>
      <c r="M1118" t="b">
        <v>0</v>
      </c>
    </row>
    <row r="1119" spans="1:14" x14ac:dyDescent="0.25">
      <c r="A1119" t="s">
        <v>1172</v>
      </c>
      <c r="B1119" t="s">
        <v>30</v>
      </c>
      <c r="C1119" t="s">
        <v>43</v>
      </c>
      <c r="D1119" t="s">
        <v>34</v>
      </c>
      <c r="E1119" t="s">
        <v>55</v>
      </c>
      <c r="F1119" t="s">
        <v>25</v>
      </c>
      <c r="G1119">
        <v>154.82</v>
      </c>
      <c r="H1119">
        <v>0</v>
      </c>
      <c r="I1119">
        <v>154.82</v>
      </c>
      <c r="J1119" s="1">
        <v>45875</v>
      </c>
      <c r="K1119">
        <v>10</v>
      </c>
      <c r="L1119">
        <v>4.0999999999999996</v>
      </c>
      <c r="M1119" t="b">
        <v>0</v>
      </c>
    </row>
    <row r="1120" spans="1:14" x14ac:dyDescent="0.25">
      <c r="A1120" t="s">
        <v>1173</v>
      </c>
      <c r="B1120" t="s">
        <v>42</v>
      </c>
      <c r="C1120" t="s">
        <v>22</v>
      </c>
      <c r="D1120" t="s">
        <v>23</v>
      </c>
      <c r="E1120" t="s">
        <v>18</v>
      </c>
      <c r="F1120" t="s">
        <v>44</v>
      </c>
      <c r="G1120">
        <v>114.21</v>
      </c>
      <c r="H1120">
        <v>20.2</v>
      </c>
      <c r="I1120">
        <v>91.14</v>
      </c>
      <c r="J1120" s="1">
        <v>45875</v>
      </c>
      <c r="K1120">
        <v>5</v>
      </c>
      <c r="L1120">
        <v>2</v>
      </c>
      <c r="M1120" t="b">
        <v>1</v>
      </c>
      <c r="N1120" t="s">
        <v>125</v>
      </c>
    </row>
    <row r="1121" spans="1:14" x14ac:dyDescent="0.25">
      <c r="A1121" t="s">
        <v>1174</v>
      </c>
      <c r="B1121" t="s">
        <v>30</v>
      </c>
      <c r="C1121" t="s">
        <v>16</v>
      </c>
      <c r="D1121" t="s">
        <v>23</v>
      </c>
      <c r="E1121" t="s">
        <v>18</v>
      </c>
      <c r="F1121" t="s">
        <v>44</v>
      </c>
      <c r="G1121">
        <v>114.84</v>
      </c>
      <c r="H1121">
        <v>0</v>
      </c>
      <c r="I1121">
        <v>114.84</v>
      </c>
      <c r="J1121" s="1">
        <v>45875</v>
      </c>
      <c r="K1121">
        <v>38</v>
      </c>
      <c r="L1121">
        <v>2.6</v>
      </c>
      <c r="M1121" t="b">
        <v>1</v>
      </c>
      <c r="N1121" t="s">
        <v>36</v>
      </c>
    </row>
    <row r="1122" spans="1:14" x14ac:dyDescent="0.25">
      <c r="A1122" t="s">
        <v>1175</v>
      </c>
      <c r="B1122" t="s">
        <v>42</v>
      </c>
      <c r="C1122" t="s">
        <v>43</v>
      </c>
      <c r="D1122" t="s">
        <v>23</v>
      </c>
      <c r="E1122" t="s">
        <v>18</v>
      </c>
      <c r="F1122" t="s">
        <v>64</v>
      </c>
      <c r="G1122">
        <v>131.32</v>
      </c>
      <c r="H1122">
        <v>6.8</v>
      </c>
      <c r="I1122">
        <v>122.39</v>
      </c>
      <c r="J1122" s="1">
        <v>45875</v>
      </c>
      <c r="K1122">
        <v>18</v>
      </c>
      <c r="L1122">
        <v>2</v>
      </c>
      <c r="M1122" t="b">
        <v>0</v>
      </c>
    </row>
    <row r="1123" spans="1:14" x14ac:dyDescent="0.25">
      <c r="A1123" t="s">
        <v>1176</v>
      </c>
      <c r="B1123" t="s">
        <v>21</v>
      </c>
      <c r="C1123" t="s">
        <v>43</v>
      </c>
      <c r="D1123" t="s">
        <v>34</v>
      </c>
      <c r="E1123" t="s">
        <v>39</v>
      </c>
      <c r="F1123" t="s">
        <v>25</v>
      </c>
      <c r="G1123">
        <v>91.41</v>
      </c>
      <c r="H1123">
        <v>32.1</v>
      </c>
      <c r="I1123">
        <v>62.07</v>
      </c>
      <c r="J1123" s="1">
        <v>45875</v>
      </c>
      <c r="K1123">
        <v>49</v>
      </c>
      <c r="L1123">
        <v>2.2999999999999998</v>
      </c>
      <c r="M1123" t="b">
        <v>0</v>
      </c>
    </row>
    <row r="1124" spans="1:14" x14ac:dyDescent="0.25">
      <c r="A1124" t="s">
        <v>1177</v>
      </c>
      <c r="B1124" t="s">
        <v>15</v>
      </c>
      <c r="C1124" t="s">
        <v>61</v>
      </c>
      <c r="D1124" t="s">
        <v>34</v>
      </c>
      <c r="E1124" t="s">
        <v>55</v>
      </c>
      <c r="F1124" t="s">
        <v>28</v>
      </c>
      <c r="G1124">
        <v>202.28</v>
      </c>
      <c r="H1124">
        <v>0</v>
      </c>
      <c r="I1124">
        <v>202.28</v>
      </c>
      <c r="J1124" s="1">
        <v>45875</v>
      </c>
      <c r="K1124">
        <v>4</v>
      </c>
      <c r="M1124" t="b">
        <v>0</v>
      </c>
    </row>
    <row r="1125" spans="1:14" x14ac:dyDescent="0.25">
      <c r="A1125" t="s">
        <v>1178</v>
      </c>
      <c r="B1125" t="s">
        <v>38</v>
      </c>
      <c r="C1125" t="s">
        <v>75</v>
      </c>
      <c r="D1125" t="s">
        <v>34</v>
      </c>
      <c r="E1125" t="s">
        <v>58</v>
      </c>
      <c r="F1125" t="s">
        <v>19</v>
      </c>
      <c r="G1125">
        <v>119.63</v>
      </c>
      <c r="H1125">
        <v>0</v>
      </c>
      <c r="I1125">
        <v>119.63</v>
      </c>
      <c r="J1125" s="1">
        <v>45875</v>
      </c>
      <c r="K1125">
        <v>14</v>
      </c>
      <c r="L1125">
        <v>2.1</v>
      </c>
      <c r="M1125" t="b">
        <v>0</v>
      </c>
    </row>
    <row r="1126" spans="1:14" x14ac:dyDescent="0.25">
      <c r="A1126" t="s">
        <v>1179</v>
      </c>
      <c r="B1126" t="s">
        <v>30</v>
      </c>
      <c r="C1126" t="s">
        <v>32</v>
      </c>
      <c r="D1126" t="s">
        <v>62</v>
      </c>
      <c r="E1126" t="s">
        <v>24</v>
      </c>
      <c r="F1126" t="s">
        <v>44</v>
      </c>
      <c r="G1126">
        <v>167.89</v>
      </c>
      <c r="H1126">
        <v>0</v>
      </c>
      <c r="I1126">
        <v>167.89</v>
      </c>
      <c r="J1126" s="1">
        <v>45875</v>
      </c>
      <c r="K1126">
        <v>12</v>
      </c>
      <c r="L1126">
        <v>1</v>
      </c>
      <c r="M1126" t="b">
        <v>0</v>
      </c>
    </row>
    <row r="1127" spans="1:14" x14ac:dyDescent="0.25">
      <c r="A1127" t="s">
        <v>1180</v>
      </c>
      <c r="B1127" t="s">
        <v>30</v>
      </c>
      <c r="C1127" t="s">
        <v>22</v>
      </c>
      <c r="D1127" t="s">
        <v>17</v>
      </c>
      <c r="E1127" t="s">
        <v>18</v>
      </c>
      <c r="F1127" t="s">
        <v>44</v>
      </c>
      <c r="G1127">
        <v>100.39</v>
      </c>
      <c r="H1127">
        <v>0</v>
      </c>
      <c r="I1127">
        <v>100.39</v>
      </c>
      <c r="J1127" s="1">
        <v>45723</v>
      </c>
      <c r="K1127">
        <v>24</v>
      </c>
      <c r="L1127">
        <v>3.2</v>
      </c>
      <c r="M1127" t="b">
        <v>1</v>
      </c>
      <c r="N1127" t="s">
        <v>83</v>
      </c>
    </row>
    <row r="1128" spans="1:14" x14ac:dyDescent="0.25">
      <c r="A1128" t="s">
        <v>1181</v>
      </c>
      <c r="B1128" t="s">
        <v>42</v>
      </c>
      <c r="C1128" t="s">
        <v>61</v>
      </c>
      <c r="D1128" t="s">
        <v>62</v>
      </c>
      <c r="E1128" t="s">
        <v>24</v>
      </c>
      <c r="F1128" t="s">
        <v>40</v>
      </c>
      <c r="G1128">
        <v>162.41999999999999</v>
      </c>
      <c r="H1128">
        <v>40.9</v>
      </c>
      <c r="I1128">
        <v>95.99</v>
      </c>
      <c r="J1128" s="1">
        <v>45875</v>
      </c>
      <c r="K1128">
        <v>32</v>
      </c>
      <c r="L1128">
        <v>1</v>
      </c>
      <c r="M1128" t="b">
        <v>0</v>
      </c>
    </row>
    <row r="1129" spans="1:14" x14ac:dyDescent="0.25">
      <c r="A1129" t="s">
        <v>1182</v>
      </c>
      <c r="B1129" t="s">
        <v>30</v>
      </c>
      <c r="C1129" t="s">
        <v>61</v>
      </c>
      <c r="D1129" t="s">
        <v>17</v>
      </c>
      <c r="E1129" t="s">
        <v>55</v>
      </c>
      <c r="F1129" t="s">
        <v>40</v>
      </c>
      <c r="G1129">
        <v>65.069999999999993</v>
      </c>
      <c r="H1129">
        <v>5.0999999999999996</v>
      </c>
      <c r="I1129">
        <v>61.75</v>
      </c>
      <c r="J1129" s="1">
        <v>45674</v>
      </c>
      <c r="K1129">
        <v>16</v>
      </c>
      <c r="L1129">
        <v>4.3</v>
      </c>
      <c r="M1129" t="b">
        <v>0</v>
      </c>
    </row>
    <row r="1130" spans="1:14" x14ac:dyDescent="0.25">
      <c r="A1130" t="s">
        <v>1183</v>
      </c>
      <c r="B1130" t="s">
        <v>38</v>
      </c>
      <c r="C1130" t="s">
        <v>75</v>
      </c>
      <c r="D1130" t="s">
        <v>17</v>
      </c>
      <c r="E1130" t="s">
        <v>49</v>
      </c>
      <c r="F1130" t="s">
        <v>19</v>
      </c>
      <c r="G1130">
        <v>78.099999999999994</v>
      </c>
      <c r="H1130">
        <v>48.7</v>
      </c>
      <c r="I1130">
        <v>40.07</v>
      </c>
      <c r="J1130" s="1">
        <v>45783</v>
      </c>
      <c r="K1130">
        <v>0</v>
      </c>
      <c r="M1130" t="b">
        <v>0</v>
      </c>
    </row>
    <row r="1131" spans="1:14" x14ac:dyDescent="0.25">
      <c r="A1131" t="s">
        <v>1184</v>
      </c>
      <c r="B1131" t="s">
        <v>15</v>
      </c>
      <c r="C1131" t="s">
        <v>16</v>
      </c>
      <c r="D1131" t="s">
        <v>17</v>
      </c>
      <c r="E1131" t="s">
        <v>58</v>
      </c>
      <c r="F1131" t="s">
        <v>44</v>
      </c>
      <c r="G1131">
        <v>115.73</v>
      </c>
      <c r="H1131">
        <v>59.8</v>
      </c>
      <c r="I1131">
        <v>46.52</v>
      </c>
      <c r="J1131" s="1">
        <v>45563</v>
      </c>
      <c r="K1131">
        <v>10</v>
      </c>
      <c r="L1131">
        <v>4.2</v>
      </c>
      <c r="M1131" t="b">
        <v>0</v>
      </c>
    </row>
    <row r="1132" spans="1:14" x14ac:dyDescent="0.25">
      <c r="A1132" t="s">
        <v>1185</v>
      </c>
      <c r="B1132" t="s">
        <v>27</v>
      </c>
      <c r="C1132" t="s">
        <v>53</v>
      </c>
      <c r="D1132" t="s">
        <v>34</v>
      </c>
      <c r="F1132" t="s">
        <v>64</v>
      </c>
      <c r="G1132">
        <v>21.57</v>
      </c>
      <c r="H1132">
        <v>11.9</v>
      </c>
      <c r="I1132">
        <v>19</v>
      </c>
      <c r="J1132" s="1">
        <v>45875</v>
      </c>
      <c r="K1132">
        <v>37</v>
      </c>
      <c r="L1132">
        <v>3</v>
      </c>
      <c r="M1132" t="b">
        <v>1</v>
      </c>
      <c r="N1132" t="s">
        <v>115</v>
      </c>
    </row>
    <row r="1133" spans="1:14" x14ac:dyDescent="0.25">
      <c r="A1133" t="s">
        <v>1186</v>
      </c>
      <c r="B1133" t="s">
        <v>42</v>
      </c>
      <c r="C1133" t="s">
        <v>32</v>
      </c>
      <c r="D1133" t="s">
        <v>34</v>
      </c>
      <c r="E1133" t="s">
        <v>39</v>
      </c>
      <c r="F1133" t="s">
        <v>70</v>
      </c>
      <c r="G1133">
        <v>75.849999999999994</v>
      </c>
      <c r="H1133">
        <v>50.3</v>
      </c>
      <c r="I1133">
        <v>37.700000000000003</v>
      </c>
      <c r="J1133" s="1">
        <v>45875</v>
      </c>
      <c r="K1133">
        <v>50</v>
      </c>
      <c r="L1133">
        <v>4.7</v>
      </c>
      <c r="M1133" t="b">
        <v>1</v>
      </c>
      <c r="N1133" t="s">
        <v>83</v>
      </c>
    </row>
    <row r="1134" spans="1:14" x14ac:dyDescent="0.25">
      <c r="A1134" t="s">
        <v>1187</v>
      </c>
      <c r="B1134" t="s">
        <v>15</v>
      </c>
      <c r="C1134" t="s">
        <v>22</v>
      </c>
      <c r="D1134" t="s">
        <v>62</v>
      </c>
      <c r="E1134" t="s">
        <v>24</v>
      </c>
      <c r="F1134" t="s">
        <v>46</v>
      </c>
      <c r="G1134">
        <v>170.91</v>
      </c>
      <c r="H1134">
        <v>0</v>
      </c>
      <c r="I1134">
        <v>170.91</v>
      </c>
      <c r="J1134" s="1">
        <v>45875</v>
      </c>
      <c r="K1134">
        <v>36</v>
      </c>
      <c r="L1134">
        <v>1.6</v>
      </c>
      <c r="M1134" t="b">
        <v>1</v>
      </c>
      <c r="N1134" t="s">
        <v>83</v>
      </c>
    </row>
    <row r="1135" spans="1:14" x14ac:dyDescent="0.25">
      <c r="A1135" t="s">
        <v>1188</v>
      </c>
      <c r="B1135" t="s">
        <v>30</v>
      </c>
      <c r="C1135" t="s">
        <v>48</v>
      </c>
      <c r="D1135" t="s">
        <v>34</v>
      </c>
      <c r="E1135" t="s">
        <v>18</v>
      </c>
      <c r="F1135" t="s">
        <v>35</v>
      </c>
      <c r="G1135">
        <v>94.06</v>
      </c>
      <c r="H1135">
        <v>22.4</v>
      </c>
      <c r="I1135">
        <v>72.989999999999995</v>
      </c>
      <c r="J1135" s="1">
        <v>45875</v>
      </c>
      <c r="K1135">
        <v>0</v>
      </c>
      <c r="M1135" t="b">
        <v>0</v>
      </c>
    </row>
    <row r="1136" spans="1:14" x14ac:dyDescent="0.25">
      <c r="A1136" t="s">
        <v>1189</v>
      </c>
      <c r="B1136" t="s">
        <v>38</v>
      </c>
      <c r="C1136" t="s">
        <v>48</v>
      </c>
      <c r="D1136" t="s">
        <v>62</v>
      </c>
      <c r="E1136" t="s">
        <v>39</v>
      </c>
      <c r="F1136" t="s">
        <v>44</v>
      </c>
      <c r="G1136">
        <v>84.44</v>
      </c>
      <c r="H1136">
        <v>0</v>
      </c>
      <c r="I1136">
        <v>84.44</v>
      </c>
      <c r="J1136" s="1">
        <v>45875</v>
      </c>
      <c r="K1136">
        <v>2</v>
      </c>
      <c r="L1136">
        <v>1.1000000000000001</v>
      </c>
      <c r="M1136" t="b">
        <v>0</v>
      </c>
    </row>
    <row r="1137" spans="1:14" x14ac:dyDescent="0.25">
      <c r="A1137" t="s">
        <v>1190</v>
      </c>
      <c r="B1137" t="s">
        <v>15</v>
      </c>
      <c r="C1137" t="s">
        <v>16</v>
      </c>
      <c r="D1137" t="s">
        <v>62</v>
      </c>
      <c r="E1137" t="s">
        <v>55</v>
      </c>
      <c r="F1137" t="s">
        <v>25</v>
      </c>
      <c r="G1137">
        <v>93.11</v>
      </c>
      <c r="H1137">
        <v>0</v>
      </c>
      <c r="I1137">
        <v>93.11</v>
      </c>
      <c r="J1137" s="1">
        <v>45875</v>
      </c>
      <c r="K1137">
        <v>43</v>
      </c>
      <c r="L1137">
        <v>2.8</v>
      </c>
      <c r="M1137" t="b">
        <v>0</v>
      </c>
    </row>
    <row r="1138" spans="1:14" x14ac:dyDescent="0.25">
      <c r="A1138" t="s">
        <v>1191</v>
      </c>
      <c r="B1138" t="s">
        <v>21</v>
      </c>
      <c r="C1138" t="s">
        <v>16</v>
      </c>
      <c r="D1138" t="s">
        <v>23</v>
      </c>
      <c r="E1138" t="s">
        <v>39</v>
      </c>
      <c r="F1138" t="s">
        <v>44</v>
      </c>
      <c r="G1138">
        <v>84.85</v>
      </c>
      <c r="H1138">
        <v>8.8000000000000007</v>
      </c>
      <c r="I1138">
        <v>77.38</v>
      </c>
      <c r="J1138" s="1">
        <v>45875</v>
      </c>
      <c r="K1138">
        <v>19</v>
      </c>
      <c r="L1138">
        <v>4.0999999999999996</v>
      </c>
      <c r="M1138" t="b">
        <v>1</v>
      </c>
      <c r="N1138" t="s">
        <v>115</v>
      </c>
    </row>
    <row r="1139" spans="1:14" x14ac:dyDescent="0.25">
      <c r="A1139" t="s">
        <v>1192</v>
      </c>
      <c r="B1139" t="s">
        <v>30</v>
      </c>
      <c r="C1139" t="s">
        <v>22</v>
      </c>
      <c r="D1139" t="s">
        <v>17</v>
      </c>
      <c r="E1139" t="s">
        <v>58</v>
      </c>
      <c r="F1139" t="s">
        <v>46</v>
      </c>
      <c r="G1139">
        <v>138.41</v>
      </c>
      <c r="H1139">
        <v>0</v>
      </c>
      <c r="I1139">
        <v>138.41</v>
      </c>
      <c r="J1139" s="1">
        <v>45613</v>
      </c>
      <c r="K1139">
        <v>40</v>
      </c>
      <c r="L1139">
        <v>3.1</v>
      </c>
      <c r="M1139" t="b">
        <v>0</v>
      </c>
    </row>
    <row r="1140" spans="1:14" x14ac:dyDescent="0.25">
      <c r="A1140" t="s">
        <v>1193</v>
      </c>
      <c r="B1140" t="s">
        <v>27</v>
      </c>
      <c r="C1140" t="s">
        <v>16</v>
      </c>
      <c r="D1140" t="s">
        <v>34</v>
      </c>
      <c r="F1140" t="s">
        <v>25</v>
      </c>
      <c r="G1140">
        <v>20.190000000000001</v>
      </c>
      <c r="H1140">
        <v>21.6</v>
      </c>
      <c r="I1140">
        <v>15.83</v>
      </c>
      <c r="J1140" s="1">
        <v>45875</v>
      </c>
      <c r="K1140">
        <v>45</v>
      </c>
      <c r="L1140">
        <v>4.4000000000000004</v>
      </c>
      <c r="M1140" t="b">
        <v>1</v>
      </c>
      <c r="N1140" t="s">
        <v>115</v>
      </c>
    </row>
    <row r="1141" spans="1:14" x14ac:dyDescent="0.25">
      <c r="A1141" t="s">
        <v>1194</v>
      </c>
      <c r="B1141" t="s">
        <v>42</v>
      </c>
      <c r="C1141" t="s">
        <v>32</v>
      </c>
      <c r="D1141" t="s">
        <v>34</v>
      </c>
      <c r="E1141" t="s">
        <v>58</v>
      </c>
      <c r="F1141" t="s">
        <v>40</v>
      </c>
      <c r="G1141">
        <v>124.17</v>
      </c>
      <c r="H1141">
        <v>37.6</v>
      </c>
      <c r="I1141">
        <v>77.48</v>
      </c>
      <c r="J1141" s="1">
        <v>45875</v>
      </c>
      <c r="K1141">
        <v>24</v>
      </c>
      <c r="L1141">
        <v>2.2999999999999998</v>
      </c>
      <c r="M1141" t="b">
        <v>0</v>
      </c>
    </row>
    <row r="1142" spans="1:14" x14ac:dyDescent="0.25">
      <c r="A1142" t="s">
        <v>1195</v>
      </c>
      <c r="B1142" t="s">
        <v>15</v>
      </c>
      <c r="C1142" t="s">
        <v>32</v>
      </c>
      <c r="D1142" t="s">
        <v>17</v>
      </c>
      <c r="E1142" t="s">
        <v>24</v>
      </c>
      <c r="F1142" t="s">
        <v>19</v>
      </c>
      <c r="G1142">
        <v>133.91999999999999</v>
      </c>
      <c r="H1142">
        <v>0</v>
      </c>
      <c r="I1142">
        <v>133.91999999999999</v>
      </c>
      <c r="J1142" s="1">
        <v>45760</v>
      </c>
      <c r="K1142">
        <v>41</v>
      </c>
      <c r="L1142">
        <v>2.8</v>
      </c>
      <c r="M1142" t="b">
        <v>0</v>
      </c>
    </row>
    <row r="1143" spans="1:14" x14ac:dyDescent="0.25">
      <c r="A1143" t="s">
        <v>1196</v>
      </c>
      <c r="B1143" t="s">
        <v>27</v>
      </c>
      <c r="C1143" t="s">
        <v>32</v>
      </c>
      <c r="D1143" t="s">
        <v>17</v>
      </c>
      <c r="F1143" t="s">
        <v>40</v>
      </c>
      <c r="G1143">
        <v>77.78</v>
      </c>
      <c r="H1143">
        <v>0</v>
      </c>
      <c r="I1143">
        <v>77.78</v>
      </c>
      <c r="J1143" s="1">
        <v>45845</v>
      </c>
      <c r="K1143">
        <v>23</v>
      </c>
      <c r="L1143">
        <v>2.5</v>
      </c>
      <c r="M1143" t="b">
        <v>1</v>
      </c>
      <c r="N1143" t="s">
        <v>73</v>
      </c>
    </row>
    <row r="1144" spans="1:14" x14ac:dyDescent="0.25">
      <c r="A1144" t="s">
        <v>1197</v>
      </c>
      <c r="B1144" t="s">
        <v>42</v>
      </c>
      <c r="C1144" t="s">
        <v>43</v>
      </c>
      <c r="D1144" t="s">
        <v>23</v>
      </c>
      <c r="E1144" t="s">
        <v>49</v>
      </c>
      <c r="F1144" t="s">
        <v>70</v>
      </c>
      <c r="G1144">
        <v>157.69</v>
      </c>
      <c r="H1144">
        <v>35.9</v>
      </c>
      <c r="I1144">
        <v>101.08</v>
      </c>
      <c r="J1144" s="1">
        <v>45875</v>
      </c>
      <c r="K1144">
        <v>6</v>
      </c>
      <c r="L1144">
        <v>1</v>
      </c>
      <c r="M1144" t="b">
        <v>0</v>
      </c>
    </row>
    <row r="1145" spans="1:14" x14ac:dyDescent="0.25">
      <c r="A1145" t="s">
        <v>1198</v>
      </c>
      <c r="B1145" t="s">
        <v>21</v>
      </c>
      <c r="C1145" t="s">
        <v>16</v>
      </c>
      <c r="D1145" t="s">
        <v>23</v>
      </c>
      <c r="E1145" t="s">
        <v>24</v>
      </c>
      <c r="F1145" t="s">
        <v>28</v>
      </c>
      <c r="G1145">
        <v>99.57</v>
      </c>
      <c r="H1145">
        <v>0</v>
      </c>
      <c r="I1145">
        <v>99.57</v>
      </c>
      <c r="J1145" s="1">
        <v>45875</v>
      </c>
      <c r="K1145">
        <v>17</v>
      </c>
      <c r="L1145">
        <v>1</v>
      </c>
      <c r="M1145" t="b">
        <v>0</v>
      </c>
    </row>
    <row r="1146" spans="1:14" x14ac:dyDescent="0.25">
      <c r="A1146" t="s">
        <v>1199</v>
      </c>
      <c r="B1146" t="s">
        <v>27</v>
      </c>
      <c r="C1146" t="s">
        <v>16</v>
      </c>
      <c r="D1146" t="s">
        <v>62</v>
      </c>
      <c r="F1146" t="s">
        <v>70</v>
      </c>
      <c r="G1146">
        <v>43.61</v>
      </c>
      <c r="H1146">
        <v>33.299999999999997</v>
      </c>
      <c r="I1146">
        <v>29.09</v>
      </c>
      <c r="J1146" s="1">
        <v>45875</v>
      </c>
      <c r="K1146">
        <v>47</v>
      </c>
      <c r="L1146">
        <v>2.5</v>
      </c>
      <c r="M1146" t="b">
        <v>0</v>
      </c>
    </row>
    <row r="1147" spans="1:14" x14ac:dyDescent="0.25">
      <c r="A1147" t="s">
        <v>1200</v>
      </c>
      <c r="B1147" t="s">
        <v>15</v>
      </c>
      <c r="C1147" t="s">
        <v>61</v>
      </c>
      <c r="D1147" t="s">
        <v>23</v>
      </c>
      <c r="E1147" t="s">
        <v>58</v>
      </c>
      <c r="F1147" t="s">
        <v>70</v>
      </c>
      <c r="G1147">
        <v>88.87</v>
      </c>
      <c r="H1147">
        <v>0</v>
      </c>
      <c r="I1147">
        <v>88.87</v>
      </c>
      <c r="J1147" s="1">
        <v>45875</v>
      </c>
      <c r="K1147">
        <v>27</v>
      </c>
      <c r="L1147">
        <v>2.4</v>
      </c>
      <c r="M1147" t="b">
        <v>0</v>
      </c>
    </row>
    <row r="1148" spans="1:14" x14ac:dyDescent="0.25">
      <c r="A1148" t="s">
        <v>1201</v>
      </c>
      <c r="B1148" t="s">
        <v>38</v>
      </c>
      <c r="C1148" t="s">
        <v>75</v>
      </c>
      <c r="D1148" t="s">
        <v>34</v>
      </c>
      <c r="E1148" t="s">
        <v>58</v>
      </c>
      <c r="F1148" t="s">
        <v>35</v>
      </c>
      <c r="G1148">
        <v>112.6</v>
      </c>
      <c r="H1148">
        <v>19.8</v>
      </c>
      <c r="I1148">
        <v>90.31</v>
      </c>
      <c r="J1148" s="1">
        <v>45875</v>
      </c>
      <c r="K1148">
        <v>2</v>
      </c>
      <c r="L1148">
        <v>1</v>
      </c>
      <c r="M1148" t="b">
        <v>0</v>
      </c>
    </row>
    <row r="1149" spans="1:14" x14ac:dyDescent="0.25">
      <c r="A1149" t="s">
        <v>1202</v>
      </c>
      <c r="B1149" t="s">
        <v>21</v>
      </c>
      <c r="C1149" t="s">
        <v>22</v>
      </c>
      <c r="D1149" t="s">
        <v>34</v>
      </c>
      <c r="E1149" t="s">
        <v>18</v>
      </c>
      <c r="F1149" t="s">
        <v>46</v>
      </c>
      <c r="G1149">
        <v>33.35</v>
      </c>
      <c r="H1149">
        <v>0</v>
      </c>
      <c r="I1149">
        <v>33.35</v>
      </c>
      <c r="J1149" s="1">
        <v>45875</v>
      </c>
      <c r="K1149">
        <v>29</v>
      </c>
      <c r="L1149">
        <v>1.2</v>
      </c>
      <c r="M1149" t="b">
        <v>0</v>
      </c>
    </row>
    <row r="1150" spans="1:14" x14ac:dyDescent="0.25">
      <c r="A1150" t="s">
        <v>1203</v>
      </c>
      <c r="B1150" t="s">
        <v>38</v>
      </c>
      <c r="C1150" t="s">
        <v>75</v>
      </c>
      <c r="D1150" t="s">
        <v>34</v>
      </c>
      <c r="E1150" t="s">
        <v>24</v>
      </c>
      <c r="F1150" t="s">
        <v>64</v>
      </c>
      <c r="G1150">
        <v>115.82</v>
      </c>
      <c r="H1150">
        <v>2.9</v>
      </c>
      <c r="I1150">
        <v>112.46</v>
      </c>
      <c r="J1150" s="1">
        <v>45875</v>
      </c>
      <c r="K1150">
        <v>46</v>
      </c>
      <c r="M1150" t="b">
        <v>0</v>
      </c>
    </row>
    <row r="1151" spans="1:14" x14ac:dyDescent="0.25">
      <c r="A1151" t="s">
        <v>1204</v>
      </c>
      <c r="B1151" t="s">
        <v>21</v>
      </c>
      <c r="C1151" t="s">
        <v>32</v>
      </c>
      <c r="D1151" t="s">
        <v>34</v>
      </c>
      <c r="E1151" t="s">
        <v>18</v>
      </c>
      <c r="F1151" t="s">
        <v>35</v>
      </c>
      <c r="G1151">
        <v>107.79</v>
      </c>
      <c r="H1151">
        <v>3.1</v>
      </c>
      <c r="I1151">
        <v>104.45</v>
      </c>
      <c r="J1151" s="1">
        <v>45875</v>
      </c>
      <c r="K1151">
        <v>6</v>
      </c>
      <c r="L1151">
        <v>2.8</v>
      </c>
      <c r="M1151" t="b">
        <v>0</v>
      </c>
    </row>
    <row r="1152" spans="1:14" x14ac:dyDescent="0.25">
      <c r="A1152" t="s">
        <v>1205</v>
      </c>
      <c r="B1152" t="s">
        <v>21</v>
      </c>
      <c r="C1152" t="s">
        <v>48</v>
      </c>
      <c r="D1152" t="s">
        <v>62</v>
      </c>
      <c r="E1152" t="s">
        <v>39</v>
      </c>
      <c r="F1152" t="s">
        <v>35</v>
      </c>
      <c r="G1152">
        <v>53.87</v>
      </c>
      <c r="H1152">
        <v>0</v>
      </c>
      <c r="I1152">
        <v>53.87</v>
      </c>
      <c r="J1152" s="1">
        <v>45875</v>
      </c>
      <c r="K1152">
        <v>50</v>
      </c>
      <c r="L1152">
        <v>4.2</v>
      </c>
      <c r="M1152" t="b">
        <v>1</v>
      </c>
      <c r="N1152" t="s">
        <v>78</v>
      </c>
    </row>
    <row r="1153" spans="1:14" x14ac:dyDescent="0.25">
      <c r="A1153" t="s">
        <v>1206</v>
      </c>
      <c r="B1153" t="s">
        <v>21</v>
      </c>
      <c r="C1153" t="s">
        <v>61</v>
      </c>
      <c r="D1153" t="s">
        <v>17</v>
      </c>
      <c r="E1153" t="s">
        <v>55</v>
      </c>
      <c r="F1153" t="s">
        <v>46</v>
      </c>
      <c r="G1153">
        <v>72.5</v>
      </c>
      <c r="H1153">
        <v>40.799999999999997</v>
      </c>
      <c r="I1153">
        <v>42.92</v>
      </c>
      <c r="J1153" s="1">
        <v>45656</v>
      </c>
      <c r="K1153">
        <v>23</v>
      </c>
      <c r="L1153">
        <v>4.4000000000000004</v>
      </c>
      <c r="M1153" t="b">
        <v>0</v>
      </c>
    </row>
    <row r="1154" spans="1:14" x14ac:dyDescent="0.25">
      <c r="A1154" t="s">
        <v>1207</v>
      </c>
      <c r="B1154" t="s">
        <v>30</v>
      </c>
      <c r="C1154" t="s">
        <v>61</v>
      </c>
      <c r="D1154" t="s">
        <v>17</v>
      </c>
      <c r="E1154" t="s">
        <v>39</v>
      </c>
      <c r="F1154" t="s">
        <v>40</v>
      </c>
      <c r="G1154">
        <v>152.32</v>
      </c>
      <c r="H1154">
        <v>0</v>
      </c>
      <c r="I1154">
        <v>152.32</v>
      </c>
      <c r="J1154" s="1">
        <v>45817</v>
      </c>
      <c r="K1154">
        <v>15</v>
      </c>
      <c r="M1154" t="b">
        <v>0</v>
      </c>
    </row>
    <row r="1155" spans="1:14" x14ac:dyDescent="0.25">
      <c r="A1155" t="s">
        <v>1208</v>
      </c>
      <c r="B1155" t="s">
        <v>42</v>
      </c>
      <c r="C1155" t="s">
        <v>48</v>
      </c>
      <c r="D1155" t="s">
        <v>23</v>
      </c>
      <c r="E1155" t="s">
        <v>58</v>
      </c>
      <c r="F1155" t="s">
        <v>19</v>
      </c>
      <c r="G1155">
        <v>67.63</v>
      </c>
      <c r="H1155">
        <v>0</v>
      </c>
      <c r="I1155">
        <v>67.63</v>
      </c>
      <c r="J1155" s="1">
        <v>45875</v>
      </c>
      <c r="K1155">
        <v>9</v>
      </c>
      <c r="L1155">
        <v>4.7</v>
      </c>
      <c r="M1155" t="b">
        <v>0</v>
      </c>
    </row>
    <row r="1156" spans="1:14" x14ac:dyDescent="0.25">
      <c r="A1156" t="s">
        <v>1209</v>
      </c>
      <c r="B1156" t="s">
        <v>15</v>
      </c>
      <c r="C1156" t="s">
        <v>22</v>
      </c>
      <c r="D1156" t="s">
        <v>62</v>
      </c>
      <c r="E1156" t="s">
        <v>55</v>
      </c>
      <c r="F1156" t="s">
        <v>66</v>
      </c>
      <c r="G1156">
        <v>221.94</v>
      </c>
      <c r="H1156">
        <v>0</v>
      </c>
      <c r="I1156">
        <v>221.94</v>
      </c>
      <c r="J1156" s="1">
        <v>45875</v>
      </c>
      <c r="K1156">
        <v>35</v>
      </c>
      <c r="L1156">
        <v>1.5</v>
      </c>
      <c r="M1156" t="b">
        <v>0</v>
      </c>
    </row>
    <row r="1157" spans="1:14" x14ac:dyDescent="0.25">
      <c r="A1157" t="s">
        <v>1210</v>
      </c>
      <c r="B1157" t="s">
        <v>38</v>
      </c>
      <c r="C1157" t="s">
        <v>16</v>
      </c>
      <c r="D1157" t="s">
        <v>34</v>
      </c>
      <c r="E1157" t="s">
        <v>55</v>
      </c>
      <c r="F1157" t="s">
        <v>25</v>
      </c>
      <c r="G1157">
        <v>118.77</v>
      </c>
      <c r="H1157">
        <v>8.4</v>
      </c>
      <c r="I1157">
        <v>108.79</v>
      </c>
      <c r="J1157" s="1">
        <v>45875</v>
      </c>
      <c r="K1157">
        <v>30</v>
      </c>
      <c r="L1157">
        <v>4.5999999999999996</v>
      </c>
      <c r="M1157" t="b">
        <v>1</v>
      </c>
      <c r="N1157" t="s">
        <v>125</v>
      </c>
    </row>
    <row r="1158" spans="1:14" x14ac:dyDescent="0.25">
      <c r="A1158" t="s">
        <v>1211</v>
      </c>
      <c r="B1158" t="s">
        <v>21</v>
      </c>
      <c r="C1158" t="s">
        <v>75</v>
      </c>
      <c r="D1158" t="s">
        <v>34</v>
      </c>
      <c r="E1158" t="s">
        <v>55</v>
      </c>
      <c r="F1158" t="s">
        <v>46</v>
      </c>
      <c r="G1158">
        <v>100.17</v>
      </c>
      <c r="H1158">
        <v>0</v>
      </c>
      <c r="I1158">
        <v>100.17</v>
      </c>
      <c r="J1158" s="1">
        <v>45875</v>
      </c>
      <c r="K1158">
        <v>18</v>
      </c>
      <c r="L1158">
        <v>1.2</v>
      </c>
      <c r="M1158" t="b">
        <v>0</v>
      </c>
    </row>
    <row r="1159" spans="1:14" x14ac:dyDescent="0.25">
      <c r="A1159" t="s">
        <v>1212</v>
      </c>
      <c r="B1159" t="s">
        <v>27</v>
      </c>
      <c r="C1159" t="s">
        <v>32</v>
      </c>
      <c r="D1159" t="s">
        <v>62</v>
      </c>
      <c r="F1159" t="s">
        <v>35</v>
      </c>
      <c r="G1159">
        <v>18.45</v>
      </c>
      <c r="H1159">
        <v>0</v>
      </c>
      <c r="I1159">
        <v>18.45</v>
      </c>
      <c r="J1159" s="1">
        <v>45875</v>
      </c>
      <c r="K1159">
        <v>39</v>
      </c>
      <c r="L1159">
        <v>2.2000000000000002</v>
      </c>
      <c r="M1159" t="b">
        <v>0</v>
      </c>
    </row>
    <row r="1160" spans="1:14" x14ac:dyDescent="0.25">
      <c r="A1160" t="s">
        <v>1213</v>
      </c>
      <c r="B1160" t="s">
        <v>27</v>
      </c>
      <c r="C1160" t="s">
        <v>61</v>
      </c>
      <c r="D1160" t="s">
        <v>62</v>
      </c>
      <c r="F1160" t="s">
        <v>66</v>
      </c>
      <c r="G1160">
        <v>45.56</v>
      </c>
      <c r="H1160">
        <v>13.5</v>
      </c>
      <c r="I1160">
        <v>39.409999999999997</v>
      </c>
      <c r="J1160" s="1">
        <v>45875</v>
      </c>
      <c r="K1160">
        <v>40</v>
      </c>
      <c r="L1160">
        <v>3.2</v>
      </c>
      <c r="M1160" t="b">
        <v>0</v>
      </c>
    </row>
    <row r="1161" spans="1:14" x14ac:dyDescent="0.25">
      <c r="A1161" t="s">
        <v>1214</v>
      </c>
      <c r="B1161" t="s">
        <v>21</v>
      </c>
      <c r="C1161" t="s">
        <v>22</v>
      </c>
      <c r="D1161" t="s">
        <v>17</v>
      </c>
      <c r="E1161" t="s">
        <v>39</v>
      </c>
      <c r="F1161" t="s">
        <v>66</v>
      </c>
      <c r="G1161">
        <v>62.21</v>
      </c>
      <c r="H1161">
        <v>0</v>
      </c>
      <c r="I1161">
        <v>62.21</v>
      </c>
      <c r="J1161" s="1">
        <v>45861</v>
      </c>
      <c r="K1161">
        <v>38</v>
      </c>
      <c r="L1161">
        <v>2.6</v>
      </c>
      <c r="M1161" t="b">
        <v>0</v>
      </c>
    </row>
    <row r="1162" spans="1:14" x14ac:dyDescent="0.25">
      <c r="A1162" t="s">
        <v>1215</v>
      </c>
      <c r="B1162" t="s">
        <v>27</v>
      </c>
      <c r="C1162" t="s">
        <v>75</v>
      </c>
      <c r="D1162" t="s">
        <v>23</v>
      </c>
      <c r="F1162" t="s">
        <v>44</v>
      </c>
      <c r="G1162">
        <v>37.020000000000003</v>
      </c>
      <c r="H1162">
        <v>0</v>
      </c>
      <c r="I1162">
        <v>37.020000000000003</v>
      </c>
      <c r="J1162" s="1">
        <v>45875</v>
      </c>
      <c r="K1162">
        <v>12</v>
      </c>
      <c r="L1162">
        <v>4.3</v>
      </c>
      <c r="M1162" t="b">
        <v>0</v>
      </c>
    </row>
    <row r="1163" spans="1:14" x14ac:dyDescent="0.25">
      <c r="A1163" t="s">
        <v>1216</v>
      </c>
      <c r="B1163" t="s">
        <v>42</v>
      </c>
      <c r="C1163" t="s">
        <v>16</v>
      </c>
      <c r="D1163" t="s">
        <v>62</v>
      </c>
      <c r="E1163" t="s">
        <v>18</v>
      </c>
      <c r="F1163" t="s">
        <v>56</v>
      </c>
      <c r="G1163">
        <v>51.86</v>
      </c>
      <c r="H1163">
        <v>39</v>
      </c>
      <c r="I1163">
        <v>31.63</v>
      </c>
      <c r="J1163" s="1">
        <v>45875</v>
      </c>
      <c r="K1163">
        <v>40</v>
      </c>
      <c r="L1163">
        <v>2.4</v>
      </c>
      <c r="M1163" t="b">
        <v>0</v>
      </c>
    </row>
    <row r="1164" spans="1:14" x14ac:dyDescent="0.25">
      <c r="A1164" t="s">
        <v>1217</v>
      </c>
      <c r="B1164" t="s">
        <v>42</v>
      </c>
      <c r="C1164" t="s">
        <v>16</v>
      </c>
      <c r="D1164" t="s">
        <v>17</v>
      </c>
      <c r="E1164" t="s">
        <v>55</v>
      </c>
      <c r="F1164" t="s">
        <v>66</v>
      </c>
      <c r="G1164">
        <v>76.239999999999995</v>
      </c>
      <c r="H1164">
        <v>0</v>
      </c>
      <c r="I1164">
        <v>76.239999999999995</v>
      </c>
      <c r="J1164" s="1">
        <v>45664</v>
      </c>
      <c r="K1164">
        <v>14</v>
      </c>
      <c r="L1164">
        <v>2.8</v>
      </c>
      <c r="M1164" t="b">
        <v>0</v>
      </c>
    </row>
    <row r="1165" spans="1:14" x14ac:dyDescent="0.25">
      <c r="A1165" t="s">
        <v>1218</v>
      </c>
      <c r="B1165" t="s">
        <v>27</v>
      </c>
      <c r="C1165" t="s">
        <v>16</v>
      </c>
      <c r="D1165" t="s">
        <v>34</v>
      </c>
      <c r="F1165" t="s">
        <v>40</v>
      </c>
      <c r="G1165">
        <v>74.17</v>
      </c>
      <c r="H1165">
        <v>0</v>
      </c>
      <c r="I1165">
        <v>74.17</v>
      </c>
      <c r="J1165" s="1">
        <v>45875</v>
      </c>
      <c r="K1165">
        <v>24</v>
      </c>
      <c r="L1165">
        <v>1.7</v>
      </c>
      <c r="M1165" t="b">
        <v>0</v>
      </c>
    </row>
    <row r="1166" spans="1:14" x14ac:dyDescent="0.25">
      <c r="A1166" t="s">
        <v>1219</v>
      </c>
      <c r="B1166" t="s">
        <v>38</v>
      </c>
      <c r="C1166" t="s">
        <v>75</v>
      </c>
      <c r="D1166" t="s">
        <v>17</v>
      </c>
      <c r="E1166" t="s">
        <v>24</v>
      </c>
      <c r="F1166" t="s">
        <v>56</v>
      </c>
      <c r="G1166">
        <v>75.989999999999995</v>
      </c>
      <c r="H1166">
        <v>0</v>
      </c>
      <c r="I1166">
        <v>75.989999999999995</v>
      </c>
      <c r="J1166" s="1">
        <v>45706</v>
      </c>
      <c r="K1166">
        <v>19</v>
      </c>
      <c r="L1166">
        <v>1.7</v>
      </c>
      <c r="M1166" t="b">
        <v>1</v>
      </c>
      <c r="N1166" t="s">
        <v>73</v>
      </c>
    </row>
    <row r="1167" spans="1:14" x14ac:dyDescent="0.25">
      <c r="A1167" t="s">
        <v>1220</v>
      </c>
      <c r="B1167" t="s">
        <v>38</v>
      </c>
      <c r="C1167" t="s">
        <v>48</v>
      </c>
      <c r="D1167" t="s">
        <v>23</v>
      </c>
      <c r="E1167" t="s">
        <v>55</v>
      </c>
      <c r="F1167" t="s">
        <v>64</v>
      </c>
      <c r="G1167">
        <v>62.33</v>
      </c>
      <c r="H1167">
        <v>49.4</v>
      </c>
      <c r="I1167">
        <v>31.54</v>
      </c>
      <c r="J1167" s="1">
        <v>45875</v>
      </c>
      <c r="K1167">
        <v>46</v>
      </c>
      <c r="L1167">
        <v>3.5</v>
      </c>
      <c r="M1167" t="b">
        <v>0</v>
      </c>
    </row>
    <row r="1168" spans="1:14" x14ac:dyDescent="0.25">
      <c r="A1168" t="s">
        <v>1221</v>
      </c>
      <c r="B1168" t="s">
        <v>38</v>
      </c>
      <c r="C1168" t="s">
        <v>43</v>
      </c>
      <c r="D1168" t="s">
        <v>23</v>
      </c>
      <c r="E1168" t="s">
        <v>49</v>
      </c>
      <c r="F1168" t="s">
        <v>19</v>
      </c>
      <c r="G1168">
        <v>93.59</v>
      </c>
      <c r="H1168">
        <v>0</v>
      </c>
      <c r="I1168">
        <v>93.59</v>
      </c>
      <c r="J1168" s="1">
        <v>45875</v>
      </c>
      <c r="K1168">
        <v>38</v>
      </c>
      <c r="L1168">
        <v>1.9</v>
      </c>
      <c r="M1168" t="b">
        <v>0</v>
      </c>
    </row>
    <row r="1169" spans="1:14" x14ac:dyDescent="0.25">
      <c r="A1169" t="s">
        <v>1222</v>
      </c>
      <c r="B1169" t="s">
        <v>21</v>
      </c>
      <c r="C1169" t="s">
        <v>75</v>
      </c>
      <c r="D1169" t="s">
        <v>34</v>
      </c>
      <c r="F1169" t="s">
        <v>44</v>
      </c>
      <c r="G1169">
        <v>72.83</v>
      </c>
      <c r="H1169">
        <v>35.700000000000003</v>
      </c>
      <c r="I1169">
        <v>46.83</v>
      </c>
      <c r="J1169" s="1">
        <v>45875</v>
      </c>
      <c r="K1169">
        <v>11</v>
      </c>
      <c r="L1169">
        <v>3.1</v>
      </c>
      <c r="M1169" t="b">
        <v>0</v>
      </c>
    </row>
    <row r="1170" spans="1:14" x14ac:dyDescent="0.25">
      <c r="A1170" t="s">
        <v>1223</v>
      </c>
      <c r="B1170" t="s">
        <v>15</v>
      </c>
      <c r="C1170" t="s">
        <v>22</v>
      </c>
      <c r="D1170" t="s">
        <v>23</v>
      </c>
      <c r="E1170" t="s">
        <v>49</v>
      </c>
      <c r="F1170" t="s">
        <v>40</v>
      </c>
      <c r="G1170">
        <v>134.59</v>
      </c>
      <c r="H1170">
        <v>33.6</v>
      </c>
      <c r="I1170">
        <v>89.37</v>
      </c>
      <c r="J1170" s="1">
        <v>45875</v>
      </c>
      <c r="K1170">
        <v>42</v>
      </c>
      <c r="L1170">
        <v>2.9</v>
      </c>
      <c r="M1170" t="b">
        <v>0</v>
      </c>
    </row>
    <row r="1171" spans="1:14" x14ac:dyDescent="0.25">
      <c r="A1171" t="s">
        <v>1224</v>
      </c>
      <c r="B1171" t="s">
        <v>38</v>
      </c>
      <c r="C1171" t="s">
        <v>16</v>
      </c>
      <c r="D1171" t="s">
        <v>17</v>
      </c>
      <c r="F1171" t="s">
        <v>56</v>
      </c>
      <c r="G1171">
        <v>71.599999999999994</v>
      </c>
      <c r="H1171">
        <v>41.9</v>
      </c>
      <c r="I1171">
        <v>41.6</v>
      </c>
      <c r="J1171" s="1">
        <v>45759</v>
      </c>
      <c r="K1171">
        <v>16</v>
      </c>
      <c r="L1171">
        <v>2.8</v>
      </c>
      <c r="M1171" t="b">
        <v>0</v>
      </c>
    </row>
    <row r="1172" spans="1:14" x14ac:dyDescent="0.25">
      <c r="A1172" t="s">
        <v>1225</v>
      </c>
      <c r="B1172" t="s">
        <v>30</v>
      </c>
      <c r="C1172" t="s">
        <v>53</v>
      </c>
      <c r="D1172" t="s">
        <v>62</v>
      </c>
      <c r="E1172" t="s">
        <v>18</v>
      </c>
      <c r="F1172" t="s">
        <v>19</v>
      </c>
      <c r="G1172">
        <v>62.35</v>
      </c>
      <c r="H1172">
        <v>53.5</v>
      </c>
      <c r="I1172">
        <v>28.99</v>
      </c>
      <c r="J1172" s="1">
        <v>45875</v>
      </c>
      <c r="K1172">
        <v>1</v>
      </c>
      <c r="L1172">
        <v>4.0999999999999996</v>
      </c>
      <c r="M1172" t="b">
        <v>0</v>
      </c>
    </row>
    <row r="1173" spans="1:14" x14ac:dyDescent="0.25">
      <c r="A1173" t="s">
        <v>1226</v>
      </c>
      <c r="B1173" t="s">
        <v>15</v>
      </c>
      <c r="C1173" t="s">
        <v>53</v>
      </c>
      <c r="D1173" t="s">
        <v>17</v>
      </c>
      <c r="E1173" t="s">
        <v>55</v>
      </c>
      <c r="F1173" t="s">
        <v>64</v>
      </c>
      <c r="G1173">
        <v>80.55</v>
      </c>
      <c r="H1173">
        <v>43.7</v>
      </c>
      <c r="I1173">
        <v>45.35</v>
      </c>
      <c r="J1173" s="1">
        <v>45586</v>
      </c>
      <c r="K1173">
        <v>41</v>
      </c>
      <c r="L1173">
        <v>4.8</v>
      </c>
      <c r="M1173" t="b">
        <v>1</v>
      </c>
      <c r="N1173" t="s">
        <v>115</v>
      </c>
    </row>
    <row r="1174" spans="1:14" x14ac:dyDescent="0.25">
      <c r="A1174" t="s">
        <v>1227</v>
      </c>
      <c r="B1174" t="s">
        <v>30</v>
      </c>
      <c r="C1174" t="s">
        <v>32</v>
      </c>
      <c r="D1174" t="s">
        <v>23</v>
      </c>
      <c r="E1174" t="s">
        <v>58</v>
      </c>
      <c r="F1174" t="s">
        <v>56</v>
      </c>
      <c r="G1174">
        <v>171.48</v>
      </c>
      <c r="H1174">
        <v>0</v>
      </c>
      <c r="I1174">
        <v>171.48</v>
      </c>
      <c r="J1174" s="1">
        <v>45875</v>
      </c>
      <c r="K1174">
        <v>15</v>
      </c>
      <c r="L1174">
        <v>2.4</v>
      </c>
      <c r="M1174" t="b">
        <v>0</v>
      </c>
    </row>
    <row r="1175" spans="1:14" x14ac:dyDescent="0.25">
      <c r="A1175" t="s">
        <v>1228</v>
      </c>
      <c r="B1175" t="s">
        <v>21</v>
      </c>
      <c r="C1175" t="s">
        <v>53</v>
      </c>
      <c r="D1175" t="s">
        <v>17</v>
      </c>
      <c r="E1175" t="s">
        <v>18</v>
      </c>
      <c r="F1175" t="s">
        <v>64</v>
      </c>
      <c r="G1175">
        <v>30.81</v>
      </c>
      <c r="H1175">
        <v>15.7</v>
      </c>
      <c r="I1175">
        <v>25.97</v>
      </c>
      <c r="J1175" s="1">
        <v>45554</v>
      </c>
      <c r="K1175">
        <v>4</v>
      </c>
      <c r="M1175" t="b">
        <v>0</v>
      </c>
    </row>
    <row r="1176" spans="1:14" x14ac:dyDescent="0.25">
      <c r="A1176" t="s">
        <v>1229</v>
      </c>
      <c r="B1176" t="s">
        <v>42</v>
      </c>
      <c r="C1176" t="s">
        <v>48</v>
      </c>
      <c r="D1176" t="s">
        <v>62</v>
      </c>
      <c r="E1176" t="s">
        <v>24</v>
      </c>
      <c r="F1176" t="s">
        <v>44</v>
      </c>
      <c r="G1176">
        <v>97.14</v>
      </c>
      <c r="H1176">
        <v>0</v>
      </c>
      <c r="I1176">
        <v>97.14</v>
      </c>
      <c r="J1176" s="1">
        <v>45875</v>
      </c>
      <c r="K1176">
        <v>20</v>
      </c>
      <c r="L1176">
        <v>4.0999999999999996</v>
      </c>
      <c r="M1176" t="b">
        <v>0</v>
      </c>
    </row>
    <row r="1177" spans="1:14" x14ac:dyDescent="0.25">
      <c r="A1177" t="s">
        <v>1230</v>
      </c>
      <c r="B1177" t="s">
        <v>30</v>
      </c>
      <c r="C1177" t="s">
        <v>75</v>
      </c>
      <c r="D1177" t="s">
        <v>34</v>
      </c>
      <c r="E1177" t="s">
        <v>39</v>
      </c>
      <c r="F1177" t="s">
        <v>35</v>
      </c>
      <c r="G1177">
        <v>128.27000000000001</v>
      </c>
      <c r="H1177">
        <v>0</v>
      </c>
      <c r="I1177">
        <v>128.27000000000001</v>
      </c>
      <c r="J1177" s="1">
        <v>45875</v>
      </c>
      <c r="K1177">
        <v>28</v>
      </c>
      <c r="M1177" t="b">
        <v>0</v>
      </c>
    </row>
    <row r="1178" spans="1:14" x14ac:dyDescent="0.25">
      <c r="A1178" t="s">
        <v>1231</v>
      </c>
      <c r="B1178" t="s">
        <v>42</v>
      </c>
      <c r="C1178" t="s">
        <v>16</v>
      </c>
      <c r="D1178" t="s">
        <v>23</v>
      </c>
      <c r="E1178" t="s">
        <v>18</v>
      </c>
      <c r="F1178" t="s">
        <v>46</v>
      </c>
      <c r="G1178">
        <v>174.86</v>
      </c>
      <c r="H1178">
        <v>0</v>
      </c>
      <c r="I1178">
        <v>174.86</v>
      </c>
      <c r="J1178" s="1">
        <v>45875</v>
      </c>
      <c r="K1178">
        <v>43</v>
      </c>
      <c r="L1178">
        <v>4.5999999999999996</v>
      </c>
      <c r="M1178" t="b">
        <v>0</v>
      </c>
    </row>
    <row r="1179" spans="1:14" x14ac:dyDescent="0.25">
      <c r="A1179" t="s">
        <v>1232</v>
      </c>
      <c r="B1179" t="s">
        <v>42</v>
      </c>
      <c r="C1179" t="s">
        <v>32</v>
      </c>
      <c r="D1179" t="s">
        <v>23</v>
      </c>
      <c r="E1179" t="s">
        <v>18</v>
      </c>
      <c r="F1179" t="s">
        <v>35</v>
      </c>
      <c r="G1179">
        <v>100.03</v>
      </c>
      <c r="H1179">
        <v>0</v>
      </c>
      <c r="I1179">
        <v>100.03</v>
      </c>
      <c r="J1179" s="1">
        <v>45875</v>
      </c>
      <c r="K1179">
        <v>36</v>
      </c>
      <c r="L1179">
        <v>1.9</v>
      </c>
      <c r="M1179" t="b">
        <v>1</v>
      </c>
      <c r="N1179" t="s">
        <v>83</v>
      </c>
    </row>
    <row r="1180" spans="1:14" x14ac:dyDescent="0.25">
      <c r="A1180" t="s">
        <v>1233</v>
      </c>
      <c r="B1180" t="s">
        <v>42</v>
      </c>
      <c r="C1180" t="s">
        <v>16</v>
      </c>
      <c r="D1180" t="s">
        <v>23</v>
      </c>
      <c r="E1180" t="s">
        <v>39</v>
      </c>
      <c r="F1180" t="s">
        <v>66</v>
      </c>
      <c r="G1180">
        <v>49.89</v>
      </c>
      <c r="H1180">
        <v>0</v>
      </c>
      <c r="I1180">
        <v>49.89</v>
      </c>
      <c r="J1180" s="1">
        <v>45875</v>
      </c>
      <c r="K1180">
        <v>0</v>
      </c>
      <c r="L1180">
        <v>3.5</v>
      </c>
      <c r="M1180" t="b">
        <v>1</v>
      </c>
      <c r="N1180" t="s">
        <v>125</v>
      </c>
    </row>
    <row r="1181" spans="1:14" x14ac:dyDescent="0.25">
      <c r="A1181" t="s">
        <v>1234</v>
      </c>
      <c r="B1181" t="s">
        <v>30</v>
      </c>
      <c r="C1181" t="s">
        <v>48</v>
      </c>
      <c r="D1181" t="s">
        <v>34</v>
      </c>
      <c r="E1181" t="s">
        <v>18</v>
      </c>
      <c r="F1181" t="s">
        <v>70</v>
      </c>
      <c r="G1181">
        <v>170.43</v>
      </c>
      <c r="H1181">
        <v>0</v>
      </c>
      <c r="I1181">
        <v>170.43</v>
      </c>
      <c r="J1181" s="1">
        <v>45875</v>
      </c>
      <c r="K1181">
        <v>22</v>
      </c>
      <c r="M1181" t="b">
        <v>0</v>
      </c>
    </row>
    <row r="1182" spans="1:14" x14ac:dyDescent="0.25">
      <c r="A1182" t="s">
        <v>1235</v>
      </c>
      <c r="B1182" t="s">
        <v>15</v>
      </c>
      <c r="C1182" t="s">
        <v>61</v>
      </c>
      <c r="D1182" t="s">
        <v>62</v>
      </c>
      <c r="E1182" t="s">
        <v>55</v>
      </c>
      <c r="F1182" t="s">
        <v>64</v>
      </c>
      <c r="G1182">
        <v>186.78</v>
      </c>
      <c r="H1182">
        <v>0</v>
      </c>
      <c r="I1182">
        <v>186.78</v>
      </c>
      <c r="J1182" s="1">
        <v>45875</v>
      </c>
      <c r="K1182">
        <v>22</v>
      </c>
      <c r="L1182">
        <v>2.9</v>
      </c>
      <c r="M1182" t="b">
        <v>0</v>
      </c>
    </row>
    <row r="1183" spans="1:14" x14ac:dyDescent="0.25">
      <c r="A1183" t="s">
        <v>1236</v>
      </c>
      <c r="B1183" t="s">
        <v>27</v>
      </c>
      <c r="C1183" t="s">
        <v>75</v>
      </c>
      <c r="D1183" t="s">
        <v>34</v>
      </c>
      <c r="F1183" t="s">
        <v>64</v>
      </c>
      <c r="G1183">
        <v>63.98</v>
      </c>
      <c r="H1183">
        <v>0</v>
      </c>
      <c r="I1183">
        <v>63.98</v>
      </c>
      <c r="J1183" s="1">
        <v>45875</v>
      </c>
      <c r="K1183">
        <v>36</v>
      </c>
      <c r="L1183">
        <v>1.7</v>
      </c>
      <c r="M1183" t="b">
        <v>0</v>
      </c>
    </row>
    <row r="1184" spans="1:14" x14ac:dyDescent="0.25">
      <c r="A1184" t="s">
        <v>1237</v>
      </c>
      <c r="B1184" t="s">
        <v>15</v>
      </c>
      <c r="C1184" t="s">
        <v>75</v>
      </c>
      <c r="D1184" t="s">
        <v>34</v>
      </c>
      <c r="E1184" t="s">
        <v>55</v>
      </c>
      <c r="F1184" t="s">
        <v>64</v>
      </c>
      <c r="G1184">
        <v>225.64</v>
      </c>
      <c r="H1184">
        <v>0</v>
      </c>
      <c r="I1184">
        <v>225.64</v>
      </c>
      <c r="J1184" s="1">
        <v>45875</v>
      </c>
      <c r="K1184">
        <v>31</v>
      </c>
      <c r="L1184">
        <v>1.3</v>
      </c>
      <c r="M1184" t="b">
        <v>0</v>
      </c>
    </row>
    <row r="1185" spans="1:14" x14ac:dyDescent="0.25">
      <c r="A1185" t="s">
        <v>1238</v>
      </c>
      <c r="B1185" t="s">
        <v>21</v>
      </c>
      <c r="C1185" t="s">
        <v>43</v>
      </c>
      <c r="D1185" t="s">
        <v>34</v>
      </c>
      <c r="E1185" t="s">
        <v>55</v>
      </c>
      <c r="F1185" t="s">
        <v>35</v>
      </c>
      <c r="G1185">
        <v>115.29</v>
      </c>
      <c r="H1185">
        <v>13.9</v>
      </c>
      <c r="I1185">
        <v>99.26</v>
      </c>
      <c r="J1185" s="1">
        <v>45875</v>
      </c>
      <c r="K1185">
        <v>37</v>
      </c>
      <c r="M1185" t="b">
        <v>0</v>
      </c>
    </row>
    <row r="1186" spans="1:14" x14ac:dyDescent="0.25">
      <c r="A1186" t="s">
        <v>1239</v>
      </c>
      <c r="B1186" t="s">
        <v>38</v>
      </c>
      <c r="C1186" t="s">
        <v>43</v>
      </c>
      <c r="D1186" t="s">
        <v>34</v>
      </c>
      <c r="E1186" t="s">
        <v>55</v>
      </c>
      <c r="F1186" t="s">
        <v>35</v>
      </c>
      <c r="G1186">
        <v>92.59</v>
      </c>
      <c r="H1186">
        <v>0</v>
      </c>
      <c r="I1186">
        <v>92.59</v>
      </c>
      <c r="J1186" s="1">
        <v>45875</v>
      </c>
      <c r="K1186">
        <v>39</v>
      </c>
      <c r="L1186">
        <v>2.2999999999999998</v>
      </c>
      <c r="M1186" t="b">
        <v>0</v>
      </c>
    </row>
    <row r="1187" spans="1:14" x14ac:dyDescent="0.25">
      <c r="A1187" t="s">
        <v>1240</v>
      </c>
      <c r="B1187" t="s">
        <v>27</v>
      </c>
      <c r="C1187" t="s">
        <v>22</v>
      </c>
      <c r="D1187" t="s">
        <v>17</v>
      </c>
      <c r="F1187" t="s">
        <v>56</v>
      </c>
      <c r="G1187">
        <v>67.650000000000006</v>
      </c>
      <c r="H1187">
        <v>26.2</v>
      </c>
      <c r="I1187">
        <v>49.93</v>
      </c>
      <c r="J1187" s="1">
        <v>45805</v>
      </c>
      <c r="K1187">
        <v>23</v>
      </c>
      <c r="L1187">
        <v>1.7</v>
      </c>
      <c r="M1187" t="b">
        <v>0</v>
      </c>
    </row>
    <row r="1188" spans="1:14" x14ac:dyDescent="0.25">
      <c r="A1188" t="s">
        <v>1241</v>
      </c>
      <c r="B1188" t="s">
        <v>15</v>
      </c>
      <c r="C1188" t="s">
        <v>53</v>
      </c>
      <c r="D1188" t="s">
        <v>17</v>
      </c>
      <c r="E1188" t="s">
        <v>24</v>
      </c>
      <c r="F1188" t="s">
        <v>35</v>
      </c>
      <c r="G1188">
        <v>128.91999999999999</v>
      </c>
      <c r="H1188">
        <v>0</v>
      </c>
      <c r="I1188">
        <v>128.91999999999999</v>
      </c>
      <c r="J1188" s="1">
        <v>45848</v>
      </c>
      <c r="K1188">
        <v>40</v>
      </c>
      <c r="L1188">
        <v>1.5</v>
      </c>
      <c r="M1188" t="b">
        <v>0</v>
      </c>
    </row>
    <row r="1189" spans="1:14" x14ac:dyDescent="0.25">
      <c r="A1189" t="s">
        <v>1242</v>
      </c>
      <c r="B1189" t="s">
        <v>27</v>
      </c>
      <c r="C1189" t="s">
        <v>32</v>
      </c>
      <c r="D1189" t="s">
        <v>34</v>
      </c>
      <c r="F1189" t="s">
        <v>19</v>
      </c>
      <c r="G1189">
        <v>16.510000000000002</v>
      </c>
      <c r="H1189">
        <v>16.8</v>
      </c>
      <c r="I1189">
        <v>13.74</v>
      </c>
      <c r="J1189" s="1">
        <v>45875</v>
      </c>
      <c r="K1189">
        <v>47</v>
      </c>
      <c r="L1189">
        <v>1.2</v>
      </c>
      <c r="M1189" t="b">
        <v>0</v>
      </c>
    </row>
    <row r="1190" spans="1:14" x14ac:dyDescent="0.25">
      <c r="A1190" t="s">
        <v>1243</v>
      </c>
      <c r="B1190" t="s">
        <v>30</v>
      </c>
      <c r="C1190" t="s">
        <v>32</v>
      </c>
      <c r="D1190" t="s">
        <v>23</v>
      </c>
      <c r="F1190" t="s">
        <v>40</v>
      </c>
      <c r="G1190">
        <v>173.66</v>
      </c>
      <c r="H1190">
        <v>42.7</v>
      </c>
      <c r="I1190">
        <v>99.51</v>
      </c>
      <c r="J1190" s="1">
        <v>45875</v>
      </c>
      <c r="K1190">
        <v>1</v>
      </c>
      <c r="L1190">
        <v>3.1</v>
      </c>
      <c r="M1190" t="b">
        <v>0</v>
      </c>
    </row>
    <row r="1191" spans="1:14" x14ac:dyDescent="0.25">
      <c r="A1191" t="s">
        <v>1244</v>
      </c>
      <c r="B1191" t="s">
        <v>21</v>
      </c>
      <c r="C1191" t="s">
        <v>48</v>
      </c>
      <c r="D1191" t="s">
        <v>17</v>
      </c>
      <c r="E1191" t="s">
        <v>39</v>
      </c>
      <c r="F1191" t="s">
        <v>28</v>
      </c>
      <c r="G1191">
        <v>71.489999999999995</v>
      </c>
      <c r="H1191">
        <v>20.9</v>
      </c>
      <c r="I1191">
        <v>56.55</v>
      </c>
      <c r="J1191" s="1">
        <v>45669</v>
      </c>
      <c r="K1191">
        <v>33</v>
      </c>
      <c r="L1191">
        <v>1.3</v>
      </c>
      <c r="M1191" t="b">
        <v>0</v>
      </c>
    </row>
    <row r="1192" spans="1:14" x14ac:dyDescent="0.25">
      <c r="A1192" t="s">
        <v>1245</v>
      </c>
      <c r="B1192" t="s">
        <v>15</v>
      </c>
      <c r="C1192" t="s">
        <v>22</v>
      </c>
      <c r="D1192" t="s">
        <v>34</v>
      </c>
      <c r="E1192" t="s">
        <v>49</v>
      </c>
      <c r="F1192" t="s">
        <v>40</v>
      </c>
      <c r="G1192">
        <v>230.81</v>
      </c>
      <c r="H1192">
        <v>24.3</v>
      </c>
      <c r="I1192">
        <v>174.72</v>
      </c>
      <c r="J1192" s="1">
        <v>45875</v>
      </c>
      <c r="K1192">
        <v>26</v>
      </c>
      <c r="M1192" t="b">
        <v>1</v>
      </c>
      <c r="N1192" t="s">
        <v>73</v>
      </c>
    </row>
    <row r="1193" spans="1:14" x14ac:dyDescent="0.25">
      <c r="A1193" t="s">
        <v>1246</v>
      </c>
      <c r="B1193" t="s">
        <v>30</v>
      </c>
      <c r="C1193" t="s">
        <v>48</v>
      </c>
      <c r="D1193" t="s">
        <v>17</v>
      </c>
      <c r="E1193" t="s">
        <v>55</v>
      </c>
      <c r="F1193" t="s">
        <v>46</v>
      </c>
      <c r="G1193">
        <v>101</v>
      </c>
      <c r="H1193">
        <v>58.6</v>
      </c>
      <c r="I1193">
        <v>41.81</v>
      </c>
      <c r="J1193" s="1">
        <v>45842</v>
      </c>
      <c r="K1193">
        <v>44</v>
      </c>
      <c r="L1193">
        <v>1.2</v>
      </c>
      <c r="M1193" t="b">
        <v>0</v>
      </c>
    </row>
    <row r="1194" spans="1:14" x14ac:dyDescent="0.25">
      <c r="A1194" t="s">
        <v>1247</v>
      </c>
      <c r="B1194" t="s">
        <v>15</v>
      </c>
      <c r="C1194" t="s">
        <v>43</v>
      </c>
      <c r="D1194" t="s">
        <v>23</v>
      </c>
      <c r="E1194" t="s">
        <v>49</v>
      </c>
      <c r="F1194" t="s">
        <v>70</v>
      </c>
      <c r="G1194">
        <v>116.37</v>
      </c>
      <c r="H1194">
        <v>52.6</v>
      </c>
      <c r="I1194">
        <v>55.16</v>
      </c>
      <c r="J1194" s="1">
        <v>45875</v>
      </c>
      <c r="K1194">
        <v>43</v>
      </c>
      <c r="L1194">
        <v>2.4</v>
      </c>
      <c r="M1194" t="b">
        <v>0</v>
      </c>
    </row>
    <row r="1195" spans="1:14" x14ac:dyDescent="0.25">
      <c r="A1195" t="s">
        <v>1248</v>
      </c>
      <c r="B1195" t="s">
        <v>30</v>
      </c>
      <c r="C1195" t="s">
        <v>48</v>
      </c>
      <c r="D1195" t="s">
        <v>17</v>
      </c>
      <c r="E1195" t="s">
        <v>24</v>
      </c>
      <c r="F1195" t="s">
        <v>56</v>
      </c>
      <c r="G1195">
        <v>150.28</v>
      </c>
      <c r="H1195">
        <v>8.3000000000000007</v>
      </c>
      <c r="I1195">
        <v>137.81</v>
      </c>
      <c r="J1195" s="1">
        <v>45679</v>
      </c>
      <c r="K1195">
        <v>48</v>
      </c>
      <c r="L1195">
        <v>2.9</v>
      </c>
      <c r="M1195" t="b">
        <v>0</v>
      </c>
    </row>
    <row r="1196" spans="1:14" x14ac:dyDescent="0.25">
      <c r="A1196" t="s">
        <v>1249</v>
      </c>
      <c r="B1196" t="s">
        <v>15</v>
      </c>
      <c r="C1196" t="s">
        <v>16</v>
      </c>
      <c r="D1196" t="s">
        <v>23</v>
      </c>
      <c r="E1196" t="s">
        <v>18</v>
      </c>
      <c r="F1196" t="s">
        <v>40</v>
      </c>
      <c r="G1196">
        <v>107.81</v>
      </c>
      <c r="H1196">
        <v>0</v>
      </c>
      <c r="I1196">
        <v>107.81</v>
      </c>
      <c r="J1196" s="1">
        <v>45875</v>
      </c>
      <c r="K1196">
        <v>15</v>
      </c>
      <c r="L1196">
        <v>2.7</v>
      </c>
      <c r="M1196" t="b">
        <v>0</v>
      </c>
    </row>
    <row r="1197" spans="1:14" x14ac:dyDescent="0.25">
      <c r="A1197" t="s">
        <v>1250</v>
      </c>
      <c r="B1197" t="s">
        <v>42</v>
      </c>
      <c r="C1197" t="s">
        <v>16</v>
      </c>
      <c r="D1197" t="s">
        <v>17</v>
      </c>
      <c r="E1197" t="s">
        <v>24</v>
      </c>
      <c r="F1197" t="s">
        <v>64</v>
      </c>
      <c r="G1197">
        <v>61.24</v>
      </c>
      <c r="H1197">
        <v>0</v>
      </c>
      <c r="I1197">
        <v>61.24</v>
      </c>
      <c r="J1197" s="1">
        <v>45752</v>
      </c>
      <c r="K1197">
        <v>3</v>
      </c>
      <c r="M1197" t="b">
        <v>0</v>
      </c>
    </row>
    <row r="1198" spans="1:14" x14ac:dyDescent="0.25">
      <c r="A1198" t="s">
        <v>1251</v>
      </c>
      <c r="B1198" t="s">
        <v>27</v>
      </c>
      <c r="C1198" t="s">
        <v>16</v>
      </c>
      <c r="D1198" t="s">
        <v>23</v>
      </c>
      <c r="F1198" t="s">
        <v>46</v>
      </c>
      <c r="G1198">
        <v>34.04</v>
      </c>
      <c r="H1198">
        <v>0</v>
      </c>
      <c r="I1198">
        <v>34.04</v>
      </c>
      <c r="J1198" s="1">
        <v>45875</v>
      </c>
      <c r="K1198">
        <v>3</v>
      </c>
      <c r="L1198">
        <v>1.9</v>
      </c>
      <c r="M1198" t="b">
        <v>0</v>
      </c>
    </row>
    <row r="1199" spans="1:14" x14ac:dyDescent="0.25">
      <c r="A1199" t="s">
        <v>1252</v>
      </c>
      <c r="B1199" t="s">
        <v>42</v>
      </c>
      <c r="C1199" t="s">
        <v>61</v>
      </c>
      <c r="D1199" t="s">
        <v>62</v>
      </c>
      <c r="E1199" t="s">
        <v>39</v>
      </c>
      <c r="F1199" t="s">
        <v>70</v>
      </c>
      <c r="G1199">
        <v>168.16</v>
      </c>
      <c r="H1199">
        <v>45.9</v>
      </c>
      <c r="I1199">
        <v>90.97</v>
      </c>
      <c r="J1199" s="1">
        <v>45875</v>
      </c>
      <c r="K1199">
        <v>44</v>
      </c>
      <c r="L1199">
        <v>1.5</v>
      </c>
      <c r="M1199" t="b">
        <v>0</v>
      </c>
    </row>
    <row r="1200" spans="1:14" x14ac:dyDescent="0.25">
      <c r="A1200" t="s">
        <v>1253</v>
      </c>
      <c r="B1200" t="s">
        <v>21</v>
      </c>
      <c r="C1200" t="s">
        <v>53</v>
      </c>
      <c r="D1200" t="s">
        <v>34</v>
      </c>
      <c r="E1200" t="s">
        <v>58</v>
      </c>
      <c r="F1200" t="s">
        <v>19</v>
      </c>
      <c r="G1200">
        <v>74.069999999999993</v>
      </c>
      <c r="H1200">
        <v>0</v>
      </c>
      <c r="I1200">
        <v>74.069999999999993</v>
      </c>
      <c r="J1200" s="1">
        <v>45875</v>
      </c>
      <c r="K1200">
        <v>47</v>
      </c>
      <c r="L1200">
        <v>1.4</v>
      </c>
      <c r="M1200" t="b">
        <v>0</v>
      </c>
    </row>
    <row r="1201" spans="1:14" x14ac:dyDescent="0.25">
      <c r="A1201" t="s">
        <v>1254</v>
      </c>
      <c r="B1201" t="s">
        <v>21</v>
      </c>
      <c r="C1201" t="s">
        <v>75</v>
      </c>
      <c r="D1201" t="s">
        <v>23</v>
      </c>
      <c r="E1201" t="s">
        <v>49</v>
      </c>
      <c r="F1201" t="s">
        <v>70</v>
      </c>
      <c r="G1201">
        <v>84.75</v>
      </c>
      <c r="H1201">
        <v>0</v>
      </c>
      <c r="I1201">
        <v>84.75</v>
      </c>
      <c r="J1201" s="1">
        <v>45875</v>
      </c>
      <c r="K1201">
        <v>7</v>
      </c>
      <c r="L1201">
        <v>2.5</v>
      </c>
      <c r="M1201" t="b">
        <v>0</v>
      </c>
    </row>
    <row r="1202" spans="1:14" x14ac:dyDescent="0.25">
      <c r="A1202" t="s">
        <v>1255</v>
      </c>
      <c r="B1202" t="s">
        <v>30</v>
      </c>
      <c r="C1202" t="s">
        <v>43</v>
      </c>
      <c r="D1202" t="s">
        <v>62</v>
      </c>
      <c r="E1202" t="s">
        <v>58</v>
      </c>
      <c r="F1202" t="s">
        <v>19</v>
      </c>
      <c r="G1202">
        <v>187.47</v>
      </c>
      <c r="H1202">
        <v>9.6</v>
      </c>
      <c r="I1202">
        <v>169.47</v>
      </c>
      <c r="J1202" s="1">
        <v>45875</v>
      </c>
      <c r="K1202">
        <v>28</v>
      </c>
      <c r="L1202">
        <v>4</v>
      </c>
      <c r="M1202" t="b">
        <v>0</v>
      </c>
    </row>
    <row r="1203" spans="1:14" x14ac:dyDescent="0.25">
      <c r="A1203" t="s">
        <v>1256</v>
      </c>
      <c r="B1203" t="s">
        <v>27</v>
      </c>
      <c r="C1203" t="s">
        <v>22</v>
      </c>
      <c r="D1203" t="s">
        <v>17</v>
      </c>
      <c r="F1203" t="s">
        <v>46</v>
      </c>
      <c r="G1203">
        <v>45.81</v>
      </c>
      <c r="H1203">
        <v>14.1</v>
      </c>
      <c r="I1203">
        <v>39.35</v>
      </c>
      <c r="J1203" s="1">
        <v>45761</v>
      </c>
      <c r="K1203">
        <v>29</v>
      </c>
      <c r="M1203" t="b">
        <v>0</v>
      </c>
    </row>
    <row r="1204" spans="1:14" x14ac:dyDescent="0.25">
      <c r="A1204" t="s">
        <v>1257</v>
      </c>
      <c r="B1204" t="s">
        <v>15</v>
      </c>
      <c r="C1204" t="s">
        <v>32</v>
      </c>
      <c r="D1204" t="s">
        <v>34</v>
      </c>
      <c r="E1204" t="s">
        <v>18</v>
      </c>
      <c r="F1204" t="s">
        <v>70</v>
      </c>
      <c r="G1204">
        <v>87.09</v>
      </c>
      <c r="H1204">
        <v>0</v>
      </c>
      <c r="I1204">
        <v>87.09</v>
      </c>
      <c r="J1204" s="1">
        <v>45875</v>
      </c>
      <c r="K1204">
        <v>8</v>
      </c>
      <c r="L1204">
        <v>2.8</v>
      </c>
      <c r="M1204" t="b">
        <v>0</v>
      </c>
    </row>
    <row r="1205" spans="1:14" x14ac:dyDescent="0.25">
      <c r="A1205" t="s">
        <v>1258</v>
      </c>
      <c r="B1205" t="s">
        <v>15</v>
      </c>
      <c r="C1205" t="s">
        <v>48</v>
      </c>
      <c r="D1205" t="s">
        <v>62</v>
      </c>
      <c r="E1205" t="s">
        <v>55</v>
      </c>
      <c r="F1205" t="s">
        <v>70</v>
      </c>
      <c r="G1205">
        <v>232.5</v>
      </c>
      <c r="H1205">
        <v>56.8</v>
      </c>
      <c r="I1205">
        <v>100.44</v>
      </c>
      <c r="J1205" s="1">
        <v>45875</v>
      </c>
      <c r="K1205">
        <v>23</v>
      </c>
      <c r="L1205">
        <v>2.9</v>
      </c>
      <c r="M1205" t="b">
        <v>1</v>
      </c>
      <c r="N1205" t="s">
        <v>73</v>
      </c>
    </row>
    <row r="1206" spans="1:14" x14ac:dyDescent="0.25">
      <c r="A1206" t="s">
        <v>1259</v>
      </c>
      <c r="B1206" t="s">
        <v>30</v>
      </c>
      <c r="C1206" t="s">
        <v>53</v>
      </c>
      <c r="D1206" t="s">
        <v>17</v>
      </c>
      <c r="E1206" t="s">
        <v>55</v>
      </c>
      <c r="F1206" t="s">
        <v>66</v>
      </c>
      <c r="G1206">
        <v>184.87</v>
      </c>
      <c r="H1206">
        <v>0</v>
      </c>
      <c r="I1206">
        <v>184.87</v>
      </c>
      <c r="J1206" s="1">
        <v>45563</v>
      </c>
      <c r="K1206">
        <v>32</v>
      </c>
      <c r="L1206">
        <v>1.8</v>
      </c>
      <c r="M1206" t="b">
        <v>0</v>
      </c>
    </row>
    <row r="1207" spans="1:14" x14ac:dyDescent="0.25">
      <c r="A1207" t="s">
        <v>1260</v>
      </c>
      <c r="B1207" t="s">
        <v>21</v>
      </c>
      <c r="C1207" t="s">
        <v>61</v>
      </c>
      <c r="D1207" t="s">
        <v>34</v>
      </c>
      <c r="E1207" t="s">
        <v>55</v>
      </c>
      <c r="F1207" t="s">
        <v>40</v>
      </c>
      <c r="G1207">
        <v>31.36</v>
      </c>
      <c r="H1207">
        <v>0</v>
      </c>
      <c r="I1207">
        <v>31.36</v>
      </c>
      <c r="J1207" s="1">
        <v>45875</v>
      </c>
      <c r="K1207">
        <v>50</v>
      </c>
      <c r="L1207">
        <v>3.4</v>
      </c>
      <c r="M1207" t="b">
        <v>0</v>
      </c>
    </row>
    <row r="1208" spans="1:14" x14ac:dyDescent="0.25">
      <c r="A1208" t="s">
        <v>1261</v>
      </c>
      <c r="B1208" t="s">
        <v>27</v>
      </c>
      <c r="C1208" t="s">
        <v>48</v>
      </c>
      <c r="D1208" t="s">
        <v>23</v>
      </c>
      <c r="F1208" t="s">
        <v>64</v>
      </c>
      <c r="G1208">
        <v>62.26</v>
      </c>
      <c r="H1208">
        <v>24.6</v>
      </c>
      <c r="I1208">
        <v>46.94</v>
      </c>
      <c r="J1208" s="1">
        <v>45875</v>
      </c>
      <c r="K1208">
        <v>33</v>
      </c>
      <c r="L1208">
        <v>3.5</v>
      </c>
      <c r="M1208" t="b">
        <v>0</v>
      </c>
    </row>
    <row r="1209" spans="1:14" x14ac:dyDescent="0.25">
      <c r="A1209" t="s">
        <v>1262</v>
      </c>
      <c r="B1209" t="s">
        <v>27</v>
      </c>
      <c r="C1209" t="s">
        <v>43</v>
      </c>
      <c r="D1209" t="s">
        <v>62</v>
      </c>
      <c r="F1209" t="s">
        <v>64</v>
      </c>
      <c r="G1209">
        <v>64.819999999999993</v>
      </c>
      <c r="H1209">
        <v>42.2</v>
      </c>
      <c r="I1209">
        <v>37.47</v>
      </c>
      <c r="J1209" s="1">
        <v>45875</v>
      </c>
      <c r="K1209">
        <v>26</v>
      </c>
      <c r="L1209">
        <v>1.3</v>
      </c>
      <c r="M1209" t="b">
        <v>0</v>
      </c>
    </row>
    <row r="1210" spans="1:14" x14ac:dyDescent="0.25">
      <c r="A1210" t="s">
        <v>1263</v>
      </c>
      <c r="B1210" t="s">
        <v>27</v>
      </c>
      <c r="C1210" t="s">
        <v>16</v>
      </c>
      <c r="D1210" t="s">
        <v>17</v>
      </c>
      <c r="F1210" t="s">
        <v>44</v>
      </c>
      <c r="G1210">
        <v>15.92</v>
      </c>
      <c r="H1210">
        <v>0</v>
      </c>
      <c r="I1210">
        <v>15.92</v>
      </c>
      <c r="J1210" s="1">
        <v>45541</v>
      </c>
      <c r="K1210">
        <v>7</v>
      </c>
      <c r="L1210">
        <v>4.0999999999999996</v>
      </c>
      <c r="M1210" t="b">
        <v>0</v>
      </c>
    </row>
    <row r="1211" spans="1:14" x14ac:dyDescent="0.25">
      <c r="A1211" t="s">
        <v>1264</v>
      </c>
      <c r="B1211" t="s">
        <v>15</v>
      </c>
      <c r="C1211" t="s">
        <v>48</v>
      </c>
      <c r="D1211" t="s">
        <v>17</v>
      </c>
      <c r="E1211" t="s">
        <v>58</v>
      </c>
      <c r="F1211" t="s">
        <v>66</v>
      </c>
      <c r="G1211">
        <v>180.83</v>
      </c>
      <c r="H1211">
        <v>0</v>
      </c>
      <c r="I1211">
        <v>180.83</v>
      </c>
      <c r="J1211" s="1">
        <v>45537</v>
      </c>
      <c r="K1211">
        <v>20</v>
      </c>
      <c r="L1211">
        <v>2</v>
      </c>
      <c r="M1211" t="b">
        <v>0</v>
      </c>
    </row>
    <row r="1212" spans="1:14" x14ac:dyDescent="0.25">
      <c r="A1212" t="s">
        <v>1265</v>
      </c>
      <c r="B1212" t="s">
        <v>30</v>
      </c>
      <c r="C1212" t="s">
        <v>75</v>
      </c>
      <c r="D1212" t="s">
        <v>62</v>
      </c>
      <c r="E1212" t="s">
        <v>24</v>
      </c>
      <c r="F1212" t="s">
        <v>70</v>
      </c>
      <c r="G1212">
        <v>73.81</v>
      </c>
      <c r="H1212">
        <v>0</v>
      </c>
      <c r="I1212">
        <v>73.81</v>
      </c>
      <c r="J1212" s="1">
        <v>45875</v>
      </c>
      <c r="K1212">
        <v>44</v>
      </c>
      <c r="L1212">
        <v>1.3</v>
      </c>
      <c r="M1212" t="b">
        <v>0</v>
      </c>
    </row>
    <row r="1213" spans="1:14" x14ac:dyDescent="0.25">
      <c r="A1213" t="s">
        <v>1266</v>
      </c>
      <c r="B1213" t="s">
        <v>30</v>
      </c>
      <c r="C1213" t="s">
        <v>53</v>
      </c>
      <c r="D1213" t="s">
        <v>62</v>
      </c>
      <c r="E1213" t="s">
        <v>49</v>
      </c>
      <c r="F1213" t="s">
        <v>56</v>
      </c>
      <c r="G1213">
        <v>127.52</v>
      </c>
      <c r="H1213">
        <v>0</v>
      </c>
      <c r="I1213">
        <v>127.52</v>
      </c>
      <c r="J1213" s="1">
        <v>45875</v>
      </c>
      <c r="K1213">
        <v>0</v>
      </c>
      <c r="L1213">
        <v>3.4</v>
      </c>
      <c r="M1213" t="b">
        <v>0</v>
      </c>
    </row>
    <row r="1214" spans="1:14" x14ac:dyDescent="0.25">
      <c r="A1214" t="s">
        <v>1267</v>
      </c>
      <c r="B1214" t="s">
        <v>38</v>
      </c>
      <c r="C1214" t="s">
        <v>48</v>
      </c>
      <c r="D1214" t="s">
        <v>34</v>
      </c>
      <c r="F1214" t="s">
        <v>70</v>
      </c>
      <c r="G1214">
        <v>52.08</v>
      </c>
      <c r="H1214">
        <v>0</v>
      </c>
      <c r="I1214">
        <v>52.08</v>
      </c>
      <c r="J1214" s="1">
        <v>45875</v>
      </c>
      <c r="K1214">
        <v>12</v>
      </c>
      <c r="M1214" t="b">
        <v>0</v>
      </c>
    </row>
    <row r="1215" spans="1:14" x14ac:dyDescent="0.25">
      <c r="A1215" t="s">
        <v>1268</v>
      </c>
      <c r="B1215" t="s">
        <v>38</v>
      </c>
      <c r="C1215" t="s">
        <v>75</v>
      </c>
      <c r="D1215" t="s">
        <v>23</v>
      </c>
      <c r="E1215" t="s">
        <v>55</v>
      </c>
      <c r="F1215" t="s">
        <v>19</v>
      </c>
      <c r="G1215">
        <v>32.83</v>
      </c>
      <c r="H1215">
        <v>23</v>
      </c>
      <c r="I1215">
        <v>25.28</v>
      </c>
      <c r="J1215" s="1">
        <v>45875</v>
      </c>
      <c r="K1215">
        <v>24</v>
      </c>
      <c r="L1215">
        <v>1.1000000000000001</v>
      </c>
      <c r="M1215" t="b">
        <v>0</v>
      </c>
    </row>
    <row r="1216" spans="1:14" x14ac:dyDescent="0.25">
      <c r="A1216" t="s">
        <v>1269</v>
      </c>
      <c r="B1216" t="s">
        <v>21</v>
      </c>
      <c r="C1216" t="s">
        <v>32</v>
      </c>
      <c r="D1216" t="s">
        <v>23</v>
      </c>
      <c r="E1216" t="s">
        <v>39</v>
      </c>
      <c r="F1216" t="s">
        <v>66</v>
      </c>
      <c r="G1216">
        <v>108.92</v>
      </c>
      <c r="H1216">
        <v>0</v>
      </c>
      <c r="I1216">
        <v>108.92</v>
      </c>
      <c r="J1216" s="1">
        <v>45875</v>
      </c>
      <c r="K1216">
        <v>6</v>
      </c>
      <c r="L1216">
        <v>1.8</v>
      </c>
      <c r="M1216" t="b">
        <v>0</v>
      </c>
    </row>
    <row r="1217" spans="1:14" x14ac:dyDescent="0.25">
      <c r="A1217" t="s">
        <v>1270</v>
      </c>
      <c r="B1217" t="s">
        <v>30</v>
      </c>
      <c r="C1217" t="s">
        <v>75</v>
      </c>
      <c r="D1217" t="s">
        <v>23</v>
      </c>
      <c r="F1217" t="s">
        <v>64</v>
      </c>
      <c r="G1217">
        <v>85.83</v>
      </c>
      <c r="H1217">
        <v>47.5</v>
      </c>
      <c r="I1217">
        <v>45.06</v>
      </c>
      <c r="J1217" s="1">
        <v>45875</v>
      </c>
      <c r="K1217">
        <v>8</v>
      </c>
      <c r="L1217">
        <v>1.1000000000000001</v>
      </c>
      <c r="M1217" t="b">
        <v>0</v>
      </c>
    </row>
    <row r="1218" spans="1:14" x14ac:dyDescent="0.25">
      <c r="A1218" t="s">
        <v>1271</v>
      </c>
      <c r="B1218" t="s">
        <v>27</v>
      </c>
      <c r="C1218" t="s">
        <v>16</v>
      </c>
      <c r="D1218" t="s">
        <v>17</v>
      </c>
      <c r="F1218" t="s">
        <v>44</v>
      </c>
      <c r="G1218">
        <v>62.02</v>
      </c>
      <c r="H1218">
        <v>0</v>
      </c>
      <c r="I1218">
        <v>62.02</v>
      </c>
      <c r="J1218" s="1">
        <v>45772</v>
      </c>
      <c r="K1218">
        <v>3</v>
      </c>
      <c r="L1218">
        <v>3.7</v>
      </c>
      <c r="M1218" t="b">
        <v>0</v>
      </c>
    </row>
    <row r="1219" spans="1:14" x14ac:dyDescent="0.25">
      <c r="A1219" t="s">
        <v>1272</v>
      </c>
      <c r="B1219" t="s">
        <v>30</v>
      </c>
      <c r="C1219" t="s">
        <v>48</v>
      </c>
      <c r="D1219" t="s">
        <v>62</v>
      </c>
      <c r="E1219" t="s">
        <v>18</v>
      </c>
      <c r="F1219" t="s">
        <v>28</v>
      </c>
      <c r="G1219">
        <v>127.31</v>
      </c>
      <c r="H1219">
        <v>5.4</v>
      </c>
      <c r="I1219">
        <v>120.44</v>
      </c>
      <c r="J1219" s="1">
        <v>45875</v>
      </c>
      <c r="K1219">
        <v>34</v>
      </c>
      <c r="L1219">
        <v>2.5</v>
      </c>
      <c r="M1219" t="b">
        <v>0</v>
      </c>
    </row>
    <row r="1220" spans="1:14" x14ac:dyDescent="0.25">
      <c r="A1220" t="s">
        <v>1273</v>
      </c>
      <c r="B1220" t="s">
        <v>21</v>
      </c>
      <c r="C1220" t="s">
        <v>53</v>
      </c>
      <c r="D1220" t="s">
        <v>34</v>
      </c>
      <c r="F1220" t="s">
        <v>19</v>
      </c>
      <c r="G1220">
        <v>35.74</v>
      </c>
      <c r="H1220">
        <v>0</v>
      </c>
      <c r="I1220">
        <v>35.74</v>
      </c>
      <c r="J1220" s="1">
        <v>45875</v>
      </c>
      <c r="K1220">
        <v>33</v>
      </c>
      <c r="M1220" t="b">
        <v>1</v>
      </c>
      <c r="N1220" t="s">
        <v>36</v>
      </c>
    </row>
    <row r="1221" spans="1:14" x14ac:dyDescent="0.25">
      <c r="A1221" t="s">
        <v>1274</v>
      </c>
      <c r="B1221" t="s">
        <v>27</v>
      </c>
      <c r="C1221" t="s">
        <v>48</v>
      </c>
      <c r="D1221" t="s">
        <v>62</v>
      </c>
      <c r="F1221" t="s">
        <v>40</v>
      </c>
      <c r="G1221">
        <v>69.62</v>
      </c>
      <c r="H1221">
        <v>27.9</v>
      </c>
      <c r="I1221">
        <v>50.2</v>
      </c>
      <c r="J1221" s="1">
        <v>45875</v>
      </c>
      <c r="K1221">
        <v>5</v>
      </c>
      <c r="L1221">
        <v>1.1000000000000001</v>
      </c>
      <c r="M1221" t="b">
        <v>0</v>
      </c>
    </row>
    <row r="1222" spans="1:14" x14ac:dyDescent="0.25">
      <c r="A1222" t="s">
        <v>1275</v>
      </c>
      <c r="B1222" t="s">
        <v>21</v>
      </c>
      <c r="C1222" t="s">
        <v>16</v>
      </c>
      <c r="D1222" t="s">
        <v>23</v>
      </c>
      <c r="E1222" t="s">
        <v>49</v>
      </c>
      <c r="F1222" t="s">
        <v>28</v>
      </c>
      <c r="G1222">
        <v>92.01</v>
      </c>
      <c r="H1222">
        <v>28.8</v>
      </c>
      <c r="I1222">
        <v>65.510000000000005</v>
      </c>
      <c r="J1222" s="1">
        <v>45875</v>
      </c>
      <c r="K1222">
        <v>37</v>
      </c>
      <c r="L1222">
        <v>1.9</v>
      </c>
      <c r="M1222" t="b">
        <v>0</v>
      </c>
    </row>
    <row r="1223" spans="1:14" x14ac:dyDescent="0.25">
      <c r="A1223" t="s">
        <v>1276</v>
      </c>
      <c r="B1223" t="s">
        <v>30</v>
      </c>
      <c r="C1223" t="s">
        <v>43</v>
      </c>
      <c r="D1223" t="s">
        <v>34</v>
      </c>
      <c r="E1223" t="s">
        <v>58</v>
      </c>
      <c r="F1223" t="s">
        <v>28</v>
      </c>
      <c r="G1223">
        <v>110.1</v>
      </c>
      <c r="H1223">
        <v>0</v>
      </c>
      <c r="I1223">
        <v>110.1</v>
      </c>
      <c r="J1223" s="1">
        <v>45875</v>
      </c>
      <c r="K1223">
        <v>13</v>
      </c>
      <c r="L1223">
        <v>3.6</v>
      </c>
      <c r="M1223" t="b">
        <v>1</v>
      </c>
      <c r="N1223" t="s">
        <v>115</v>
      </c>
    </row>
    <row r="1224" spans="1:14" x14ac:dyDescent="0.25">
      <c r="A1224" t="s">
        <v>1277</v>
      </c>
      <c r="B1224" t="s">
        <v>38</v>
      </c>
      <c r="C1224" t="s">
        <v>16</v>
      </c>
      <c r="D1224" t="s">
        <v>34</v>
      </c>
      <c r="E1224" t="s">
        <v>49</v>
      </c>
      <c r="F1224" t="s">
        <v>19</v>
      </c>
      <c r="G1224">
        <v>109.05</v>
      </c>
      <c r="H1224">
        <v>0</v>
      </c>
      <c r="I1224">
        <v>109.05</v>
      </c>
      <c r="J1224" s="1">
        <v>45875</v>
      </c>
      <c r="K1224">
        <v>13</v>
      </c>
      <c r="L1224">
        <v>3.7</v>
      </c>
      <c r="M1224" t="b">
        <v>0</v>
      </c>
    </row>
    <row r="1225" spans="1:14" x14ac:dyDescent="0.25">
      <c r="A1225" t="s">
        <v>1278</v>
      </c>
      <c r="B1225" t="s">
        <v>27</v>
      </c>
      <c r="C1225" t="s">
        <v>75</v>
      </c>
      <c r="D1225" t="s">
        <v>23</v>
      </c>
      <c r="F1225" t="s">
        <v>56</v>
      </c>
      <c r="G1225">
        <v>67.459999999999994</v>
      </c>
      <c r="H1225">
        <v>0</v>
      </c>
      <c r="I1225">
        <v>67.459999999999994</v>
      </c>
      <c r="J1225" s="1">
        <v>45875</v>
      </c>
      <c r="K1225">
        <v>28</v>
      </c>
      <c r="L1225">
        <v>1.4</v>
      </c>
      <c r="M1225" t="b">
        <v>0</v>
      </c>
    </row>
    <row r="1226" spans="1:14" x14ac:dyDescent="0.25">
      <c r="A1226" t="s">
        <v>1279</v>
      </c>
      <c r="B1226" t="s">
        <v>30</v>
      </c>
      <c r="C1226" t="s">
        <v>53</v>
      </c>
      <c r="D1226" t="s">
        <v>23</v>
      </c>
      <c r="E1226" t="s">
        <v>58</v>
      </c>
      <c r="F1226" t="s">
        <v>35</v>
      </c>
      <c r="G1226">
        <v>110.11</v>
      </c>
      <c r="H1226">
        <v>10.199999999999999</v>
      </c>
      <c r="I1226">
        <v>98.88</v>
      </c>
      <c r="J1226" s="1">
        <v>45875</v>
      </c>
      <c r="K1226">
        <v>47</v>
      </c>
      <c r="M1226" t="b">
        <v>0</v>
      </c>
    </row>
    <row r="1227" spans="1:14" x14ac:dyDescent="0.25">
      <c r="A1227" t="s">
        <v>1280</v>
      </c>
      <c r="B1227" t="s">
        <v>30</v>
      </c>
      <c r="C1227" t="s">
        <v>32</v>
      </c>
      <c r="D1227" t="s">
        <v>62</v>
      </c>
      <c r="E1227" t="s">
        <v>18</v>
      </c>
      <c r="F1227" t="s">
        <v>35</v>
      </c>
      <c r="G1227">
        <v>162.5</v>
      </c>
      <c r="H1227">
        <v>0</v>
      </c>
      <c r="I1227">
        <v>162.5</v>
      </c>
      <c r="J1227" s="1">
        <v>45875</v>
      </c>
      <c r="K1227">
        <v>45</v>
      </c>
      <c r="M1227" t="b">
        <v>0</v>
      </c>
    </row>
    <row r="1228" spans="1:14" x14ac:dyDescent="0.25">
      <c r="A1228" t="s">
        <v>1281</v>
      </c>
      <c r="B1228" t="s">
        <v>27</v>
      </c>
      <c r="C1228" t="s">
        <v>22</v>
      </c>
      <c r="D1228" t="s">
        <v>62</v>
      </c>
      <c r="F1228" t="s">
        <v>28</v>
      </c>
      <c r="G1228">
        <v>23.8</v>
      </c>
      <c r="H1228">
        <v>8.3000000000000007</v>
      </c>
      <c r="I1228">
        <v>21.82</v>
      </c>
      <c r="J1228" s="1">
        <v>45875</v>
      </c>
      <c r="K1228">
        <v>0</v>
      </c>
      <c r="L1228">
        <v>3.5</v>
      </c>
      <c r="M1228" t="b">
        <v>0</v>
      </c>
    </row>
    <row r="1229" spans="1:14" x14ac:dyDescent="0.25">
      <c r="A1229" t="s">
        <v>1282</v>
      </c>
      <c r="B1229" t="s">
        <v>38</v>
      </c>
      <c r="C1229" t="s">
        <v>32</v>
      </c>
      <c r="D1229" t="s">
        <v>34</v>
      </c>
      <c r="E1229" t="s">
        <v>55</v>
      </c>
      <c r="F1229" t="s">
        <v>70</v>
      </c>
      <c r="G1229">
        <v>115.89</v>
      </c>
      <c r="H1229">
        <v>0</v>
      </c>
      <c r="I1229">
        <v>115.89</v>
      </c>
      <c r="J1229" s="1">
        <v>45875</v>
      </c>
      <c r="K1229">
        <v>34</v>
      </c>
      <c r="L1229">
        <v>2.9</v>
      </c>
      <c r="M1229" t="b">
        <v>0</v>
      </c>
    </row>
    <row r="1230" spans="1:14" x14ac:dyDescent="0.25">
      <c r="A1230" t="s">
        <v>1283</v>
      </c>
      <c r="B1230" t="s">
        <v>15</v>
      </c>
      <c r="C1230" t="s">
        <v>48</v>
      </c>
      <c r="D1230" t="s">
        <v>17</v>
      </c>
      <c r="E1230" t="s">
        <v>58</v>
      </c>
      <c r="F1230" t="s">
        <v>19</v>
      </c>
      <c r="G1230">
        <v>139.19999999999999</v>
      </c>
      <c r="H1230">
        <v>42.5</v>
      </c>
      <c r="I1230">
        <v>80.040000000000006</v>
      </c>
      <c r="J1230" s="1">
        <v>45567</v>
      </c>
      <c r="K1230">
        <v>27</v>
      </c>
      <c r="L1230">
        <v>2.9</v>
      </c>
      <c r="M1230" t="b">
        <v>0</v>
      </c>
    </row>
    <row r="1231" spans="1:14" x14ac:dyDescent="0.25">
      <c r="A1231" t="s">
        <v>1284</v>
      </c>
      <c r="B1231" t="s">
        <v>42</v>
      </c>
      <c r="C1231" t="s">
        <v>75</v>
      </c>
      <c r="D1231" t="s">
        <v>34</v>
      </c>
      <c r="E1231" t="s">
        <v>39</v>
      </c>
      <c r="F1231" t="s">
        <v>64</v>
      </c>
      <c r="G1231">
        <v>120.42</v>
      </c>
      <c r="H1231">
        <v>36.700000000000003</v>
      </c>
      <c r="I1231">
        <v>76.23</v>
      </c>
      <c r="J1231" s="1">
        <v>45875</v>
      </c>
      <c r="K1231">
        <v>46</v>
      </c>
      <c r="L1231">
        <v>2.4</v>
      </c>
      <c r="M1231" t="b">
        <v>0</v>
      </c>
    </row>
    <row r="1232" spans="1:14" x14ac:dyDescent="0.25">
      <c r="A1232" t="s">
        <v>1285</v>
      </c>
      <c r="B1232" t="s">
        <v>27</v>
      </c>
      <c r="C1232" t="s">
        <v>32</v>
      </c>
      <c r="D1232" t="s">
        <v>34</v>
      </c>
      <c r="F1232" t="s">
        <v>56</v>
      </c>
      <c r="G1232">
        <v>72.81</v>
      </c>
      <c r="H1232">
        <v>0</v>
      </c>
      <c r="I1232">
        <v>72.81</v>
      </c>
      <c r="J1232" s="1">
        <v>45875</v>
      </c>
      <c r="K1232">
        <v>4</v>
      </c>
      <c r="L1232">
        <v>4.3</v>
      </c>
      <c r="M1232" t="b">
        <v>0</v>
      </c>
    </row>
    <row r="1233" spans="1:14" x14ac:dyDescent="0.25">
      <c r="A1233" t="s">
        <v>1286</v>
      </c>
      <c r="B1233" t="s">
        <v>27</v>
      </c>
      <c r="C1233" t="s">
        <v>16</v>
      </c>
      <c r="D1233" t="s">
        <v>17</v>
      </c>
      <c r="F1233" t="s">
        <v>70</v>
      </c>
      <c r="G1233">
        <v>29.75</v>
      </c>
      <c r="H1233">
        <v>0</v>
      </c>
      <c r="I1233">
        <v>29.75</v>
      </c>
      <c r="J1233" s="1">
        <v>45695</v>
      </c>
      <c r="K1233">
        <v>37</v>
      </c>
      <c r="L1233">
        <v>3.9</v>
      </c>
      <c r="M1233" t="b">
        <v>0</v>
      </c>
    </row>
    <row r="1234" spans="1:14" x14ac:dyDescent="0.25">
      <c r="A1234" t="s">
        <v>1287</v>
      </c>
      <c r="B1234" t="s">
        <v>21</v>
      </c>
      <c r="C1234" t="s">
        <v>61</v>
      </c>
      <c r="D1234" t="s">
        <v>62</v>
      </c>
      <c r="E1234" t="s">
        <v>18</v>
      </c>
      <c r="F1234" t="s">
        <v>28</v>
      </c>
      <c r="G1234">
        <v>33.630000000000003</v>
      </c>
      <c r="H1234">
        <v>0</v>
      </c>
      <c r="I1234">
        <v>33.630000000000003</v>
      </c>
      <c r="J1234" s="1">
        <v>45875</v>
      </c>
      <c r="K1234">
        <v>13</v>
      </c>
      <c r="L1234">
        <v>4.7</v>
      </c>
      <c r="M1234" t="b">
        <v>0</v>
      </c>
    </row>
    <row r="1235" spans="1:14" x14ac:dyDescent="0.25">
      <c r="A1235" t="s">
        <v>1288</v>
      </c>
      <c r="B1235" t="s">
        <v>15</v>
      </c>
      <c r="C1235" t="s">
        <v>32</v>
      </c>
      <c r="D1235" t="s">
        <v>34</v>
      </c>
      <c r="E1235" t="s">
        <v>39</v>
      </c>
      <c r="F1235" t="s">
        <v>70</v>
      </c>
      <c r="G1235">
        <v>101.93</v>
      </c>
      <c r="H1235">
        <v>0</v>
      </c>
      <c r="I1235">
        <v>101.93</v>
      </c>
      <c r="J1235" s="1">
        <v>45875</v>
      </c>
      <c r="K1235">
        <v>31</v>
      </c>
      <c r="M1235" t="b">
        <v>0</v>
      </c>
    </row>
    <row r="1236" spans="1:14" x14ac:dyDescent="0.25">
      <c r="A1236" t="s">
        <v>1289</v>
      </c>
      <c r="B1236" t="s">
        <v>27</v>
      </c>
      <c r="C1236" t="s">
        <v>43</v>
      </c>
      <c r="D1236" t="s">
        <v>23</v>
      </c>
      <c r="F1236" t="s">
        <v>35</v>
      </c>
      <c r="G1236">
        <v>41.43</v>
      </c>
      <c r="H1236">
        <v>0</v>
      </c>
      <c r="I1236">
        <v>41.43</v>
      </c>
      <c r="J1236" s="1">
        <v>45875</v>
      </c>
      <c r="K1236">
        <v>10</v>
      </c>
      <c r="M1236" t="b">
        <v>0</v>
      </c>
    </row>
    <row r="1237" spans="1:14" x14ac:dyDescent="0.25">
      <c r="A1237" t="s">
        <v>1290</v>
      </c>
      <c r="B1237" t="s">
        <v>15</v>
      </c>
      <c r="C1237" t="s">
        <v>53</v>
      </c>
      <c r="D1237" t="s">
        <v>17</v>
      </c>
      <c r="E1237" t="s">
        <v>24</v>
      </c>
      <c r="F1237" t="s">
        <v>46</v>
      </c>
      <c r="G1237">
        <v>126.14</v>
      </c>
      <c r="H1237">
        <v>0</v>
      </c>
      <c r="I1237">
        <v>126.14</v>
      </c>
      <c r="J1237" s="1">
        <v>45795</v>
      </c>
      <c r="K1237">
        <v>24</v>
      </c>
      <c r="L1237">
        <v>3.6</v>
      </c>
      <c r="M1237" t="b">
        <v>0</v>
      </c>
    </row>
    <row r="1238" spans="1:14" x14ac:dyDescent="0.25">
      <c r="A1238" t="s">
        <v>1291</v>
      </c>
      <c r="B1238" t="s">
        <v>38</v>
      </c>
      <c r="C1238" t="s">
        <v>16</v>
      </c>
      <c r="D1238" t="s">
        <v>17</v>
      </c>
      <c r="E1238" t="s">
        <v>58</v>
      </c>
      <c r="F1238" t="s">
        <v>66</v>
      </c>
      <c r="G1238">
        <v>96.76</v>
      </c>
      <c r="H1238">
        <v>0</v>
      </c>
      <c r="I1238">
        <v>96.76</v>
      </c>
      <c r="J1238" s="1">
        <v>45714</v>
      </c>
      <c r="K1238">
        <v>6</v>
      </c>
      <c r="M1238" t="b">
        <v>0</v>
      </c>
    </row>
    <row r="1239" spans="1:14" x14ac:dyDescent="0.25">
      <c r="A1239" t="s">
        <v>1292</v>
      </c>
      <c r="B1239" t="s">
        <v>21</v>
      </c>
      <c r="C1239" t="s">
        <v>43</v>
      </c>
      <c r="D1239" t="s">
        <v>23</v>
      </c>
      <c r="E1239" t="s">
        <v>55</v>
      </c>
      <c r="F1239" t="s">
        <v>64</v>
      </c>
      <c r="G1239">
        <v>114.32</v>
      </c>
      <c r="H1239">
        <v>0</v>
      </c>
      <c r="I1239">
        <v>114.32</v>
      </c>
      <c r="J1239" s="1">
        <v>45875</v>
      </c>
      <c r="K1239">
        <v>27</v>
      </c>
      <c r="L1239">
        <v>5</v>
      </c>
      <c r="M1239" t="b">
        <v>0</v>
      </c>
    </row>
    <row r="1240" spans="1:14" x14ac:dyDescent="0.25">
      <c r="A1240" t="s">
        <v>1293</v>
      </c>
      <c r="B1240" t="s">
        <v>30</v>
      </c>
      <c r="C1240" t="s">
        <v>48</v>
      </c>
      <c r="D1240" t="s">
        <v>17</v>
      </c>
      <c r="E1240" t="s">
        <v>39</v>
      </c>
      <c r="F1240" t="s">
        <v>66</v>
      </c>
      <c r="G1240">
        <v>102.46</v>
      </c>
      <c r="H1240">
        <v>0</v>
      </c>
      <c r="I1240">
        <v>102.46</v>
      </c>
      <c r="J1240" s="1">
        <v>45643</v>
      </c>
      <c r="K1240">
        <v>20</v>
      </c>
      <c r="L1240">
        <v>3.7</v>
      </c>
      <c r="M1240" t="b">
        <v>1</v>
      </c>
      <c r="N1240" t="s">
        <v>83</v>
      </c>
    </row>
    <row r="1241" spans="1:14" x14ac:dyDescent="0.25">
      <c r="A1241" t="s">
        <v>1294</v>
      </c>
      <c r="B1241" t="s">
        <v>38</v>
      </c>
      <c r="C1241" t="s">
        <v>22</v>
      </c>
      <c r="D1241" t="s">
        <v>62</v>
      </c>
      <c r="E1241" t="s">
        <v>24</v>
      </c>
      <c r="F1241" t="s">
        <v>25</v>
      </c>
      <c r="G1241">
        <v>95.7</v>
      </c>
      <c r="H1241">
        <v>15</v>
      </c>
      <c r="I1241">
        <v>81.34</v>
      </c>
      <c r="J1241" s="1">
        <v>45875</v>
      </c>
      <c r="K1241">
        <v>9</v>
      </c>
      <c r="L1241">
        <v>4.9000000000000004</v>
      </c>
      <c r="M1241" t="b">
        <v>0</v>
      </c>
    </row>
    <row r="1242" spans="1:14" x14ac:dyDescent="0.25">
      <c r="A1242" t="s">
        <v>1295</v>
      </c>
      <c r="B1242" t="s">
        <v>38</v>
      </c>
      <c r="C1242" t="s">
        <v>48</v>
      </c>
      <c r="D1242" t="s">
        <v>23</v>
      </c>
      <c r="E1242" t="s">
        <v>58</v>
      </c>
      <c r="F1242" t="s">
        <v>44</v>
      </c>
      <c r="G1242">
        <v>55.49</v>
      </c>
      <c r="H1242">
        <v>0</v>
      </c>
      <c r="I1242">
        <v>55.49</v>
      </c>
      <c r="J1242" s="1">
        <v>45875</v>
      </c>
      <c r="K1242">
        <v>25</v>
      </c>
      <c r="L1242">
        <v>4.5999999999999996</v>
      </c>
      <c r="M1242" t="b">
        <v>0</v>
      </c>
    </row>
    <row r="1243" spans="1:14" x14ac:dyDescent="0.25">
      <c r="A1243" t="s">
        <v>1296</v>
      </c>
      <c r="B1243" t="s">
        <v>27</v>
      </c>
      <c r="C1243" t="s">
        <v>53</v>
      </c>
      <c r="D1243" t="s">
        <v>23</v>
      </c>
      <c r="F1243" t="s">
        <v>35</v>
      </c>
      <c r="G1243">
        <v>30.58</v>
      </c>
      <c r="H1243">
        <v>9.8000000000000007</v>
      </c>
      <c r="I1243">
        <v>27.58</v>
      </c>
      <c r="J1243" s="1">
        <v>45875</v>
      </c>
      <c r="K1243">
        <v>34</v>
      </c>
      <c r="L1243">
        <v>3.4</v>
      </c>
      <c r="M1243" t="b">
        <v>0</v>
      </c>
    </row>
    <row r="1244" spans="1:14" x14ac:dyDescent="0.25">
      <c r="A1244" t="s">
        <v>1297</v>
      </c>
      <c r="B1244" t="s">
        <v>38</v>
      </c>
      <c r="C1244" t="s">
        <v>43</v>
      </c>
      <c r="D1244" t="s">
        <v>34</v>
      </c>
      <c r="E1244" t="s">
        <v>39</v>
      </c>
      <c r="F1244" t="s">
        <v>19</v>
      </c>
      <c r="G1244">
        <v>116.58</v>
      </c>
      <c r="H1244">
        <v>0</v>
      </c>
      <c r="I1244">
        <v>116.58</v>
      </c>
      <c r="J1244" s="1">
        <v>45875</v>
      </c>
      <c r="K1244">
        <v>47</v>
      </c>
      <c r="L1244">
        <v>1.2</v>
      </c>
      <c r="M1244" t="b">
        <v>0</v>
      </c>
    </row>
    <row r="1245" spans="1:14" x14ac:dyDescent="0.25">
      <c r="A1245" t="s">
        <v>1298</v>
      </c>
      <c r="B1245" t="s">
        <v>42</v>
      </c>
      <c r="C1245" t="s">
        <v>16</v>
      </c>
      <c r="D1245" t="s">
        <v>23</v>
      </c>
      <c r="E1245" t="s">
        <v>18</v>
      </c>
      <c r="F1245" t="s">
        <v>64</v>
      </c>
      <c r="G1245">
        <v>79.180000000000007</v>
      </c>
      <c r="H1245">
        <v>21.1</v>
      </c>
      <c r="I1245">
        <v>62.47</v>
      </c>
      <c r="J1245" s="1">
        <v>45875</v>
      </c>
      <c r="K1245">
        <v>36</v>
      </c>
      <c r="L1245">
        <v>1.5</v>
      </c>
      <c r="M1245" t="b">
        <v>1</v>
      </c>
      <c r="N1245" t="s">
        <v>115</v>
      </c>
    </row>
    <row r="1246" spans="1:14" x14ac:dyDescent="0.25">
      <c r="A1246" t="s">
        <v>1299</v>
      </c>
      <c r="B1246" t="s">
        <v>42</v>
      </c>
      <c r="C1246" t="s">
        <v>75</v>
      </c>
      <c r="D1246" t="s">
        <v>62</v>
      </c>
      <c r="F1246" t="s">
        <v>64</v>
      </c>
      <c r="G1246">
        <v>88.71</v>
      </c>
      <c r="H1246">
        <v>0</v>
      </c>
      <c r="I1246">
        <v>88.71</v>
      </c>
      <c r="J1246" s="1">
        <v>45875</v>
      </c>
      <c r="K1246">
        <v>3</v>
      </c>
      <c r="L1246">
        <v>3.5</v>
      </c>
      <c r="M1246" t="b">
        <v>0</v>
      </c>
    </row>
    <row r="1247" spans="1:14" x14ac:dyDescent="0.25">
      <c r="A1247" t="s">
        <v>1300</v>
      </c>
      <c r="B1247" t="s">
        <v>42</v>
      </c>
      <c r="C1247" t="s">
        <v>32</v>
      </c>
      <c r="D1247" t="s">
        <v>17</v>
      </c>
      <c r="E1247" t="s">
        <v>49</v>
      </c>
      <c r="F1247" t="s">
        <v>66</v>
      </c>
      <c r="G1247">
        <v>150.58000000000001</v>
      </c>
      <c r="H1247">
        <v>0</v>
      </c>
      <c r="I1247">
        <v>150.58000000000001</v>
      </c>
      <c r="J1247" s="1">
        <v>45645</v>
      </c>
      <c r="K1247">
        <v>38</v>
      </c>
      <c r="L1247">
        <v>2.1</v>
      </c>
      <c r="M1247" t="b">
        <v>0</v>
      </c>
    </row>
    <row r="1248" spans="1:14" x14ac:dyDescent="0.25">
      <c r="A1248" t="s">
        <v>1301</v>
      </c>
      <c r="B1248" t="s">
        <v>42</v>
      </c>
      <c r="C1248" t="s">
        <v>22</v>
      </c>
      <c r="D1248" t="s">
        <v>62</v>
      </c>
      <c r="E1248" t="s">
        <v>49</v>
      </c>
      <c r="F1248" t="s">
        <v>35</v>
      </c>
      <c r="G1248">
        <v>179.9</v>
      </c>
      <c r="H1248">
        <v>9.3000000000000007</v>
      </c>
      <c r="I1248">
        <v>163.16999999999999</v>
      </c>
      <c r="J1248" s="1">
        <v>45875</v>
      </c>
      <c r="K1248">
        <v>34</v>
      </c>
      <c r="L1248">
        <v>2.1</v>
      </c>
      <c r="M1248" t="b">
        <v>0</v>
      </c>
    </row>
    <row r="1249" spans="1:14" x14ac:dyDescent="0.25">
      <c r="A1249" t="s">
        <v>1302</v>
      </c>
      <c r="B1249" t="s">
        <v>15</v>
      </c>
      <c r="C1249" t="s">
        <v>75</v>
      </c>
      <c r="D1249" t="s">
        <v>17</v>
      </c>
      <c r="E1249" t="s">
        <v>18</v>
      </c>
      <c r="F1249" t="s">
        <v>19</v>
      </c>
      <c r="G1249">
        <v>135.30000000000001</v>
      </c>
      <c r="H1249">
        <v>0</v>
      </c>
      <c r="I1249">
        <v>135.30000000000001</v>
      </c>
      <c r="J1249" s="1">
        <v>45704</v>
      </c>
      <c r="K1249">
        <v>19</v>
      </c>
      <c r="L1249">
        <v>4.5999999999999996</v>
      </c>
      <c r="M1249" t="b">
        <v>0</v>
      </c>
    </row>
    <row r="1250" spans="1:14" x14ac:dyDescent="0.25">
      <c r="A1250" t="s">
        <v>1303</v>
      </c>
      <c r="B1250" t="s">
        <v>30</v>
      </c>
      <c r="C1250" t="s">
        <v>22</v>
      </c>
      <c r="D1250" t="s">
        <v>34</v>
      </c>
      <c r="E1250" t="s">
        <v>49</v>
      </c>
      <c r="F1250" t="s">
        <v>28</v>
      </c>
      <c r="G1250">
        <v>146.43</v>
      </c>
      <c r="H1250">
        <v>0</v>
      </c>
      <c r="I1250">
        <v>146.43</v>
      </c>
      <c r="J1250" s="1">
        <v>45875</v>
      </c>
      <c r="K1250">
        <v>7</v>
      </c>
      <c r="L1250">
        <v>2.5</v>
      </c>
      <c r="M1250" t="b">
        <v>0</v>
      </c>
    </row>
    <row r="1251" spans="1:14" x14ac:dyDescent="0.25">
      <c r="A1251" t="s">
        <v>1304</v>
      </c>
      <c r="B1251" t="s">
        <v>15</v>
      </c>
      <c r="C1251" t="s">
        <v>75</v>
      </c>
      <c r="D1251" t="s">
        <v>23</v>
      </c>
      <c r="E1251" t="s">
        <v>58</v>
      </c>
      <c r="F1251" t="s">
        <v>46</v>
      </c>
      <c r="G1251">
        <v>160.27000000000001</v>
      </c>
      <c r="H1251">
        <v>0</v>
      </c>
      <c r="I1251">
        <v>160.27000000000001</v>
      </c>
      <c r="J1251" s="1">
        <v>45875</v>
      </c>
      <c r="K1251">
        <v>11</v>
      </c>
      <c r="L1251">
        <v>2</v>
      </c>
      <c r="M1251" t="b">
        <v>0</v>
      </c>
    </row>
    <row r="1252" spans="1:14" x14ac:dyDescent="0.25">
      <c r="A1252" t="s">
        <v>1305</v>
      </c>
      <c r="B1252" t="s">
        <v>30</v>
      </c>
      <c r="C1252" t="s">
        <v>43</v>
      </c>
      <c r="D1252" t="s">
        <v>23</v>
      </c>
      <c r="E1252" t="s">
        <v>58</v>
      </c>
      <c r="F1252" t="s">
        <v>40</v>
      </c>
      <c r="G1252">
        <v>169.87</v>
      </c>
      <c r="H1252">
        <v>8.8000000000000007</v>
      </c>
      <c r="I1252">
        <v>154.91999999999999</v>
      </c>
      <c r="J1252" s="1">
        <v>45875</v>
      </c>
      <c r="K1252">
        <v>36</v>
      </c>
      <c r="L1252">
        <v>2.1</v>
      </c>
      <c r="M1252" t="b">
        <v>0</v>
      </c>
    </row>
    <row r="1253" spans="1:14" x14ac:dyDescent="0.25">
      <c r="A1253" t="s">
        <v>1306</v>
      </c>
      <c r="B1253" t="s">
        <v>30</v>
      </c>
      <c r="C1253" t="s">
        <v>53</v>
      </c>
      <c r="D1253" t="s">
        <v>62</v>
      </c>
      <c r="F1253" t="s">
        <v>40</v>
      </c>
      <c r="G1253">
        <v>137.33000000000001</v>
      </c>
      <c r="H1253">
        <v>0</v>
      </c>
      <c r="I1253">
        <v>137.33000000000001</v>
      </c>
      <c r="J1253" s="1">
        <v>45875</v>
      </c>
      <c r="K1253">
        <v>35</v>
      </c>
      <c r="L1253">
        <v>4.5999999999999996</v>
      </c>
      <c r="M1253" t="b">
        <v>0</v>
      </c>
    </row>
    <row r="1254" spans="1:14" x14ac:dyDescent="0.25">
      <c r="A1254" t="s">
        <v>1307</v>
      </c>
      <c r="B1254" t="s">
        <v>38</v>
      </c>
      <c r="C1254" t="s">
        <v>75</v>
      </c>
      <c r="D1254" t="s">
        <v>62</v>
      </c>
      <c r="E1254" t="s">
        <v>49</v>
      </c>
      <c r="F1254" t="s">
        <v>19</v>
      </c>
      <c r="G1254">
        <v>38.18</v>
      </c>
      <c r="H1254">
        <v>0</v>
      </c>
      <c r="I1254">
        <v>38.18</v>
      </c>
      <c r="J1254" s="1">
        <v>45875</v>
      </c>
      <c r="K1254">
        <v>38</v>
      </c>
      <c r="M1254" t="b">
        <v>0</v>
      </c>
    </row>
    <row r="1255" spans="1:14" x14ac:dyDescent="0.25">
      <c r="A1255" t="s">
        <v>1308</v>
      </c>
      <c r="B1255" t="s">
        <v>21</v>
      </c>
      <c r="C1255" t="s">
        <v>16</v>
      </c>
      <c r="D1255" t="s">
        <v>62</v>
      </c>
      <c r="E1255" t="s">
        <v>49</v>
      </c>
      <c r="F1255" t="s">
        <v>44</v>
      </c>
      <c r="G1255">
        <v>40.619999999999997</v>
      </c>
      <c r="H1255">
        <v>20.100000000000001</v>
      </c>
      <c r="I1255">
        <v>32.46</v>
      </c>
      <c r="J1255" s="1">
        <v>45875</v>
      </c>
      <c r="K1255">
        <v>7</v>
      </c>
      <c r="M1255" t="b">
        <v>0</v>
      </c>
    </row>
    <row r="1256" spans="1:14" x14ac:dyDescent="0.25">
      <c r="A1256" t="s">
        <v>1309</v>
      </c>
      <c r="B1256" t="s">
        <v>38</v>
      </c>
      <c r="C1256" t="s">
        <v>48</v>
      </c>
      <c r="D1256" t="s">
        <v>23</v>
      </c>
      <c r="E1256" t="s">
        <v>55</v>
      </c>
      <c r="F1256" t="s">
        <v>28</v>
      </c>
      <c r="G1256">
        <v>56.4</v>
      </c>
      <c r="H1256">
        <v>23.3</v>
      </c>
      <c r="I1256">
        <v>43.26</v>
      </c>
      <c r="J1256" s="1">
        <v>45875</v>
      </c>
      <c r="K1256">
        <v>35</v>
      </c>
      <c r="M1256" t="b">
        <v>0</v>
      </c>
    </row>
    <row r="1257" spans="1:14" x14ac:dyDescent="0.25">
      <c r="A1257" t="s">
        <v>1310</v>
      </c>
      <c r="B1257" t="s">
        <v>27</v>
      </c>
      <c r="C1257" t="s">
        <v>75</v>
      </c>
      <c r="D1257" t="s">
        <v>62</v>
      </c>
      <c r="F1257" t="s">
        <v>46</v>
      </c>
      <c r="G1257">
        <v>19.559999999999999</v>
      </c>
      <c r="H1257">
        <v>0</v>
      </c>
      <c r="I1257">
        <v>19.559999999999999</v>
      </c>
      <c r="J1257" s="1">
        <v>45875</v>
      </c>
      <c r="K1257">
        <v>13</v>
      </c>
      <c r="L1257">
        <v>3.1</v>
      </c>
      <c r="M1257" t="b">
        <v>0</v>
      </c>
    </row>
    <row r="1258" spans="1:14" x14ac:dyDescent="0.25">
      <c r="A1258" t="s">
        <v>1311</v>
      </c>
      <c r="B1258" t="s">
        <v>30</v>
      </c>
      <c r="C1258" t="s">
        <v>48</v>
      </c>
      <c r="D1258" t="s">
        <v>23</v>
      </c>
      <c r="E1258" t="s">
        <v>24</v>
      </c>
      <c r="F1258" t="s">
        <v>35</v>
      </c>
      <c r="G1258">
        <v>155.66</v>
      </c>
      <c r="H1258">
        <v>0</v>
      </c>
      <c r="I1258">
        <v>155.66</v>
      </c>
      <c r="J1258" s="1">
        <v>45875</v>
      </c>
      <c r="K1258">
        <v>3</v>
      </c>
      <c r="L1258">
        <v>4</v>
      </c>
      <c r="M1258" t="b">
        <v>0</v>
      </c>
    </row>
    <row r="1259" spans="1:14" x14ac:dyDescent="0.25">
      <c r="A1259" t="s">
        <v>1312</v>
      </c>
      <c r="B1259" t="s">
        <v>21</v>
      </c>
      <c r="C1259" t="s">
        <v>16</v>
      </c>
      <c r="D1259" t="s">
        <v>62</v>
      </c>
      <c r="E1259" t="s">
        <v>39</v>
      </c>
      <c r="F1259" t="s">
        <v>66</v>
      </c>
      <c r="G1259">
        <v>106.2</v>
      </c>
      <c r="H1259">
        <v>0</v>
      </c>
      <c r="I1259">
        <v>106.2</v>
      </c>
      <c r="J1259" s="1">
        <v>45875</v>
      </c>
      <c r="K1259">
        <v>10</v>
      </c>
      <c r="L1259">
        <v>1.1000000000000001</v>
      </c>
      <c r="M1259" t="b">
        <v>0</v>
      </c>
    </row>
    <row r="1260" spans="1:14" x14ac:dyDescent="0.25">
      <c r="A1260" t="s">
        <v>1313</v>
      </c>
      <c r="B1260" t="s">
        <v>15</v>
      </c>
      <c r="C1260" t="s">
        <v>53</v>
      </c>
      <c r="D1260" t="s">
        <v>34</v>
      </c>
      <c r="E1260" t="s">
        <v>49</v>
      </c>
      <c r="F1260" t="s">
        <v>64</v>
      </c>
      <c r="G1260">
        <v>158.31</v>
      </c>
      <c r="H1260">
        <v>0</v>
      </c>
      <c r="I1260">
        <v>158.31</v>
      </c>
      <c r="J1260" s="1">
        <v>45875</v>
      </c>
      <c r="K1260">
        <v>7</v>
      </c>
      <c r="L1260">
        <v>5</v>
      </c>
      <c r="M1260" t="b">
        <v>0</v>
      </c>
    </row>
    <row r="1261" spans="1:14" x14ac:dyDescent="0.25">
      <c r="A1261" t="s">
        <v>1314</v>
      </c>
      <c r="B1261" t="s">
        <v>42</v>
      </c>
      <c r="C1261" t="s">
        <v>43</v>
      </c>
      <c r="D1261" t="s">
        <v>17</v>
      </c>
      <c r="E1261" t="s">
        <v>18</v>
      </c>
      <c r="F1261" t="s">
        <v>25</v>
      </c>
      <c r="G1261">
        <v>102.3</v>
      </c>
      <c r="H1261">
        <v>42.2</v>
      </c>
      <c r="I1261">
        <v>59.13</v>
      </c>
      <c r="J1261" s="1">
        <v>45807</v>
      </c>
      <c r="K1261">
        <v>43</v>
      </c>
      <c r="L1261">
        <v>1.3</v>
      </c>
      <c r="M1261" t="b">
        <v>0</v>
      </c>
    </row>
    <row r="1262" spans="1:14" x14ac:dyDescent="0.25">
      <c r="A1262" t="s">
        <v>1315</v>
      </c>
      <c r="B1262" t="s">
        <v>27</v>
      </c>
      <c r="C1262" t="s">
        <v>61</v>
      </c>
      <c r="D1262" t="s">
        <v>34</v>
      </c>
      <c r="F1262" t="s">
        <v>64</v>
      </c>
      <c r="G1262">
        <v>53.46</v>
      </c>
      <c r="H1262">
        <v>58</v>
      </c>
      <c r="I1262">
        <v>22.45</v>
      </c>
      <c r="J1262" s="1">
        <v>45875</v>
      </c>
      <c r="K1262">
        <v>6</v>
      </c>
      <c r="L1262">
        <v>4.2</v>
      </c>
      <c r="M1262" t="b">
        <v>0</v>
      </c>
    </row>
    <row r="1263" spans="1:14" x14ac:dyDescent="0.25">
      <c r="A1263" t="s">
        <v>1316</v>
      </c>
      <c r="B1263" t="s">
        <v>42</v>
      </c>
      <c r="C1263" t="s">
        <v>22</v>
      </c>
      <c r="D1263" t="s">
        <v>62</v>
      </c>
      <c r="E1263" t="s">
        <v>55</v>
      </c>
      <c r="F1263" t="s">
        <v>44</v>
      </c>
      <c r="G1263">
        <v>101.78</v>
      </c>
      <c r="H1263">
        <v>22.9</v>
      </c>
      <c r="I1263">
        <v>78.47</v>
      </c>
      <c r="J1263" s="1">
        <v>45875</v>
      </c>
      <c r="K1263">
        <v>5</v>
      </c>
      <c r="L1263">
        <v>1.2</v>
      </c>
      <c r="M1263" t="b">
        <v>1</v>
      </c>
      <c r="N1263" t="s">
        <v>78</v>
      </c>
    </row>
    <row r="1264" spans="1:14" x14ac:dyDescent="0.25">
      <c r="A1264" t="s">
        <v>1317</v>
      </c>
      <c r="B1264" t="s">
        <v>15</v>
      </c>
      <c r="C1264" t="s">
        <v>32</v>
      </c>
      <c r="D1264" t="s">
        <v>62</v>
      </c>
      <c r="E1264" t="s">
        <v>58</v>
      </c>
      <c r="F1264" t="s">
        <v>40</v>
      </c>
      <c r="G1264">
        <v>112.28</v>
      </c>
      <c r="H1264">
        <v>0</v>
      </c>
      <c r="I1264">
        <v>112.28</v>
      </c>
      <c r="J1264" s="1">
        <v>45875</v>
      </c>
      <c r="K1264">
        <v>41</v>
      </c>
      <c r="L1264">
        <v>4.0999999999999996</v>
      </c>
      <c r="M1264" t="b">
        <v>0</v>
      </c>
    </row>
    <row r="1265" spans="1:14" x14ac:dyDescent="0.25">
      <c r="A1265" t="s">
        <v>1318</v>
      </c>
      <c r="B1265" t="s">
        <v>27</v>
      </c>
      <c r="C1265" t="s">
        <v>32</v>
      </c>
      <c r="D1265" t="s">
        <v>23</v>
      </c>
      <c r="F1265" t="s">
        <v>25</v>
      </c>
      <c r="G1265">
        <v>47.51</v>
      </c>
      <c r="H1265">
        <v>0</v>
      </c>
      <c r="I1265">
        <v>47.51</v>
      </c>
      <c r="J1265" s="1">
        <v>45875</v>
      </c>
      <c r="K1265">
        <v>39</v>
      </c>
      <c r="L1265">
        <v>4.4000000000000004</v>
      </c>
      <c r="M1265" t="b">
        <v>0</v>
      </c>
    </row>
    <row r="1266" spans="1:14" x14ac:dyDescent="0.25">
      <c r="A1266" t="s">
        <v>1319</v>
      </c>
      <c r="B1266" t="s">
        <v>21</v>
      </c>
      <c r="C1266" t="s">
        <v>22</v>
      </c>
      <c r="D1266" t="s">
        <v>23</v>
      </c>
      <c r="E1266" t="s">
        <v>49</v>
      </c>
      <c r="F1266" t="s">
        <v>56</v>
      </c>
      <c r="G1266">
        <v>80.39</v>
      </c>
      <c r="H1266">
        <v>0</v>
      </c>
      <c r="I1266">
        <v>80.39</v>
      </c>
      <c r="J1266" s="1">
        <v>45875</v>
      </c>
      <c r="K1266">
        <v>24</v>
      </c>
      <c r="M1266" t="b">
        <v>0</v>
      </c>
    </row>
    <row r="1267" spans="1:14" x14ac:dyDescent="0.25">
      <c r="A1267" t="s">
        <v>1320</v>
      </c>
      <c r="B1267" t="s">
        <v>38</v>
      </c>
      <c r="C1267" t="s">
        <v>43</v>
      </c>
      <c r="D1267" t="s">
        <v>23</v>
      </c>
      <c r="E1267" t="s">
        <v>24</v>
      </c>
      <c r="F1267" t="s">
        <v>19</v>
      </c>
      <c r="G1267">
        <v>64.75</v>
      </c>
      <c r="H1267">
        <v>26.4</v>
      </c>
      <c r="I1267">
        <v>47.66</v>
      </c>
      <c r="J1267" s="1">
        <v>45875</v>
      </c>
      <c r="K1267">
        <v>7</v>
      </c>
      <c r="L1267">
        <v>2.9</v>
      </c>
      <c r="M1267" t="b">
        <v>1</v>
      </c>
      <c r="N1267" t="s">
        <v>125</v>
      </c>
    </row>
    <row r="1268" spans="1:14" x14ac:dyDescent="0.25">
      <c r="A1268" t="s">
        <v>1321</v>
      </c>
      <c r="B1268" t="s">
        <v>15</v>
      </c>
      <c r="C1268" t="s">
        <v>16</v>
      </c>
      <c r="D1268" t="s">
        <v>23</v>
      </c>
      <c r="E1268" t="s">
        <v>24</v>
      </c>
      <c r="F1268" t="s">
        <v>19</v>
      </c>
      <c r="G1268">
        <v>129.86000000000001</v>
      </c>
      <c r="H1268">
        <v>0</v>
      </c>
      <c r="I1268">
        <v>129.86000000000001</v>
      </c>
      <c r="J1268" s="1">
        <v>45875</v>
      </c>
      <c r="K1268">
        <v>41</v>
      </c>
      <c r="L1268">
        <v>1.7</v>
      </c>
      <c r="M1268" t="b">
        <v>0</v>
      </c>
    </row>
    <row r="1269" spans="1:14" x14ac:dyDescent="0.25">
      <c r="A1269" t="s">
        <v>1322</v>
      </c>
      <c r="B1269" t="s">
        <v>38</v>
      </c>
      <c r="C1269" t="s">
        <v>32</v>
      </c>
      <c r="D1269" t="s">
        <v>17</v>
      </c>
      <c r="E1269" t="s">
        <v>24</v>
      </c>
      <c r="F1269" t="s">
        <v>46</v>
      </c>
      <c r="G1269">
        <v>32.74</v>
      </c>
      <c r="H1269">
        <v>0</v>
      </c>
      <c r="I1269">
        <v>32.74</v>
      </c>
      <c r="J1269" s="1">
        <v>45516</v>
      </c>
      <c r="K1269">
        <v>23</v>
      </c>
      <c r="L1269">
        <v>4</v>
      </c>
      <c r="M1269" t="b">
        <v>1</v>
      </c>
      <c r="N1269" t="s">
        <v>78</v>
      </c>
    </row>
    <row r="1270" spans="1:14" x14ac:dyDescent="0.25">
      <c r="A1270" t="s">
        <v>1323</v>
      </c>
      <c r="B1270" t="s">
        <v>38</v>
      </c>
      <c r="C1270" t="s">
        <v>22</v>
      </c>
      <c r="D1270" t="s">
        <v>17</v>
      </c>
      <c r="E1270" t="s">
        <v>24</v>
      </c>
      <c r="F1270" t="s">
        <v>44</v>
      </c>
      <c r="G1270">
        <v>79.27</v>
      </c>
      <c r="H1270">
        <v>0</v>
      </c>
      <c r="I1270">
        <v>79.27</v>
      </c>
      <c r="J1270" s="1">
        <v>45788</v>
      </c>
      <c r="K1270">
        <v>13</v>
      </c>
      <c r="L1270">
        <v>3.5</v>
      </c>
      <c r="M1270" t="b">
        <v>0</v>
      </c>
    </row>
    <row r="1271" spans="1:14" x14ac:dyDescent="0.25">
      <c r="A1271" t="s">
        <v>1324</v>
      </c>
      <c r="B1271" t="s">
        <v>21</v>
      </c>
      <c r="C1271" t="s">
        <v>75</v>
      </c>
      <c r="D1271" t="s">
        <v>17</v>
      </c>
      <c r="E1271" t="s">
        <v>39</v>
      </c>
      <c r="F1271" t="s">
        <v>56</v>
      </c>
      <c r="G1271">
        <v>119.38</v>
      </c>
      <c r="H1271">
        <v>0</v>
      </c>
      <c r="I1271">
        <v>119.38</v>
      </c>
      <c r="J1271" s="1">
        <v>45708</v>
      </c>
      <c r="K1271">
        <v>18</v>
      </c>
      <c r="L1271">
        <v>4.4000000000000004</v>
      </c>
      <c r="M1271" t="b">
        <v>0</v>
      </c>
    </row>
    <row r="1272" spans="1:14" x14ac:dyDescent="0.25">
      <c r="A1272" t="s">
        <v>1325</v>
      </c>
      <c r="B1272" t="s">
        <v>42</v>
      </c>
      <c r="C1272" t="s">
        <v>48</v>
      </c>
      <c r="D1272" t="s">
        <v>23</v>
      </c>
      <c r="E1272" t="s">
        <v>39</v>
      </c>
      <c r="F1272" t="s">
        <v>35</v>
      </c>
      <c r="G1272">
        <v>66.17</v>
      </c>
      <c r="H1272">
        <v>0</v>
      </c>
      <c r="I1272">
        <v>66.17</v>
      </c>
      <c r="J1272" s="1">
        <v>45875</v>
      </c>
      <c r="K1272">
        <v>1</v>
      </c>
      <c r="M1272" t="b">
        <v>0</v>
      </c>
    </row>
    <row r="1273" spans="1:14" x14ac:dyDescent="0.25">
      <c r="A1273" t="s">
        <v>1326</v>
      </c>
      <c r="B1273" t="s">
        <v>27</v>
      </c>
      <c r="C1273" t="s">
        <v>48</v>
      </c>
      <c r="D1273" t="s">
        <v>34</v>
      </c>
      <c r="F1273" t="s">
        <v>66</v>
      </c>
      <c r="G1273">
        <v>68.3</v>
      </c>
      <c r="H1273">
        <v>8</v>
      </c>
      <c r="I1273">
        <v>62.84</v>
      </c>
      <c r="J1273" s="1">
        <v>45875</v>
      </c>
      <c r="K1273">
        <v>18</v>
      </c>
      <c r="L1273">
        <v>3.1</v>
      </c>
      <c r="M1273" t="b">
        <v>0</v>
      </c>
    </row>
    <row r="1274" spans="1:14" x14ac:dyDescent="0.25">
      <c r="A1274" t="s">
        <v>1327</v>
      </c>
      <c r="B1274" t="s">
        <v>15</v>
      </c>
      <c r="C1274" t="s">
        <v>43</v>
      </c>
      <c r="D1274" t="s">
        <v>34</v>
      </c>
      <c r="E1274" t="s">
        <v>24</v>
      </c>
      <c r="F1274" t="s">
        <v>66</v>
      </c>
      <c r="G1274">
        <v>209.66</v>
      </c>
      <c r="H1274">
        <v>0</v>
      </c>
      <c r="I1274">
        <v>209.66</v>
      </c>
      <c r="J1274" s="1">
        <v>45875</v>
      </c>
      <c r="K1274">
        <v>30</v>
      </c>
      <c r="L1274">
        <v>2.1</v>
      </c>
      <c r="M1274" t="b">
        <v>0</v>
      </c>
    </row>
    <row r="1275" spans="1:14" x14ac:dyDescent="0.25">
      <c r="A1275" t="s">
        <v>1328</v>
      </c>
      <c r="B1275" t="s">
        <v>30</v>
      </c>
      <c r="C1275" t="s">
        <v>22</v>
      </c>
      <c r="D1275" t="s">
        <v>62</v>
      </c>
      <c r="E1275" t="s">
        <v>55</v>
      </c>
      <c r="F1275" t="s">
        <v>44</v>
      </c>
      <c r="G1275">
        <v>154.82</v>
      </c>
      <c r="H1275">
        <v>0</v>
      </c>
      <c r="I1275">
        <v>154.82</v>
      </c>
      <c r="J1275" s="1">
        <v>45875</v>
      </c>
      <c r="K1275">
        <v>31</v>
      </c>
      <c r="M1275" t="b">
        <v>0</v>
      </c>
    </row>
    <row r="1276" spans="1:14" x14ac:dyDescent="0.25">
      <c r="A1276" t="s">
        <v>1329</v>
      </c>
      <c r="B1276" t="s">
        <v>38</v>
      </c>
      <c r="C1276" t="s">
        <v>48</v>
      </c>
      <c r="D1276" t="s">
        <v>23</v>
      </c>
      <c r="E1276" t="s">
        <v>39</v>
      </c>
      <c r="F1276" t="s">
        <v>40</v>
      </c>
      <c r="G1276">
        <v>37.53</v>
      </c>
      <c r="H1276">
        <v>0</v>
      </c>
      <c r="I1276">
        <v>37.53</v>
      </c>
      <c r="J1276" s="1">
        <v>45875</v>
      </c>
      <c r="K1276">
        <v>8</v>
      </c>
      <c r="L1276">
        <v>3</v>
      </c>
      <c r="M1276" t="b">
        <v>1</v>
      </c>
      <c r="N1276" t="s">
        <v>115</v>
      </c>
    </row>
    <row r="1277" spans="1:14" x14ac:dyDescent="0.25">
      <c r="A1277" t="s">
        <v>1330</v>
      </c>
      <c r="B1277" t="s">
        <v>30</v>
      </c>
      <c r="C1277" t="s">
        <v>16</v>
      </c>
      <c r="D1277" t="s">
        <v>62</v>
      </c>
      <c r="E1277" t="s">
        <v>55</v>
      </c>
      <c r="F1277" t="s">
        <v>28</v>
      </c>
      <c r="G1277">
        <v>140.28</v>
      </c>
      <c r="H1277">
        <v>0</v>
      </c>
      <c r="I1277">
        <v>140.28</v>
      </c>
      <c r="J1277" s="1">
        <v>45875</v>
      </c>
      <c r="K1277">
        <v>10</v>
      </c>
      <c r="L1277">
        <v>1.9</v>
      </c>
      <c r="M1277" t="b">
        <v>0</v>
      </c>
    </row>
    <row r="1278" spans="1:14" x14ac:dyDescent="0.25">
      <c r="A1278" t="s">
        <v>1331</v>
      </c>
      <c r="B1278" t="s">
        <v>30</v>
      </c>
      <c r="C1278" t="s">
        <v>22</v>
      </c>
      <c r="D1278" t="s">
        <v>62</v>
      </c>
      <c r="E1278" t="s">
        <v>55</v>
      </c>
      <c r="F1278" t="s">
        <v>35</v>
      </c>
      <c r="G1278">
        <v>171.07</v>
      </c>
      <c r="H1278">
        <v>0</v>
      </c>
      <c r="I1278">
        <v>171.07</v>
      </c>
      <c r="J1278" s="1">
        <v>45875</v>
      </c>
      <c r="K1278">
        <v>25</v>
      </c>
      <c r="L1278">
        <v>3</v>
      </c>
      <c r="M1278" t="b">
        <v>0</v>
      </c>
    </row>
    <row r="1279" spans="1:14" x14ac:dyDescent="0.25">
      <c r="A1279" t="s">
        <v>1332</v>
      </c>
      <c r="B1279" t="s">
        <v>21</v>
      </c>
      <c r="C1279" t="s">
        <v>16</v>
      </c>
      <c r="D1279" t="s">
        <v>62</v>
      </c>
      <c r="E1279" t="s">
        <v>58</v>
      </c>
      <c r="F1279" t="s">
        <v>66</v>
      </c>
      <c r="G1279">
        <v>77.87</v>
      </c>
      <c r="H1279">
        <v>0</v>
      </c>
      <c r="I1279">
        <v>77.87</v>
      </c>
      <c r="J1279" s="1">
        <v>45875</v>
      </c>
      <c r="K1279">
        <v>4</v>
      </c>
      <c r="L1279">
        <v>2.7</v>
      </c>
      <c r="M1279" t="b">
        <v>0</v>
      </c>
    </row>
    <row r="1280" spans="1:14" x14ac:dyDescent="0.25">
      <c r="A1280" t="s">
        <v>1333</v>
      </c>
      <c r="B1280" t="s">
        <v>21</v>
      </c>
      <c r="C1280" t="s">
        <v>48</v>
      </c>
      <c r="D1280" t="s">
        <v>17</v>
      </c>
      <c r="E1280" t="s">
        <v>18</v>
      </c>
      <c r="F1280" t="s">
        <v>64</v>
      </c>
      <c r="G1280">
        <v>80.540000000000006</v>
      </c>
      <c r="H1280">
        <v>0</v>
      </c>
      <c r="I1280">
        <v>80.540000000000006</v>
      </c>
      <c r="J1280" s="1">
        <v>45636</v>
      </c>
      <c r="K1280">
        <v>50</v>
      </c>
      <c r="L1280">
        <v>2.1</v>
      </c>
      <c r="M1280" t="b">
        <v>0</v>
      </c>
    </row>
    <row r="1281" spans="1:14" x14ac:dyDescent="0.25">
      <c r="A1281" t="s">
        <v>1334</v>
      </c>
      <c r="B1281" t="s">
        <v>38</v>
      </c>
      <c r="C1281" t="s">
        <v>22</v>
      </c>
      <c r="D1281" t="s">
        <v>62</v>
      </c>
      <c r="E1281" t="s">
        <v>39</v>
      </c>
      <c r="F1281" t="s">
        <v>35</v>
      </c>
      <c r="G1281">
        <v>48.68</v>
      </c>
      <c r="H1281">
        <v>41.7</v>
      </c>
      <c r="I1281">
        <v>28.38</v>
      </c>
      <c r="J1281" s="1">
        <v>45875</v>
      </c>
      <c r="K1281">
        <v>20</v>
      </c>
      <c r="L1281">
        <v>1.3</v>
      </c>
      <c r="M1281" t="b">
        <v>1</v>
      </c>
      <c r="N1281" t="s">
        <v>78</v>
      </c>
    </row>
    <row r="1282" spans="1:14" x14ac:dyDescent="0.25">
      <c r="A1282" t="s">
        <v>1335</v>
      </c>
      <c r="B1282" t="s">
        <v>30</v>
      </c>
      <c r="C1282" t="s">
        <v>53</v>
      </c>
      <c r="D1282" t="s">
        <v>23</v>
      </c>
      <c r="E1282" t="s">
        <v>55</v>
      </c>
      <c r="F1282" t="s">
        <v>66</v>
      </c>
      <c r="G1282">
        <v>137.83000000000001</v>
      </c>
      <c r="H1282">
        <v>0</v>
      </c>
      <c r="I1282">
        <v>137.83000000000001</v>
      </c>
      <c r="J1282" s="1">
        <v>45875</v>
      </c>
      <c r="K1282">
        <v>32</v>
      </c>
      <c r="L1282">
        <v>3.4</v>
      </c>
      <c r="M1282" t="b">
        <v>1</v>
      </c>
      <c r="N1282" t="s">
        <v>115</v>
      </c>
    </row>
    <row r="1283" spans="1:14" x14ac:dyDescent="0.25">
      <c r="A1283" t="s">
        <v>1336</v>
      </c>
      <c r="B1283" t="s">
        <v>38</v>
      </c>
      <c r="C1283" t="s">
        <v>16</v>
      </c>
      <c r="D1283" t="s">
        <v>34</v>
      </c>
      <c r="E1283" t="s">
        <v>49</v>
      </c>
      <c r="F1283" t="s">
        <v>70</v>
      </c>
      <c r="G1283">
        <v>96.88</v>
      </c>
      <c r="H1283">
        <v>44.8</v>
      </c>
      <c r="I1283">
        <v>53.48</v>
      </c>
      <c r="J1283" s="1">
        <v>45875</v>
      </c>
      <c r="K1283">
        <v>15</v>
      </c>
      <c r="L1283">
        <v>1.3</v>
      </c>
      <c r="M1283" t="b">
        <v>0</v>
      </c>
    </row>
    <row r="1284" spans="1:14" x14ac:dyDescent="0.25">
      <c r="A1284" t="s">
        <v>1337</v>
      </c>
      <c r="B1284" t="s">
        <v>21</v>
      </c>
      <c r="C1284" t="s">
        <v>48</v>
      </c>
      <c r="D1284" t="s">
        <v>17</v>
      </c>
      <c r="E1284" t="s">
        <v>18</v>
      </c>
      <c r="F1284" t="s">
        <v>44</v>
      </c>
      <c r="G1284">
        <v>46.44</v>
      </c>
      <c r="H1284">
        <v>36.799999999999997</v>
      </c>
      <c r="I1284">
        <v>29.35</v>
      </c>
      <c r="J1284" s="1">
        <v>45727</v>
      </c>
      <c r="K1284">
        <v>19</v>
      </c>
      <c r="L1284">
        <v>1.9</v>
      </c>
      <c r="M1284" t="b">
        <v>0</v>
      </c>
    </row>
    <row r="1285" spans="1:14" x14ac:dyDescent="0.25">
      <c r="A1285" t="s">
        <v>1338</v>
      </c>
      <c r="B1285" t="s">
        <v>38</v>
      </c>
      <c r="C1285" t="s">
        <v>61</v>
      </c>
      <c r="D1285" t="s">
        <v>23</v>
      </c>
      <c r="E1285" t="s">
        <v>24</v>
      </c>
      <c r="F1285" t="s">
        <v>70</v>
      </c>
      <c r="G1285">
        <v>86.4</v>
      </c>
      <c r="H1285">
        <v>0</v>
      </c>
      <c r="I1285">
        <v>86.4</v>
      </c>
      <c r="J1285" s="1">
        <v>45875</v>
      </c>
      <c r="K1285">
        <v>26</v>
      </c>
      <c r="L1285">
        <v>3.7</v>
      </c>
      <c r="M1285" t="b">
        <v>0</v>
      </c>
    </row>
    <row r="1286" spans="1:14" x14ac:dyDescent="0.25">
      <c r="A1286" t="s">
        <v>1339</v>
      </c>
      <c r="B1286" t="s">
        <v>38</v>
      </c>
      <c r="C1286" t="s">
        <v>43</v>
      </c>
      <c r="D1286" t="s">
        <v>34</v>
      </c>
      <c r="E1286" t="s">
        <v>49</v>
      </c>
      <c r="F1286" t="s">
        <v>46</v>
      </c>
      <c r="G1286">
        <v>113.83</v>
      </c>
      <c r="H1286">
        <v>51.6</v>
      </c>
      <c r="I1286">
        <v>55.09</v>
      </c>
      <c r="J1286" s="1">
        <v>45875</v>
      </c>
      <c r="K1286">
        <v>12</v>
      </c>
      <c r="L1286">
        <v>2.9</v>
      </c>
      <c r="M1286" t="b">
        <v>0</v>
      </c>
    </row>
    <row r="1287" spans="1:14" x14ac:dyDescent="0.25">
      <c r="A1287" t="s">
        <v>1340</v>
      </c>
      <c r="B1287" t="s">
        <v>38</v>
      </c>
      <c r="C1287" t="s">
        <v>16</v>
      </c>
      <c r="D1287" t="s">
        <v>62</v>
      </c>
      <c r="E1287" t="s">
        <v>55</v>
      </c>
      <c r="F1287" t="s">
        <v>66</v>
      </c>
      <c r="G1287">
        <v>64.680000000000007</v>
      </c>
      <c r="H1287">
        <v>42.9</v>
      </c>
      <c r="I1287">
        <v>36.93</v>
      </c>
      <c r="J1287" s="1">
        <v>45875</v>
      </c>
      <c r="K1287">
        <v>36</v>
      </c>
      <c r="M1287" t="b">
        <v>0</v>
      </c>
    </row>
    <row r="1288" spans="1:14" x14ac:dyDescent="0.25">
      <c r="A1288" t="s">
        <v>1341</v>
      </c>
      <c r="B1288" t="s">
        <v>30</v>
      </c>
      <c r="C1288" t="s">
        <v>75</v>
      </c>
      <c r="D1288" t="s">
        <v>34</v>
      </c>
      <c r="F1288" t="s">
        <v>56</v>
      </c>
      <c r="G1288">
        <v>123.23</v>
      </c>
      <c r="H1288">
        <v>0</v>
      </c>
      <c r="I1288">
        <v>123.23</v>
      </c>
      <c r="J1288" s="1">
        <v>45875</v>
      </c>
      <c r="K1288">
        <v>40</v>
      </c>
      <c r="L1288">
        <v>4.3</v>
      </c>
      <c r="M1288" t="b">
        <v>0</v>
      </c>
    </row>
    <row r="1289" spans="1:14" x14ac:dyDescent="0.25">
      <c r="A1289" t="s">
        <v>1342</v>
      </c>
      <c r="B1289" t="s">
        <v>27</v>
      </c>
      <c r="C1289" t="s">
        <v>53</v>
      </c>
      <c r="D1289" t="s">
        <v>23</v>
      </c>
      <c r="F1289" t="s">
        <v>19</v>
      </c>
      <c r="G1289">
        <v>69.69</v>
      </c>
      <c r="H1289">
        <v>0</v>
      </c>
      <c r="I1289">
        <v>69.69</v>
      </c>
      <c r="J1289" s="1">
        <v>45875</v>
      </c>
      <c r="K1289">
        <v>35</v>
      </c>
      <c r="L1289">
        <v>3</v>
      </c>
      <c r="M1289" t="b">
        <v>0</v>
      </c>
    </row>
    <row r="1290" spans="1:14" x14ac:dyDescent="0.25">
      <c r="A1290" t="s">
        <v>1343</v>
      </c>
      <c r="B1290" t="s">
        <v>27</v>
      </c>
      <c r="C1290" t="s">
        <v>32</v>
      </c>
      <c r="D1290" t="s">
        <v>23</v>
      </c>
      <c r="F1290" t="s">
        <v>46</v>
      </c>
      <c r="G1290">
        <v>46.15</v>
      </c>
      <c r="H1290">
        <v>24.4</v>
      </c>
      <c r="I1290">
        <v>34.89</v>
      </c>
      <c r="J1290" s="1">
        <v>45875</v>
      </c>
      <c r="K1290">
        <v>31</v>
      </c>
      <c r="L1290">
        <v>4.4000000000000004</v>
      </c>
      <c r="M1290" t="b">
        <v>1</v>
      </c>
      <c r="N1290" t="s">
        <v>73</v>
      </c>
    </row>
    <row r="1291" spans="1:14" x14ac:dyDescent="0.25">
      <c r="A1291" t="s">
        <v>1344</v>
      </c>
      <c r="B1291" t="s">
        <v>15</v>
      </c>
      <c r="C1291" t="s">
        <v>48</v>
      </c>
      <c r="D1291" t="s">
        <v>62</v>
      </c>
      <c r="E1291" t="s">
        <v>55</v>
      </c>
      <c r="F1291" t="s">
        <v>64</v>
      </c>
      <c r="G1291">
        <v>229.8</v>
      </c>
      <c r="H1291">
        <v>0</v>
      </c>
      <c r="I1291">
        <v>229.8</v>
      </c>
      <c r="J1291" s="1">
        <v>45875</v>
      </c>
      <c r="K1291">
        <v>46</v>
      </c>
      <c r="L1291">
        <v>3.6</v>
      </c>
      <c r="M1291" t="b">
        <v>0</v>
      </c>
    </row>
    <row r="1292" spans="1:14" x14ac:dyDescent="0.25">
      <c r="A1292" t="s">
        <v>1345</v>
      </c>
      <c r="B1292" t="s">
        <v>15</v>
      </c>
      <c r="C1292" t="s">
        <v>22</v>
      </c>
      <c r="D1292" t="s">
        <v>34</v>
      </c>
      <c r="E1292" t="s">
        <v>55</v>
      </c>
      <c r="F1292" t="s">
        <v>66</v>
      </c>
      <c r="G1292">
        <v>179.44</v>
      </c>
      <c r="H1292">
        <v>19.600000000000001</v>
      </c>
      <c r="I1292">
        <v>144.27000000000001</v>
      </c>
      <c r="J1292" s="1">
        <v>45875</v>
      </c>
      <c r="K1292">
        <v>42</v>
      </c>
      <c r="L1292">
        <v>3</v>
      </c>
      <c r="M1292" t="b">
        <v>0</v>
      </c>
    </row>
    <row r="1293" spans="1:14" x14ac:dyDescent="0.25">
      <c r="A1293" t="s">
        <v>1346</v>
      </c>
      <c r="B1293" t="s">
        <v>30</v>
      </c>
      <c r="C1293" t="s">
        <v>32</v>
      </c>
      <c r="D1293" t="s">
        <v>34</v>
      </c>
      <c r="E1293" t="s">
        <v>24</v>
      </c>
      <c r="F1293" t="s">
        <v>46</v>
      </c>
      <c r="G1293">
        <v>80.959999999999994</v>
      </c>
      <c r="H1293">
        <v>56.3</v>
      </c>
      <c r="I1293">
        <v>35.380000000000003</v>
      </c>
      <c r="J1293" s="1">
        <v>45875</v>
      </c>
      <c r="K1293">
        <v>41</v>
      </c>
      <c r="L1293">
        <v>2.2000000000000002</v>
      </c>
      <c r="M1293" t="b">
        <v>1</v>
      </c>
      <c r="N1293" t="s">
        <v>115</v>
      </c>
    </row>
    <row r="1294" spans="1:14" x14ac:dyDescent="0.25">
      <c r="A1294" t="s">
        <v>1347</v>
      </c>
      <c r="B1294" t="s">
        <v>38</v>
      </c>
      <c r="C1294" t="s">
        <v>22</v>
      </c>
      <c r="D1294" t="s">
        <v>34</v>
      </c>
      <c r="E1294" t="s">
        <v>24</v>
      </c>
      <c r="F1294" t="s">
        <v>46</v>
      </c>
      <c r="G1294">
        <v>62.3</v>
      </c>
      <c r="H1294">
        <v>19.2</v>
      </c>
      <c r="I1294">
        <v>50.34</v>
      </c>
      <c r="J1294" s="1">
        <v>45875</v>
      </c>
      <c r="K1294">
        <v>9</v>
      </c>
      <c r="L1294">
        <v>2.5</v>
      </c>
      <c r="M1294" t="b">
        <v>0</v>
      </c>
    </row>
    <row r="1295" spans="1:14" x14ac:dyDescent="0.25">
      <c r="A1295" t="s">
        <v>1348</v>
      </c>
      <c r="B1295" t="s">
        <v>27</v>
      </c>
      <c r="C1295" t="s">
        <v>22</v>
      </c>
      <c r="D1295" t="s">
        <v>34</v>
      </c>
      <c r="F1295" t="s">
        <v>56</v>
      </c>
      <c r="G1295">
        <v>58.83</v>
      </c>
      <c r="H1295">
        <v>12.5</v>
      </c>
      <c r="I1295">
        <v>51.48</v>
      </c>
      <c r="J1295" s="1">
        <v>45875</v>
      </c>
      <c r="K1295">
        <v>3</v>
      </c>
      <c r="L1295">
        <v>1.5</v>
      </c>
      <c r="M1295" t="b">
        <v>0</v>
      </c>
    </row>
    <row r="1296" spans="1:14" x14ac:dyDescent="0.25">
      <c r="A1296" t="s">
        <v>1349</v>
      </c>
      <c r="B1296" t="s">
        <v>21</v>
      </c>
      <c r="C1296" t="s">
        <v>48</v>
      </c>
      <c r="D1296" t="s">
        <v>62</v>
      </c>
      <c r="E1296" t="s">
        <v>49</v>
      </c>
      <c r="F1296" t="s">
        <v>64</v>
      </c>
      <c r="G1296">
        <v>119.04</v>
      </c>
      <c r="H1296">
        <v>1.7</v>
      </c>
      <c r="I1296">
        <v>117.02</v>
      </c>
      <c r="J1296" s="1">
        <v>45875</v>
      </c>
      <c r="K1296">
        <v>34</v>
      </c>
      <c r="L1296">
        <v>4.0999999999999996</v>
      </c>
      <c r="M1296" t="b">
        <v>0</v>
      </c>
    </row>
    <row r="1297" spans="1:14" x14ac:dyDescent="0.25">
      <c r="A1297" t="s">
        <v>1350</v>
      </c>
      <c r="B1297" t="s">
        <v>15</v>
      </c>
      <c r="C1297" t="s">
        <v>16</v>
      </c>
      <c r="D1297" t="s">
        <v>62</v>
      </c>
      <c r="E1297" t="s">
        <v>39</v>
      </c>
      <c r="F1297" t="s">
        <v>64</v>
      </c>
      <c r="G1297">
        <v>80.540000000000006</v>
      </c>
      <c r="H1297">
        <v>0</v>
      </c>
      <c r="I1297">
        <v>80.540000000000006</v>
      </c>
      <c r="J1297" s="1">
        <v>45875</v>
      </c>
      <c r="K1297">
        <v>3</v>
      </c>
      <c r="L1297">
        <v>1.8</v>
      </c>
      <c r="M1297" t="b">
        <v>1</v>
      </c>
      <c r="N1297" t="s">
        <v>73</v>
      </c>
    </row>
    <row r="1298" spans="1:14" x14ac:dyDescent="0.25">
      <c r="A1298" t="s">
        <v>1351</v>
      </c>
      <c r="B1298" t="s">
        <v>38</v>
      </c>
      <c r="C1298" t="s">
        <v>32</v>
      </c>
      <c r="D1298" t="s">
        <v>23</v>
      </c>
      <c r="E1298" t="s">
        <v>55</v>
      </c>
      <c r="F1298" t="s">
        <v>28</v>
      </c>
      <c r="G1298">
        <v>47.32</v>
      </c>
      <c r="H1298">
        <v>25.7</v>
      </c>
      <c r="I1298">
        <v>35.159999999999997</v>
      </c>
      <c r="J1298" s="1">
        <v>45875</v>
      </c>
      <c r="K1298">
        <v>2</v>
      </c>
      <c r="L1298">
        <v>3.2</v>
      </c>
      <c r="M1298" t="b">
        <v>0</v>
      </c>
    </row>
    <row r="1299" spans="1:14" x14ac:dyDescent="0.25">
      <c r="A1299" t="s">
        <v>1352</v>
      </c>
      <c r="B1299" t="s">
        <v>30</v>
      </c>
      <c r="C1299" t="s">
        <v>61</v>
      </c>
      <c r="D1299" t="s">
        <v>23</v>
      </c>
      <c r="E1299" t="s">
        <v>18</v>
      </c>
      <c r="F1299" t="s">
        <v>25</v>
      </c>
      <c r="G1299">
        <v>104.57</v>
      </c>
      <c r="H1299">
        <v>27.4</v>
      </c>
      <c r="I1299">
        <v>75.92</v>
      </c>
      <c r="J1299" s="1">
        <v>45875</v>
      </c>
      <c r="K1299">
        <v>7</v>
      </c>
      <c r="L1299">
        <v>1</v>
      </c>
      <c r="M1299" t="b">
        <v>1</v>
      </c>
      <c r="N1299" t="s">
        <v>83</v>
      </c>
    </row>
    <row r="1300" spans="1:14" x14ac:dyDescent="0.25">
      <c r="A1300" t="s">
        <v>1353</v>
      </c>
      <c r="B1300" t="s">
        <v>27</v>
      </c>
      <c r="C1300" t="s">
        <v>16</v>
      </c>
      <c r="D1300" t="s">
        <v>23</v>
      </c>
      <c r="F1300" t="s">
        <v>44</v>
      </c>
      <c r="G1300">
        <v>38.369999999999997</v>
      </c>
      <c r="H1300">
        <v>23.3</v>
      </c>
      <c r="I1300">
        <v>29.43</v>
      </c>
      <c r="J1300" s="1">
        <v>45875</v>
      </c>
      <c r="K1300">
        <v>22</v>
      </c>
      <c r="L1300">
        <v>1.4</v>
      </c>
      <c r="M1300" t="b">
        <v>0</v>
      </c>
    </row>
    <row r="1301" spans="1:14" x14ac:dyDescent="0.25">
      <c r="A1301" t="s">
        <v>1354</v>
      </c>
      <c r="B1301" t="s">
        <v>15</v>
      </c>
      <c r="C1301" t="s">
        <v>48</v>
      </c>
      <c r="D1301" t="s">
        <v>23</v>
      </c>
      <c r="F1301" t="s">
        <v>19</v>
      </c>
      <c r="G1301">
        <v>86.3</v>
      </c>
      <c r="H1301">
        <v>0</v>
      </c>
      <c r="I1301">
        <v>86.3</v>
      </c>
      <c r="J1301" s="1">
        <v>45875</v>
      </c>
      <c r="K1301">
        <v>33</v>
      </c>
      <c r="L1301">
        <v>3.9</v>
      </c>
      <c r="M1301" t="b">
        <v>0</v>
      </c>
    </row>
    <row r="1302" spans="1:14" x14ac:dyDescent="0.25">
      <c r="A1302" t="s">
        <v>1355</v>
      </c>
      <c r="B1302" t="s">
        <v>27</v>
      </c>
      <c r="C1302" t="s">
        <v>43</v>
      </c>
      <c r="D1302" t="s">
        <v>23</v>
      </c>
      <c r="F1302" t="s">
        <v>66</v>
      </c>
      <c r="G1302">
        <v>64.89</v>
      </c>
      <c r="H1302">
        <v>4.2</v>
      </c>
      <c r="I1302">
        <v>62.16</v>
      </c>
      <c r="J1302" s="1">
        <v>45875</v>
      </c>
      <c r="K1302">
        <v>40</v>
      </c>
      <c r="L1302">
        <v>1.4</v>
      </c>
      <c r="M1302" t="b">
        <v>0</v>
      </c>
    </row>
    <row r="1303" spans="1:14" x14ac:dyDescent="0.25">
      <c r="A1303" t="s">
        <v>1356</v>
      </c>
      <c r="B1303" t="s">
        <v>27</v>
      </c>
      <c r="C1303" t="s">
        <v>43</v>
      </c>
      <c r="D1303" t="s">
        <v>34</v>
      </c>
      <c r="F1303" t="s">
        <v>64</v>
      </c>
      <c r="G1303">
        <v>53.64</v>
      </c>
      <c r="H1303">
        <v>0</v>
      </c>
      <c r="I1303">
        <v>53.64</v>
      </c>
      <c r="J1303" s="1">
        <v>45875</v>
      </c>
      <c r="K1303">
        <v>18</v>
      </c>
      <c r="L1303">
        <v>2.2999999999999998</v>
      </c>
      <c r="M1303" t="b">
        <v>0</v>
      </c>
    </row>
    <row r="1304" spans="1:14" x14ac:dyDescent="0.25">
      <c r="A1304" t="s">
        <v>1357</v>
      </c>
      <c r="B1304" t="s">
        <v>42</v>
      </c>
      <c r="C1304" t="s">
        <v>43</v>
      </c>
      <c r="D1304" t="s">
        <v>62</v>
      </c>
      <c r="E1304" t="s">
        <v>49</v>
      </c>
      <c r="F1304" t="s">
        <v>25</v>
      </c>
      <c r="G1304">
        <v>113.81</v>
      </c>
      <c r="H1304">
        <v>9.1999999999999993</v>
      </c>
      <c r="I1304">
        <v>103.34</v>
      </c>
      <c r="J1304" s="1">
        <v>45875</v>
      </c>
      <c r="K1304">
        <v>11</v>
      </c>
      <c r="L1304">
        <v>2.4</v>
      </c>
      <c r="M1304" t="b">
        <v>0</v>
      </c>
    </row>
    <row r="1305" spans="1:14" x14ac:dyDescent="0.25">
      <c r="A1305" t="s">
        <v>1358</v>
      </c>
      <c r="B1305" t="s">
        <v>21</v>
      </c>
      <c r="C1305" t="s">
        <v>53</v>
      </c>
      <c r="D1305" t="s">
        <v>62</v>
      </c>
      <c r="E1305" t="s">
        <v>49</v>
      </c>
      <c r="F1305" t="s">
        <v>56</v>
      </c>
      <c r="G1305">
        <v>40.119999999999997</v>
      </c>
      <c r="H1305">
        <v>27.7</v>
      </c>
      <c r="I1305">
        <v>29.01</v>
      </c>
      <c r="J1305" s="1">
        <v>45875</v>
      </c>
      <c r="K1305">
        <v>29</v>
      </c>
      <c r="L1305">
        <v>1.7</v>
      </c>
      <c r="M1305" t="b">
        <v>1</v>
      </c>
      <c r="N1305" t="s">
        <v>73</v>
      </c>
    </row>
    <row r="1306" spans="1:14" x14ac:dyDescent="0.25">
      <c r="A1306" t="s">
        <v>1359</v>
      </c>
      <c r="B1306" t="s">
        <v>21</v>
      </c>
      <c r="C1306" t="s">
        <v>61</v>
      </c>
      <c r="D1306" t="s">
        <v>23</v>
      </c>
      <c r="E1306" t="s">
        <v>58</v>
      </c>
      <c r="F1306" t="s">
        <v>28</v>
      </c>
      <c r="G1306">
        <v>49.64</v>
      </c>
      <c r="H1306">
        <v>30.9</v>
      </c>
      <c r="I1306">
        <v>34.299999999999997</v>
      </c>
      <c r="J1306" s="1">
        <v>45875</v>
      </c>
      <c r="K1306">
        <v>21</v>
      </c>
      <c r="L1306">
        <v>2</v>
      </c>
      <c r="M1306" t="b">
        <v>0</v>
      </c>
    </row>
    <row r="1307" spans="1:14" x14ac:dyDescent="0.25">
      <c r="A1307" t="s">
        <v>1360</v>
      </c>
      <c r="B1307" t="s">
        <v>38</v>
      </c>
      <c r="C1307" t="s">
        <v>75</v>
      </c>
      <c r="D1307" t="s">
        <v>62</v>
      </c>
      <c r="E1307" t="s">
        <v>24</v>
      </c>
      <c r="F1307" t="s">
        <v>70</v>
      </c>
      <c r="G1307">
        <v>117.64</v>
      </c>
      <c r="H1307">
        <v>54.2</v>
      </c>
      <c r="I1307">
        <v>53.88</v>
      </c>
      <c r="J1307" s="1">
        <v>45875</v>
      </c>
      <c r="K1307">
        <v>25</v>
      </c>
      <c r="L1307">
        <v>4.5999999999999996</v>
      </c>
      <c r="M1307" t="b">
        <v>1</v>
      </c>
      <c r="N1307" t="s">
        <v>125</v>
      </c>
    </row>
    <row r="1308" spans="1:14" x14ac:dyDescent="0.25">
      <c r="A1308" t="s">
        <v>1361</v>
      </c>
      <c r="B1308" t="s">
        <v>27</v>
      </c>
      <c r="C1308" t="s">
        <v>43</v>
      </c>
      <c r="D1308" t="s">
        <v>62</v>
      </c>
      <c r="F1308" t="s">
        <v>19</v>
      </c>
      <c r="G1308">
        <v>69.78</v>
      </c>
      <c r="H1308">
        <v>3.7</v>
      </c>
      <c r="I1308">
        <v>67.2</v>
      </c>
      <c r="J1308" s="1">
        <v>45875</v>
      </c>
      <c r="K1308">
        <v>14</v>
      </c>
      <c r="L1308">
        <v>3.2</v>
      </c>
      <c r="M1308" t="b">
        <v>0</v>
      </c>
    </row>
    <row r="1309" spans="1:14" x14ac:dyDescent="0.25">
      <c r="A1309" t="s">
        <v>1362</v>
      </c>
      <c r="B1309" t="s">
        <v>27</v>
      </c>
      <c r="C1309" t="s">
        <v>75</v>
      </c>
      <c r="D1309" t="s">
        <v>17</v>
      </c>
      <c r="F1309" t="s">
        <v>35</v>
      </c>
      <c r="G1309">
        <v>29.91</v>
      </c>
      <c r="H1309">
        <v>18.399999999999999</v>
      </c>
      <c r="I1309">
        <v>24.41</v>
      </c>
      <c r="J1309" s="1">
        <v>45719</v>
      </c>
      <c r="K1309">
        <v>10</v>
      </c>
      <c r="L1309">
        <v>4.9000000000000004</v>
      </c>
      <c r="M1309" t="b">
        <v>0</v>
      </c>
    </row>
    <row r="1310" spans="1:14" x14ac:dyDescent="0.25">
      <c r="A1310" t="s">
        <v>1363</v>
      </c>
      <c r="B1310" t="s">
        <v>30</v>
      </c>
      <c r="C1310" t="s">
        <v>48</v>
      </c>
      <c r="D1310" t="s">
        <v>34</v>
      </c>
      <c r="E1310" t="s">
        <v>18</v>
      </c>
      <c r="F1310" t="s">
        <v>28</v>
      </c>
      <c r="G1310">
        <v>187.11</v>
      </c>
      <c r="H1310">
        <v>43.3</v>
      </c>
      <c r="I1310">
        <v>106.09</v>
      </c>
      <c r="J1310" s="1">
        <v>45875</v>
      </c>
      <c r="K1310">
        <v>26</v>
      </c>
      <c r="L1310">
        <v>3</v>
      </c>
      <c r="M1310" t="b">
        <v>0</v>
      </c>
    </row>
    <row r="1311" spans="1:14" x14ac:dyDescent="0.25">
      <c r="A1311" t="s">
        <v>1364</v>
      </c>
      <c r="B1311" t="s">
        <v>27</v>
      </c>
      <c r="C1311" t="s">
        <v>53</v>
      </c>
      <c r="D1311" t="s">
        <v>62</v>
      </c>
      <c r="F1311" t="s">
        <v>56</v>
      </c>
      <c r="G1311">
        <v>40.04</v>
      </c>
      <c r="H1311">
        <v>15.8</v>
      </c>
      <c r="I1311">
        <v>33.71</v>
      </c>
      <c r="J1311" s="1">
        <v>45875</v>
      </c>
      <c r="K1311">
        <v>31</v>
      </c>
      <c r="L1311">
        <v>1.8</v>
      </c>
      <c r="M1311" t="b">
        <v>0</v>
      </c>
    </row>
    <row r="1312" spans="1:14" x14ac:dyDescent="0.25">
      <c r="A1312" t="s">
        <v>1365</v>
      </c>
      <c r="B1312" t="s">
        <v>42</v>
      </c>
      <c r="C1312" t="s">
        <v>43</v>
      </c>
      <c r="D1312" t="s">
        <v>17</v>
      </c>
      <c r="E1312" t="s">
        <v>55</v>
      </c>
      <c r="F1312" t="s">
        <v>56</v>
      </c>
      <c r="G1312">
        <v>113.44</v>
      </c>
      <c r="H1312">
        <v>23.4</v>
      </c>
      <c r="I1312">
        <v>86.9</v>
      </c>
      <c r="J1312" s="1">
        <v>45723</v>
      </c>
      <c r="K1312">
        <v>1</v>
      </c>
      <c r="M1312" t="b">
        <v>0</v>
      </c>
    </row>
    <row r="1313" spans="1:14" x14ac:dyDescent="0.25">
      <c r="A1313" t="s">
        <v>1366</v>
      </c>
      <c r="B1313" t="s">
        <v>38</v>
      </c>
      <c r="C1313" t="s">
        <v>16</v>
      </c>
      <c r="D1313" t="s">
        <v>17</v>
      </c>
      <c r="E1313" t="s">
        <v>39</v>
      </c>
      <c r="F1313" t="s">
        <v>40</v>
      </c>
      <c r="G1313">
        <v>119.84</v>
      </c>
      <c r="H1313">
        <v>0</v>
      </c>
      <c r="I1313">
        <v>119.84</v>
      </c>
      <c r="J1313" s="1">
        <v>45562</v>
      </c>
      <c r="K1313">
        <v>47</v>
      </c>
      <c r="L1313">
        <v>1.4</v>
      </c>
      <c r="M1313" t="b">
        <v>0</v>
      </c>
    </row>
    <row r="1314" spans="1:14" x14ac:dyDescent="0.25">
      <c r="A1314" t="s">
        <v>1367</v>
      </c>
      <c r="B1314" t="s">
        <v>30</v>
      </c>
      <c r="C1314" t="s">
        <v>22</v>
      </c>
      <c r="D1314" t="s">
        <v>34</v>
      </c>
      <c r="E1314" t="s">
        <v>49</v>
      </c>
      <c r="F1314" t="s">
        <v>70</v>
      </c>
      <c r="G1314">
        <v>167.27</v>
      </c>
      <c r="H1314">
        <v>0</v>
      </c>
      <c r="I1314">
        <v>167.27</v>
      </c>
      <c r="J1314" s="1">
        <v>45875</v>
      </c>
      <c r="K1314">
        <v>9</v>
      </c>
      <c r="L1314">
        <v>4</v>
      </c>
      <c r="M1314" t="b">
        <v>0</v>
      </c>
    </row>
    <row r="1315" spans="1:14" x14ac:dyDescent="0.25">
      <c r="A1315" t="s">
        <v>1368</v>
      </c>
      <c r="B1315" t="s">
        <v>42</v>
      </c>
      <c r="C1315" t="s">
        <v>32</v>
      </c>
      <c r="D1315" t="s">
        <v>17</v>
      </c>
      <c r="E1315" t="s">
        <v>18</v>
      </c>
      <c r="F1315" t="s">
        <v>44</v>
      </c>
      <c r="G1315">
        <v>148</v>
      </c>
      <c r="H1315">
        <v>1.1000000000000001</v>
      </c>
      <c r="I1315">
        <v>146.37</v>
      </c>
      <c r="J1315" s="1">
        <v>45711</v>
      </c>
      <c r="K1315">
        <v>43</v>
      </c>
      <c r="L1315">
        <v>2</v>
      </c>
      <c r="M1315" t="b">
        <v>0</v>
      </c>
    </row>
    <row r="1316" spans="1:14" x14ac:dyDescent="0.25">
      <c r="A1316" t="s">
        <v>1369</v>
      </c>
      <c r="B1316" t="s">
        <v>38</v>
      </c>
      <c r="C1316" t="s">
        <v>48</v>
      </c>
      <c r="D1316" t="s">
        <v>23</v>
      </c>
      <c r="E1316" t="s">
        <v>49</v>
      </c>
      <c r="F1316" t="s">
        <v>19</v>
      </c>
      <c r="G1316">
        <v>65.34</v>
      </c>
      <c r="H1316">
        <v>49.8</v>
      </c>
      <c r="I1316">
        <v>32.799999999999997</v>
      </c>
      <c r="J1316" s="1">
        <v>45875</v>
      </c>
      <c r="K1316">
        <v>9</v>
      </c>
      <c r="M1316" t="b">
        <v>0</v>
      </c>
    </row>
    <row r="1317" spans="1:14" x14ac:dyDescent="0.25">
      <c r="A1317" t="s">
        <v>1370</v>
      </c>
      <c r="B1317" t="s">
        <v>30</v>
      </c>
      <c r="C1317" t="s">
        <v>32</v>
      </c>
      <c r="D1317" t="s">
        <v>17</v>
      </c>
      <c r="E1317" t="s">
        <v>58</v>
      </c>
      <c r="F1317" t="s">
        <v>46</v>
      </c>
      <c r="G1317">
        <v>84.57</v>
      </c>
      <c r="H1317">
        <v>5.4</v>
      </c>
      <c r="I1317">
        <v>80</v>
      </c>
      <c r="J1317" s="1">
        <v>45855</v>
      </c>
      <c r="K1317">
        <v>33</v>
      </c>
      <c r="M1317" t="b">
        <v>0</v>
      </c>
    </row>
    <row r="1318" spans="1:14" x14ac:dyDescent="0.25">
      <c r="A1318" t="s">
        <v>1371</v>
      </c>
      <c r="B1318" t="s">
        <v>38</v>
      </c>
      <c r="C1318" t="s">
        <v>61</v>
      </c>
      <c r="D1318" t="s">
        <v>62</v>
      </c>
      <c r="E1318" t="s">
        <v>55</v>
      </c>
      <c r="F1318" t="s">
        <v>40</v>
      </c>
      <c r="G1318">
        <v>52.6</v>
      </c>
      <c r="H1318">
        <v>0</v>
      </c>
      <c r="I1318">
        <v>52.6</v>
      </c>
      <c r="J1318" s="1">
        <v>45875</v>
      </c>
      <c r="K1318">
        <v>35</v>
      </c>
      <c r="L1318">
        <v>1.2</v>
      </c>
      <c r="M1318" t="b">
        <v>1</v>
      </c>
      <c r="N1318" t="s">
        <v>36</v>
      </c>
    </row>
    <row r="1319" spans="1:14" x14ac:dyDescent="0.25">
      <c r="A1319" t="s">
        <v>1372</v>
      </c>
      <c r="B1319" t="s">
        <v>30</v>
      </c>
      <c r="C1319" t="s">
        <v>22</v>
      </c>
      <c r="D1319" t="s">
        <v>62</v>
      </c>
      <c r="E1319" t="s">
        <v>24</v>
      </c>
      <c r="F1319" t="s">
        <v>46</v>
      </c>
      <c r="G1319">
        <v>106.37</v>
      </c>
      <c r="H1319">
        <v>0</v>
      </c>
      <c r="I1319">
        <v>106.37</v>
      </c>
      <c r="J1319" s="1">
        <v>45875</v>
      </c>
      <c r="K1319">
        <v>30</v>
      </c>
      <c r="L1319">
        <v>1.1000000000000001</v>
      </c>
      <c r="M1319" t="b">
        <v>0</v>
      </c>
    </row>
    <row r="1320" spans="1:14" x14ac:dyDescent="0.25">
      <c r="A1320" t="s">
        <v>1373</v>
      </c>
      <c r="B1320" t="s">
        <v>21</v>
      </c>
      <c r="C1320" t="s">
        <v>61</v>
      </c>
      <c r="D1320" t="s">
        <v>62</v>
      </c>
      <c r="E1320" t="s">
        <v>49</v>
      </c>
      <c r="F1320" t="s">
        <v>28</v>
      </c>
      <c r="G1320">
        <v>96.77</v>
      </c>
      <c r="H1320">
        <v>40.4</v>
      </c>
      <c r="I1320">
        <v>57.67</v>
      </c>
      <c r="J1320" s="1">
        <v>45875</v>
      </c>
      <c r="K1320">
        <v>31</v>
      </c>
      <c r="L1320">
        <v>4.5</v>
      </c>
      <c r="M1320" t="b">
        <v>0</v>
      </c>
    </row>
    <row r="1321" spans="1:14" x14ac:dyDescent="0.25">
      <c r="A1321" t="s">
        <v>1374</v>
      </c>
      <c r="B1321" t="s">
        <v>15</v>
      </c>
      <c r="C1321" t="s">
        <v>32</v>
      </c>
      <c r="D1321" t="s">
        <v>17</v>
      </c>
      <c r="E1321" t="s">
        <v>24</v>
      </c>
      <c r="F1321" t="s">
        <v>70</v>
      </c>
      <c r="G1321">
        <v>99.02</v>
      </c>
      <c r="H1321">
        <v>0</v>
      </c>
      <c r="I1321">
        <v>99.02</v>
      </c>
      <c r="J1321" s="1">
        <v>45581</v>
      </c>
      <c r="K1321">
        <v>21</v>
      </c>
      <c r="L1321">
        <v>1.2</v>
      </c>
      <c r="M1321" t="b">
        <v>0</v>
      </c>
    </row>
    <row r="1322" spans="1:14" x14ac:dyDescent="0.25">
      <c r="A1322" t="s">
        <v>1375</v>
      </c>
      <c r="B1322" t="s">
        <v>27</v>
      </c>
      <c r="C1322" t="s">
        <v>16</v>
      </c>
      <c r="D1322" t="s">
        <v>17</v>
      </c>
      <c r="F1322" t="s">
        <v>66</v>
      </c>
      <c r="G1322">
        <v>68.89</v>
      </c>
      <c r="H1322">
        <v>36.9</v>
      </c>
      <c r="I1322">
        <v>43.47</v>
      </c>
      <c r="J1322" s="1">
        <v>45631</v>
      </c>
      <c r="K1322">
        <v>9</v>
      </c>
      <c r="L1322">
        <v>1.8</v>
      </c>
      <c r="M1322" t="b">
        <v>0</v>
      </c>
    </row>
    <row r="1323" spans="1:14" x14ac:dyDescent="0.25">
      <c r="A1323" t="s">
        <v>1376</v>
      </c>
      <c r="B1323" t="s">
        <v>42</v>
      </c>
      <c r="C1323" t="s">
        <v>48</v>
      </c>
      <c r="D1323" t="s">
        <v>17</v>
      </c>
      <c r="E1323" t="s">
        <v>39</v>
      </c>
      <c r="F1323" t="s">
        <v>25</v>
      </c>
      <c r="G1323">
        <v>63.91</v>
      </c>
      <c r="H1323">
        <v>3.5</v>
      </c>
      <c r="I1323">
        <v>61.67</v>
      </c>
      <c r="J1323" s="1">
        <v>45796</v>
      </c>
      <c r="K1323">
        <v>14</v>
      </c>
      <c r="L1323">
        <v>2.1</v>
      </c>
      <c r="M1323" t="b">
        <v>0</v>
      </c>
    </row>
    <row r="1324" spans="1:14" x14ac:dyDescent="0.25">
      <c r="A1324" t="s">
        <v>1377</v>
      </c>
      <c r="B1324" t="s">
        <v>30</v>
      </c>
      <c r="C1324" t="s">
        <v>43</v>
      </c>
      <c r="D1324" t="s">
        <v>34</v>
      </c>
      <c r="E1324" t="s">
        <v>39</v>
      </c>
      <c r="F1324" t="s">
        <v>64</v>
      </c>
      <c r="G1324">
        <v>116.38</v>
      </c>
      <c r="H1324">
        <v>11.4</v>
      </c>
      <c r="I1324">
        <v>103.11</v>
      </c>
      <c r="J1324" s="1">
        <v>45875</v>
      </c>
      <c r="K1324">
        <v>15</v>
      </c>
      <c r="M1324" t="b">
        <v>0</v>
      </c>
    </row>
    <row r="1325" spans="1:14" x14ac:dyDescent="0.25">
      <c r="A1325" t="s">
        <v>1378</v>
      </c>
      <c r="B1325" t="s">
        <v>38</v>
      </c>
      <c r="C1325" t="s">
        <v>22</v>
      </c>
      <c r="D1325" t="s">
        <v>34</v>
      </c>
      <c r="E1325" t="s">
        <v>55</v>
      </c>
      <c r="F1325" t="s">
        <v>46</v>
      </c>
      <c r="G1325">
        <v>71.739999999999995</v>
      </c>
      <c r="H1325">
        <v>0</v>
      </c>
      <c r="I1325">
        <v>71.739999999999995</v>
      </c>
      <c r="J1325" s="1">
        <v>45875</v>
      </c>
      <c r="K1325">
        <v>16</v>
      </c>
      <c r="M1325" t="b">
        <v>0</v>
      </c>
    </row>
    <row r="1326" spans="1:14" x14ac:dyDescent="0.25">
      <c r="A1326" t="s">
        <v>1379</v>
      </c>
      <c r="B1326" t="s">
        <v>38</v>
      </c>
      <c r="C1326" t="s">
        <v>75</v>
      </c>
      <c r="D1326" t="s">
        <v>23</v>
      </c>
      <c r="E1326" t="s">
        <v>58</v>
      </c>
      <c r="F1326" t="s">
        <v>56</v>
      </c>
      <c r="G1326">
        <v>91.11</v>
      </c>
      <c r="H1326">
        <v>0</v>
      </c>
      <c r="I1326">
        <v>91.11</v>
      </c>
      <c r="J1326" s="1">
        <v>45875</v>
      </c>
      <c r="K1326">
        <v>38</v>
      </c>
      <c r="L1326">
        <v>3.3</v>
      </c>
      <c r="M1326" t="b">
        <v>0</v>
      </c>
    </row>
    <row r="1327" spans="1:14" x14ac:dyDescent="0.25">
      <c r="A1327" t="s">
        <v>1380</v>
      </c>
      <c r="B1327" t="s">
        <v>27</v>
      </c>
      <c r="C1327" t="s">
        <v>16</v>
      </c>
      <c r="D1327" t="s">
        <v>62</v>
      </c>
      <c r="F1327" t="s">
        <v>35</v>
      </c>
      <c r="G1327">
        <v>46.07</v>
      </c>
      <c r="H1327">
        <v>0</v>
      </c>
      <c r="I1327">
        <v>46.07</v>
      </c>
      <c r="J1327" s="1">
        <v>45875</v>
      </c>
      <c r="K1327">
        <v>25</v>
      </c>
      <c r="L1327">
        <v>2.5</v>
      </c>
      <c r="M1327" t="b">
        <v>0</v>
      </c>
    </row>
    <row r="1328" spans="1:14" x14ac:dyDescent="0.25">
      <c r="A1328" t="s">
        <v>1381</v>
      </c>
      <c r="B1328" t="s">
        <v>42</v>
      </c>
      <c r="C1328" t="s">
        <v>43</v>
      </c>
      <c r="D1328" t="s">
        <v>34</v>
      </c>
      <c r="E1328" t="s">
        <v>39</v>
      </c>
      <c r="F1328" t="s">
        <v>46</v>
      </c>
      <c r="G1328">
        <v>156.27000000000001</v>
      </c>
      <c r="H1328">
        <v>0</v>
      </c>
      <c r="I1328">
        <v>156.27000000000001</v>
      </c>
      <c r="J1328" s="1">
        <v>45875</v>
      </c>
      <c r="K1328">
        <v>43</v>
      </c>
      <c r="M1328" t="b">
        <v>0</v>
      </c>
    </row>
    <row r="1329" spans="1:13" x14ac:dyDescent="0.25">
      <c r="A1329" t="s">
        <v>1382</v>
      </c>
      <c r="B1329" t="s">
        <v>21</v>
      </c>
      <c r="C1329" t="s">
        <v>43</v>
      </c>
      <c r="D1329" t="s">
        <v>34</v>
      </c>
      <c r="E1329" t="s">
        <v>55</v>
      </c>
      <c r="F1329" t="s">
        <v>25</v>
      </c>
      <c r="G1329">
        <v>56.35</v>
      </c>
      <c r="H1329">
        <v>0</v>
      </c>
      <c r="I1329">
        <v>56.35</v>
      </c>
      <c r="J1329" s="1">
        <v>45875</v>
      </c>
      <c r="K1329">
        <v>31</v>
      </c>
      <c r="L1329">
        <v>1.5</v>
      </c>
      <c r="M1329" t="b">
        <v>0</v>
      </c>
    </row>
    <row r="1330" spans="1:13" x14ac:dyDescent="0.25">
      <c r="A1330" t="s">
        <v>1383</v>
      </c>
      <c r="B1330" t="s">
        <v>38</v>
      </c>
      <c r="C1330" t="s">
        <v>16</v>
      </c>
      <c r="D1330" t="s">
        <v>23</v>
      </c>
      <c r="E1330" t="s">
        <v>55</v>
      </c>
      <c r="F1330" t="s">
        <v>66</v>
      </c>
      <c r="G1330">
        <v>118.21</v>
      </c>
      <c r="H1330">
        <v>23.1</v>
      </c>
      <c r="I1330">
        <v>90.9</v>
      </c>
      <c r="J1330" s="1">
        <v>45875</v>
      </c>
      <c r="K1330">
        <v>15</v>
      </c>
      <c r="L1330">
        <v>5</v>
      </c>
      <c r="M1330" t="b">
        <v>0</v>
      </c>
    </row>
    <row r="1331" spans="1:13" x14ac:dyDescent="0.25">
      <c r="A1331" t="s">
        <v>1384</v>
      </c>
      <c r="B1331" t="s">
        <v>21</v>
      </c>
      <c r="C1331" t="s">
        <v>61</v>
      </c>
      <c r="D1331" t="s">
        <v>34</v>
      </c>
      <c r="E1331" t="s">
        <v>55</v>
      </c>
      <c r="F1331" t="s">
        <v>56</v>
      </c>
      <c r="G1331">
        <v>25.86</v>
      </c>
      <c r="H1331">
        <v>0</v>
      </c>
      <c r="I1331">
        <v>25.86</v>
      </c>
      <c r="J1331" s="1">
        <v>45875</v>
      </c>
      <c r="K1331">
        <v>46</v>
      </c>
      <c r="L1331">
        <v>1.5</v>
      </c>
      <c r="M1331" t="b">
        <v>0</v>
      </c>
    </row>
    <row r="1332" spans="1:13" x14ac:dyDescent="0.25">
      <c r="A1332" t="s">
        <v>1385</v>
      </c>
      <c r="B1332" t="s">
        <v>21</v>
      </c>
      <c r="C1332" t="s">
        <v>48</v>
      </c>
      <c r="D1332" t="s">
        <v>34</v>
      </c>
      <c r="E1332" t="s">
        <v>39</v>
      </c>
      <c r="F1332" t="s">
        <v>46</v>
      </c>
      <c r="G1332">
        <v>91.67</v>
      </c>
      <c r="H1332">
        <v>23.7</v>
      </c>
      <c r="I1332">
        <v>69.94</v>
      </c>
      <c r="J1332" s="1">
        <v>45875</v>
      </c>
      <c r="K1332">
        <v>3</v>
      </c>
      <c r="L1332">
        <v>3.7</v>
      </c>
      <c r="M1332" t="b">
        <v>0</v>
      </c>
    </row>
    <row r="1333" spans="1:13" x14ac:dyDescent="0.25">
      <c r="A1333" t="s">
        <v>1386</v>
      </c>
      <c r="B1333" t="s">
        <v>38</v>
      </c>
      <c r="C1333" t="s">
        <v>22</v>
      </c>
      <c r="D1333" t="s">
        <v>34</v>
      </c>
      <c r="E1333" t="s">
        <v>24</v>
      </c>
      <c r="F1333" t="s">
        <v>44</v>
      </c>
      <c r="G1333">
        <v>25.29</v>
      </c>
      <c r="H1333">
        <v>7.9</v>
      </c>
      <c r="I1333">
        <v>23.29</v>
      </c>
      <c r="J1333" s="1">
        <v>45875</v>
      </c>
      <c r="K1333">
        <v>39</v>
      </c>
      <c r="L1333">
        <v>1.7</v>
      </c>
      <c r="M1333" t="b">
        <v>0</v>
      </c>
    </row>
    <row r="1334" spans="1:13" x14ac:dyDescent="0.25">
      <c r="A1334" t="s">
        <v>1387</v>
      </c>
      <c r="B1334" t="s">
        <v>27</v>
      </c>
      <c r="C1334" t="s">
        <v>48</v>
      </c>
      <c r="D1334" t="s">
        <v>23</v>
      </c>
      <c r="F1334" t="s">
        <v>64</v>
      </c>
      <c r="G1334">
        <v>51.61</v>
      </c>
      <c r="H1334">
        <v>32.200000000000003</v>
      </c>
      <c r="I1334">
        <v>34.99</v>
      </c>
      <c r="J1334" s="1">
        <v>45875</v>
      </c>
      <c r="K1334">
        <v>34</v>
      </c>
      <c r="L1334">
        <v>4.8</v>
      </c>
      <c r="M1334" t="b">
        <v>0</v>
      </c>
    </row>
    <row r="1335" spans="1:13" x14ac:dyDescent="0.25">
      <c r="A1335" t="s">
        <v>1388</v>
      </c>
      <c r="B1335" t="s">
        <v>15</v>
      </c>
      <c r="C1335" t="s">
        <v>32</v>
      </c>
      <c r="D1335" t="s">
        <v>62</v>
      </c>
      <c r="E1335" t="s">
        <v>18</v>
      </c>
      <c r="F1335" t="s">
        <v>28</v>
      </c>
      <c r="G1335">
        <v>143.61000000000001</v>
      </c>
      <c r="H1335">
        <v>24.6</v>
      </c>
      <c r="I1335">
        <v>108.28</v>
      </c>
      <c r="J1335" s="1">
        <v>45875</v>
      </c>
      <c r="K1335">
        <v>50</v>
      </c>
      <c r="L1335">
        <v>4.0999999999999996</v>
      </c>
      <c r="M1335" t="b">
        <v>0</v>
      </c>
    </row>
    <row r="1336" spans="1:13" x14ac:dyDescent="0.25">
      <c r="A1336" t="s">
        <v>1389</v>
      </c>
      <c r="B1336" t="s">
        <v>38</v>
      </c>
      <c r="C1336" t="s">
        <v>61</v>
      </c>
      <c r="D1336" t="s">
        <v>62</v>
      </c>
      <c r="E1336" t="s">
        <v>24</v>
      </c>
      <c r="F1336" t="s">
        <v>19</v>
      </c>
      <c r="G1336">
        <v>45.48</v>
      </c>
      <c r="H1336">
        <v>0</v>
      </c>
      <c r="I1336">
        <v>45.48</v>
      </c>
      <c r="J1336" s="1">
        <v>45875</v>
      </c>
      <c r="K1336">
        <v>29</v>
      </c>
      <c r="L1336">
        <v>2.2999999999999998</v>
      </c>
      <c r="M1336" t="b">
        <v>0</v>
      </c>
    </row>
    <row r="1337" spans="1:13" x14ac:dyDescent="0.25">
      <c r="A1337" t="s">
        <v>1390</v>
      </c>
      <c r="B1337" t="s">
        <v>30</v>
      </c>
      <c r="C1337" t="s">
        <v>16</v>
      </c>
      <c r="D1337" t="s">
        <v>62</v>
      </c>
      <c r="F1337" t="s">
        <v>35</v>
      </c>
      <c r="G1337">
        <v>177.79</v>
      </c>
      <c r="H1337">
        <v>10.7</v>
      </c>
      <c r="I1337">
        <v>158.77000000000001</v>
      </c>
      <c r="J1337" s="1">
        <v>45875</v>
      </c>
      <c r="K1337">
        <v>37</v>
      </c>
      <c r="M1337" t="b">
        <v>0</v>
      </c>
    </row>
    <row r="1338" spans="1:13" x14ac:dyDescent="0.25">
      <c r="A1338" t="s">
        <v>1391</v>
      </c>
      <c r="B1338" t="s">
        <v>15</v>
      </c>
      <c r="C1338" t="s">
        <v>61</v>
      </c>
      <c r="D1338" t="s">
        <v>34</v>
      </c>
      <c r="E1338" t="s">
        <v>55</v>
      </c>
      <c r="F1338" t="s">
        <v>66</v>
      </c>
      <c r="G1338">
        <v>145.1</v>
      </c>
      <c r="H1338">
        <v>34.200000000000003</v>
      </c>
      <c r="I1338">
        <v>95.48</v>
      </c>
      <c r="J1338" s="1">
        <v>45875</v>
      </c>
      <c r="K1338">
        <v>14</v>
      </c>
      <c r="M1338" t="b">
        <v>0</v>
      </c>
    </row>
    <row r="1339" spans="1:13" x14ac:dyDescent="0.25">
      <c r="A1339" t="s">
        <v>1392</v>
      </c>
      <c r="B1339" t="s">
        <v>30</v>
      </c>
      <c r="C1339" t="s">
        <v>53</v>
      </c>
      <c r="D1339" t="s">
        <v>62</v>
      </c>
      <c r="E1339" t="s">
        <v>49</v>
      </c>
      <c r="F1339" t="s">
        <v>64</v>
      </c>
      <c r="G1339">
        <v>190.78</v>
      </c>
      <c r="H1339">
        <v>0</v>
      </c>
      <c r="I1339">
        <v>190.78</v>
      </c>
      <c r="J1339" s="1">
        <v>45875</v>
      </c>
      <c r="K1339">
        <v>39</v>
      </c>
      <c r="L1339">
        <v>3.7</v>
      </c>
      <c r="M1339" t="b">
        <v>0</v>
      </c>
    </row>
    <row r="1340" spans="1:13" x14ac:dyDescent="0.25">
      <c r="A1340" t="s">
        <v>1393</v>
      </c>
      <c r="B1340" t="s">
        <v>27</v>
      </c>
      <c r="C1340" t="s">
        <v>75</v>
      </c>
      <c r="D1340" t="s">
        <v>34</v>
      </c>
      <c r="F1340" t="s">
        <v>44</v>
      </c>
      <c r="G1340">
        <v>44.73</v>
      </c>
      <c r="H1340">
        <v>0</v>
      </c>
      <c r="I1340">
        <v>44.73</v>
      </c>
      <c r="J1340" s="1">
        <v>45875</v>
      </c>
      <c r="K1340">
        <v>25</v>
      </c>
      <c r="L1340">
        <v>1.1000000000000001</v>
      </c>
      <c r="M1340" t="b">
        <v>0</v>
      </c>
    </row>
    <row r="1341" spans="1:13" x14ac:dyDescent="0.25">
      <c r="A1341" t="s">
        <v>1394</v>
      </c>
      <c r="B1341" t="s">
        <v>30</v>
      </c>
      <c r="C1341" t="s">
        <v>32</v>
      </c>
      <c r="D1341" t="s">
        <v>23</v>
      </c>
      <c r="E1341" t="s">
        <v>49</v>
      </c>
      <c r="F1341" t="s">
        <v>35</v>
      </c>
      <c r="G1341">
        <v>65.48</v>
      </c>
      <c r="H1341">
        <v>0</v>
      </c>
      <c r="I1341">
        <v>65.48</v>
      </c>
      <c r="J1341" s="1">
        <v>45875</v>
      </c>
      <c r="K1341">
        <v>7</v>
      </c>
      <c r="L1341">
        <v>4.5999999999999996</v>
      </c>
      <c r="M1341" t="b">
        <v>0</v>
      </c>
    </row>
    <row r="1342" spans="1:13" x14ac:dyDescent="0.25">
      <c r="A1342" t="s">
        <v>1395</v>
      </c>
      <c r="B1342" t="s">
        <v>30</v>
      </c>
      <c r="C1342" t="s">
        <v>61</v>
      </c>
      <c r="D1342" t="s">
        <v>17</v>
      </c>
      <c r="E1342" t="s">
        <v>55</v>
      </c>
      <c r="F1342" t="s">
        <v>66</v>
      </c>
      <c r="G1342">
        <v>86.1</v>
      </c>
      <c r="H1342">
        <v>0</v>
      </c>
      <c r="I1342">
        <v>86.1</v>
      </c>
      <c r="J1342" s="1">
        <v>45653</v>
      </c>
      <c r="K1342">
        <v>4</v>
      </c>
      <c r="L1342">
        <v>2.4</v>
      </c>
      <c r="M1342" t="b">
        <v>0</v>
      </c>
    </row>
    <row r="1343" spans="1:13" x14ac:dyDescent="0.25">
      <c r="A1343" t="s">
        <v>1396</v>
      </c>
      <c r="B1343" t="s">
        <v>38</v>
      </c>
      <c r="C1343" t="s">
        <v>22</v>
      </c>
      <c r="D1343" t="s">
        <v>23</v>
      </c>
      <c r="E1343" t="s">
        <v>55</v>
      </c>
      <c r="F1343" t="s">
        <v>46</v>
      </c>
      <c r="G1343">
        <v>100.14</v>
      </c>
      <c r="H1343">
        <v>0</v>
      </c>
      <c r="I1343">
        <v>100.14</v>
      </c>
      <c r="J1343" s="1">
        <v>45875</v>
      </c>
      <c r="K1343">
        <v>48</v>
      </c>
      <c r="L1343">
        <v>4.2</v>
      </c>
      <c r="M1343" t="b">
        <v>0</v>
      </c>
    </row>
    <row r="1344" spans="1:13" x14ac:dyDescent="0.25">
      <c r="A1344" t="s">
        <v>1397</v>
      </c>
      <c r="B1344" t="s">
        <v>15</v>
      </c>
      <c r="C1344" t="s">
        <v>32</v>
      </c>
      <c r="D1344" t="s">
        <v>23</v>
      </c>
      <c r="F1344" t="s">
        <v>19</v>
      </c>
      <c r="G1344">
        <v>203.4</v>
      </c>
      <c r="H1344">
        <v>0</v>
      </c>
      <c r="I1344">
        <v>203.4</v>
      </c>
      <c r="J1344" s="1">
        <v>45875</v>
      </c>
      <c r="K1344">
        <v>18</v>
      </c>
      <c r="L1344">
        <v>1.8</v>
      </c>
      <c r="M1344" t="b">
        <v>0</v>
      </c>
    </row>
    <row r="1345" spans="1:14" x14ac:dyDescent="0.25">
      <c r="A1345" t="s">
        <v>1398</v>
      </c>
      <c r="B1345" t="s">
        <v>21</v>
      </c>
      <c r="C1345" t="s">
        <v>61</v>
      </c>
      <c r="D1345" t="s">
        <v>23</v>
      </c>
      <c r="E1345" t="s">
        <v>55</v>
      </c>
      <c r="F1345" t="s">
        <v>35</v>
      </c>
      <c r="G1345">
        <v>95.22</v>
      </c>
      <c r="H1345">
        <v>24.4</v>
      </c>
      <c r="I1345">
        <v>71.989999999999995</v>
      </c>
      <c r="J1345" s="1">
        <v>45875</v>
      </c>
      <c r="K1345">
        <v>26</v>
      </c>
      <c r="L1345">
        <v>2.2999999999999998</v>
      </c>
      <c r="M1345" t="b">
        <v>0</v>
      </c>
    </row>
    <row r="1346" spans="1:14" x14ac:dyDescent="0.25">
      <c r="A1346" t="s">
        <v>1399</v>
      </c>
      <c r="B1346" t="s">
        <v>42</v>
      </c>
      <c r="C1346" t="s">
        <v>48</v>
      </c>
      <c r="D1346" t="s">
        <v>34</v>
      </c>
      <c r="E1346" t="s">
        <v>18</v>
      </c>
      <c r="F1346" t="s">
        <v>19</v>
      </c>
      <c r="G1346">
        <v>173.88</v>
      </c>
      <c r="H1346">
        <v>31.6</v>
      </c>
      <c r="I1346">
        <v>118.93</v>
      </c>
      <c r="J1346" s="1">
        <v>45875</v>
      </c>
      <c r="K1346">
        <v>5</v>
      </c>
      <c r="L1346">
        <v>3.2</v>
      </c>
      <c r="M1346" t="b">
        <v>0</v>
      </c>
    </row>
    <row r="1347" spans="1:14" x14ac:dyDescent="0.25">
      <c r="A1347" t="s">
        <v>1400</v>
      </c>
      <c r="B1347" t="s">
        <v>42</v>
      </c>
      <c r="C1347" t="s">
        <v>48</v>
      </c>
      <c r="D1347" t="s">
        <v>23</v>
      </c>
      <c r="E1347" t="s">
        <v>24</v>
      </c>
      <c r="F1347" t="s">
        <v>56</v>
      </c>
      <c r="G1347">
        <v>160.05000000000001</v>
      </c>
      <c r="H1347">
        <v>0</v>
      </c>
      <c r="I1347">
        <v>160.05000000000001</v>
      </c>
      <c r="J1347" s="1">
        <v>45875</v>
      </c>
      <c r="K1347">
        <v>23</v>
      </c>
      <c r="L1347">
        <v>4</v>
      </c>
      <c r="M1347" t="b">
        <v>0</v>
      </c>
    </row>
    <row r="1348" spans="1:14" x14ac:dyDescent="0.25">
      <c r="A1348" t="s">
        <v>1401</v>
      </c>
      <c r="B1348" t="s">
        <v>21</v>
      </c>
      <c r="C1348" t="s">
        <v>75</v>
      </c>
      <c r="D1348" t="s">
        <v>23</v>
      </c>
      <c r="E1348" t="s">
        <v>55</v>
      </c>
      <c r="F1348" t="s">
        <v>44</v>
      </c>
      <c r="G1348">
        <v>59.53</v>
      </c>
      <c r="H1348">
        <v>0</v>
      </c>
      <c r="I1348">
        <v>59.53</v>
      </c>
      <c r="J1348" s="1">
        <v>45875</v>
      </c>
      <c r="K1348">
        <v>28</v>
      </c>
      <c r="L1348">
        <v>1.5</v>
      </c>
      <c r="M1348" t="b">
        <v>0</v>
      </c>
    </row>
    <row r="1349" spans="1:14" x14ac:dyDescent="0.25">
      <c r="A1349" t="s">
        <v>1402</v>
      </c>
      <c r="B1349" t="s">
        <v>42</v>
      </c>
      <c r="C1349" t="s">
        <v>43</v>
      </c>
      <c r="D1349" t="s">
        <v>34</v>
      </c>
      <c r="E1349" t="s">
        <v>55</v>
      </c>
      <c r="F1349" t="s">
        <v>44</v>
      </c>
      <c r="G1349">
        <v>155.32</v>
      </c>
      <c r="H1349">
        <v>0</v>
      </c>
      <c r="I1349">
        <v>155.32</v>
      </c>
      <c r="J1349" s="1">
        <v>45875</v>
      </c>
      <c r="K1349">
        <v>19</v>
      </c>
      <c r="L1349">
        <v>4.0999999999999996</v>
      </c>
      <c r="M1349" t="b">
        <v>0</v>
      </c>
    </row>
    <row r="1350" spans="1:14" x14ac:dyDescent="0.25">
      <c r="A1350" t="s">
        <v>1403</v>
      </c>
      <c r="B1350" t="s">
        <v>38</v>
      </c>
      <c r="C1350" t="s">
        <v>75</v>
      </c>
      <c r="D1350" t="s">
        <v>17</v>
      </c>
      <c r="E1350" t="s">
        <v>18</v>
      </c>
      <c r="F1350" t="s">
        <v>28</v>
      </c>
      <c r="G1350">
        <v>29.65</v>
      </c>
      <c r="H1350">
        <v>41</v>
      </c>
      <c r="I1350">
        <v>17.489999999999998</v>
      </c>
      <c r="J1350" s="1">
        <v>45530</v>
      </c>
      <c r="K1350">
        <v>21</v>
      </c>
      <c r="L1350">
        <v>4.5</v>
      </c>
      <c r="M1350" t="b">
        <v>1</v>
      </c>
      <c r="N1350" t="s">
        <v>83</v>
      </c>
    </row>
    <row r="1351" spans="1:14" x14ac:dyDescent="0.25">
      <c r="A1351" t="s">
        <v>1404</v>
      </c>
      <c r="B1351" t="s">
        <v>15</v>
      </c>
      <c r="C1351" t="s">
        <v>43</v>
      </c>
      <c r="D1351" t="s">
        <v>23</v>
      </c>
      <c r="E1351" t="s">
        <v>49</v>
      </c>
      <c r="F1351" t="s">
        <v>70</v>
      </c>
      <c r="G1351">
        <v>237.53</v>
      </c>
      <c r="H1351">
        <v>23.2</v>
      </c>
      <c r="I1351">
        <v>182.42</v>
      </c>
      <c r="J1351" s="1">
        <v>45875</v>
      </c>
      <c r="K1351">
        <v>23</v>
      </c>
      <c r="L1351">
        <v>2.2000000000000002</v>
      </c>
      <c r="M1351" t="b">
        <v>0</v>
      </c>
    </row>
    <row r="1352" spans="1:14" x14ac:dyDescent="0.25">
      <c r="A1352" t="s">
        <v>1405</v>
      </c>
      <c r="B1352" t="s">
        <v>15</v>
      </c>
      <c r="C1352" t="s">
        <v>53</v>
      </c>
      <c r="D1352" t="s">
        <v>62</v>
      </c>
      <c r="E1352" t="s">
        <v>58</v>
      </c>
      <c r="F1352" t="s">
        <v>25</v>
      </c>
      <c r="G1352">
        <v>81.67</v>
      </c>
      <c r="H1352">
        <v>0</v>
      </c>
      <c r="I1352">
        <v>81.67</v>
      </c>
      <c r="J1352" s="1">
        <v>45875</v>
      </c>
      <c r="K1352">
        <v>34</v>
      </c>
      <c r="L1352">
        <v>3.1</v>
      </c>
      <c r="M1352" t="b">
        <v>1</v>
      </c>
      <c r="N1352" t="s">
        <v>78</v>
      </c>
    </row>
    <row r="1353" spans="1:14" x14ac:dyDescent="0.25">
      <c r="A1353" t="s">
        <v>1406</v>
      </c>
      <c r="B1353" t="s">
        <v>38</v>
      </c>
      <c r="C1353" t="s">
        <v>32</v>
      </c>
      <c r="D1353" t="s">
        <v>17</v>
      </c>
      <c r="E1353" t="s">
        <v>58</v>
      </c>
      <c r="F1353" t="s">
        <v>56</v>
      </c>
      <c r="G1353">
        <v>37.07</v>
      </c>
      <c r="H1353">
        <v>0</v>
      </c>
      <c r="I1353">
        <v>37.07</v>
      </c>
      <c r="J1353" s="1">
        <v>45778</v>
      </c>
      <c r="K1353">
        <v>13</v>
      </c>
      <c r="M1353" t="b">
        <v>0</v>
      </c>
    </row>
    <row r="1354" spans="1:14" x14ac:dyDescent="0.25">
      <c r="A1354" t="s">
        <v>1407</v>
      </c>
      <c r="B1354" t="s">
        <v>21</v>
      </c>
      <c r="C1354" t="s">
        <v>22</v>
      </c>
      <c r="D1354" t="s">
        <v>34</v>
      </c>
      <c r="E1354" t="s">
        <v>49</v>
      </c>
      <c r="F1354" t="s">
        <v>66</v>
      </c>
      <c r="G1354">
        <v>80.97</v>
      </c>
      <c r="H1354">
        <v>0</v>
      </c>
      <c r="I1354">
        <v>80.97</v>
      </c>
      <c r="J1354" s="1">
        <v>45875</v>
      </c>
      <c r="K1354">
        <v>13</v>
      </c>
      <c r="M1354" t="b">
        <v>0</v>
      </c>
    </row>
    <row r="1355" spans="1:14" x14ac:dyDescent="0.25">
      <c r="A1355" t="s">
        <v>1408</v>
      </c>
      <c r="B1355" t="s">
        <v>27</v>
      </c>
      <c r="C1355" t="s">
        <v>16</v>
      </c>
      <c r="D1355" t="s">
        <v>17</v>
      </c>
      <c r="F1355" t="s">
        <v>40</v>
      </c>
      <c r="G1355">
        <v>77.680000000000007</v>
      </c>
      <c r="H1355">
        <v>29.9</v>
      </c>
      <c r="I1355">
        <v>54.45</v>
      </c>
      <c r="J1355" s="1">
        <v>45862</v>
      </c>
      <c r="K1355">
        <v>33</v>
      </c>
      <c r="L1355">
        <v>4</v>
      </c>
      <c r="M1355" t="b">
        <v>1</v>
      </c>
      <c r="N1355" t="s">
        <v>78</v>
      </c>
    </row>
    <row r="1356" spans="1:14" x14ac:dyDescent="0.25">
      <c r="A1356" t="s">
        <v>1409</v>
      </c>
      <c r="B1356" t="s">
        <v>21</v>
      </c>
      <c r="C1356" t="s">
        <v>32</v>
      </c>
      <c r="D1356" t="s">
        <v>62</v>
      </c>
      <c r="E1356" t="s">
        <v>49</v>
      </c>
      <c r="F1356" t="s">
        <v>46</v>
      </c>
      <c r="G1356">
        <v>117.58</v>
      </c>
      <c r="H1356">
        <v>1</v>
      </c>
      <c r="I1356">
        <v>116.4</v>
      </c>
      <c r="J1356" s="1">
        <v>45875</v>
      </c>
      <c r="K1356">
        <v>27</v>
      </c>
      <c r="L1356">
        <v>3.3</v>
      </c>
      <c r="M1356" t="b">
        <v>0</v>
      </c>
    </row>
    <row r="1357" spans="1:14" x14ac:dyDescent="0.25">
      <c r="A1357" t="s">
        <v>1410</v>
      </c>
      <c r="B1357" t="s">
        <v>15</v>
      </c>
      <c r="C1357" t="s">
        <v>43</v>
      </c>
      <c r="D1357" t="s">
        <v>34</v>
      </c>
      <c r="E1357" t="s">
        <v>18</v>
      </c>
      <c r="F1357" t="s">
        <v>44</v>
      </c>
      <c r="G1357">
        <v>130.09</v>
      </c>
      <c r="H1357">
        <v>28.3</v>
      </c>
      <c r="I1357">
        <v>93.27</v>
      </c>
      <c r="J1357" s="1">
        <v>45875</v>
      </c>
      <c r="K1357">
        <v>41</v>
      </c>
      <c r="L1357">
        <v>2.2999999999999998</v>
      </c>
      <c r="M1357" t="b">
        <v>0</v>
      </c>
    </row>
    <row r="1358" spans="1:14" x14ac:dyDescent="0.25">
      <c r="A1358" t="s">
        <v>1411</v>
      </c>
      <c r="B1358" t="s">
        <v>21</v>
      </c>
      <c r="C1358" t="s">
        <v>22</v>
      </c>
      <c r="D1358" t="s">
        <v>34</v>
      </c>
      <c r="E1358" t="s">
        <v>55</v>
      </c>
      <c r="F1358" t="s">
        <v>66</v>
      </c>
      <c r="G1358">
        <v>63.69</v>
      </c>
      <c r="H1358">
        <v>0</v>
      </c>
      <c r="I1358">
        <v>63.69</v>
      </c>
      <c r="J1358" s="1">
        <v>45875</v>
      </c>
      <c r="K1358">
        <v>11</v>
      </c>
      <c r="L1358">
        <v>3</v>
      </c>
      <c r="M1358" t="b">
        <v>0</v>
      </c>
    </row>
    <row r="1359" spans="1:14" x14ac:dyDescent="0.25">
      <c r="A1359" t="s">
        <v>1412</v>
      </c>
      <c r="B1359" t="s">
        <v>15</v>
      </c>
      <c r="C1359" t="s">
        <v>32</v>
      </c>
      <c r="D1359" t="s">
        <v>17</v>
      </c>
      <c r="E1359" t="s">
        <v>18</v>
      </c>
      <c r="F1359" t="s">
        <v>19</v>
      </c>
      <c r="G1359">
        <v>135.02000000000001</v>
      </c>
      <c r="H1359">
        <v>0</v>
      </c>
      <c r="I1359">
        <v>135.02000000000001</v>
      </c>
      <c r="J1359" s="1">
        <v>45868</v>
      </c>
      <c r="K1359">
        <v>25</v>
      </c>
      <c r="L1359">
        <v>3.4</v>
      </c>
      <c r="M1359" t="b">
        <v>1</v>
      </c>
      <c r="N1359" t="s">
        <v>115</v>
      </c>
    </row>
    <row r="1360" spans="1:14" x14ac:dyDescent="0.25">
      <c r="A1360" t="s">
        <v>1413</v>
      </c>
      <c r="B1360" t="s">
        <v>27</v>
      </c>
      <c r="C1360" t="s">
        <v>48</v>
      </c>
      <c r="D1360" t="s">
        <v>23</v>
      </c>
      <c r="F1360" t="s">
        <v>56</v>
      </c>
      <c r="G1360">
        <v>45.37</v>
      </c>
      <c r="H1360">
        <v>0</v>
      </c>
      <c r="I1360">
        <v>45.37</v>
      </c>
      <c r="J1360" s="1">
        <v>45875</v>
      </c>
      <c r="K1360">
        <v>19</v>
      </c>
      <c r="L1360">
        <v>1.1000000000000001</v>
      </c>
      <c r="M1360" t="b">
        <v>0</v>
      </c>
    </row>
    <row r="1361" spans="1:14" x14ac:dyDescent="0.25">
      <c r="A1361" t="s">
        <v>1414</v>
      </c>
      <c r="B1361" t="s">
        <v>38</v>
      </c>
      <c r="C1361" t="s">
        <v>16</v>
      </c>
      <c r="D1361" t="s">
        <v>23</v>
      </c>
      <c r="E1361" t="s">
        <v>18</v>
      </c>
      <c r="F1361" t="s">
        <v>70</v>
      </c>
      <c r="G1361">
        <v>51.17</v>
      </c>
      <c r="H1361">
        <v>8</v>
      </c>
      <c r="I1361">
        <v>47.08</v>
      </c>
      <c r="J1361" s="1">
        <v>45875</v>
      </c>
      <c r="K1361">
        <v>7</v>
      </c>
      <c r="M1361" t="b">
        <v>0</v>
      </c>
    </row>
    <row r="1362" spans="1:14" x14ac:dyDescent="0.25">
      <c r="A1362" t="s">
        <v>1415</v>
      </c>
      <c r="B1362" t="s">
        <v>42</v>
      </c>
      <c r="C1362" t="s">
        <v>75</v>
      </c>
      <c r="D1362" t="s">
        <v>62</v>
      </c>
      <c r="E1362" t="s">
        <v>49</v>
      </c>
      <c r="F1362" t="s">
        <v>70</v>
      </c>
      <c r="G1362">
        <v>49.34</v>
      </c>
      <c r="H1362">
        <v>5.5</v>
      </c>
      <c r="I1362">
        <v>46.63</v>
      </c>
      <c r="J1362" s="1">
        <v>45875</v>
      </c>
      <c r="K1362">
        <v>10</v>
      </c>
      <c r="L1362">
        <v>4.3</v>
      </c>
      <c r="M1362" t="b">
        <v>0</v>
      </c>
    </row>
    <row r="1363" spans="1:14" x14ac:dyDescent="0.25">
      <c r="A1363" t="s">
        <v>1416</v>
      </c>
      <c r="B1363" t="s">
        <v>30</v>
      </c>
      <c r="C1363" t="s">
        <v>22</v>
      </c>
      <c r="D1363" t="s">
        <v>17</v>
      </c>
      <c r="E1363" t="s">
        <v>39</v>
      </c>
      <c r="F1363" t="s">
        <v>46</v>
      </c>
      <c r="G1363">
        <v>119.78</v>
      </c>
      <c r="H1363">
        <v>0</v>
      </c>
      <c r="I1363">
        <v>119.78</v>
      </c>
      <c r="J1363" s="1">
        <v>45818</v>
      </c>
      <c r="K1363">
        <v>40</v>
      </c>
      <c r="M1363" t="b">
        <v>0</v>
      </c>
    </row>
    <row r="1364" spans="1:14" x14ac:dyDescent="0.25">
      <c r="A1364" t="s">
        <v>1417</v>
      </c>
      <c r="B1364" t="s">
        <v>21</v>
      </c>
      <c r="C1364" t="s">
        <v>32</v>
      </c>
      <c r="D1364" t="s">
        <v>17</v>
      </c>
      <c r="E1364" t="s">
        <v>39</v>
      </c>
      <c r="F1364" t="s">
        <v>40</v>
      </c>
      <c r="G1364">
        <v>77.3</v>
      </c>
      <c r="H1364">
        <v>35.1</v>
      </c>
      <c r="I1364">
        <v>50.17</v>
      </c>
      <c r="J1364" s="1">
        <v>45864</v>
      </c>
      <c r="K1364">
        <v>16</v>
      </c>
      <c r="M1364" t="b">
        <v>0</v>
      </c>
    </row>
    <row r="1365" spans="1:14" x14ac:dyDescent="0.25">
      <c r="A1365" t="s">
        <v>1418</v>
      </c>
      <c r="B1365" t="s">
        <v>21</v>
      </c>
      <c r="C1365" t="s">
        <v>61</v>
      </c>
      <c r="D1365" t="s">
        <v>34</v>
      </c>
      <c r="E1365" t="s">
        <v>55</v>
      </c>
      <c r="F1365" t="s">
        <v>19</v>
      </c>
      <c r="G1365">
        <v>72.69</v>
      </c>
      <c r="H1365">
        <v>0</v>
      </c>
      <c r="I1365">
        <v>72.69</v>
      </c>
      <c r="J1365" s="1">
        <v>45875</v>
      </c>
      <c r="K1365">
        <v>6</v>
      </c>
      <c r="M1365" t="b">
        <v>0</v>
      </c>
    </row>
    <row r="1366" spans="1:14" x14ac:dyDescent="0.25">
      <c r="A1366" t="s">
        <v>1419</v>
      </c>
      <c r="B1366" t="s">
        <v>30</v>
      </c>
      <c r="C1366" t="s">
        <v>61</v>
      </c>
      <c r="D1366" t="s">
        <v>34</v>
      </c>
      <c r="E1366" t="s">
        <v>18</v>
      </c>
      <c r="F1366" t="s">
        <v>70</v>
      </c>
      <c r="G1366">
        <v>117.57</v>
      </c>
      <c r="H1366">
        <v>0</v>
      </c>
      <c r="I1366">
        <v>117.57</v>
      </c>
      <c r="J1366" s="1">
        <v>45875</v>
      </c>
      <c r="K1366">
        <v>30</v>
      </c>
      <c r="L1366">
        <v>4.8</v>
      </c>
      <c r="M1366" t="b">
        <v>0</v>
      </c>
    </row>
    <row r="1367" spans="1:14" x14ac:dyDescent="0.25">
      <c r="A1367" t="s">
        <v>1420</v>
      </c>
      <c r="B1367" t="s">
        <v>15</v>
      </c>
      <c r="C1367" t="s">
        <v>75</v>
      </c>
      <c r="D1367" t="s">
        <v>17</v>
      </c>
      <c r="E1367" t="s">
        <v>39</v>
      </c>
      <c r="F1367" t="s">
        <v>46</v>
      </c>
      <c r="G1367">
        <v>161.25</v>
      </c>
      <c r="H1367">
        <v>48.4</v>
      </c>
      <c r="I1367">
        <v>83.2</v>
      </c>
      <c r="J1367" s="1">
        <v>45607</v>
      </c>
      <c r="K1367">
        <v>32</v>
      </c>
      <c r="M1367" t="b">
        <v>0</v>
      </c>
    </row>
    <row r="1368" spans="1:14" x14ac:dyDescent="0.25">
      <c r="A1368" t="s">
        <v>1421</v>
      </c>
      <c r="B1368" t="s">
        <v>30</v>
      </c>
      <c r="C1368" t="s">
        <v>53</v>
      </c>
      <c r="D1368" t="s">
        <v>34</v>
      </c>
      <c r="E1368" t="s">
        <v>39</v>
      </c>
      <c r="F1368" t="s">
        <v>66</v>
      </c>
      <c r="G1368">
        <v>158.01</v>
      </c>
      <c r="H1368">
        <v>0</v>
      </c>
      <c r="I1368">
        <v>158.01</v>
      </c>
      <c r="J1368" s="1">
        <v>45875</v>
      </c>
      <c r="K1368">
        <v>19</v>
      </c>
      <c r="L1368">
        <v>2.6</v>
      </c>
      <c r="M1368" t="b">
        <v>0</v>
      </c>
    </row>
    <row r="1369" spans="1:14" x14ac:dyDescent="0.25">
      <c r="A1369" t="s">
        <v>1422</v>
      </c>
      <c r="B1369" t="s">
        <v>21</v>
      </c>
      <c r="C1369" t="s">
        <v>53</v>
      </c>
      <c r="D1369" t="s">
        <v>62</v>
      </c>
      <c r="E1369" t="s">
        <v>24</v>
      </c>
      <c r="F1369" t="s">
        <v>44</v>
      </c>
      <c r="G1369">
        <v>60.92</v>
      </c>
      <c r="H1369">
        <v>0</v>
      </c>
      <c r="I1369">
        <v>60.92</v>
      </c>
      <c r="J1369" s="1">
        <v>45875</v>
      </c>
      <c r="K1369">
        <v>25</v>
      </c>
      <c r="M1369" t="b">
        <v>1</v>
      </c>
      <c r="N1369" t="s">
        <v>83</v>
      </c>
    </row>
    <row r="1370" spans="1:14" x14ac:dyDescent="0.25">
      <c r="A1370" t="s">
        <v>1423</v>
      </c>
      <c r="B1370" t="s">
        <v>30</v>
      </c>
      <c r="C1370" t="s">
        <v>48</v>
      </c>
      <c r="D1370" t="s">
        <v>62</v>
      </c>
      <c r="E1370" t="s">
        <v>18</v>
      </c>
      <c r="F1370" t="s">
        <v>40</v>
      </c>
      <c r="G1370">
        <v>122.03</v>
      </c>
      <c r="H1370">
        <v>25.2</v>
      </c>
      <c r="I1370">
        <v>91.28</v>
      </c>
      <c r="J1370" s="1">
        <v>45875</v>
      </c>
      <c r="K1370">
        <v>21</v>
      </c>
      <c r="L1370">
        <v>4.7</v>
      </c>
      <c r="M1370" t="b">
        <v>0</v>
      </c>
    </row>
    <row r="1371" spans="1:14" x14ac:dyDescent="0.25">
      <c r="A1371" t="s">
        <v>1424</v>
      </c>
      <c r="B1371" t="s">
        <v>30</v>
      </c>
      <c r="C1371" t="s">
        <v>43</v>
      </c>
      <c r="D1371" t="s">
        <v>17</v>
      </c>
      <c r="E1371" t="s">
        <v>39</v>
      </c>
      <c r="F1371" t="s">
        <v>70</v>
      </c>
      <c r="G1371">
        <v>109.15</v>
      </c>
      <c r="H1371">
        <v>0</v>
      </c>
      <c r="I1371">
        <v>109.15</v>
      </c>
      <c r="J1371" s="1">
        <v>45607</v>
      </c>
      <c r="K1371">
        <v>11</v>
      </c>
      <c r="M1371" t="b">
        <v>0</v>
      </c>
    </row>
    <row r="1372" spans="1:14" x14ac:dyDescent="0.25">
      <c r="A1372" t="s">
        <v>1425</v>
      </c>
      <c r="B1372" t="s">
        <v>38</v>
      </c>
      <c r="C1372" t="s">
        <v>53</v>
      </c>
      <c r="D1372" t="s">
        <v>34</v>
      </c>
      <c r="E1372" t="s">
        <v>58</v>
      </c>
      <c r="F1372" t="s">
        <v>56</v>
      </c>
      <c r="G1372">
        <v>60.97</v>
      </c>
      <c r="H1372">
        <v>0</v>
      </c>
      <c r="I1372">
        <v>60.97</v>
      </c>
      <c r="J1372" s="1">
        <v>45875</v>
      </c>
      <c r="K1372">
        <v>29</v>
      </c>
      <c r="L1372">
        <v>4.5</v>
      </c>
      <c r="M1372" t="b">
        <v>0</v>
      </c>
    </row>
    <row r="1373" spans="1:14" x14ac:dyDescent="0.25">
      <c r="A1373" t="s">
        <v>1426</v>
      </c>
      <c r="B1373" t="s">
        <v>27</v>
      </c>
      <c r="C1373" t="s">
        <v>22</v>
      </c>
      <c r="D1373" t="s">
        <v>62</v>
      </c>
      <c r="F1373" t="s">
        <v>25</v>
      </c>
      <c r="G1373">
        <v>64.87</v>
      </c>
      <c r="H1373">
        <v>35.299999999999997</v>
      </c>
      <c r="I1373">
        <v>41.97</v>
      </c>
      <c r="J1373" s="1">
        <v>45875</v>
      </c>
      <c r="K1373">
        <v>12</v>
      </c>
      <c r="L1373">
        <v>4.2</v>
      </c>
      <c r="M1373" t="b">
        <v>1</v>
      </c>
      <c r="N1373" t="s">
        <v>73</v>
      </c>
    </row>
    <row r="1374" spans="1:14" x14ac:dyDescent="0.25">
      <c r="A1374" t="s">
        <v>1427</v>
      </c>
      <c r="B1374" t="s">
        <v>30</v>
      </c>
      <c r="C1374" t="s">
        <v>43</v>
      </c>
      <c r="D1374" t="s">
        <v>34</v>
      </c>
      <c r="E1374" t="s">
        <v>39</v>
      </c>
      <c r="F1374" t="s">
        <v>25</v>
      </c>
      <c r="G1374">
        <v>151.35</v>
      </c>
      <c r="H1374">
        <v>0</v>
      </c>
      <c r="I1374">
        <v>151.35</v>
      </c>
      <c r="J1374" s="1">
        <v>45875</v>
      </c>
      <c r="K1374">
        <v>18</v>
      </c>
      <c r="M1374" t="b">
        <v>0</v>
      </c>
    </row>
    <row r="1375" spans="1:14" x14ac:dyDescent="0.25">
      <c r="A1375" t="s">
        <v>1428</v>
      </c>
      <c r="B1375" t="s">
        <v>27</v>
      </c>
      <c r="C1375" t="s">
        <v>61</v>
      </c>
      <c r="D1375" t="s">
        <v>23</v>
      </c>
      <c r="F1375" t="s">
        <v>44</v>
      </c>
      <c r="G1375">
        <v>72.900000000000006</v>
      </c>
      <c r="H1375">
        <v>44</v>
      </c>
      <c r="I1375">
        <v>40.82</v>
      </c>
      <c r="J1375" s="1">
        <v>45875</v>
      </c>
      <c r="K1375">
        <v>25</v>
      </c>
      <c r="L1375">
        <v>3</v>
      </c>
      <c r="M1375" t="b">
        <v>0</v>
      </c>
    </row>
    <row r="1376" spans="1:14" x14ac:dyDescent="0.25">
      <c r="A1376" t="s">
        <v>1429</v>
      </c>
      <c r="B1376" t="s">
        <v>27</v>
      </c>
      <c r="C1376" t="s">
        <v>61</v>
      </c>
      <c r="D1376" t="s">
        <v>23</v>
      </c>
      <c r="F1376" t="s">
        <v>66</v>
      </c>
      <c r="G1376">
        <v>79.48</v>
      </c>
      <c r="H1376">
        <v>0</v>
      </c>
      <c r="I1376">
        <v>79.48</v>
      </c>
      <c r="J1376" s="1">
        <v>45875</v>
      </c>
      <c r="K1376">
        <v>2</v>
      </c>
      <c r="L1376">
        <v>3.3</v>
      </c>
      <c r="M1376" t="b">
        <v>0</v>
      </c>
    </row>
    <row r="1377" spans="1:14" x14ac:dyDescent="0.25">
      <c r="A1377" t="s">
        <v>1430</v>
      </c>
      <c r="B1377" t="s">
        <v>30</v>
      </c>
      <c r="C1377" t="s">
        <v>43</v>
      </c>
      <c r="D1377" t="s">
        <v>34</v>
      </c>
      <c r="E1377" t="s">
        <v>58</v>
      </c>
      <c r="F1377" t="s">
        <v>56</v>
      </c>
      <c r="G1377">
        <v>122.77</v>
      </c>
      <c r="H1377">
        <v>59.8</v>
      </c>
      <c r="I1377">
        <v>49.35</v>
      </c>
      <c r="J1377" s="1">
        <v>45875</v>
      </c>
      <c r="K1377">
        <v>33</v>
      </c>
      <c r="L1377">
        <v>4</v>
      </c>
      <c r="M1377" t="b">
        <v>0</v>
      </c>
    </row>
    <row r="1378" spans="1:14" x14ac:dyDescent="0.25">
      <c r="A1378" t="s">
        <v>1431</v>
      </c>
      <c r="B1378" t="s">
        <v>38</v>
      </c>
      <c r="C1378" t="s">
        <v>75</v>
      </c>
      <c r="D1378" t="s">
        <v>62</v>
      </c>
      <c r="E1378" t="s">
        <v>18</v>
      </c>
      <c r="F1378" t="s">
        <v>28</v>
      </c>
      <c r="G1378">
        <v>79.61</v>
      </c>
      <c r="H1378">
        <v>0</v>
      </c>
      <c r="I1378">
        <v>79.61</v>
      </c>
      <c r="J1378" s="1">
        <v>45875</v>
      </c>
      <c r="K1378">
        <v>29</v>
      </c>
      <c r="L1378">
        <v>3.7</v>
      </c>
      <c r="M1378" t="b">
        <v>0</v>
      </c>
    </row>
    <row r="1379" spans="1:14" x14ac:dyDescent="0.25">
      <c r="A1379" t="s">
        <v>1432</v>
      </c>
      <c r="B1379" t="s">
        <v>38</v>
      </c>
      <c r="C1379" t="s">
        <v>22</v>
      </c>
      <c r="D1379" t="s">
        <v>23</v>
      </c>
      <c r="E1379" t="s">
        <v>24</v>
      </c>
      <c r="F1379" t="s">
        <v>35</v>
      </c>
      <c r="G1379">
        <v>60.13</v>
      </c>
      <c r="H1379">
        <v>0</v>
      </c>
      <c r="I1379">
        <v>60.13</v>
      </c>
      <c r="J1379" s="1">
        <v>45875</v>
      </c>
      <c r="K1379">
        <v>27</v>
      </c>
      <c r="M1379" t="b">
        <v>0</v>
      </c>
    </row>
    <row r="1380" spans="1:14" x14ac:dyDescent="0.25">
      <c r="A1380" t="s">
        <v>1433</v>
      </c>
      <c r="B1380" t="s">
        <v>27</v>
      </c>
      <c r="C1380" t="s">
        <v>61</v>
      </c>
      <c r="D1380" t="s">
        <v>23</v>
      </c>
      <c r="F1380" t="s">
        <v>40</v>
      </c>
      <c r="G1380">
        <v>72.260000000000005</v>
      </c>
      <c r="H1380">
        <v>41</v>
      </c>
      <c r="I1380">
        <v>42.63</v>
      </c>
      <c r="J1380" s="1">
        <v>45875</v>
      </c>
      <c r="K1380">
        <v>43</v>
      </c>
      <c r="L1380">
        <v>3.5</v>
      </c>
      <c r="M1380" t="b">
        <v>0</v>
      </c>
    </row>
    <row r="1381" spans="1:14" x14ac:dyDescent="0.25">
      <c r="A1381" t="s">
        <v>1434</v>
      </c>
      <c r="B1381" t="s">
        <v>38</v>
      </c>
      <c r="C1381" t="s">
        <v>43</v>
      </c>
      <c r="D1381" t="s">
        <v>62</v>
      </c>
      <c r="E1381" t="s">
        <v>18</v>
      </c>
      <c r="F1381" t="s">
        <v>46</v>
      </c>
      <c r="G1381">
        <v>66.38</v>
      </c>
      <c r="H1381">
        <v>17</v>
      </c>
      <c r="I1381">
        <v>55.1</v>
      </c>
      <c r="J1381" s="1">
        <v>45875</v>
      </c>
      <c r="K1381">
        <v>24</v>
      </c>
      <c r="L1381">
        <v>4.9000000000000004</v>
      </c>
      <c r="M1381" t="b">
        <v>1</v>
      </c>
      <c r="N1381" t="s">
        <v>73</v>
      </c>
    </row>
    <row r="1382" spans="1:14" x14ac:dyDescent="0.25">
      <c r="A1382" t="s">
        <v>1435</v>
      </c>
      <c r="B1382" t="s">
        <v>15</v>
      </c>
      <c r="C1382" t="s">
        <v>53</v>
      </c>
      <c r="D1382" t="s">
        <v>17</v>
      </c>
      <c r="E1382" t="s">
        <v>55</v>
      </c>
      <c r="F1382" t="s">
        <v>56</v>
      </c>
      <c r="G1382">
        <v>100.27</v>
      </c>
      <c r="H1382">
        <v>0</v>
      </c>
      <c r="I1382">
        <v>100.27</v>
      </c>
      <c r="J1382" s="1">
        <v>45719</v>
      </c>
      <c r="K1382">
        <v>37</v>
      </c>
      <c r="L1382">
        <v>3.1</v>
      </c>
      <c r="M1382" t="b">
        <v>0</v>
      </c>
    </row>
    <row r="1383" spans="1:14" x14ac:dyDescent="0.25">
      <c r="A1383" t="s">
        <v>1436</v>
      </c>
      <c r="B1383" t="s">
        <v>42</v>
      </c>
      <c r="C1383" t="s">
        <v>16</v>
      </c>
      <c r="D1383" t="s">
        <v>62</v>
      </c>
      <c r="E1383" t="s">
        <v>39</v>
      </c>
      <c r="F1383" t="s">
        <v>56</v>
      </c>
      <c r="G1383">
        <v>116.09</v>
      </c>
      <c r="H1383">
        <v>52.8</v>
      </c>
      <c r="I1383">
        <v>54.79</v>
      </c>
      <c r="J1383" s="1">
        <v>45875</v>
      </c>
      <c r="K1383">
        <v>22</v>
      </c>
      <c r="M1383" t="b">
        <v>0</v>
      </c>
    </row>
    <row r="1384" spans="1:14" x14ac:dyDescent="0.25">
      <c r="A1384" t="s">
        <v>1437</v>
      </c>
      <c r="B1384" t="s">
        <v>15</v>
      </c>
      <c r="C1384" t="s">
        <v>43</v>
      </c>
      <c r="D1384" t="s">
        <v>34</v>
      </c>
      <c r="E1384" t="s">
        <v>39</v>
      </c>
      <c r="F1384" t="s">
        <v>35</v>
      </c>
      <c r="G1384">
        <v>80.709999999999994</v>
      </c>
      <c r="H1384">
        <v>0.9</v>
      </c>
      <c r="I1384">
        <v>79.98</v>
      </c>
      <c r="J1384" s="1">
        <v>45875</v>
      </c>
      <c r="K1384">
        <v>11</v>
      </c>
      <c r="L1384">
        <v>1.1000000000000001</v>
      </c>
      <c r="M1384" t="b">
        <v>0</v>
      </c>
    </row>
    <row r="1385" spans="1:14" x14ac:dyDescent="0.25">
      <c r="A1385" t="s">
        <v>1438</v>
      </c>
      <c r="B1385" t="s">
        <v>42</v>
      </c>
      <c r="C1385" t="s">
        <v>32</v>
      </c>
      <c r="D1385" t="s">
        <v>62</v>
      </c>
      <c r="E1385" t="s">
        <v>58</v>
      </c>
      <c r="F1385" t="s">
        <v>44</v>
      </c>
      <c r="G1385">
        <v>175.11</v>
      </c>
      <c r="H1385">
        <v>0</v>
      </c>
      <c r="I1385">
        <v>175.11</v>
      </c>
      <c r="J1385" s="1">
        <v>45875</v>
      </c>
      <c r="K1385">
        <v>39</v>
      </c>
      <c r="L1385">
        <v>2.9</v>
      </c>
      <c r="M1385" t="b">
        <v>0</v>
      </c>
    </row>
    <row r="1386" spans="1:14" x14ac:dyDescent="0.25">
      <c r="A1386" t="s">
        <v>1439</v>
      </c>
      <c r="B1386" t="s">
        <v>42</v>
      </c>
      <c r="C1386" t="s">
        <v>43</v>
      </c>
      <c r="D1386" t="s">
        <v>34</v>
      </c>
      <c r="E1386" t="s">
        <v>55</v>
      </c>
      <c r="F1386" t="s">
        <v>70</v>
      </c>
      <c r="G1386">
        <v>122.35</v>
      </c>
      <c r="H1386">
        <v>37</v>
      </c>
      <c r="I1386">
        <v>77.08</v>
      </c>
      <c r="J1386" s="1">
        <v>45875</v>
      </c>
      <c r="K1386">
        <v>25</v>
      </c>
      <c r="M1386" t="b">
        <v>0</v>
      </c>
    </row>
    <row r="1387" spans="1:14" x14ac:dyDescent="0.25">
      <c r="A1387" t="s">
        <v>1440</v>
      </c>
      <c r="B1387" t="s">
        <v>30</v>
      </c>
      <c r="C1387" t="s">
        <v>22</v>
      </c>
      <c r="D1387" t="s">
        <v>23</v>
      </c>
      <c r="E1387" t="s">
        <v>39</v>
      </c>
      <c r="F1387" t="s">
        <v>44</v>
      </c>
      <c r="G1387">
        <v>127.99</v>
      </c>
      <c r="H1387">
        <v>0</v>
      </c>
      <c r="I1387">
        <v>127.99</v>
      </c>
      <c r="J1387" s="1">
        <v>45875</v>
      </c>
      <c r="K1387">
        <v>14</v>
      </c>
      <c r="L1387">
        <v>2.7</v>
      </c>
      <c r="M1387" t="b">
        <v>0</v>
      </c>
    </row>
    <row r="1388" spans="1:14" x14ac:dyDescent="0.25">
      <c r="A1388" t="s">
        <v>1441</v>
      </c>
      <c r="B1388" t="s">
        <v>38</v>
      </c>
      <c r="C1388" t="s">
        <v>16</v>
      </c>
      <c r="D1388" t="s">
        <v>62</v>
      </c>
      <c r="E1388" t="s">
        <v>39</v>
      </c>
      <c r="F1388" t="s">
        <v>70</v>
      </c>
      <c r="G1388">
        <v>101.07</v>
      </c>
      <c r="H1388">
        <v>4.5999999999999996</v>
      </c>
      <c r="I1388">
        <v>96.42</v>
      </c>
      <c r="J1388" s="1">
        <v>45875</v>
      </c>
      <c r="K1388">
        <v>19</v>
      </c>
      <c r="L1388">
        <v>4.7</v>
      </c>
      <c r="M1388" t="b">
        <v>0</v>
      </c>
    </row>
    <row r="1389" spans="1:14" x14ac:dyDescent="0.25">
      <c r="A1389" t="s">
        <v>1442</v>
      </c>
      <c r="B1389" t="s">
        <v>38</v>
      </c>
      <c r="C1389" t="s">
        <v>75</v>
      </c>
      <c r="D1389" t="s">
        <v>23</v>
      </c>
      <c r="E1389" t="s">
        <v>24</v>
      </c>
      <c r="F1389" t="s">
        <v>70</v>
      </c>
      <c r="G1389">
        <v>41.83</v>
      </c>
      <c r="H1389">
        <v>44.1</v>
      </c>
      <c r="I1389">
        <v>23.38</v>
      </c>
      <c r="J1389" s="1">
        <v>45875</v>
      </c>
      <c r="K1389">
        <v>6</v>
      </c>
      <c r="L1389">
        <v>2.4</v>
      </c>
      <c r="M1389" t="b">
        <v>0</v>
      </c>
    </row>
    <row r="1390" spans="1:14" x14ac:dyDescent="0.25">
      <c r="A1390" t="s">
        <v>1443</v>
      </c>
      <c r="B1390" t="s">
        <v>30</v>
      </c>
      <c r="C1390" t="s">
        <v>48</v>
      </c>
      <c r="D1390" t="s">
        <v>17</v>
      </c>
      <c r="E1390" t="s">
        <v>58</v>
      </c>
      <c r="F1390" t="s">
        <v>46</v>
      </c>
      <c r="G1390">
        <v>147.52000000000001</v>
      </c>
      <c r="H1390">
        <v>0</v>
      </c>
      <c r="I1390">
        <v>147.52000000000001</v>
      </c>
      <c r="J1390" s="1">
        <v>45665</v>
      </c>
      <c r="K1390">
        <v>41</v>
      </c>
      <c r="L1390">
        <v>4</v>
      </c>
      <c r="M1390" t="b">
        <v>0</v>
      </c>
    </row>
    <row r="1391" spans="1:14" x14ac:dyDescent="0.25">
      <c r="A1391" t="s">
        <v>1444</v>
      </c>
      <c r="B1391" t="s">
        <v>21</v>
      </c>
      <c r="C1391" t="s">
        <v>32</v>
      </c>
      <c r="D1391" t="s">
        <v>34</v>
      </c>
      <c r="E1391" t="s">
        <v>39</v>
      </c>
      <c r="F1391" t="s">
        <v>40</v>
      </c>
      <c r="G1391">
        <v>85.94</v>
      </c>
      <c r="H1391">
        <v>0</v>
      </c>
      <c r="I1391">
        <v>85.94</v>
      </c>
      <c r="J1391" s="1">
        <v>45875</v>
      </c>
      <c r="K1391">
        <v>49</v>
      </c>
      <c r="L1391">
        <v>1.5</v>
      </c>
      <c r="M1391" t="b">
        <v>0</v>
      </c>
    </row>
    <row r="1392" spans="1:14" x14ac:dyDescent="0.25">
      <c r="A1392" t="s">
        <v>1445</v>
      </c>
      <c r="B1392" t="s">
        <v>42</v>
      </c>
      <c r="C1392" t="s">
        <v>61</v>
      </c>
      <c r="D1392" t="s">
        <v>23</v>
      </c>
      <c r="E1392" t="s">
        <v>49</v>
      </c>
      <c r="F1392" t="s">
        <v>46</v>
      </c>
      <c r="G1392">
        <v>115.61</v>
      </c>
      <c r="H1392">
        <v>0</v>
      </c>
      <c r="I1392">
        <v>115.61</v>
      </c>
      <c r="J1392" s="1">
        <v>45875</v>
      </c>
      <c r="K1392">
        <v>35</v>
      </c>
      <c r="L1392">
        <v>1.8</v>
      </c>
      <c r="M1392" t="b">
        <v>0</v>
      </c>
    </row>
    <row r="1393" spans="1:14" x14ac:dyDescent="0.25">
      <c r="A1393" t="s">
        <v>1446</v>
      </c>
      <c r="B1393" t="s">
        <v>15</v>
      </c>
      <c r="C1393" t="s">
        <v>53</v>
      </c>
      <c r="D1393" t="s">
        <v>23</v>
      </c>
      <c r="E1393" t="s">
        <v>55</v>
      </c>
      <c r="F1393" t="s">
        <v>25</v>
      </c>
      <c r="G1393">
        <v>90.58</v>
      </c>
      <c r="H1393">
        <v>0</v>
      </c>
      <c r="I1393">
        <v>90.58</v>
      </c>
      <c r="J1393" s="1">
        <v>45875</v>
      </c>
      <c r="K1393">
        <v>1</v>
      </c>
      <c r="L1393">
        <v>1</v>
      </c>
      <c r="M1393" t="b">
        <v>0</v>
      </c>
    </row>
    <row r="1394" spans="1:14" x14ac:dyDescent="0.25">
      <c r="A1394" t="s">
        <v>1447</v>
      </c>
      <c r="B1394" t="s">
        <v>21</v>
      </c>
      <c r="C1394" t="s">
        <v>61</v>
      </c>
      <c r="D1394" t="s">
        <v>17</v>
      </c>
      <c r="E1394" t="s">
        <v>39</v>
      </c>
      <c r="F1394" t="s">
        <v>19</v>
      </c>
      <c r="G1394">
        <v>64.84</v>
      </c>
      <c r="H1394">
        <v>0</v>
      </c>
      <c r="I1394">
        <v>64.84</v>
      </c>
      <c r="J1394" s="1">
        <v>45591</v>
      </c>
      <c r="K1394">
        <v>25</v>
      </c>
      <c r="L1394">
        <v>3.9</v>
      </c>
      <c r="M1394" t="b">
        <v>0</v>
      </c>
    </row>
    <row r="1395" spans="1:14" x14ac:dyDescent="0.25">
      <c r="A1395" t="s">
        <v>1448</v>
      </c>
      <c r="B1395" t="s">
        <v>38</v>
      </c>
      <c r="C1395" t="s">
        <v>32</v>
      </c>
      <c r="D1395" t="s">
        <v>62</v>
      </c>
      <c r="E1395" t="s">
        <v>55</v>
      </c>
      <c r="F1395" t="s">
        <v>28</v>
      </c>
      <c r="G1395">
        <v>37.270000000000003</v>
      </c>
      <c r="H1395">
        <v>0</v>
      </c>
      <c r="I1395">
        <v>37.270000000000003</v>
      </c>
      <c r="J1395" s="1">
        <v>45875</v>
      </c>
      <c r="K1395">
        <v>27</v>
      </c>
      <c r="L1395">
        <v>2.8</v>
      </c>
      <c r="M1395" t="b">
        <v>1</v>
      </c>
      <c r="N1395" t="s">
        <v>115</v>
      </c>
    </row>
    <row r="1396" spans="1:14" x14ac:dyDescent="0.25">
      <c r="A1396" t="s">
        <v>1449</v>
      </c>
      <c r="B1396" t="s">
        <v>21</v>
      </c>
      <c r="C1396" t="s">
        <v>61</v>
      </c>
      <c r="D1396" t="s">
        <v>62</v>
      </c>
      <c r="E1396" t="s">
        <v>18</v>
      </c>
      <c r="F1396" t="s">
        <v>44</v>
      </c>
      <c r="G1396">
        <v>90.48</v>
      </c>
      <c r="H1396">
        <v>55.2</v>
      </c>
      <c r="I1396">
        <v>40.54</v>
      </c>
      <c r="J1396" s="1">
        <v>45875</v>
      </c>
      <c r="K1396">
        <v>26</v>
      </c>
      <c r="L1396">
        <v>3</v>
      </c>
      <c r="M1396" t="b">
        <v>0</v>
      </c>
    </row>
    <row r="1397" spans="1:14" x14ac:dyDescent="0.25">
      <c r="A1397" t="s">
        <v>1450</v>
      </c>
      <c r="B1397" t="s">
        <v>30</v>
      </c>
      <c r="C1397" t="s">
        <v>61</v>
      </c>
      <c r="D1397" t="s">
        <v>62</v>
      </c>
      <c r="E1397" t="s">
        <v>39</v>
      </c>
      <c r="F1397" t="s">
        <v>46</v>
      </c>
      <c r="G1397">
        <v>159.62</v>
      </c>
      <c r="H1397">
        <v>58.4</v>
      </c>
      <c r="I1397">
        <v>66.400000000000006</v>
      </c>
      <c r="J1397" s="1">
        <v>45875</v>
      </c>
      <c r="K1397">
        <v>45</v>
      </c>
      <c r="L1397">
        <v>1.1000000000000001</v>
      </c>
      <c r="M1397" t="b">
        <v>0</v>
      </c>
    </row>
    <row r="1398" spans="1:14" x14ac:dyDescent="0.25">
      <c r="A1398" t="s">
        <v>1451</v>
      </c>
      <c r="B1398" t="s">
        <v>30</v>
      </c>
      <c r="C1398" t="s">
        <v>53</v>
      </c>
      <c r="D1398" t="s">
        <v>62</v>
      </c>
      <c r="E1398" t="s">
        <v>24</v>
      </c>
      <c r="F1398" t="s">
        <v>40</v>
      </c>
      <c r="G1398">
        <v>81.459999999999994</v>
      </c>
      <c r="H1398">
        <v>58.8</v>
      </c>
      <c r="I1398">
        <v>33.56</v>
      </c>
      <c r="J1398" s="1">
        <v>45875</v>
      </c>
      <c r="K1398">
        <v>37</v>
      </c>
      <c r="L1398">
        <v>4.5999999999999996</v>
      </c>
      <c r="M1398" t="b">
        <v>0</v>
      </c>
    </row>
    <row r="1399" spans="1:14" x14ac:dyDescent="0.25">
      <c r="A1399" t="s">
        <v>1452</v>
      </c>
      <c r="B1399" t="s">
        <v>30</v>
      </c>
      <c r="C1399" t="s">
        <v>75</v>
      </c>
      <c r="D1399" t="s">
        <v>23</v>
      </c>
      <c r="E1399" t="s">
        <v>55</v>
      </c>
      <c r="F1399" t="s">
        <v>35</v>
      </c>
      <c r="G1399">
        <v>93.63</v>
      </c>
      <c r="H1399">
        <v>0</v>
      </c>
      <c r="I1399">
        <v>93.63</v>
      </c>
      <c r="J1399" s="1">
        <v>45875</v>
      </c>
      <c r="K1399">
        <v>47</v>
      </c>
      <c r="L1399">
        <v>4.0999999999999996</v>
      </c>
      <c r="M1399" t="b">
        <v>0</v>
      </c>
    </row>
    <row r="1400" spans="1:14" x14ac:dyDescent="0.25">
      <c r="A1400" t="s">
        <v>1453</v>
      </c>
      <c r="B1400" t="s">
        <v>21</v>
      </c>
      <c r="C1400" t="s">
        <v>53</v>
      </c>
      <c r="D1400" t="s">
        <v>62</v>
      </c>
      <c r="E1400" t="s">
        <v>58</v>
      </c>
      <c r="F1400" t="s">
        <v>70</v>
      </c>
      <c r="G1400">
        <v>95.55</v>
      </c>
      <c r="H1400">
        <v>0</v>
      </c>
      <c r="I1400">
        <v>95.55</v>
      </c>
      <c r="J1400" s="1">
        <v>45875</v>
      </c>
      <c r="K1400">
        <v>25</v>
      </c>
      <c r="L1400">
        <v>4.7</v>
      </c>
      <c r="M1400" t="b">
        <v>0</v>
      </c>
    </row>
    <row r="1401" spans="1:14" x14ac:dyDescent="0.25">
      <c r="A1401" t="s">
        <v>1454</v>
      </c>
      <c r="B1401" t="s">
        <v>15</v>
      </c>
      <c r="C1401" t="s">
        <v>16</v>
      </c>
      <c r="D1401" t="s">
        <v>23</v>
      </c>
      <c r="E1401" t="s">
        <v>58</v>
      </c>
      <c r="F1401" t="s">
        <v>35</v>
      </c>
      <c r="G1401">
        <v>146.44999999999999</v>
      </c>
      <c r="H1401">
        <v>0</v>
      </c>
      <c r="I1401">
        <v>146.44999999999999</v>
      </c>
      <c r="J1401" s="1">
        <v>45875</v>
      </c>
      <c r="K1401">
        <v>45</v>
      </c>
      <c r="L1401">
        <v>3.4</v>
      </c>
      <c r="M1401" t="b">
        <v>0</v>
      </c>
    </row>
    <row r="1402" spans="1:14" x14ac:dyDescent="0.25">
      <c r="A1402" t="s">
        <v>1455</v>
      </c>
      <c r="B1402" t="s">
        <v>30</v>
      </c>
      <c r="C1402" t="s">
        <v>32</v>
      </c>
      <c r="D1402" t="s">
        <v>17</v>
      </c>
      <c r="E1402" t="s">
        <v>58</v>
      </c>
      <c r="F1402" t="s">
        <v>44</v>
      </c>
      <c r="G1402">
        <v>96.9</v>
      </c>
      <c r="H1402">
        <v>0</v>
      </c>
      <c r="I1402">
        <v>96.9</v>
      </c>
      <c r="J1402" s="1">
        <v>45691</v>
      </c>
      <c r="K1402">
        <v>24</v>
      </c>
      <c r="L1402">
        <v>4.3</v>
      </c>
      <c r="M1402" t="b">
        <v>0</v>
      </c>
    </row>
    <row r="1403" spans="1:14" x14ac:dyDescent="0.25">
      <c r="A1403" t="s">
        <v>1456</v>
      </c>
      <c r="B1403" t="s">
        <v>21</v>
      </c>
      <c r="C1403" t="s">
        <v>32</v>
      </c>
      <c r="D1403" t="s">
        <v>34</v>
      </c>
      <c r="E1403" t="s">
        <v>49</v>
      </c>
      <c r="F1403" t="s">
        <v>70</v>
      </c>
      <c r="G1403">
        <v>71.83</v>
      </c>
      <c r="H1403">
        <v>0</v>
      </c>
      <c r="I1403">
        <v>71.83</v>
      </c>
      <c r="J1403" s="1">
        <v>45875</v>
      </c>
      <c r="K1403">
        <v>46</v>
      </c>
      <c r="L1403">
        <v>4.5</v>
      </c>
      <c r="M1403" t="b">
        <v>0</v>
      </c>
    </row>
    <row r="1404" spans="1:14" x14ac:dyDescent="0.25">
      <c r="A1404" t="s">
        <v>1457</v>
      </c>
      <c r="B1404" t="s">
        <v>21</v>
      </c>
      <c r="C1404" t="s">
        <v>48</v>
      </c>
      <c r="D1404" t="s">
        <v>62</v>
      </c>
      <c r="E1404" t="s">
        <v>24</v>
      </c>
      <c r="F1404" t="s">
        <v>64</v>
      </c>
      <c r="G1404">
        <v>29.17</v>
      </c>
      <c r="H1404">
        <v>0</v>
      </c>
      <c r="I1404">
        <v>29.17</v>
      </c>
      <c r="J1404" s="1">
        <v>45875</v>
      </c>
      <c r="K1404">
        <v>17</v>
      </c>
      <c r="L1404">
        <v>1.6</v>
      </c>
      <c r="M1404" t="b">
        <v>0</v>
      </c>
    </row>
    <row r="1405" spans="1:14" x14ac:dyDescent="0.25">
      <c r="A1405" t="s">
        <v>1458</v>
      </c>
      <c r="B1405" t="s">
        <v>21</v>
      </c>
      <c r="C1405" t="s">
        <v>48</v>
      </c>
      <c r="D1405" t="s">
        <v>17</v>
      </c>
      <c r="E1405" t="s">
        <v>39</v>
      </c>
      <c r="F1405" t="s">
        <v>46</v>
      </c>
      <c r="G1405">
        <v>31.3</v>
      </c>
      <c r="H1405">
        <v>43.6</v>
      </c>
      <c r="I1405">
        <v>17.649999999999999</v>
      </c>
      <c r="J1405" s="1">
        <v>45722</v>
      </c>
      <c r="K1405">
        <v>21</v>
      </c>
      <c r="L1405">
        <v>4.4000000000000004</v>
      </c>
      <c r="M1405" t="b">
        <v>0</v>
      </c>
    </row>
    <row r="1406" spans="1:14" x14ac:dyDescent="0.25">
      <c r="A1406" t="s">
        <v>1459</v>
      </c>
      <c r="B1406" t="s">
        <v>27</v>
      </c>
      <c r="C1406" t="s">
        <v>16</v>
      </c>
      <c r="D1406" t="s">
        <v>34</v>
      </c>
      <c r="F1406" t="s">
        <v>46</v>
      </c>
      <c r="G1406">
        <v>73.569999999999993</v>
      </c>
      <c r="H1406">
        <v>0</v>
      </c>
      <c r="I1406">
        <v>73.569999999999993</v>
      </c>
      <c r="J1406" s="1">
        <v>45875</v>
      </c>
      <c r="K1406">
        <v>22</v>
      </c>
      <c r="L1406">
        <v>1.1000000000000001</v>
      </c>
      <c r="M1406" t="b">
        <v>0</v>
      </c>
    </row>
    <row r="1407" spans="1:14" x14ac:dyDescent="0.25">
      <c r="A1407" t="s">
        <v>1460</v>
      </c>
      <c r="B1407" t="s">
        <v>30</v>
      </c>
      <c r="C1407" t="s">
        <v>43</v>
      </c>
      <c r="D1407" t="s">
        <v>62</v>
      </c>
      <c r="F1407" t="s">
        <v>25</v>
      </c>
      <c r="G1407">
        <v>75.95</v>
      </c>
      <c r="H1407">
        <v>0</v>
      </c>
      <c r="I1407">
        <v>75.95</v>
      </c>
      <c r="J1407" s="1">
        <v>45875</v>
      </c>
      <c r="K1407">
        <v>14</v>
      </c>
      <c r="M1407" t="b">
        <v>0</v>
      </c>
    </row>
    <row r="1408" spans="1:14" x14ac:dyDescent="0.25">
      <c r="A1408" t="s">
        <v>1461</v>
      </c>
      <c r="B1408" t="s">
        <v>27</v>
      </c>
      <c r="C1408" t="s">
        <v>48</v>
      </c>
      <c r="D1408" t="s">
        <v>17</v>
      </c>
      <c r="F1408" t="s">
        <v>46</v>
      </c>
      <c r="G1408">
        <v>79.040000000000006</v>
      </c>
      <c r="H1408">
        <v>0</v>
      </c>
      <c r="I1408">
        <v>79.040000000000006</v>
      </c>
      <c r="J1408" s="1">
        <v>45568</v>
      </c>
      <c r="K1408">
        <v>28</v>
      </c>
      <c r="L1408">
        <v>4.7</v>
      </c>
      <c r="M1408" t="b">
        <v>0</v>
      </c>
    </row>
    <row r="1409" spans="1:14" x14ac:dyDescent="0.25">
      <c r="A1409" t="s">
        <v>1462</v>
      </c>
      <c r="B1409" t="s">
        <v>21</v>
      </c>
      <c r="C1409" t="s">
        <v>43</v>
      </c>
      <c r="D1409" t="s">
        <v>34</v>
      </c>
      <c r="E1409" t="s">
        <v>24</v>
      </c>
      <c r="F1409" t="s">
        <v>35</v>
      </c>
      <c r="G1409">
        <v>26.85</v>
      </c>
      <c r="H1409">
        <v>0</v>
      </c>
      <c r="I1409">
        <v>26.85</v>
      </c>
      <c r="J1409" s="1">
        <v>45875</v>
      </c>
      <c r="K1409">
        <v>26</v>
      </c>
      <c r="M1409" t="b">
        <v>0</v>
      </c>
    </row>
    <row r="1410" spans="1:14" x14ac:dyDescent="0.25">
      <c r="A1410" t="s">
        <v>1463</v>
      </c>
      <c r="B1410" t="s">
        <v>42</v>
      </c>
      <c r="C1410" t="s">
        <v>53</v>
      </c>
      <c r="D1410" t="s">
        <v>17</v>
      </c>
      <c r="E1410" t="s">
        <v>24</v>
      </c>
      <c r="F1410" t="s">
        <v>40</v>
      </c>
      <c r="G1410">
        <v>126.21</v>
      </c>
      <c r="H1410">
        <v>29.2</v>
      </c>
      <c r="I1410">
        <v>89.36</v>
      </c>
      <c r="J1410" s="1">
        <v>45519</v>
      </c>
      <c r="K1410">
        <v>25</v>
      </c>
      <c r="L1410">
        <v>1.1000000000000001</v>
      </c>
      <c r="M1410" t="b">
        <v>0</v>
      </c>
    </row>
    <row r="1411" spans="1:14" x14ac:dyDescent="0.25">
      <c r="A1411" t="s">
        <v>1464</v>
      </c>
      <c r="B1411" t="s">
        <v>30</v>
      </c>
      <c r="C1411" t="s">
        <v>43</v>
      </c>
      <c r="D1411" t="s">
        <v>34</v>
      </c>
      <c r="E1411" t="s">
        <v>39</v>
      </c>
      <c r="F1411" t="s">
        <v>64</v>
      </c>
      <c r="G1411">
        <v>71.459999999999994</v>
      </c>
      <c r="H1411">
        <v>0</v>
      </c>
      <c r="I1411">
        <v>71.459999999999994</v>
      </c>
      <c r="J1411" s="1">
        <v>45875</v>
      </c>
      <c r="K1411">
        <v>2</v>
      </c>
      <c r="L1411">
        <v>3.1</v>
      </c>
      <c r="M1411" t="b">
        <v>0</v>
      </c>
    </row>
    <row r="1412" spans="1:14" x14ac:dyDescent="0.25">
      <c r="A1412" t="s">
        <v>1465</v>
      </c>
      <c r="B1412" t="s">
        <v>42</v>
      </c>
      <c r="C1412" t="s">
        <v>43</v>
      </c>
      <c r="D1412" t="s">
        <v>23</v>
      </c>
      <c r="E1412" t="s">
        <v>58</v>
      </c>
      <c r="F1412" t="s">
        <v>56</v>
      </c>
      <c r="G1412">
        <v>65.069999999999993</v>
      </c>
      <c r="H1412">
        <v>14.8</v>
      </c>
      <c r="I1412">
        <v>55.44</v>
      </c>
      <c r="J1412" s="1">
        <v>45875</v>
      </c>
      <c r="K1412">
        <v>21</v>
      </c>
      <c r="M1412" t="b">
        <v>0</v>
      </c>
    </row>
    <row r="1413" spans="1:14" x14ac:dyDescent="0.25">
      <c r="A1413" t="s">
        <v>1466</v>
      </c>
      <c r="B1413" t="s">
        <v>38</v>
      </c>
      <c r="C1413" t="s">
        <v>43</v>
      </c>
      <c r="D1413" t="s">
        <v>34</v>
      </c>
      <c r="E1413" t="s">
        <v>18</v>
      </c>
      <c r="F1413" t="s">
        <v>25</v>
      </c>
      <c r="G1413">
        <v>28.11</v>
      </c>
      <c r="H1413">
        <v>20.9</v>
      </c>
      <c r="I1413">
        <v>22.24</v>
      </c>
      <c r="J1413" s="1">
        <v>45875</v>
      </c>
      <c r="K1413">
        <v>6</v>
      </c>
      <c r="L1413">
        <v>2.2999999999999998</v>
      </c>
      <c r="M1413" t="b">
        <v>0</v>
      </c>
    </row>
    <row r="1414" spans="1:14" x14ac:dyDescent="0.25">
      <c r="A1414" t="s">
        <v>1467</v>
      </c>
      <c r="B1414" t="s">
        <v>21</v>
      </c>
      <c r="C1414" t="s">
        <v>48</v>
      </c>
      <c r="D1414" t="s">
        <v>17</v>
      </c>
      <c r="E1414" t="s">
        <v>24</v>
      </c>
      <c r="F1414" t="s">
        <v>46</v>
      </c>
      <c r="G1414">
        <v>29.12</v>
      </c>
      <c r="H1414">
        <v>0</v>
      </c>
      <c r="I1414">
        <v>29.12</v>
      </c>
      <c r="J1414" s="1">
        <v>45741</v>
      </c>
      <c r="K1414">
        <v>14</v>
      </c>
      <c r="L1414">
        <v>2.7</v>
      </c>
      <c r="M1414" t="b">
        <v>0</v>
      </c>
    </row>
    <row r="1415" spans="1:14" x14ac:dyDescent="0.25">
      <c r="A1415" t="s">
        <v>1468</v>
      </c>
      <c r="B1415" t="s">
        <v>27</v>
      </c>
      <c r="C1415" t="s">
        <v>75</v>
      </c>
      <c r="D1415" t="s">
        <v>23</v>
      </c>
      <c r="F1415" t="s">
        <v>28</v>
      </c>
      <c r="G1415">
        <v>57.1</v>
      </c>
      <c r="H1415">
        <v>0</v>
      </c>
      <c r="I1415">
        <v>57.1</v>
      </c>
      <c r="J1415" s="1">
        <v>45875</v>
      </c>
      <c r="K1415">
        <v>28</v>
      </c>
      <c r="M1415" t="b">
        <v>1</v>
      </c>
      <c r="N1415" t="s">
        <v>125</v>
      </c>
    </row>
    <row r="1416" spans="1:14" x14ac:dyDescent="0.25">
      <c r="A1416" t="s">
        <v>1469</v>
      </c>
      <c r="B1416" t="s">
        <v>15</v>
      </c>
      <c r="C1416" t="s">
        <v>22</v>
      </c>
      <c r="D1416" t="s">
        <v>17</v>
      </c>
      <c r="E1416" t="s">
        <v>58</v>
      </c>
      <c r="F1416" t="s">
        <v>28</v>
      </c>
      <c r="G1416">
        <v>248.05</v>
      </c>
      <c r="H1416">
        <v>0</v>
      </c>
      <c r="I1416">
        <v>248.05</v>
      </c>
      <c r="J1416" s="1">
        <v>45776</v>
      </c>
      <c r="K1416">
        <v>17</v>
      </c>
      <c r="L1416">
        <v>4.5999999999999996</v>
      </c>
      <c r="M1416" t="b">
        <v>0</v>
      </c>
    </row>
    <row r="1417" spans="1:14" x14ac:dyDescent="0.25">
      <c r="A1417" t="s">
        <v>1470</v>
      </c>
      <c r="B1417" t="s">
        <v>38</v>
      </c>
      <c r="C1417" t="s">
        <v>16</v>
      </c>
      <c r="D1417" t="s">
        <v>34</v>
      </c>
      <c r="E1417" t="s">
        <v>39</v>
      </c>
      <c r="F1417" t="s">
        <v>40</v>
      </c>
      <c r="G1417">
        <v>108.59</v>
      </c>
      <c r="H1417">
        <v>40.6</v>
      </c>
      <c r="I1417">
        <v>64.5</v>
      </c>
      <c r="J1417" s="1">
        <v>45875</v>
      </c>
      <c r="K1417">
        <v>9</v>
      </c>
      <c r="L1417">
        <v>1.3</v>
      </c>
      <c r="M1417" t="b">
        <v>0</v>
      </c>
    </row>
    <row r="1418" spans="1:14" x14ac:dyDescent="0.25">
      <c r="A1418" t="s">
        <v>1471</v>
      </c>
      <c r="B1418" t="s">
        <v>15</v>
      </c>
      <c r="C1418" t="s">
        <v>75</v>
      </c>
      <c r="D1418" t="s">
        <v>62</v>
      </c>
      <c r="E1418" t="s">
        <v>18</v>
      </c>
      <c r="F1418" t="s">
        <v>56</v>
      </c>
      <c r="G1418">
        <v>124.13</v>
      </c>
      <c r="H1418">
        <v>0</v>
      </c>
      <c r="I1418">
        <v>124.13</v>
      </c>
      <c r="J1418" s="1">
        <v>45875</v>
      </c>
      <c r="K1418">
        <v>33</v>
      </c>
      <c r="L1418">
        <v>5</v>
      </c>
      <c r="M1418" t="b">
        <v>0</v>
      </c>
    </row>
    <row r="1419" spans="1:14" x14ac:dyDescent="0.25">
      <c r="A1419" t="s">
        <v>1472</v>
      </c>
      <c r="B1419" t="s">
        <v>27</v>
      </c>
      <c r="C1419" t="s">
        <v>16</v>
      </c>
      <c r="D1419" t="s">
        <v>17</v>
      </c>
      <c r="F1419" t="s">
        <v>70</v>
      </c>
      <c r="G1419">
        <v>62.21</v>
      </c>
      <c r="H1419">
        <v>1.8</v>
      </c>
      <c r="I1419">
        <v>61.09</v>
      </c>
      <c r="J1419" s="1">
        <v>45599</v>
      </c>
      <c r="K1419">
        <v>4</v>
      </c>
      <c r="L1419">
        <v>2.2999999999999998</v>
      </c>
      <c r="M1419" t="b">
        <v>0</v>
      </c>
    </row>
    <row r="1420" spans="1:14" x14ac:dyDescent="0.25">
      <c r="A1420" t="s">
        <v>1473</v>
      </c>
      <c r="B1420" t="s">
        <v>38</v>
      </c>
      <c r="C1420" t="s">
        <v>22</v>
      </c>
      <c r="D1420" t="s">
        <v>34</v>
      </c>
      <c r="E1420" t="s">
        <v>58</v>
      </c>
      <c r="F1420" t="s">
        <v>40</v>
      </c>
      <c r="G1420">
        <v>48.27</v>
      </c>
      <c r="H1420">
        <v>0</v>
      </c>
      <c r="I1420">
        <v>48.27</v>
      </c>
      <c r="J1420" s="1">
        <v>45875</v>
      </c>
      <c r="K1420">
        <v>33</v>
      </c>
      <c r="M1420" t="b">
        <v>0</v>
      </c>
    </row>
    <row r="1421" spans="1:14" x14ac:dyDescent="0.25">
      <c r="A1421" t="s">
        <v>1474</v>
      </c>
      <c r="B1421" t="s">
        <v>21</v>
      </c>
      <c r="C1421" t="s">
        <v>16</v>
      </c>
      <c r="D1421" t="s">
        <v>17</v>
      </c>
      <c r="E1421" t="s">
        <v>18</v>
      </c>
      <c r="F1421" t="s">
        <v>44</v>
      </c>
      <c r="G1421">
        <v>88.77</v>
      </c>
      <c r="H1421">
        <v>0</v>
      </c>
      <c r="I1421">
        <v>88.77</v>
      </c>
      <c r="J1421" s="1">
        <v>45793</v>
      </c>
      <c r="K1421">
        <v>40</v>
      </c>
      <c r="L1421">
        <v>4.8</v>
      </c>
      <c r="M1421" t="b">
        <v>0</v>
      </c>
    </row>
    <row r="1422" spans="1:14" x14ac:dyDescent="0.25">
      <c r="A1422" t="s">
        <v>1475</v>
      </c>
      <c r="B1422" t="s">
        <v>42</v>
      </c>
      <c r="C1422" t="s">
        <v>61</v>
      </c>
      <c r="D1422" t="s">
        <v>34</v>
      </c>
      <c r="E1422" t="s">
        <v>58</v>
      </c>
      <c r="F1422" t="s">
        <v>64</v>
      </c>
      <c r="G1422">
        <v>94.17</v>
      </c>
      <c r="H1422">
        <v>0</v>
      </c>
      <c r="I1422">
        <v>94.17</v>
      </c>
      <c r="J1422" s="1">
        <v>45875</v>
      </c>
      <c r="K1422">
        <v>2</v>
      </c>
      <c r="M1422" t="b">
        <v>0</v>
      </c>
    </row>
    <row r="1423" spans="1:14" x14ac:dyDescent="0.25">
      <c r="A1423" t="s">
        <v>1476</v>
      </c>
      <c r="B1423" t="s">
        <v>27</v>
      </c>
      <c r="C1423" t="s">
        <v>75</v>
      </c>
      <c r="D1423" t="s">
        <v>34</v>
      </c>
      <c r="F1423" t="s">
        <v>28</v>
      </c>
      <c r="G1423">
        <v>30.44</v>
      </c>
      <c r="H1423">
        <v>0</v>
      </c>
      <c r="I1423">
        <v>30.44</v>
      </c>
      <c r="J1423" s="1">
        <v>45875</v>
      </c>
      <c r="K1423">
        <v>42</v>
      </c>
      <c r="M1423" t="b">
        <v>0</v>
      </c>
    </row>
    <row r="1424" spans="1:14" x14ac:dyDescent="0.25">
      <c r="A1424" t="s">
        <v>1477</v>
      </c>
      <c r="B1424" t="s">
        <v>38</v>
      </c>
      <c r="C1424" t="s">
        <v>22</v>
      </c>
      <c r="D1424" t="s">
        <v>34</v>
      </c>
      <c r="E1424" t="s">
        <v>55</v>
      </c>
      <c r="F1424" t="s">
        <v>66</v>
      </c>
      <c r="G1424">
        <v>114.29</v>
      </c>
      <c r="H1424">
        <v>0</v>
      </c>
      <c r="I1424">
        <v>114.29</v>
      </c>
      <c r="J1424" s="1">
        <v>45875</v>
      </c>
      <c r="K1424">
        <v>9</v>
      </c>
      <c r="L1424">
        <v>3.2</v>
      </c>
      <c r="M1424" t="b">
        <v>0</v>
      </c>
    </row>
    <row r="1425" spans="1:14" x14ac:dyDescent="0.25">
      <c r="A1425" t="s">
        <v>1478</v>
      </c>
      <c r="B1425" t="s">
        <v>30</v>
      </c>
      <c r="C1425" t="s">
        <v>22</v>
      </c>
      <c r="D1425" t="s">
        <v>34</v>
      </c>
      <c r="E1425" t="s">
        <v>18</v>
      </c>
      <c r="F1425" t="s">
        <v>40</v>
      </c>
      <c r="G1425">
        <v>105.01</v>
      </c>
      <c r="H1425">
        <v>25.8</v>
      </c>
      <c r="I1425">
        <v>77.92</v>
      </c>
      <c r="J1425" s="1">
        <v>45875</v>
      </c>
      <c r="K1425">
        <v>17</v>
      </c>
      <c r="L1425">
        <v>3.2</v>
      </c>
      <c r="M1425" t="b">
        <v>0</v>
      </c>
    </row>
    <row r="1426" spans="1:14" x14ac:dyDescent="0.25">
      <c r="A1426" t="s">
        <v>1479</v>
      </c>
      <c r="B1426" t="s">
        <v>21</v>
      </c>
      <c r="C1426" t="s">
        <v>53</v>
      </c>
      <c r="D1426" t="s">
        <v>17</v>
      </c>
      <c r="E1426" t="s">
        <v>18</v>
      </c>
      <c r="F1426" t="s">
        <v>44</v>
      </c>
      <c r="G1426">
        <v>38.56</v>
      </c>
      <c r="H1426">
        <v>0</v>
      </c>
      <c r="I1426">
        <v>38.56</v>
      </c>
      <c r="J1426" s="1">
        <v>45807</v>
      </c>
      <c r="K1426">
        <v>39</v>
      </c>
      <c r="L1426">
        <v>1.5</v>
      </c>
      <c r="M1426" t="b">
        <v>0</v>
      </c>
    </row>
    <row r="1427" spans="1:14" x14ac:dyDescent="0.25">
      <c r="A1427" t="s">
        <v>1480</v>
      </c>
      <c r="B1427" t="s">
        <v>30</v>
      </c>
      <c r="C1427" t="s">
        <v>43</v>
      </c>
      <c r="D1427" t="s">
        <v>23</v>
      </c>
      <c r="E1427" t="s">
        <v>24</v>
      </c>
      <c r="F1427" t="s">
        <v>66</v>
      </c>
      <c r="G1427">
        <v>64.94</v>
      </c>
      <c r="H1427">
        <v>0</v>
      </c>
      <c r="I1427">
        <v>64.94</v>
      </c>
      <c r="J1427" s="1">
        <v>45875</v>
      </c>
      <c r="K1427">
        <v>32</v>
      </c>
      <c r="L1427">
        <v>4.5</v>
      </c>
      <c r="M1427" t="b">
        <v>0</v>
      </c>
    </row>
    <row r="1428" spans="1:14" x14ac:dyDescent="0.25">
      <c r="A1428" t="s">
        <v>1481</v>
      </c>
      <c r="B1428" t="s">
        <v>38</v>
      </c>
      <c r="C1428" t="s">
        <v>43</v>
      </c>
      <c r="D1428" t="s">
        <v>23</v>
      </c>
      <c r="E1428" t="s">
        <v>39</v>
      </c>
      <c r="F1428" t="s">
        <v>46</v>
      </c>
      <c r="G1428">
        <v>63.74</v>
      </c>
      <c r="H1428">
        <v>56.8</v>
      </c>
      <c r="I1428">
        <v>27.54</v>
      </c>
      <c r="J1428" s="1">
        <v>45875</v>
      </c>
      <c r="K1428">
        <v>15</v>
      </c>
      <c r="L1428">
        <v>4</v>
      </c>
      <c r="M1428" t="b">
        <v>0</v>
      </c>
    </row>
    <row r="1429" spans="1:14" x14ac:dyDescent="0.25">
      <c r="A1429" t="s">
        <v>1482</v>
      </c>
      <c r="B1429" t="s">
        <v>21</v>
      </c>
      <c r="C1429" t="s">
        <v>16</v>
      </c>
      <c r="D1429" t="s">
        <v>62</v>
      </c>
      <c r="E1429" t="s">
        <v>18</v>
      </c>
      <c r="F1429" t="s">
        <v>25</v>
      </c>
      <c r="G1429">
        <v>67.23</v>
      </c>
      <c r="H1429">
        <v>11.1</v>
      </c>
      <c r="I1429">
        <v>59.77</v>
      </c>
      <c r="J1429" s="1">
        <v>45875</v>
      </c>
      <c r="K1429">
        <v>39</v>
      </c>
      <c r="L1429">
        <v>1.1000000000000001</v>
      </c>
      <c r="M1429" t="b">
        <v>1</v>
      </c>
      <c r="N1429" t="s">
        <v>125</v>
      </c>
    </row>
    <row r="1430" spans="1:14" x14ac:dyDescent="0.25">
      <c r="A1430" t="s">
        <v>1483</v>
      </c>
      <c r="B1430" t="s">
        <v>27</v>
      </c>
      <c r="C1430" t="s">
        <v>48</v>
      </c>
      <c r="D1430" t="s">
        <v>17</v>
      </c>
      <c r="F1430" t="s">
        <v>44</v>
      </c>
      <c r="G1430">
        <v>27.2</v>
      </c>
      <c r="H1430">
        <v>40.4</v>
      </c>
      <c r="I1430">
        <v>16.21</v>
      </c>
      <c r="J1430" s="1">
        <v>45523</v>
      </c>
      <c r="K1430">
        <v>20</v>
      </c>
      <c r="L1430">
        <v>4.3</v>
      </c>
      <c r="M1430" t="b">
        <v>0</v>
      </c>
    </row>
    <row r="1431" spans="1:14" x14ac:dyDescent="0.25">
      <c r="A1431" t="s">
        <v>1484</v>
      </c>
      <c r="B1431" t="s">
        <v>21</v>
      </c>
      <c r="C1431" t="s">
        <v>43</v>
      </c>
      <c r="D1431" t="s">
        <v>17</v>
      </c>
      <c r="E1431" t="s">
        <v>18</v>
      </c>
      <c r="F1431" t="s">
        <v>70</v>
      </c>
      <c r="G1431">
        <v>75.84</v>
      </c>
      <c r="H1431">
        <v>0</v>
      </c>
      <c r="I1431">
        <v>75.84</v>
      </c>
      <c r="J1431" s="1">
        <v>45754</v>
      </c>
      <c r="K1431">
        <v>8</v>
      </c>
      <c r="L1431">
        <v>4.0999999999999996</v>
      </c>
      <c r="M1431" t="b">
        <v>0</v>
      </c>
    </row>
    <row r="1432" spans="1:14" x14ac:dyDescent="0.25">
      <c r="A1432" t="s">
        <v>1485</v>
      </c>
      <c r="B1432" t="s">
        <v>42</v>
      </c>
      <c r="C1432" t="s">
        <v>43</v>
      </c>
      <c r="D1432" t="s">
        <v>23</v>
      </c>
      <c r="E1432" t="s">
        <v>58</v>
      </c>
      <c r="F1432" t="s">
        <v>64</v>
      </c>
      <c r="G1432">
        <v>68.510000000000005</v>
      </c>
      <c r="H1432">
        <v>0</v>
      </c>
      <c r="I1432">
        <v>68.510000000000005</v>
      </c>
      <c r="J1432" s="1">
        <v>45875</v>
      </c>
      <c r="K1432">
        <v>1</v>
      </c>
      <c r="L1432">
        <v>2.6</v>
      </c>
      <c r="M1432" t="b">
        <v>0</v>
      </c>
    </row>
    <row r="1433" spans="1:14" x14ac:dyDescent="0.25">
      <c r="A1433" t="s">
        <v>1486</v>
      </c>
      <c r="B1433" t="s">
        <v>27</v>
      </c>
      <c r="C1433" t="s">
        <v>43</v>
      </c>
      <c r="D1433" t="s">
        <v>62</v>
      </c>
      <c r="F1433" t="s">
        <v>66</v>
      </c>
      <c r="G1433">
        <v>25.49</v>
      </c>
      <c r="H1433">
        <v>0</v>
      </c>
      <c r="I1433">
        <v>25.49</v>
      </c>
      <c r="J1433" s="1">
        <v>45875</v>
      </c>
      <c r="K1433">
        <v>35</v>
      </c>
      <c r="L1433">
        <v>2.2000000000000002</v>
      </c>
      <c r="M1433" t="b">
        <v>1</v>
      </c>
      <c r="N1433" t="s">
        <v>73</v>
      </c>
    </row>
    <row r="1434" spans="1:14" x14ac:dyDescent="0.25">
      <c r="A1434" t="s">
        <v>1487</v>
      </c>
      <c r="B1434" t="s">
        <v>21</v>
      </c>
      <c r="C1434" t="s">
        <v>53</v>
      </c>
      <c r="D1434" t="s">
        <v>34</v>
      </c>
      <c r="E1434" t="s">
        <v>55</v>
      </c>
      <c r="F1434" t="s">
        <v>19</v>
      </c>
      <c r="G1434">
        <v>70.88</v>
      </c>
      <c r="H1434">
        <v>0</v>
      </c>
      <c r="I1434">
        <v>70.88</v>
      </c>
      <c r="J1434" s="1">
        <v>45875</v>
      </c>
      <c r="K1434">
        <v>5</v>
      </c>
      <c r="L1434">
        <v>2.2999999999999998</v>
      </c>
      <c r="M1434" t="b">
        <v>0</v>
      </c>
    </row>
    <row r="1435" spans="1:14" x14ac:dyDescent="0.25">
      <c r="A1435" t="s">
        <v>1488</v>
      </c>
      <c r="B1435" t="s">
        <v>30</v>
      </c>
      <c r="C1435" t="s">
        <v>48</v>
      </c>
      <c r="D1435" t="s">
        <v>62</v>
      </c>
      <c r="E1435" t="s">
        <v>55</v>
      </c>
      <c r="F1435" t="s">
        <v>35</v>
      </c>
      <c r="G1435">
        <v>176.64</v>
      </c>
      <c r="H1435">
        <v>8.8000000000000007</v>
      </c>
      <c r="I1435">
        <v>161.1</v>
      </c>
      <c r="J1435" s="1">
        <v>45875</v>
      </c>
      <c r="K1435">
        <v>1</v>
      </c>
      <c r="L1435">
        <v>1.7</v>
      </c>
      <c r="M1435" t="b">
        <v>0</v>
      </c>
    </row>
    <row r="1436" spans="1:14" x14ac:dyDescent="0.25">
      <c r="A1436" t="s">
        <v>1489</v>
      </c>
      <c r="B1436" t="s">
        <v>42</v>
      </c>
      <c r="C1436" t="s">
        <v>53</v>
      </c>
      <c r="D1436" t="s">
        <v>23</v>
      </c>
      <c r="E1436" t="s">
        <v>24</v>
      </c>
      <c r="F1436" t="s">
        <v>19</v>
      </c>
      <c r="G1436">
        <v>50.76</v>
      </c>
      <c r="H1436">
        <v>0</v>
      </c>
      <c r="I1436">
        <v>50.76</v>
      </c>
      <c r="J1436" s="1">
        <v>45875</v>
      </c>
      <c r="K1436">
        <v>45</v>
      </c>
      <c r="L1436">
        <v>4.3</v>
      </c>
      <c r="M1436" t="b">
        <v>0</v>
      </c>
    </row>
    <row r="1437" spans="1:14" x14ac:dyDescent="0.25">
      <c r="A1437" t="s">
        <v>1490</v>
      </c>
      <c r="B1437" t="s">
        <v>30</v>
      </c>
      <c r="C1437" t="s">
        <v>43</v>
      </c>
      <c r="D1437" t="s">
        <v>34</v>
      </c>
      <c r="E1437" t="s">
        <v>18</v>
      </c>
      <c r="F1437" t="s">
        <v>25</v>
      </c>
      <c r="G1437">
        <v>155.85</v>
      </c>
      <c r="H1437">
        <v>0</v>
      </c>
      <c r="I1437">
        <v>155.85</v>
      </c>
      <c r="J1437" s="1">
        <v>45875</v>
      </c>
      <c r="K1437">
        <v>1</v>
      </c>
      <c r="L1437">
        <v>3.5</v>
      </c>
      <c r="M1437" t="b">
        <v>0</v>
      </c>
    </row>
    <row r="1438" spans="1:14" x14ac:dyDescent="0.25">
      <c r="A1438" t="s">
        <v>1491</v>
      </c>
      <c r="B1438" t="s">
        <v>42</v>
      </c>
      <c r="C1438" t="s">
        <v>32</v>
      </c>
      <c r="D1438" t="s">
        <v>17</v>
      </c>
      <c r="E1438" t="s">
        <v>18</v>
      </c>
      <c r="F1438" t="s">
        <v>44</v>
      </c>
      <c r="G1438">
        <v>48.04</v>
      </c>
      <c r="H1438">
        <v>0</v>
      </c>
      <c r="I1438">
        <v>48.04</v>
      </c>
      <c r="J1438" s="1">
        <v>45778</v>
      </c>
      <c r="K1438">
        <v>20</v>
      </c>
      <c r="L1438">
        <v>3.2</v>
      </c>
      <c r="M1438" t="b">
        <v>0</v>
      </c>
    </row>
    <row r="1439" spans="1:14" x14ac:dyDescent="0.25">
      <c r="A1439" t="s">
        <v>1492</v>
      </c>
      <c r="B1439" t="s">
        <v>21</v>
      </c>
      <c r="C1439" t="s">
        <v>75</v>
      </c>
      <c r="D1439" t="s">
        <v>17</v>
      </c>
      <c r="E1439" t="s">
        <v>55</v>
      </c>
      <c r="F1439" t="s">
        <v>64</v>
      </c>
      <c r="G1439">
        <v>44.79</v>
      </c>
      <c r="H1439">
        <v>0</v>
      </c>
      <c r="I1439">
        <v>44.79</v>
      </c>
      <c r="J1439" s="1">
        <v>45676</v>
      </c>
      <c r="K1439">
        <v>7</v>
      </c>
      <c r="L1439">
        <v>3.6</v>
      </c>
      <c r="M1439" t="b">
        <v>0</v>
      </c>
    </row>
    <row r="1440" spans="1:14" x14ac:dyDescent="0.25">
      <c r="A1440" t="s">
        <v>1493</v>
      </c>
      <c r="B1440" t="s">
        <v>21</v>
      </c>
      <c r="C1440" t="s">
        <v>22</v>
      </c>
      <c r="D1440" t="s">
        <v>17</v>
      </c>
      <c r="E1440" t="s">
        <v>55</v>
      </c>
      <c r="F1440" t="s">
        <v>44</v>
      </c>
      <c r="G1440">
        <v>76.95</v>
      </c>
      <c r="H1440">
        <v>0</v>
      </c>
      <c r="I1440">
        <v>76.95</v>
      </c>
      <c r="J1440" s="1">
        <v>45669</v>
      </c>
      <c r="K1440">
        <v>9</v>
      </c>
      <c r="L1440">
        <v>2.5</v>
      </c>
      <c r="M1440" t="b">
        <v>0</v>
      </c>
    </row>
    <row r="1441" spans="1:14" x14ac:dyDescent="0.25">
      <c r="A1441" t="s">
        <v>1494</v>
      </c>
      <c r="B1441" t="s">
        <v>27</v>
      </c>
      <c r="C1441" t="s">
        <v>61</v>
      </c>
      <c r="D1441" t="s">
        <v>62</v>
      </c>
      <c r="F1441" t="s">
        <v>40</v>
      </c>
      <c r="G1441">
        <v>35.93</v>
      </c>
      <c r="H1441">
        <v>49.9</v>
      </c>
      <c r="I1441">
        <v>18</v>
      </c>
      <c r="J1441" s="1">
        <v>45875</v>
      </c>
      <c r="K1441">
        <v>26</v>
      </c>
      <c r="L1441">
        <v>4</v>
      </c>
      <c r="M1441" t="b">
        <v>0</v>
      </c>
    </row>
    <row r="1442" spans="1:14" x14ac:dyDescent="0.25">
      <c r="A1442" t="s">
        <v>1495</v>
      </c>
      <c r="B1442" t="s">
        <v>38</v>
      </c>
      <c r="C1442" t="s">
        <v>32</v>
      </c>
      <c r="D1442" t="s">
        <v>34</v>
      </c>
      <c r="E1442" t="s">
        <v>18</v>
      </c>
      <c r="F1442" t="s">
        <v>19</v>
      </c>
      <c r="G1442">
        <v>49.97</v>
      </c>
      <c r="H1442">
        <v>0</v>
      </c>
      <c r="I1442">
        <v>49.97</v>
      </c>
      <c r="J1442" s="1">
        <v>45875</v>
      </c>
      <c r="K1442">
        <v>11</v>
      </c>
      <c r="L1442">
        <v>3.5</v>
      </c>
      <c r="M1442" t="b">
        <v>1</v>
      </c>
      <c r="N1442" t="s">
        <v>83</v>
      </c>
    </row>
    <row r="1443" spans="1:14" x14ac:dyDescent="0.25">
      <c r="A1443" t="s">
        <v>1496</v>
      </c>
      <c r="B1443" t="s">
        <v>15</v>
      </c>
      <c r="C1443" t="s">
        <v>48</v>
      </c>
      <c r="D1443" t="s">
        <v>62</v>
      </c>
      <c r="F1443" t="s">
        <v>28</v>
      </c>
      <c r="G1443">
        <v>169.69</v>
      </c>
      <c r="H1443">
        <v>0</v>
      </c>
      <c r="I1443">
        <v>169.69</v>
      </c>
      <c r="J1443" s="1">
        <v>45875</v>
      </c>
      <c r="K1443">
        <v>29</v>
      </c>
      <c r="L1443">
        <v>1.9</v>
      </c>
      <c r="M1443" t="b">
        <v>0</v>
      </c>
    </row>
    <row r="1444" spans="1:14" x14ac:dyDescent="0.25">
      <c r="A1444" t="s">
        <v>1497</v>
      </c>
      <c r="B1444" t="s">
        <v>15</v>
      </c>
      <c r="C1444" t="s">
        <v>53</v>
      </c>
      <c r="D1444" t="s">
        <v>17</v>
      </c>
      <c r="F1444" t="s">
        <v>35</v>
      </c>
      <c r="G1444">
        <v>209.3</v>
      </c>
      <c r="H1444">
        <v>14.2</v>
      </c>
      <c r="I1444">
        <v>179.58</v>
      </c>
      <c r="J1444" s="1">
        <v>45721</v>
      </c>
      <c r="K1444">
        <v>29</v>
      </c>
      <c r="M1444" t="b">
        <v>0</v>
      </c>
    </row>
    <row r="1445" spans="1:14" x14ac:dyDescent="0.25">
      <c r="A1445" t="s">
        <v>1498</v>
      </c>
      <c r="B1445" t="s">
        <v>21</v>
      </c>
      <c r="C1445" t="s">
        <v>61</v>
      </c>
      <c r="D1445" t="s">
        <v>62</v>
      </c>
      <c r="E1445" t="s">
        <v>49</v>
      </c>
      <c r="F1445" t="s">
        <v>25</v>
      </c>
      <c r="G1445">
        <v>110.81</v>
      </c>
      <c r="H1445">
        <v>0</v>
      </c>
      <c r="I1445">
        <v>110.81</v>
      </c>
      <c r="J1445" s="1">
        <v>45875</v>
      </c>
      <c r="K1445">
        <v>24</v>
      </c>
      <c r="L1445">
        <v>2.4</v>
      </c>
      <c r="M1445" t="b">
        <v>0</v>
      </c>
    </row>
    <row r="1446" spans="1:14" x14ac:dyDescent="0.25">
      <c r="A1446" t="s">
        <v>1499</v>
      </c>
      <c r="B1446" t="s">
        <v>27</v>
      </c>
      <c r="C1446" t="s">
        <v>22</v>
      </c>
      <c r="D1446" t="s">
        <v>34</v>
      </c>
      <c r="F1446" t="s">
        <v>28</v>
      </c>
      <c r="G1446">
        <v>61.84</v>
      </c>
      <c r="H1446">
        <v>0</v>
      </c>
      <c r="I1446">
        <v>61.84</v>
      </c>
      <c r="J1446" s="1">
        <v>45875</v>
      </c>
      <c r="K1446">
        <v>0</v>
      </c>
      <c r="L1446">
        <v>4.7</v>
      </c>
      <c r="M1446" t="b">
        <v>1</v>
      </c>
      <c r="N1446" t="s">
        <v>125</v>
      </c>
    </row>
    <row r="1447" spans="1:14" x14ac:dyDescent="0.25">
      <c r="A1447" t="s">
        <v>1500</v>
      </c>
      <c r="B1447" t="s">
        <v>15</v>
      </c>
      <c r="C1447" t="s">
        <v>16</v>
      </c>
      <c r="D1447" t="s">
        <v>17</v>
      </c>
      <c r="E1447" t="s">
        <v>39</v>
      </c>
      <c r="F1447" t="s">
        <v>70</v>
      </c>
      <c r="G1447">
        <v>190.03</v>
      </c>
      <c r="H1447">
        <v>14.9</v>
      </c>
      <c r="I1447">
        <v>161.72</v>
      </c>
      <c r="J1447" s="1">
        <v>45862</v>
      </c>
      <c r="K1447">
        <v>35</v>
      </c>
      <c r="L1447">
        <v>4.0999999999999996</v>
      </c>
      <c r="M1447" t="b">
        <v>0</v>
      </c>
    </row>
    <row r="1448" spans="1:14" x14ac:dyDescent="0.25">
      <c r="A1448" t="s">
        <v>1501</v>
      </c>
      <c r="B1448" t="s">
        <v>38</v>
      </c>
      <c r="C1448" t="s">
        <v>32</v>
      </c>
      <c r="D1448" t="s">
        <v>34</v>
      </c>
      <c r="E1448" t="s">
        <v>55</v>
      </c>
      <c r="F1448" t="s">
        <v>19</v>
      </c>
      <c r="G1448">
        <v>74.27</v>
      </c>
      <c r="H1448">
        <v>0</v>
      </c>
      <c r="I1448">
        <v>74.27</v>
      </c>
      <c r="J1448" s="1">
        <v>45875</v>
      </c>
      <c r="K1448">
        <v>6</v>
      </c>
      <c r="L1448">
        <v>1.3</v>
      </c>
      <c r="M1448" t="b">
        <v>0</v>
      </c>
    </row>
    <row r="1449" spans="1:14" x14ac:dyDescent="0.25">
      <c r="A1449" t="s">
        <v>1502</v>
      </c>
      <c r="B1449" t="s">
        <v>15</v>
      </c>
      <c r="C1449" t="s">
        <v>16</v>
      </c>
      <c r="D1449" t="s">
        <v>34</v>
      </c>
      <c r="E1449" t="s">
        <v>18</v>
      </c>
      <c r="F1449" t="s">
        <v>56</v>
      </c>
      <c r="G1449">
        <v>163.77000000000001</v>
      </c>
      <c r="H1449">
        <v>30.5</v>
      </c>
      <c r="I1449">
        <v>113.82</v>
      </c>
      <c r="J1449" s="1">
        <v>45875</v>
      </c>
      <c r="K1449">
        <v>10</v>
      </c>
      <c r="M1449" t="b">
        <v>0</v>
      </c>
    </row>
    <row r="1450" spans="1:14" x14ac:dyDescent="0.25">
      <c r="A1450" t="s">
        <v>1503</v>
      </c>
      <c r="B1450" t="s">
        <v>27</v>
      </c>
      <c r="C1450" t="s">
        <v>43</v>
      </c>
      <c r="D1450" t="s">
        <v>23</v>
      </c>
      <c r="F1450" t="s">
        <v>66</v>
      </c>
      <c r="G1450">
        <v>42.28</v>
      </c>
      <c r="H1450">
        <v>0</v>
      </c>
      <c r="I1450">
        <v>42.28</v>
      </c>
      <c r="J1450" s="1">
        <v>45875</v>
      </c>
      <c r="K1450">
        <v>22</v>
      </c>
      <c r="L1450">
        <v>1.9</v>
      </c>
      <c r="M1450" t="b">
        <v>0</v>
      </c>
    </row>
    <row r="1451" spans="1:14" x14ac:dyDescent="0.25">
      <c r="A1451" t="s">
        <v>1504</v>
      </c>
      <c r="B1451" t="s">
        <v>38</v>
      </c>
      <c r="C1451" t="s">
        <v>48</v>
      </c>
      <c r="D1451" t="s">
        <v>62</v>
      </c>
      <c r="E1451" t="s">
        <v>55</v>
      </c>
      <c r="F1451" t="s">
        <v>64</v>
      </c>
      <c r="G1451">
        <v>52.92</v>
      </c>
      <c r="H1451">
        <v>0</v>
      </c>
      <c r="I1451">
        <v>52.92</v>
      </c>
      <c r="J1451" s="1">
        <v>45875</v>
      </c>
      <c r="K1451">
        <v>9</v>
      </c>
      <c r="M1451" t="b">
        <v>0</v>
      </c>
    </row>
    <row r="1452" spans="1:14" x14ac:dyDescent="0.25">
      <c r="A1452" t="s">
        <v>1505</v>
      </c>
      <c r="B1452" t="s">
        <v>27</v>
      </c>
      <c r="C1452" t="s">
        <v>53</v>
      </c>
      <c r="D1452" t="s">
        <v>17</v>
      </c>
      <c r="F1452" t="s">
        <v>28</v>
      </c>
      <c r="G1452">
        <v>40.549999999999997</v>
      </c>
      <c r="H1452">
        <v>6.2</v>
      </c>
      <c r="I1452">
        <v>38.04</v>
      </c>
      <c r="J1452" s="1">
        <v>45544</v>
      </c>
      <c r="K1452">
        <v>26</v>
      </c>
      <c r="L1452">
        <v>3.7</v>
      </c>
      <c r="M1452" t="b">
        <v>1</v>
      </c>
      <c r="N1452" t="s">
        <v>125</v>
      </c>
    </row>
    <row r="1453" spans="1:14" x14ac:dyDescent="0.25">
      <c r="A1453" t="s">
        <v>1506</v>
      </c>
      <c r="B1453" t="s">
        <v>30</v>
      </c>
      <c r="C1453" t="s">
        <v>43</v>
      </c>
      <c r="D1453" t="s">
        <v>62</v>
      </c>
      <c r="E1453" t="s">
        <v>49</v>
      </c>
      <c r="F1453" t="s">
        <v>28</v>
      </c>
      <c r="G1453">
        <v>129.76</v>
      </c>
      <c r="H1453">
        <v>0</v>
      </c>
      <c r="I1453">
        <v>129.76</v>
      </c>
      <c r="J1453" s="1">
        <v>45875</v>
      </c>
      <c r="K1453">
        <v>39</v>
      </c>
      <c r="L1453">
        <v>2.9</v>
      </c>
      <c r="M1453" t="b">
        <v>0</v>
      </c>
    </row>
    <row r="1454" spans="1:14" x14ac:dyDescent="0.25">
      <c r="A1454" t="s">
        <v>1507</v>
      </c>
      <c r="B1454" t="s">
        <v>21</v>
      </c>
      <c r="C1454" t="s">
        <v>53</v>
      </c>
      <c r="D1454" t="s">
        <v>34</v>
      </c>
      <c r="E1454" t="s">
        <v>18</v>
      </c>
      <c r="F1454" t="s">
        <v>66</v>
      </c>
      <c r="G1454">
        <v>63.39</v>
      </c>
      <c r="H1454">
        <v>0</v>
      </c>
      <c r="I1454">
        <v>63.39</v>
      </c>
      <c r="J1454" s="1">
        <v>45875</v>
      </c>
      <c r="K1454">
        <v>50</v>
      </c>
      <c r="L1454">
        <v>2.5</v>
      </c>
      <c r="M1454" t="b">
        <v>0</v>
      </c>
    </row>
    <row r="1455" spans="1:14" x14ac:dyDescent="0.25">
      <c r="A1455" t="s">
        <v>1508</v>
      </c>
      <c r="B1455" t="s">
        <v>30</v>
      </c>
      <c r="C1455" t="s">
        <v>48</v>
      </c>
      <c r="D1455" t="s">
        <v>34</v>
      </c>
      <c r="E1455" t="s">
        <v>39</v>
      </c>
      <c r="F1455" t="s">
        <v>64</v>
      </c>
      <c r="G1455">
        <v>191.94</v>
      </c>
      <c r="H1455">
        <v>1.3</v>
      </c>
      <c r="I1455">
        <v>189.44</v>
      </c>
      <c r="J1455" s="1">
        <v>45875</v>
      </c>
      <c r="K1455">
        <v>39</v>
      </c>
      <c r="L1455">
        <v>1.2</v>
      </c>
      <c r="M1455" t="b">
        <v>0</v>
      </c>
    </row>
    <row r="1456" spans="1:14" x14ac:dyDescent="0.25">
      <c r="A1456" t="s">
        <v>1509</v>
      </c>
      <c r="B1456" t="s">
        <v>27</v>
      </c>
      <c r="C1456" t="s">
        <v>22</v>
      </c>
      <c r="D1456" t="s">
        <v>17</v>
      </c>
      <c r="F1456" t="s">
        <v>66</v>
      </c>
      <c r="G1456">
        <v>63.42</v>
      </c>
      <c r="H1456">
        <v>0</v>
      </c>
      <c r="I1456">
        <v>63.42</v>
      </c>
      <c r="J1456" s="1">
        <v>45608</v>
      </c>
      <c r="K1456">
        <v>19</v>
      </c>
      <c r="L1456">
        <v>2.9</v>
      </c>
      <c r="M1456" t="b">
        <v>1</v>
      </c>
      <c r="N1456" t="s">
        <v>36</v>
      </c>
    </row>
    <row r="1457" spans="1:14" x14ac:dyDescent="0.25">
      <c r="A1457" t="s">
        <v>1510</v>
      </c>
      <c r="B1457" t="s">
        <v>21</v>
      </c>
      <c r="C1457" t="s">
        <v>53</v>
      </c>
      <c r="D1457" t="s">
        <v>23</v>
      </c>
      <c r="E1457" t="s">
        <v>49</v>
      </c>
      <c r="F1457" t="s">
        <v>56</v>
      </c>
      <c r="G1457">
        <v>35.26</v>
      </c>
      <c r="H1457">
        <v>0</v>
      </c>
      <c r="I1457">
        <v>35.26</v>
      </c>
      <c r="J1457" s="1">
        <v>45875</v>
      </c>
      <c r="K1457">
        <v>47</v>
      </c>
      <c r="L1457">
        <v>2.2999999999999998</v>
      </c>
      <c r="M1457" t="b">
        <v>0</v>
      </c>
    </row>
    <row r="1458" spans="1:14" x14ac:dyDescent="0.25">
      <c r="A1458" t="s">
        <v>1511</v>
      </c>
      <c r="B1458" t="s">
        <v>27</v>
      </c>
      <c r="C1458" t="s">
        <v>61</v>
      </c>
      <c r="D1458" t="s">
        <v>17</v>
      </c>
      <c r="F1458" t="s">
        <v>46</v>
      </c>
      <c r="G1458">
        <v>44.5</v>
      </c>
      <c r="H1458">
        <v>0</v>
      </c>
      <c r="I1458">
        <v>44.5</v>
      </c>
      <c r="J1458" s="1">
        <v>45821</v>
      </c>
      <c r="K1458">
        <v>36</v>
      </c>
      <c r="L1458">
        <v>3.6</v>
      </c>
      <c r="M1458" t="b">
        <v>0</v>
      </c>
    </row>
    <row r="1459" spans="1:14" x14ac:dyDescent="0.25">
      <c r="A1459" t="s">
        <v>1512</v>
      </c>
      <c r="B1459" t="s">
        <v>30</v>
      </c>
      <c r="C1459" t="s">
        <v>16</v>
      </c>
      <c r="D1459" t="s">
        <v>17</v>
      </c>
      <c r="E1459" t="s">
        <v>55</v>
      </c>
      <c r="F1459" t="s">
        <v>35</v>
      </c>
      <c r="G1459">
        <v>186.78</v>
      </c>
      <c r="H1459">
        <v>43.4</v>
      </c>
      <c r="I1459">
        <v>105.72</v>
      </c>
      <c r="J1459" s="1">
        <v>45568</v>
      </c>
      <c r="K1459">
        <v>42</v>
      </c>
      <c r="L1459">
        <v>2.5</v>
      </c>
      <c r="M1459" t="b">
        <v>1</v>
      </c>
      <c r="N1459" t="s">
        <v>78</v>
      </c>
    </row>
    <row r="1460" spans="1:14" x14ac:dyDescent="0.25">
      <c r="A1460" t="s">
        <v>1513</v>
      </c>
      <c r="B1460" t="s">
        <v>21</v>
      </c>
      <c r="C1460" t="s">
        <v>48</v>
      </c>
      <c r="D1460" t="s">
        <v>62</v>
      </c>
      <c r="E1460" t="s">
        <v>24</v>
      </c>
      <c r="F1460" t="s">
        <v>28</v>
      </c>
      <c r="G1460">
        <v>116.71</v>
      </c>
      <c r="H1460">
        <v>55.4</v>
      </c>
      <c r="I1460">
        <v>52.05</v>
      </c>
      <c r="J1460" s="1">
        <v>45875</v>
      </c>
      <c r="K1460">
        <v>15</v>
      </c>
      <c r="M1460" t="b">
        <v>0</v>
      </c>
    </row>
    <row r="1461" spans="1:14" x14ac:dyDescent="0.25">
      <c r="A1461" t="s">
        <v>1514</v>
      </c>
      <c r="B1461" t="s">
        <v>27</v>
      </c>
      <c r="C1461" t="s">
        <v>48</v>
      </c>
      <c r="D1461" t="s">
        <v>23</v>
      </c>
      <c r="F1461" t="s">
        <v>28</v>
      </c>
      <c r="G1461">
        <v>24.5</v>
      </c>
      <c r="H1461">
        <v>0</v>
      </c>
      <c r="I1461">
        <v>24.5</v>
      </c>
      <c r="J1461" s="1">
        <v>45875</v>
      </c>
      <c r="K1461">
        <v>7</v>
      </c>
      <c r="M1461" t="b">
        <v>0</v>
      </c>
    </row>
    <row r="1462" spans="1:14" x14ac:dyDescent="0.25">
      <c r="A1462" t="s">
        <v>1515</v>
      </c>
      <c r="B1462" t="s">
        <v>27</v>
      </c>
      <c r="C1462" t="s">
        <v>61</v>
      </c>
      <c r="D1462" t="s">
        <v>23</v>
      </c>
      <c r="F1462" t="s">
        <v>64</v>
      </c>
      <c r="G1462">
        <v>23.2</v>
      </c>
      <c r="H1462">
        <v>0</v>
      </c>
      <c r="I1462">
        <v>23.2</v>
      </c>
      <c r="J1462" s="1">
        <v>45875</v>
      </c>
      <c r="K1462">
        <v>17</v>
      </c>
      <c r="L1462">
        <v>2.1</v>
      </c>
      <c r="M1462" t="b">
        <v>0</v>
      </c>
    </row>
    <row r="1463" spans="1:14" x14ac:dyDescent="0.25">
      <c r="A1463" t="s">
        <v>1516</v>
      </c>
      <c r="B1463" t="s">
        <v>38</v>
      </c>
      <c r="C1463" t="s">
        <v>75</v>
      </c>
      <c r="D1463" t="s">
        <v>23</v>
      </c>
      <c r="E1463" t="s">
        <v>18</v>
      </c>
      <c r="F1463" t="s">
        <v>46</v>
      </c>
      <c r="G1463">
        <v>73.8</v>
      </c>
      <c r="H1463">
        <v>0</v>
      </c>
      <c r="I1463">
        <v>73.8</v>
      </c>
      <c r="J1463" s="1">
        <v>45875</v>
      </c>
      <c r="K1463">
        <v>42</v>
      </c>
      <c r="M1463" t="b">
        <v>0</v>
      </c>
    </row>
    <row r="1464" spans="1:14" x14ac:dyDescent="0.25">
      <c r="A1464" t="s">
        <v>1517</v>
      </c>
      <c r="B1464" t="s">
        <v>27</v>
      </c>
      <c r="C1464" t="s">
        <v>16</v>
      </c>
      <c r="D1464" t="s">
        <v>62</v>
      </c>
      <c r="F1464" t="s">
        <v>28</v>
      </c>
      <c r="G1464">
        <v>51.33</v>
      </c>
      <c r="H1464">
        <v>0</v>
      </c>
      <c r="I1464">
        <v>51.33</v>
      </c>
      <c r="J1464" s="1">
        <v>45875</v>
      </c>
      <c r="K1464">
        <v>25</v>
      </c>
      <c r="L1464">
        <v>1.2</v>
      </c>
      <c r="M1464" t="b">
        <v>0</v>
      </c>
    </row>
    <row r="1465" spans="1:14" x14ac:dyDescent="0.25">
      <c r="A1465" t="s">
        <v>1518</v>
      </c>
      <c r="B1465" t="s">
        <v>38</v>
      </c>
      <c r="C1465" t="s">
        <v>48</v>
      </c>
      <c r="D1465" t="s">
        <v>23</v>
      </c>
      <c r="E1465" t="s">
        <v>49</v>
      </c>
      <c r="F1465" t="s">
        <v>46</v>
      </c>
      <c r="G1465">
        <v>80.209999999999994</v>
      </c>
      <c r="H1465">
        <v>0</v>
      </c>
      <c r="I1465">
        <v>80.209999999999994</v>
      </c>
      <c r="J1465" s="1">
        <v>45875</v>
      </c>
      <c r="K1465">
        <v>17</v>
      </c>
      <c r="M1465" t="b">
        <v>0</v>
      </c>
    </row>
    <row r="1466" spans="1:14" x14ac:dyDescent="0.25">
      <c r="A1466" t="s">
        <v>1519</v>
      </c>
      <c r="B1466" t="s">
        <v>15</v>
      </c>
      <c r="C1466" t="s">
        <v>22</v>
      </c>
      <c r="D1466" t="s">
        <v>34</v>
      </c>
      <c r="E1466" t="s">
        <v>24</v>
      </c>
      <c r="F1466" t="s">
        <v>70</v>
      </c>
      <c r="G1466">
        <v>237.65</v>
      </c>
      <c r="H1466">
        <v>0</v>
      </c>
      <c r="I1466">
        <v>237.65</v>
      </c>
      <c r="J1466" s="1">
        <v>45875</v>
      </c>
      <c r="K1466">
        <v>3</v>
      </c>
      <c r="L1466">
        <v>3.4</v>
      </c>
      <c r="M1466" t="b">
        <v>0</v>
      </c>
    </row>
    <row r="1467" spans="1:14" x14ac:dyDescent="0.25">
      <c r="A1467" t="s">
        <v>1520</v>
      </c>
      <c r="B1467" t="s">
        <v>38</v>
      </c>
      <c r="C1467" t="s">
        <v>32</v>
      </c>
      <c r="D1467" t="s">
        <v>17</v>
      </c>
      <c r="E1467" t="s">
        <v>39</v>
      </c>
      <c r="F1467" t="s">
        <v>70</v>
      </c>
      <c r="G1467">
        <v>96.35</v>
      </c>
      <c r="H1467">
        <v>0</v>
      </c>
      <c r="I1467">
        <v>96.35</v>
      </c>
      <c r="J1467" s="1">
        <v>45638</v>
      </c>
      <c r="K1467">
        <v>34</v>
      </c>
      <c r="L1467">
        <v>3.7</v>
      </c>
      <c r="M1467" t="b">
        <v>0</v>
      </c>
    </row>
    <row r="1468" spans="1:14" x14ac:dyDescent="0.25">
      <c r="A1468" t="s">
        <v>1521</v>
      </c>
      <c r="B1468" t="s">
        <v>38</v>
      </c>
      <c r="C1468" t="s">
        <v>32</v>
      </c>
      <c r="D1468" t="s">
        <v>23</v>
      </c>
      <c r="E1468" t="s">
        <v>18</v>
      </c>
      <c r="F1468" t="s">
        <v>35</v>
      </c>
      <c r="G1468">
        <v>91.92</v>
      </c>
      <c r="H1468">
        <v>0</v>
      </c>
      <c r="I1468">
        <v>91.92</v>
      </c>
      <c r="J1468" s="1">
        <v>45875</v>
      </c>
      <c r="K1468">
        <v>29</v>
      </c>
      <c r="M1468" t="b">
        <v>0</v>
      </c>
    </row>
    <row r="1469" spans="1:14" x14ac:dyDescent="0.25">
      <c r="A1469" t="s">
        <v>1522</v>
      </c>
      <c r="B1469" t="s">
        <v>30</v>
      </c>
      <c r="C1469" t="s">
        <v>32</v>
      </c>
      <c r="D1469" t="s">
        <v>34</v>
      </c>
      <c r="E1469" t="s">
        <v>49</v>
      </c>
      <c r="F1469" t="s">
        <v>64</v>
      </c>
      <c r="G1469">
        <v>194.05</v>
      </c>
      <c r="H1469">
        <v>0</v>
      </c>
      <c r="I1469">
        <v>194.05</v>
      </c>
      <c r="J1469" s="1">
        <v>45875</v>
      </c>
      <c r="K1469">
        <v>7</v>
      </c>
      <c r="L1469">
        <v>1.3</v>
      </c>
      <c r="M1469" t="b">
        <v>0</v>
      </c>
    </row>
    <row r="1470" spans="1:14" x14ac:dyDescent="0.25">
      <c r="A1470" t="s">
        <v>1523</v>
      </c>
      <c r="B1470" t="s">
        <v>15</v>
      </c>
      <c r="C1470" t="s">
        <v>61</v>
      </c>
      <c r="D1470" t="s">
        <v>62</v>
      </c>
      <c r="E1470" t="s">
        <v>39</v>
      </c>
      <c r="F1470" t="s">
        <v>19</v>
      </c>
      <c r="G1470">
        <v>166.88</v>
      </c>
      <c r="H1470">
        <v>0</v>
      </c>
      <c r="I1470">
        <v>166.88</v>
      </c>
      <c r="J1470" s="1">
        <v>45875</v>
      </c>
      <c r="K1470">
        <v>10</v>
      </c>
      <c r="L1470">
        <v>1.6</v>
      </c>
      <c r="M1470" t="b">
        <v>0</v>
      </c>
    </row>
    <row r="1471" spans="1:14" x14ac:dyDescent="0.25">
      <c r="A1471" t="s">
        <v>1524</v>
      </c>
      <c r="B1471" t="s">
        <v>38</v>
      </c>
      <c r="C1471" t="s">
        <v>48</v>
      </c>
      <c r="D1471" t="s">
        <v>23</v>
      </c>
      <c r="E1471" t="s">
        <v>39</v>
      </c>
      <c r="F1471" t="s">
        <v>19</v>
      </c>
      <c r="G1471">
        <v>47.01</v>
      </c>
      <c r="H1471">
        <v>0</v>
      </c>
      <c r="I1471">
        <v>47.01</v>
      </c>
      <c r="J1471" s="1">
        <v>45875</v>
      </c>
      <c r="K1471">
        <v>17</v>
      </c>
      <c r="L1471">
        <v>1.6</v>
      </c>
      <c r="M1471" t="b">
        <v>0</v>
      </c>
    </row>
    <row r="1472" spans="1:14" x14ac:dyDescent="0.25">
      <c r="A1472" t="s">
        <v>1525</v>
      </c>
      <c r="B1472" t="s">
        <v>30</v>
      </c>
      <c r="C1472" t="s">
        <v>32</v>
      </c>
      <c r="D1472" t="s">
        <v>23</v>
      </c>
      <c r="E1472" t="s">
        <v>49</v>
      </c>
      <c r="F1472" t="s">
        <v>25</v>
      </c>
      <c r="G1472">
        <v>119.91</v>
      </c>
      <c r="H1472">
        <v>20.3</v>
      </c>
      <c r="I1472">
        <v>95.57</v>
      </c>
      <c r="J1472" s="1">
        <v>45875</v>
      </c>
      <c r="K1472">
        <v>15</v>
      </c>
      <c r="L1472">
        <v>3.8</v>
      </c>
      <c r="M1472" t="b">
        <v>0</v>
      </c>
    </row>
    <row r="1473" spans="1:14" x14ac:dyDescent="0.25">
      <c r="A1473" t="s">
        <v>1526</v>
      </c>
      <c r="B1473" t="s">
        <v>27</v>
      </c>
      <c r="C1473" t="s">
        <v>48</v>
      </c>
      <c r="D1473" t="s">
        <v>34</v>
      </c>
      <c r="F1473" t="s">
        <v>19</v>
      </c>
      <c r="G1473">
        <v>73.73</v>
      </c>
      <c r="H1473">
        <v>54.2</v>
      </c>
      <c r="I1473">
        <v>33.770000000000003</v>
      </c>
      <c r="J1473" s="1">
        <v>45875</v>
      </c>
      <c r="K1473">
        <v>37</v>
      </c>
      <c r="L1473">
        <v>4.0999999999999996</v>
      </c>
      <c r="M1473" t="b">
        <v>0</v>
      </c>
    </row>
    <row r="1474" spans="1:14" x14ac:dyDescent="0.25">
      <c r="A1474" t="s">
        <v>1527</v>
      </c>
      <c r="B1474" t="s">
        <v>38</v>
      </c>
      <c r="C1474" t="s">
        <v>16</v>
      </c>
      <c r="D1474" t="s">
        <v>34</v>
      </c>
      <c r="E1474" t="s">
        <v>24</v>
      </c>
      <c r="F1474" t="s">
        <v>28</v>
      </c>
      <c r="G1474">
        <v>108.65</v>
      </c>
      <c r="H1474">
        <v>0</v>
      </c>
      <c r="I1474">
        <v>108.65</v>
      </c>
      <c r="J1474" s="1">
        <v>45875</v>
      </c>
      <c r="K1474">
        <v>26</v>
      </c>
      <c r="L1474">
        <v>2.4</v>
      </c>
      <c r="M1474" t="b">
        <v>0</v>
      </c>
    </row>
    <row r="1475" spans="1:14" x14ac:dyDescent="0.25">
      <c r="A1475" t="s">
        <v>1528</v>
      </c>
      <c r="B1475" t="s">
        <v>30</v>
      </c>
      <c r="C1475" t="s">
        <v>43</v>
      </c>
      <c r="D1475" t="s">
        <v>62</v>
      </c>
      <c r="E1475" t="s">
        <v>24</v>
      </c>
      <c r="F1475" t="s">
        <v>19</v>
      </c>
      <c r="G1475">
        <v>186.53</v>
      </c>
      <c r="H1475">
        <v>0</v>
      </c>
      <c r="I1475">
        <v>186.53</v>
      </c>
      <c r="J1475" s="1">
        <v>45875</v>
      </c>
      <c r="K1475">
        <v>31</v>
      </c>
      <c r="L1475">
        <v>2.6</v>
      </c>
      <c r="M1475" t="b">
        <v>0</v>
      </c>
    </row>
    <row r="1476" spans="1:14" x14ac:dyDescent="0.25">
      <c r="A1476" t="s">
        <v>1529</v>
      </c>
      <c r="B1476" t="s">
        <v>27</v>
      </c>
      <c r="C1476" t="s">
        <v>16</v>
      </c>
      <c r="D1476" t="s">
        <v>62</v>
      </c>
      <c r="F1476" t="s">
        <v>19</v>
      </c>
      <c r="G1476">
        <v>60.34</v>
      </c>
      <c r="H1476">
        <v>0</v>
      </c>
      <c r="I1476">
        <v>60.34</v>
      </c>
      <c r="J1476" s="1">
        <v>45875</v>
      </c>
      <c r="K1476">
        <v>13</v>
      </c>
      <c r="M1476" t="b">
        <v>0</v>
      </c>
    </row>
    <row r="1477" spans="1:14" x14ac:dyDescent="0.25">
      <c r="A1477" t="s">
        <v>1530</v>
      </c>
      <c r="B1477" t="s">
        <v>27</v>
      </c>
      <c r="C1477" t="s">
        <v>43</v>
      </c>
      <c r="D1477" t="s">
        <v>23</v>
      </c>
      <c r="F1477" t="s">
        <v>64</v>
      </c>
      <c r="G1477">
        <v>61.16</v>
      </c>
      <c r="H1477">
        <v>0</v>
      </c>
      <c r="I1477">
        <v>61.16</v>
      </c>
      <c r="J1477" s="1">
        <v>45875</v>
      </c>
      <c r="K1477">
        <v>28</v>
      </c>
      <c r="L1477">
        <v>2.2999999999999998</v>
      </c>
      <c r="M1477" t="b">
        <v>0</v>
      </c>
    </row>
    <row r="1478" spans="1:14" x14ac:dyDescent="0.25">
      <c r="A1478" t="s">
        <v>1531</v>
      </c>
      <c r="B1478" t="s">
        <v>30</v>
      </c>
      <c r="C1478" t="s">
        <v>75</v>
      </c>
      <c r="D1478" t="s">
        <v>23</v>
      </c>
      <c r="E1478" t="s">
        <v>18</v>
      </c>
      <c r="F1478" t="s">
        <v>46</v>
      </c>
      <c r="G1478">
        <v>168.85</v>
      </c>
      <c r="H1478">
        <v>35.299999999999997</v>
      </c>
      <c r="I1478">
        <v>109.25</v>
      </c>
      <c r="J1478" s="1">
        <v>45875</v>
      </c>
      <c r="K1478">
        <v>10</v>
      </c>
      <c r="L1478">
        <v>3.3</v>
      </c>
      <c r="M1478" t="b">
        <v>0</v>
      </c>
    </row>
    <row r="1479" spans="1:14" x14ac:dyDescent="0.25">
      <c r="A1479" t="s">
        <v>1532</v>
      </c>
      <c r="B1479" t="s">
        <v>21</v>
      </c>
      <c r="C1479" t="s">
        <v>53</v>
      </c>
      <c r="D1479" t="s">
        <v>23</v>
      </c>
      <c r="E1479" t="s">
        <v>24</v>
      </c>
      <c r="F1479" t="s">
        <v>64</v>
      </c>
      <c r="G1479">
        <v>60.08</v>
      </c>
      <c r="H1479">
        <v>0</v>
      </c>
      <c r="I1479">
        <v>60.08</v>
      </c>
      <c r="J1479" s="1">
        <v>45875</v>
      </c>
      <c r="K1479">
        <v>26</v>
      </c>
      <c r="M1479" t="b">
        <v>0</v>
      </c>
    </row>
    <row r="1480" spans="1:14" x14ac:dyDescent="0.25">
      <c r="A1480" t="s">
        <v>1533</v>
      </c>
      <c r="B1480" t="s">
        <v>27</v>
      </c>
      <c r="C1480" t="s">
        <v>61</v>
      </c>
      <c r="D1480" t="s">
        <v>62</v>
      </c>
      <c r="F1480" t="s">
        <v>70</v>
      </c>
      <c r="G1480">
        <v>39.39</v>
      </c>
      <c r="H1480">
        <v>29.8</v>
      </c>
      <c r="I1480">
        <v>27.65</v>
      </c>
      <c r="J1480" s="1">
        <v>45875</v>
      </c>
      <c r="K1480">
        <v>13</v>
      </c>
      <c r="L1480">
        <v>4.7</v>
      </c>
      <c r="M1480" t="b">
        <v>0</v>
      </c>
    </row>
    <row r="1481" spans="1:14" x14ac:dyDescent="0.25">
      <c r="A1481" t="s">
        <v>1534</v>
      </c>
      <c r="B1481" t="s">
        <v>21</v>
      </c>
      <c r="C1481" t="s">
        <v>61</v>
      </c>
      <c r="D1481" t="s">
        <v>34</v>
      </c>
      <c r="E1481" t="s">
        <v>58</v>
      </c>
      <c r="F1481" t="s">
        <v>25</v>
      </c>
      <c r="G1481">
        <v>111.09</v>
      </c>
      <c r="H1481">
        <v>0</v>
      </c>
      <c r="I1481">
        <v>111.09</v>
      </c>
      <c r="J1481" s="1">
        <v>45875</v>
      </c>
      <c r="K1481">
        <v>24</v>
      </c>
      <c r="L1481">
        <v>2.2000000000000002</v>
      </c>
      <c r="M1481" t="b">
        <v>0</v>
      </c>
    </row>
    <row r="1482" spans="1:14" x14ac:dyDescent="0.25">
      <c r="A1482" t="s">
        <v>1535</v>
      </c>
      <c r="B1482" t="s">
        <v>42</v>
      </c>
      <c r="C1482" t="s">
        <v>32</v>
      </c>
      <c r="D1482" t="s">
        <v>62</v>
      </c>
      <c r="E1482" t="s">
        <v>58</v>
      </c>
      <c r="F1482" t="s">
        <v>46</v>
      </c>
      <c r="G1482">
        <v>133.51</v>
      </c>
      <c r="H1482">
        <v>0</v>
      </c>
      <c r="I1482">
        <v>133.51</v>
      </c>
      <c r="J1482" s="1">
        <v>45875</v>
      </c>
      <c r="K1482">
        <v>5</v>
      </c>
      <c r="L1482">
        <v>1.7</v>
      </c>
      <c r="M1482" t="b">
        <v>1</v>
      </c>
      <c r="N1482" t="s">
        <v>83</v>
      </c>
    </row>
    <row r="1483" spans="1:14" x14ac:dyDescent="0.25">
      <c r="A1483" t="s">
        <v>1536</v>
      </c>
      <c r="B1483" t="s">
        <v>42</v>
      </c>
      <c r="C1483" t="s">
        <v>75</v>
      </c>
      <c r="D1483" t="s">
        <v>62</v>
      </c>
      <c r="E1483" t="s">
        <v>55</v>
      </c>
      <c r="F1483" t="s">
        <v>25</v>
      </c>
      <c r="G1483">
        <v>158.9</v>
      </c>
      <c r="H1483">
        <v>43.5</v>
      </c>
      <c r="I1483">
        <v>89.78</v>
      </c>
      <c r="J1483" s="1">
        <v>45875</v>
      </c>
      <c r="K1483">
        <v>46</v>
      </c>
      <c r="M1483" t="b">
        <v>0</v>
      </c>
    </row>
    <row r="1484" spans="1:14" x14ac:dyDescent="0.25">
      <c r="A1484" t="s">
        <v>1537</v>
      </c>
      <c r="B1484" t="s">
        <v>21</v>
      </c>
      <c r="C1484" t="s">
        <v>61</v>
      </c>
      <c r="D1484" t="s">
        <v>17</v>
      </c>
      <c r="E1484" t="s">
        <v>55</v>
      </c>
      <c r="F1484" t="s">
        <v>70</v>
      </c>
      <c r="G1484">
        <v>65.27</v>
      </c>
      <c r="H1484">
        <v>19</v>
      </c>
      <c r="I1484">
        <v>52.87</v>
      </c>
      <c r="J1484" s="1">
        <v>45533</v>
      </c>
      <c r="K1484">
        <v>48</v>
      </c>
      <c r="L1484">
        <v>3</v>
      </c>
      <c r="M1484" t="b">
        <v>0</v>
      </c>
    </row>
    <row r="1485" spans="1:14" x14ac:dyDescent="0.25">
      <c r="A1485" t="s">
        <v>1538</v>
      </c>
      <c r="B1485" t="s">
        <v>27</v>
      </c>
      <c r="C1485" t="s">
        <v>16</v>
      </c>
      <c r="D1485" t="s">
        <v>34</v>
      </c>
      <c r="F1485" t="s">
        <v>46</v>
      </c>
      <c r="G1485">
        <v>72.37</v>
      </c>
      <c r="H1485">
        <v>0</v>
      </c>
      <c r="I1485">
        <v>72.37</v>
      </c>
      <c r="J1485" s="1">
        <v>45875</v>
      </c>
      <c r="K1485">
        <v>24</v>
      </c>
      <c r="L1485">
        <v>2.9</v>
      </c>
      <c r="M1485" t="b">
        <v>0</v>
      </c>
    </row>
    <row r="1486" spans="1:14" x14ac:dyDescent="0.25">
      <c r="A1486" t="s">
        <v>1539</v>
      </c>
      <c r="B1486" t="s">
        <v>42</v>
      </c>
      <c r="C1486" t="s">
        <v>32</v>
      </c>
      <c r="D1486" t="s">
        <v>34</v>
      </c>
      <c r="E1486" t="s">
        <v>18</v>
      </c>
      <c r="F1486" t="s">
        <v>35</v>
      </c>
      <c r="G1486">
        <v>133.88</v>
      </c>
      <c r="H1486">
        <v>21.5</v>
      </c>
      <c r="I1486">
        <v>105.1</v>
      </c>
      <c r="J1486" s="1">
        <v>45875</v>
      </c>
      <c r="K1486">
        <v>42</v>
      </c>
      <c r="L1486">
        <v>3.1</v>
      </c>
      <c r="M1486" t="b">
        <v>0</v>
      </c>
    </row>
    <row r="1487" spans="1:14" x14ac:dyDescent="0.25">
      <c r="A1487" t="s">
        <v>1540</v>
      </c>
      <c r="B1487" t="s">
        <v>21</v>
      </c>
      <c r="C1487" t="s">
        <v>16</v>
      </c>
      <c r="D1487" t="s">
        <v>17</v>
      </c>
      <c r="E1487" t="s">
        <v>49</v>
      </c>
      <c r="F1487" t="s">
        <v>66</v>
      </c>
      <c r="G1487">
        <v>74.3</v>
      </c>
      <c r="H1487">
        <v>0</v>
      </c>
      <c r="I1487">
        <v>74.3</v>
      </c>
      <c r="J1487" s="1">
        <v>45633</v>
      </c>
      <c r="K1487">
        <v>24</v>
      </c>
      <c r="L1487">
        <v>4.4000000000000004</v>
      </c>
      <c r="M1487" t="b">
        <v>0</v>
      </c>
    </row>
    <row r="1488" spans="1:14" x14ac:dyDescent="0.25">
      <c r="A1488" t="s">
        <v>1541</v>
      </c>
      <c r="B1488" t="s">
        <v>30</v>
      </c>
      <c r="C1488" t="s">
        <v>32</v>
      </c>
      <c r="D1488" t="s">
        <v>62</v>
      </c>
      <c r="E1488" t="s">
        <v>18</v>
      </c>
      <c r="F1488" t="s">
        <v>56</v>
      </c>
      <c r="G1488">
        <v>192.74</v>
      </c>
      <c r="H1488">
        <v>47.5</v>
      </c>
      <c r="I1488">
        <v>101.19</v>
      </c>
      <c r="J1488" s="1">
        <v>45875</v>
      </c>
      <c r="K1488">
        <v>40</v>
      </c>
      <c r="L1488">
        <v>2.8</v>
      </c>
      <c r="M1488" t="b">
        <v>0</v>
      </c>
    </row>
    <row r="1489" spans="1:14" x14ac:dyDescent="0.25">
      <c r="A1489" t="s">
        <v>1542</v>
      </c>
      <c r="B1489" t="s">
        <v>27</v>
      </c>
      <c r="C1489" t="s">
        <v>22</v>
      </c>
      <c r="D1489" t="s">
        <v>62</v>
      </c>
      <c r="F1489" t="s">
        <v>19</v>
      </c>
      <c r="G1489">
        <v>79.02</v>
      </c>
      <c r="H1489">
        <v>2.5</v>
      </c>
      <c r="I1489">
        <v>77.040000000000006</v>
      </c>
      <c r="J1489" s="1">
        <v>45875</v>
      </c>
      <c r="K1489">
        <v>16</v>
      </c>
      <c r="L1489">
        <v>2.8</v>
      </c>
      <c r="M1489" t="b">
        <v>0</v>
      </c>
    </row>
    <row r="1490" spans="1:14" x14ac:dyDescent="0.25">
      <c r="A1490" t="s">
        <v>1543</v>
      </c>
      <c r="B1490" t="s">
        <v>30</v>
      </c>
      <c r="C1490" t="s">
        <v>16</v>
      </c>
      <c r="D1490" t="s">
        <v>23</v>
      </c>
      <c r="E1490" t="s">
        <v>39</v>
      </c>
      <c r="F1490" t="s">
        <v>35</v>
      </c>
      <c r="G1490">
        <v>158.29</v>
      </c>
      <c r="H1490">
        <v>0</v>
      </c>
      <c r="I1490">
        <v>158.29</v>
      </c>
      <c r="J1490" s="1">
        <v>45875</v>
      </c>
      <c r="K1490">
        <v>5</v>
      </c>
      <c r="L1490">
        <v>1.6</v>
      </c>
      <c r="M1490" t="b">
        <v>0</v>
      </c>
    </row>
    <row r="1491" spans="1:14" x14ac:dyDescent="0.25">
      <c r="A1491" t="s">
        <v>1544</v>
      </c>
      <c r="B1491" t="s">
        <v>21</v>
      </c>
      <c r="C1491" t="s">
        <v>53</v>
      </c>
      <c r="D1491" t="s">
        <v>23</v>
      </c>
      <c r="E1491" t="s">
        <v>24</v>
      </c>
      <c r="F1491" t="s">
        <v>35</v>
      </c>
      <c r="G1491">
        <v>69.33</v>
      </c>
      <c r="H1491">
        <v>0</v>
      </c>
      <c r="I1491">
        <v>69.33</v>
      </c>
      <c r="J1491" s="1">
        <v>45875</v>
      </c>
      <c r="K1491">
        <v>26</v>
      </c>
      <c r="L1491">
        <v>4.9000000000000004</v>
      </c>
      <c r="M1491" t="b">
        <v>0</v>
      </c>
    </row>
    <row r="1492" spans="1:14" x14ac:dyDescent="0.25">
      <c r="A1492" t="s">
        <v>1545</v>
      </c>
      <c r="B1492" t="s">
        <v>30</v>
      </c>
      <c r="C1492" t="s">
        <v>61</v>
      </c>
      <c r="D1492" t="s">
        <v>23</v>
      </c>
      <c r="E1492" t="s">
        <v>55</v>
      </c>
      <c r="F1492" t="s">
        <v>70</v>
      </c>
      <c r="G1492">
        <v>86.89</v>
      </c>
      <c r="H1492">
        <v>19.5</v>
      </c>
      <c r="I1492">
        <v>69.95</v>
      </c>
      <c r="J1492" s="1">
        <v>45875</v>
      </c>
      <c r="K1492">
        <v>49</v>
      </c>
      <c r="L1492">
        <v>1.3</v>
      </c>
      <c r="M1492" t="b">
        <v>0</v>
      </c>
    </row>
    <row r="1493" spans="1:14" x14ac:dyDescent="0.25">
      <c r="A1493" t="s">
        <v>1546</v>
      </c>
      <c r="B1493" t="s">
        <v>15</v>
      </c>
      <c r="C1493" t="s">
        <v>22</v>
      </c>
      <c r="D1493" t="s">
        <v>34</v>
      </c>
      <c r="E1493" t="s">
        <v>24</v>
      </c>
      <c r="F1493" t="s">
        <v>46</v>
      </c>
      <c r="G1493">
        <v>162.75</v>
      </c>
      <c r="H1493">
        <v>0</v>
      </c>
      <c r="I1493">
        <v>162.75</v>
      </c>
      <c r="J1493" s="1">
        <v>45875</v>
      </c>
      <c r="K1493">
        <v>13</v>
      </c>
      <c r="L1493">
        <v>4.8</v>
      </c>
      <c r="M1493" t="b">
        <v>0</v>
      </c>
    </row>
    <row r="1494" spans="1:14" x14ac:dyDescent="0.25">
      <c r="A1494" t="s">
        <v>1547</v>
      </c>
      <c r="B1494" t="s">
        <v>30</v>
      </c>
      <c r="C1494" t="s">
        <v>48</v>
      </c>
      <c r="D1494" t="s">
        <v>62</v>
      </c>
      <c r="E1494" t="s">
        <v>58</v>
      </c>
      <c r="F1494" t="s">
        <v>44</v>
      </c>
      <c r="G1494">
        <v>70.28</v>
      </c>
      <c r="H1494">
        <v>0</v>
      </c>
      <c r="I1494">
        <v>70.28</v>
      </c>
      <c r="J1494" s="1">
        <v>45875</v>
      </c>
      <c r="K1494">
        <v>27</v>
      </c>
      <c r="L1494">
        <v>4.7</v>
      </c>
      <c r="M1494" t="b">
        <v>0</v>
      </c>
    </row>
    <row r="1495" spans="1:14" x14ac:dyDescent="0.25">
      <c r="A1495" t="s">
        <v>1548</v>
      </c>
      <c r="B1495" t="s">
        <v>38</v>
      </c>
      <c r="C1495" t="s">
        <v>43</v>
      </c>
      <c r="D1495" t="s">
        <v>17</v>
      </c>
      <c r="E1495" t="s">
        <v>39</v>
      </c>
      <c r="F1495" t="s">
        <v>35</v>
      </c>
      <c r="G1495">
        <v>111.91</v>
      </c>
      <c r="H1495">
        <v>0</v>
      </c>
      <c r="I1495">
        <v>111.91</v>
      </c>
      <c r="J1495" s="1">
        <v>45860</v>
      </c>
      <c r="K1495">
        <v>28</v>
      </c>
      <c r="L1495">
        <v>1.8</v>
      </c>
      <c r="M1495" t="b">
        <v>0</v>
      </c>
    </row>
    <row r="1496" spans="1:14" x14ac:dyDescent="0.25">
      <c r="A1496" t="s">
        <v>1549</v>
      </c>
      <c r="B1496" t="s">
        <v>15</v>
      </c>
      <c r="C1496" t="s">
        <v>53</v>
      </c>
      <c r="D1496" t="s">
        <v>34</v>
      </c>
      <c r="E1496" t="s">
        <v>39</v>
      </c>
      <c r="F1496" t="s">
        <v>66</v>
      </c>
      <c r="G1496">
        <v>143.76</v>
      </c>
      <c r="H1496">
        <v>0</v>
      </c>
      <c r="I1496">
        <v>143.76</v>
      </c>
      <c r="J1496" s="1">
        <v>45875</v>
      </c>
      <c r="K1496">
        <v>7</v>
      </c>
      <c r="L1496">
        <v>2</v>
      </c>
      <c r="M1496" t="b">
        <v>0</v>
      </c>
    </row>
    <row r="1497" spans="1:14" x14ac:dyDescent="0.25">
      <c r="A1497" t="s">
        <v>1550</v>
      </c>
      <c r="B1497" t="s">
        <v>42</v>
      </c>
      <c r="C1497" t="s">
        <v>48</v>
      </c>
      <c r="D1497" t="s">
        <v>62</v>
      </c>
      <c r="E1497" t="s">
        <v>39</v>
      </c>
      <c r="F1497" t="s">
        <v>66</v>
      </c>
      <c r="G1497">
        <v>169.89</v>
      </c>
      <c r="H1497">
        <v>0</v>
      </c>
      <c r="I1497">
        <v>169.89</v>
      </c>
      <c r="J1497" s="1">
        <v>45875</v>
      </c>
      <c r="K1497">
        <v>17</v>
      </c>
      <c r="L1497">
        <v>1.3</v>
      </c>
      <c r="M1497" t="b">
        <v>0</v>
      </c>
    </row>
    <row r="1498" spans="1:14" x14ac:dyDescent="0.25">
      <c r="A1498" t="s">
        <v>1551</v>
      </c>
      <c r="B1498" t="s">
        <v>30</v>
      </c>
      <c r="C1498" t="s">
        <v>16</v>
      </c>
      <c r="D1498" t="s">
        <v>23</v>
      </c>
      <c r="E1498" t="s">
        <v>18</v>
      </c>
      <c r="F1498" t="s">
        <v>35</v>
      </c>
      <c r="G1498">
        <v>72.290000000000006</v>
      </c>
      <c r="H1498">
        <v>0</v>
      </c>
      <c r="I1498">
        <v>72.290000000000006</v>
      </c>
      <c r="J1498" s="1">
        <v>45875</v>
      </c>
      <c r="K1498">
        <v>0</v>
      </c>
      <c r="M1498" t="b">
        <v>0</v>
      </c>
    </row>
    <row r="1499" spans="1:14" x14ac:dyDescent="0.25">
      <c r="A1499" t="s">
        <v>1552</v>
      </c>
      <c r="B1499" t="s">
        <v>15</v>
      </c>
      <c r="C1499" t="s">
        <v>75</v>
      </c>
      <c r="D1499" t="s">
        <v>23</v>
      </c>
      <c r="E1499" t="s">
        <v>55</v>
      </c>
      <c r="F1499" t="s">
        <v>66</v>
      </c>
      <c r="G1499">
        <v>136.19999999999999</v>
      </c>
      <c r="H1499">
        <v>10.199999999999999</v>
      </c>
      <c r="I1499">
        <v>122.31</v>
      </c>
      <c r="J1499" s="1">
        <v>45875</v>
      </c>
      <c r="K1499">
        <v>10</v>
      </c>
      <c r="L1499">
        <v>3.6</v>
      </c>
      <c r="M1499" t="b">
        <v>0</v>
      </c>
    </row>
    <row r="1500" spans="1:14" x14ac:dyDescent="0.25">
      <c r="A1500" t="s">
        <v>1553</v>
      </c>
      <c r="B1500" t="s">
        <v>21</v>
      </c>
      <c r="C1500" t="s">
        <v>75</v>
      </c>
      <c r="D1500" t="s">
        <v>62</v>
      </c>
      <c r="E1500" t="s">
        <v>39</v>
      </c>
      <c r="F1500" t="s">
        <v>19</v>
      </c>
      <c r="G1500">
        <v>92.5</v>
      </c>
      <c r="H1500">
        <v>0</v>
      </c>
      <c r="I1500">
        <v>92.5</v>
      </c>
      <c r="J1500" s="1">
        <v>45875</v>
      </c>
      <c r="K1500">
        <v>15</v>
      </c>
      <c r="L1500">
        <v>2.7</v>
      </c>
      <c r="M1500" t="b">
        <v>0</v>
      </c>
    </row>
    <row r="1501" spans="1:14" x14ac:dyDescent="0.25">
      <c r="A1501" t="s">
        <v>1554</v>
      </c>
      <c r="B1501" t="s">
        <v>30</v>
      </c>
      <c r="C1501" t="s">
        <v>32</v>
      </c>
      <c r="D1501" t="s">
        <v>23</v>
      </c>
      <c r="E1501" t="s">
        <v>24</v>
      </c>
      <c r="F1501" t="s">
        <v>66</v>
      </c>
      <c r="G1501">
        <v>89.5</v>
      </c>
      <c r="H1501">
        <v>0</v>
      </c>
      <c r="I1501">
        <v>89.5</v>
      </c>
      <c r="J1501" s="1">
        <v>45875</v>
      </c>
      <c r="K1501">
        <v>5</v>
      </c>
      <c r="L1501">
        <v>4.5</v>
      </c>
      <c r="M1501" t="b">
        <v>0</v>
      </c>
    </row>
    <row r="1502" spans="1:14" x14ac:dyDescent="0.25">
      <c r="A1502" t="s">
        <v>1555</v>
      </c>
      <c r="B1502" t="s">
        <v>15</v>
      </c>
      <c r="C1502" t="s">
        <v>48</v>
      </c>
      <c r="D1502" t="s">
        <v>17</v>
      </c>
      <c r="E1502" t="s">
        <v>24</v>
      </c>
      <c r="F1502" t="s">
        <v>56</v>
      </c>
      <c r="G1502">
        <v>161.51</v>
      </c>
      <c r="H1502">
        <v>0</v>
      </c>
      <c r="I1502">
        <v>161.51</v>
      </c>
      <c r="J1502" s="1">
        <v>45598</v>
      </c>
      <c r="K1502">
        <v>22</v>
      </c>
      <c r="L1502">
        <v>4.7</v>
      </c>
      <c r="M1502" t="b">
        <v>0</v>
      </c>
    </row>
    <row r="1503" spans="1:14" x14ac:dyDescent="0.25">
      <c r="A1503" t="s">
        <v>1556</v>
      </c>
      <c r="B1503" t="s">
        <v>27</v>
      </c>
      <c r="C1503" t="s">
        <v>16</v>
      </c>
      <c r="D1503" t="s">
        <v>23</v>
      </c>
      <c r="F1503" t="s">
        <v>70</v>
      </c>
      <c r="G1503">
        <v>38.119999999999997</v>
      </c>
      <c r="H1503">
        <v>0</v>
      </c>
      <c r="I1503">
        <v>38.119999999999997</v>
      </c>
      <c r="J1503" s="1">
        <v>45875</v>
      </c>
      <c r="K1503">
        <v>18</v>
      </c>
      <c r="L1503">
        <v>4.4000000000000004</v>
      </c>
      <c r="M1503" t="b">
        <v>1</v>
      </c>
      <c r="N1503" t="s">
        <v>78</v>
      </c>
    </row>
    <row r="1504" spans="1:14" x14ac:dyDescent="0.25">
      <c r="A1504" t="s">
        <v>1557</v>
      </c>
      <c r="B1504" t="s">
        <v>42</v>
      </c>
      <c r="C1504" t="s">
        <v>48</v>
      </c>
      <c r="D1504" t="s">
        <v>62</v>
      </c>
      <c r="E1504" t="s">
        <v>55</v>
      </c>
      <c r="F1504" t="s">
        <v>66</v>
      </c>
      <c r="G1504">
        <v>100.08</v>
      </c>
      <c r="H1504">
        <v>0</v>
      </c>
      <c r="I1504">
        <v>100.08</v>
      </c>
      <c r="J1504" s="1">
        <v>45875</v>
      </c>
      <c r="K1504">
        <v>23</v>
      </c>
      <c r="L1504">
        <v>4.8</v>
      </c>
      <c r="M1504" t="b">
        <v>0</v>
      </c>
    </row>
    <row r="1505" spans="1:14" x14ac:dyDescent="0.25">
      <c r="A1505" t="s">
        <v>1558</v>
      </c>
      <c r="B1505" t="s">
        <v>42</v>
      </c>
      <c r="C1505" t="s">
        <v>22</v>
      </c>
      <c r="D1505" t="s">
        <v>34</v>
      </c>
      <c r="E1505" t="s">
        <v>24</v>
      </c>
      <c r="F1505" t="s">
        <v>35</v>
      </c>
      <c r="G1505">
        <v>161.79</v>
      </c>
      <c r="H1505">
        <v>0</v>
      </c>
      <c r="I1505">
        <v>161.79</v>
      </c>
      <c r="J1505" s="1">
        <v>45875</v>
      </c>
      <c r="K1505">
        <v>44</v>
      </c>
      <c r="L1505">
        <v>3.9</v>
      </c>
      <c r="M1505" t="b">
        <v>0</v>
      </c>
    </row>
    <row r="1506" spans="1:14" x14ac:dyDescent="0.25">
      <c r="A1506" t="s">
        <v>1559</v>
      </c>
      <c r="B1506" t="s">
        <v>38</v>
      </c>
      <c r="C1506" t="s">
        <v>53</v>
      </c>
      <c r="D1506" t="s">
        <v>34</v>
      </c>
      <c r="E1506" t="s">
        <v>18</v>
      </c>
      <c r="F1506" t="s">
        <v>28</v>
      </c>
      <c r="G1506">
        <v>46.42</v>
      </c>
      <c r="H1506">
        <v>0</v>
      </c>
      <c r="I1506">
        <v>46.42</v>
      </c>
      <c r="J1506" s="1">
        <v>45875</v>
      </c>
      <c r="K1506">
        <v>2</v>
      </c>
      <c r="L1506">
        <v>3.7</v>
      </c>
      <c r="M1506" t="b">
        <v>1</v>
      </c>
      <c r="N1506" t="s">
        <v>115</v>
      </c>
    </row>
    <row r="1507" spans="1:14" x14ac:dyDescent="0.25">
      <c r="A1507" t="s">
        <v>1560</v>
      </c>
      <c r="B1507" t="s">
        <v>30</v>
      </c>
      <c r="C1507" t="s">
        <v>22</v>
      </c>
      <c r="D1507" t="s">
        <v>17</v>
      </c>
      <c r="E1507" t="s">
        <v>24</v>
      </c>
      <c r="F1507" t="s">
        <v>70</v>
      </c>
      <c r="G1507">
        <v>199.33</v>
      </c>
      <c r="H1507">
        <v>44.3</v>
      </c>
      <c r="I1507">
        <v>111.03</v>
      </c>
      <c r="J1507" s="1">
        <v>45616</v>
      </c>
      <c r="K1507">
        <v>19</v>
      </c>
      <c r="L1507">
        <v>1.8</v>
      </c>
      <c r="M1507" t="b">
        <v>0</v>
      </c>
    </row>
    <row r="1508" spans="1:14" x14ac:dyDescent="0.25">
      <c r="A1508" t="s">
        <v>1561</v>
      </c>
      <c r="B1508" t="s">
        <v>38</v>
      </c>
      <c r="C1508" t="s">
        <v>75</v>
      </c>
      <c r="D1508" t="s">
        <v>62</v>
      </c>
      <c r="E1508" t="s">
        <v>49</v>
      </c>
      <c r="F1508" t="s">
        <v>28</v>
      </c>
      <c r="G1508">
        <v>25.77</v>
      </c>
      <c r="H1508">
        <v>0</v>
      </c>
      <c r="I1508">
        <v>25.77</v>
      </c>
      <c r="J1508" s="1">
        <v>45875</v>
      </c>
      <c r="K1508">
        <v>5</v>
      </c>
      <c r="L1508">
        <v>3.1</v>
      </c>
      <c r="M1508" t="b">
        <v>0</v>
      </c>
    </row>
    <row r="1509" spans="1:14" x14ac:dyDescent="0.25">
      <c r="A1509" t="s">
        <v>1562</v>
      </c>
      <c r="B1509" t="s">
        <v>30</v>
      </c>
      <c r="C1509" t="s">
        <v>75</v>
      </c>
      <c r="D1509" t="s">
        <v>23</v>
      </c>
      <c r="E1509" t="s">
        <v>58</v>
      </c>
      <c r="F1509" t="s">
        <v>64</v>
      </c>
      <c r="G1509">
        <v>180.67</v>
      </c>
      <c r="H1509">
        <v>0</v>
      </c>
      <c r="I1509">
        <v>180.67</v>
      </c>
      <c r="J1509" s="1">
        <v>45875</v>
      </c>
      <c r="K1509">
        <v>31</v>
      </c>
      <c r="L1509">
        <v>4.4000000000000004</v>
      </c>
      <c r="M1509" t="b">
        <v>0</v>
      </c>
    </row>
    <row r="1510" spans="1:14" x14ac:dyDescent="0.25">
      <c r="A1510" t="s">
        <v>1563</v>
      </c>
      <c r="B1510" t="s">
        <v>30</v>
      </c>
      <c r="C1510" t="s">
        <v>75</v>
      </c>
      <c r="D1510" t="s">
        <v>17</v>
      </c>
      <c r="E1510" t="s">
        <v>24</v>
      </c>
      <c r="F1510" t="s">
        <v>46</v>
      </c>
      <c r="G1510">
        <v>198.13</v>
      </c>
      <c r="H1510">
        <v>46.1</v>
      </c>
      <c r="I1510">
        <v>106.79</v>
      </c>
      <c r="J1510" s="1">
        <v>45796</v>
      </c>
      <c r="K1510">
        <v>8</v>
      </c>
      <c r="L1510">
        <v>3.2</v>
      </c>
      <c r="M1510" t="b">
        <v>0</v>
      </c>
    </row>
    <row r="1511" spans="1:14" x14ac:dyDescent="0.25">
      <c r="A1511" t="s">
        <v>1564</v>
      </c>
      <c r="B1511" t="s">
        <v>42</v>
      </c>
      <c r="C1511" t="s">
        <v>22</v>
      </c>
      <c r="D1511" t="s">
        <v>62</v>
      </c>
      <c r="F1511" t="s">
        <v>64</v>
      </c>
      <c r="G1511">
        <v>161.53</v>
      </c>
      <c r="H1511">
        <v>5.3</v>
      </c>
      <c r="I1511">
        <v>152.97</v>
      </c>
      <c r="J1511" s="1">
        <v>45875</v>
      </c>
      <c r="K1511">
        <v>33</v>
      </c>
      <c r="L1511">
        <v>3.7</v>
      </c>
      <c r="M1511" t="b">
        <v>0</v>
      </c>
    </row>
    <row r="1512" spans="1:14" x14ac:dyDescent="0.25">
      <c r="A1512" t="s">
        <v>1565</v>
      </c>
      <c r="B1512" t="s">
        <v>38</v>
      </c>
      <c r="C1512" t="s">
        <v>16</v>
      </c>
      <c r="D1512" t="s">
        <v>17</v>
      </c>
      <c r="E1512" t="s">
        <v>58</v>
      </c>
      <c r="F1512" t="s">
        <v>40</v>
      </c>
      <c r="G1512">
        <v>25.97</v>
      </c>
      <c r="H1512">
        <v>0</v>
      </c>
      <c r="I1512">
        <v>25.97</v>
      </c>
      <c r="J1512" s="1">
        <v>45624</v>
      </c>
      <c r="K1512">
        <v>31</v>
      </c>
      <c r="L1512">
        <v>1.2</v>
      </c>
      <c r="M1512" t="b">
        <v>0</v>
      </c>
    </row>
    <row r="1513" spans="1:14" x14ac:dyDescent="0.25">
      <c r="A1513" t="s">
        <v>1566</v>
      </c>
      <c r="B1513" t="s">
        <v>21</v>
      </c>
      <c r="C1513" t="s">
        <v>75</v>
      </c>
      <c r="D1513" t="s">
        <v>62</v>
      </c>
      <c r="E1513" t="s">
        <v>24</v>
      </c>
      <c r="F1513" t="s">
        <v>56</v>
      </c>
      <c r="G1513">
        <v>85</v>
      </c>
      <c r="H1513">
        <v>39.9</v>
      </c>
      <c r="I1513">
        <v>51.09</v>
      </c>
      <c r="J1513" s="1">
        <v>45875</v>
      </c>
      <c r="K1513">
        <v>44</v>
      </c>
      <c r="L1513">
        <v>3</v>
      </c>
      <c r="M1513" t="b">
        <v>0</v>
      </c>
    </row>
    <row r="1514" spans="1:14" x14ac:dyDescent="0.25">
      <c r="A1514" t="s">
        <v>1567</v>
      </c>
      <c r="B1514" t="s">
        <v>27</v>
      </c>
      <c r="C1514" t="s">
        <v>22</v>
      </c>
      <c r="D1514" t="s">
        <v>62</v>
      </c>
      <c r="F1514" t="s">
        <v>25</v>
      </c>
      <c r="G1514">
        <v>75.03</v>
      </c>
      <c r="H1514">
        <v>10.9</v>
      </c>
      <c r="I1514">
        <v>66.849999999999994</v>
      </c>
      <c r="J1514" s="1">
        <v>45875</v>
      </c>
      <c r="K1514">
        <v>12</v>
      </c>
      <c r="L1514">
        <v>1.2</v>
      </c>
      <c r="M1514" t="b">
        <v>0</v>
      </c>
    </row>
    <row r="1515" spans="1:14" x14ac:dyDescent="0.25">
      <c r="A1515" t="s">
        <v>1568</v>
      </c>
      <c r="B1515" t="s">
        <v>27</v>
      </c>
      <c r="C1515" t="s">
        <v>53</v>
      </c>
      <c r="D1515" t="s">
        <v>23</v>
      </c>
      <c r="F1515" t="s">
        <v>56</v>
      </c>
      <c r="G1515">
        <v>33.880000000000003</v>
      </c>
      <c r="H1515">
        <v>0</v>
      </c>
      <c r="I1515">
        <v>33.880000000000003</v>
      </c>
      <c r="J1515" s="1">
        <v>45875</v>
      </c>
      <c r="K1515">
        <v>9</v>
      </c>
      <c r="M1515" t="b">
        <v>0</v>
      </c>
    </row>
    <row r="1516" spans="1:14" x14ac:dyDescent="0.25">
      <c r="A1516" t="s">
        <v>1569</v>
      </c>
      <c r="B1516" t="s">
        <v>30</v>
      </c>
      <c r="C1516" t="s">
        <v>32</v>
      </c>
      <c r="D1516" t="s">
        <v>62</v>
      </c>
      <c r="E1516" t="s">
        <v>55</v>
      </c>
      <c r="F1516" t="s">
        <v>66</v>
      </c>
      <c r="G1516">
        <v>142</v>
      </c>
      <c r="H1516">
        <v>12.3</v>
      </c>
      <c r="I1516">
        <v>124.53</v>
      </c>
      <c r="J1516" s="1">
        <v>45875</v>
      </c>
      <c r="K1516">
        <v>39</v>
      </c>
      <c r="L1516">
        <v>3.3</v>
      </c>
      <c r="M1516" t="b">
        <v>0</v>
      </c>
    </row>
    <row r="1517" spans="1:14" x14ac:dyDescent="0.25">
      <c r="A1517" t="s">
        <v>1570</v>
      </c>
      <c r="B1517" t="s">
        <v>42</v>
      </c>
      <c r="C1517" t="s">
        <v>48</v>
      </c>
      <c r="D1517" t="s">
        <v>34</v>
      </c>
      <c r="E1517" t="s">
        <v>18</v>
      </c>
      <c r="F1517" t="s">
        <v>46</v>
      </c>
      <c r="G1517">
        <v>125.46</v>
      </c>
      <c r="H1517">
        <v>0</v>
      </c>
      <c r="I1517">
        <v>125.46</v>
      </c>
      <c r="J1517" s="1">
        <v>45875</v>
      </c>
      <c r="K1517">
        <v>26</v>
      </c>
      <c r="L1517">
        <v>1.1000000000000001</v>
      </c>
      <c r="M1517" t="b">
        <v>0</v>
      </c>
    </row>
    <row r="1518" spans="1:14" x14ac:dyDescent="0.25">
      <c r="A1518" t="s">
        <v>1571</v>
      </c>
      <c r="B1518" t="s">
        <v>30</v>
      </c>
      <c r="C1518" t="s">
        <v>48</v>
      </c>
      <c r="D1518" t="s">
        <v>23</v>
      </c>
      <c r="E1518" t="s">
        <v>24</v>
      </c>
      <c r="F1518" t="s">
        <v>44</v>
      </c>
      <c r="G1518">
        <v>138.79</v>
      </c>
      <c r="H1518">
        <v>0</v>
      </c>
      <c r="I1518">
        <v>138.79</v>
      </c>
      <c r="J1518" s="1">
        <v>45875</v>
      </c>
      <c r="K1518">
        <v>16</v>
      </c>
      <c r="M1518" t="b">
        <v>1</v>
      </c>
      <c r="N1518" t="s">
        <v>73</v>
      </c>
    </row>
    <row r="1519" spans="1:14" x14ac:dyDescent="0.25">
      <c r="A1519" t="s">
        <v>1572</v>
      </c>
      <c r="B1519" t="s">
        <v>38</v>
      </c>
      <c r="C1519" t="s">
        <v>53</v>
      </c>
      <c r="D1519" t="s">
        <v>17</v>
      </c>
      <c r="E1519" t="s">
        <v>18</v>
      </c>
      <c r="F1519" t="s">
        <v>25</v>
      </c>
      <c r="G1519">
        <v>81.81</v>
      </c>
      <c r="H1519">
        <v>37.9</v>
      </c>
      <c r="I1519">
        <v>50.8</v>
      </c>
      <c r="J1519" s="1">
        <v>45704</v>
      </c>
      <c r="K1519">
        <v>44</v>
      </c>
      <c r="M1519" t="b">
        <v>0</v>
      </c>
    </row>
    <row r="1520" spans="1:14" x14ac:dyDescent="0.25">
      <c r="A1520" t="s">
        <v>1573</v>
      </c>
      <c r="B1520" t="s">
        <v>27</v>
      </c>
      <c r="C1520" t="s">
        <v>22</v>
      </c>
      <c r="D1520" t="s">
        <v>34</v>
      </c>
      <c r="F1520" t="s">
        <v>70</v>
      </c>
      <c r="G1520">
        <v>78.260000000000005</v>
      </c>
      <c r="H1520">
        <v>47.3</v>
      </c>
      <c r="I1520">
        <v>41.24</v>
      </c>
      <c r="J1520" s="1">
        <v>45875</v>
      </c>
      <c r="K1520">
        <v>20</v>
      </c>
      <c r="L1520">
        <v>4</v>
      </c>
      <c r="M1520" t="b">
        <v>0</v>
      </c>
    </row>
    <row r="1521" spans="1:14" x14ac:dyDescent="0.25">
      <c r="A1521" t="s">
        <v>1574</v>
      </c>
      <c r="B1521" t="s">
        <v>38</v>
      </c>
      <c r="C1521" t="s">
        <v>32</v>
      </c>
      <c r="D1521" t="s">
        <v>17</v>
      </c>
      <c r="E1521" t="s">
        <v>18</v>
      </c>
      <c r="F1521" t="s">
        <v>64</v>
      </c>
      <c r="G1521">
        <v>119.33</v>
      </c>
      <c r="H1521">
        <v>16</v>
      </c>
      <c r="I1521">
        <v>100.24</v>
      </c>
      <c r="J1521" s="1">
        <v>45520</v>
      </c>
      <c r="K1521">
        <v>35</v>
      </c>
      <c r="M1521" t="b">
        <v>0</v>
      </c>
    </row>
    <row r="1522" spans="1:14" x14ac:dyDescent="0.25">
      <c r="A1522" t="s">
        <v>1575</v>
      </c>
      <c r="B1522" t="s">
        <v>27</v>
      </c>
      <c r="C1522" t="s">
        <v>53</v>
      </c>
      <c r="D1522" t="s">
        <v>17</v>
      </c>
      <c r="F1522" t="s">
        <v>28</v>
      </c>
      <c r="G1522">
        <v>52.97</v>
      </c>
      <c r="H1522">
        <v>0</v>
      </c>
      <c r="I1522">
        <v>52.97</v>
      </c>
      <c r="J1522" s="1">
        <v>45864</v>
      </c>
      <c r="K1522">
        <v>36</v>
      </c>
      <c r="L1522">
        <v>4.5999999999999996</v>
      </c>
      <c r="M1522" t="b">
        <v>0</v>
      </c>
    </row>
    <row r="1523" spans="1:14" x14ac:dyDescent="0.25">
      <c r="A1523" t="s">
        <v>1576</v>
      </c>
      <c r="B1523" t="s">
        <v>27</v>
      </c>
      <c r="C1523" t="s">
        <v>43</v>
      </c>
      <c r="D1523" t="s">
        <v>23</v>
      </c>
      <c r="F1523" t="s">
        <v>44</v>
      </c>
      <c r="G1523">
        <v>69.48</v>
      </c>
      <c r="H1523">
        <v>0</v>
      </c>
      <c r="I1523">
        <v>69.48</v>
      </c>
      <c r="J1523" s="1">
        <v>45875</v>
      </c>
      <c r="K1523">
        <v>17</v>
      </c>
      <c r="L1523">
        <v>3.4</v>
      </c>
      <c r="M1523" t="b">
        <v>0</v>
      </c>
    </row>
    <row r="1524" spans="1:14" x14ac:dyDescent="0.25">
      <c r="A1524" t="s">
        <v>1577</v>
      </c>
      <c r="B1524" t="s">
        <v>15</v>
      </c>
      <c r="C1524" t="s">
        <v>32</v>
      </c>
      <c r="D1524" t="s">
        <v>62</v>
      </c>
      <c r="E1524" t="s">
        <v>24</v>
      </c>
      <c r="F1524" t="s">
        <v>40</v>
      </c>
      <c r="G1524">
        <v>177.82</v>
      </c>
      <c r="H1524">
        <v>0</v>
      </c>
      <c r="I1524">
        <v>177.82</v>
      </c>
      <c r="J1524" s="1">
        <v>45875</v>
      </c>
      <c r="K1524">
        <v>9</v>
      </c>
      <c r="L1524">
        <v>1.1000000000000001</v>
      </c>
      <c r="M1524" t="b">
        <v>0</v>
      </c>
    </row>
    <row r="1525" spans="1:14" x14ac:dyDescent="0.25">
      <c r="A1525" t="s">
        <v>1578</v>
      </c>
      <c r="B1525" t="s">
        <v>30</v>
      </c>
      <c r="C1525" t="s">
        <v>32</v>
      </c>
      <c r="D1525" t="s">
        <v>23</v>
      </c>
      <c r="E1525" t="s">
        <v>24</v>
      </c>
      <c r="F1525" t="s">
        <v>25</v>
      </c>
      <c r="G1525">
        <v>142.71</v>
      </c>
      <c r="H1525">
        <v>0</v>
      </c>
      <c r="I1525">
        <v>142.71</v>
      </c>
      <c r="J1525" s="1">
        <v>45875</v>
      </c>
      <c r="K1525">
        <v>28</v>
      </c>
      <c r="L1525">
        <v>1</v>
      </c>
      <c r="M1525" t="b">
        <v>0</v>
      </c>
    </row>
    <row r="1526" spans="1:14" x14ac:dyDescent="0.25">
      <c r="A1526" t="s">
        <v>1579</v>
      </c>
      <c r="B1526" t="s">
        <v>38</v>
      </c>
      <c r="C1526" t="s">
        <v>16</v>
      </c>
      <c r="D1526" t="s">
        <v>17</v>
      </c>
      <c r="E1526" t="s">
        <v>55</v>
      </c>
      <c r="F1526" t="s">
        <v>44</v>
      </c>
      <c r="G1526">
        <v>105.21</v>
      </c>
      <c r="H1526">
        <v>0</v>
      </c>
      <c r="I1526">
        <v>105.21</v>
      </c>
      <c r="J1526" s="1">
        <v>45598</v>
      </c>
      <c r="K1526">
        <v>41</v>
      </c>
      <c r="L1526">
        <v>4.9000000000000004</v>
      </c>
      <c r="M1526" t="b">
        <v>0</v>
      </c>
    </row>
    <row r="1527" spans="1:14" x14ac:dyDescent="0.25">
      <c r="A1527" t="s">
        <v>1580</v>
      </c>
      <c r="B1527" t="s">
        <v>27</v>
      </c>
      <c r="C1527" t="s">
        <v>75</v>
      </c>
      <c r="D1527" t="s">
        <v>34</v>
      </c>
      <c r="F1527" t="s">
        <v>40</v>
      </c>
      <c r="G1527">
        <v>65.09</v>
      </c>
      <c r="H1527">
        <v>49.8</v>
      </c>
      <c r="I1527">
        <v>32.68</v>
      </c>
      <c r="J1527" s="1">
        <v>45875</v>
      </c>
      <c r="K1527">
        <v>32</v>
      </c>
      <c r="L1527">
        <v>4.9000000000000004</v>
      </c>
      <c r="M1527" t="b">
        <v>0</v>
      </c>
    </row>
    <row r="1528" spans="1:14" x14ac:dyDescent="0.25">
      <c r="A1528" t="s">
        <v>1581</v>
      </c>
      <c r="B1528" t="s">
        <v>15</v>
      </c>
      <c r="C1528" t="s">
        <v>22</v>
      </c>
      <c r="D1528" t="s">
        <v>23</v>
      </c>
      <c r="E1528" t="s">
        <v>58</v>
      </c>
      <c r="F1528" t="s">
        <v>64</v>
      </c>
      <c r="G1528">
        <v>167.39</v>
      </c>
      <c r="H1528">
        <v>0</v>
      </c>
      <c r="I1528">
        <v>167.39</v>
      </c>
      <c r="J1528" s="1">
        <v>45875</v>
      </c>
      <c r="K1528">
        <v>43</v>
      </c>
      <c r="L1528">
        <v>1.8</v>
      </c>
      <c r="M1528" t="b">
        <v>0</v>
      </c>
    </row>
    <row r="1529" spans="1:14" x14ac:dyDescent="0.25">
      <c r="A1529" t="s">
        <v>1582</v>
      </c>
      <c r="B1529" t="s">
        <v>27</v>
      </c>
      <c r="C1529" t="s">
        <v>22</v>
      </c>
      <c r="D1529" t="s">
        <v>23</v>
      </c>
      <c r="F1529" t="s">
        <v>19</v>
      </c>
      <c r="G1529">
        <v>49.89</v>
      </c>
      <c r="H1529">
        <v>0</v>
      </c>
      <c r="I1529">
        <v>49.89</v>
      </c>
      <c r="J1529" s="1">
        <v>45875</v>
      </c>
      <c r="K1529">
        <v>32</v>
      </c>
      <c r="L1529">
        <v>2.4</v>
      </c>
      <c r="M1529" t="b">
        <v>0</v>
      </c>
    </row>
    <row r="1530" spans="1:14" x14ac:dyDescent="0.25">
      <c r="A1530" t="s">
        <v>1583</v>
      </c>
      <c r="B1530" t="s">
        <v>15</v>
      </c>
      <c r="C1530" t="s">
        <v>32</v>
      </c>
      <c r="D1530" t="s">
        <v>34</v>
      </c>
      <c r="E1530" t="s">
        <v>39</v>
      </c>
      <c r="F1530" t="s">
        <v>35</v>
      </c>
      <c r="G1530">
        <v>218.06</v>
      </c>
      <c r="H1530">
        <v>0</v>
      </c>
      <c r="I1530">
        <v>218.06</v>
      </c>
      <c r="J1530" s="1">
        <v>45875</v>
      </c>
      <c r="K1530">
        <v>32</v>
      </c>
      <c r="L1530">
        <v>4</v>
      </c>
      <c r="M1530" t="b">
        <v>0</v>
      </c>
    </row>
    <row r="1531" spans="1:14" x14ac:dyDescent="0.25">
      <c r="A1531" t="s">
        <v>1584</v>
      </c>
      <c r="B1531" t="s">
        <v>38</v>
      </c>
      <c r="C1531" t="s">
        <v>61</v>
      </c>
      <c r="D1531" t="s">
        <v>62</v>
      </c>
      <c r="E1531" t="s">
        <v>55</v>
      </c>
      <c r="F1531" t="s">
        <v>35</v>
      </c>
      <c r="G1531">
        <v>66.64</v>
      </c>
      <c r="H1531">
        <v>21.8</v>
      </c>
      <c r="I1531">
        <v>52.11</v>
      </c>
      <c r="J1531" s="1">
        <v>45875</v>
      </c>
      <c r="K1531">
        <v>25</v>
      </c>
      <c r="L1531">
        <v>3.5</v>
      </c>
      <c r="M1531" t="b">
        <v>1</v>
      </c>
      <c r="N1531" t="s">
        <v>115</v>
      </c>
    </row>
    <row r="1532" spans="1:14" x14ac:dyDescent="0.25">
      <c r="A1532" t="s">
        <v>1585</v>
      </c>
      <c r="B1532" t="s">
        <v>15</v>
      </c>
      <c r="C1532" t="s">
        <v>53</v>
      </c>
      <c r="D1532" t="s">
        <v>34</v>
      </c>
      <c r="E1532" t="s">
        <v>39</v>
      </c>
      <c r="F1532" t="s">
        <v>40</v>
      </c>
      <c r="G1532">
        <v>124.69</v>
      </c>
      <c r="H1532">
        <v>40.9</v>
      </c>
      <c r="I1532">
        <v>73.69</v>
      </c>
      <c r="J1532" s="1">
        <v>45875</v>
      </c>
      <c r="K1532">
        <v>9</v>
      </c>
      <c r="L1532">
        <v>4.0999999999999996</v>
      </c>
      <c r="M1532" t="b">
        <v>0</v>
      </c>
    </row>
    <row r="1533" spans="1:14" x14ac:dyDescent="0.25">
      <c r="A1533" t="s">
        <v>1586</v>
      </c>
      <c r="B1533" t="s">
        <v>21</v>
      </c>
      <c r="C1533" t="s">
        <v>43</v>
      </c>
      <c r="D1533" t="s">
        <v>62</v>
      </c>
      <c r="E1533" t="s">
        <v>39</v>
      </c>
      <c r="F1533" t="s">
        <v>25</v>
      </c>
      <c r="G1533">
        <v>28.24</v>
      </c>
      <c r="H1533">
        <v>48.2</v>
      </c>
      <c r="I1533">
        <v>14.63</v>
      </c>
      <c r="J1533" s="1">
        <v>45875</v>
      </c>
      <c r="K1533">
        <v>20</v>
      </c>
      <c r="L1533">
        <v>4.5</v>
      </c>
      <c r="M1533" t="b">
        <v>0</v>
      </c>
    </row>
    <row r="1534" spans="1:14" x14ac:dyDescent="0.25">
      <c r="A1534" t="s">
        <v>1587</v>
      </c>
      <c r="B1534" t="s">
        <v>27</v>
      </c>
      <c r="C1534" t="s">
        <v>16</v>
      </c>
      <c r="D1534" t="s">
        <v>62</v>
      </c>
      <c r="F1534" t="s">
        <v>66</v>
      </c>
      <c r="G1534">
        <v>76.39</v>
      </c>
      <c r="H1534">
        <v>53.9</v>
      </c>
      <c r="I1534">
        <v>35.22</v>
      </c>
      <c r="J1534" s="1">
        <v>45875</v>
      </c>
      <c r="K1534">
        <v>15</v>
      </c>
      <c r="L1534">
        <v>1.5</v>
      </c>
      <c r="M1534" t="b">
        <v>0</v>
      </c>
    </row>
    <row r="1535" spans="1:14" x14ac:dyDescent="0.25">
      <c r="A1535" t="s">
        <v>1588</v>
      </c>
      <c r="B1535" t="s">
        <v>38</v>
      </c>
      <c r="C1535" t="s">
        <v>16</v>
      </c>
      <c r="D1535" t="s">
        <v>23</v>
      </c>
      <c r="E1535" t="s">
        <v>58</v>
      </c>
      <c r="F1535" t="s">
        <v>44</v>
      </c>
      <c r="G1535">
        <v>96.82</v>
      </c>
      <c r="H1535">
        <v>0</v>
      </c>
      <c r="I1535">
        <v>96.82</v>
      </c>
      <c r="J1535" s="1">
        <v>45875</v>
      </c>
      <c r="K1535">
        <v>0</v>
      </c>
      <c r="L1535">
        <v>1.1000000000000001</v>
      </c>
      <c r="M1535" t="b">
        <v>0</v>
      </c>
    </row>
    <row r="1536" spans="1:14" x14ac:dyDescent="0.25">
      <c r="A1536" t="s">
        <v>1589</v>
      </c>
      <c r="B1536" t="s">
        <v>30</v>
      </c>
      <c r="C1536" t="s">
        <v>32</v>
      </c>
      <c r="D1536" t="s">
        <v>34</v>
      </c>
      <c r="E1536" t="s">
        <v>55</v>
      </c>
      <c r="F1536" t="s">
        <v>64</v>
      </c>
      <c r="G1536">
        <v>159.25</v>
      </c>
      <c r="H1536">
        <v>28.2</v>
      </c>
      <c r="I1536">
        <v>114.34</v>
      </c>
      <c r="J1536" s="1">
        <v>45875</v>
      </c>
      <c r="K1536">
        <v>1</v>
      </c>
      <c r="M1536" t="b">
        <v>1</v>
      </c>
      <c r="N1536" t="s">
        <v>125</v>
      </c>
    </row>
    <row r="1537" spans="1:14" x14ac:dyDescent="0.25">
      <c r="A1537" t="s">
        <v>1590</v>
      </c>
      <c r="B1537" t="s">
        <v>42</v>
      </c>
      <c r="C1537" t="s">
        <v>16</v>
      </c>
      <c r="D1537" t="s">
        <v>62</v>
      </c>
      <c r="E1537" t="s">
        <v>49</v>
      </c>
      <c r="F1537" t="s">
        <v>64</v>
      </c>
      <c r="G1537">
        <v>171.93</v>
      </c>
      <c r="H1537">
        <v>52.3</v>
      </c>
      <c r="I1537">
        <v>82.01</v>
      </c>
      <c r="J1537" s="1">
        <v>45875</v>
      </c>
      <c r="K1537">
        <v>28</v>
      </c>
      <c r="L1537">
        <v>2.2000000000000002</v>
      </c>
      <c r="M1537" t="b">
        <v>0</v>
      </c>
    </row>
    <row r="1538" spans="1:14" x14ac:dyDescent="0.25">
      <c r="A1538" t="s">
        <v>1591</v>
      </c>
      <c r="B1538" t="s">
        <v>21</v>
      </c>
      <c r="C1538" t="s">
        <v>16</v>
      </c>
      <c r="D1538" t="s">
        <v>62</v>
      </c>
      <c r="E1538" t="s">
        <v>55</v>
      </c>
      <c r="F1538" t="s">
        <v>70</v>
      </c>
      <c r="G1538">
        <v>85.25</v>
      </c>
      <c r="H1538">
        <v>0</v>
      </c>
      <c r="I1538">
        <v>85.25</v>
      </c>
      <c r="J1538" s="1">
        <v>45875</v>
      </c>
      <c r="K1538">
        <v>11</v>
      </c>
      <c r="M1538" t="b">
        <v>0</v>
      </c>
    </row>
    <row r="1539" spans="1:14" x14ac:dyDescent="0.25">
      <c r="A1539" t="s">
        <v>1592</v>
      </c>
      <c r="B1539" t="s">
        <v>21</v>
      </c>
      <c r="C1539" t="s">
        <v>32</v>
      </c>
      <c r="D1539" t="s">
        <v>17</v>
      </c>
      <c r="E1539" t="s">
        <v>49</v>
      </c>
      <c r="F1539" t="s">
        <v>25</v>
      </c>
      <c r="G1539">
        <v>70.48</v>
      </c>
      <c r="H1539">
        <v>0</v>
      </c>
      <c r="I1539">
        <v>70.48</v>
      </c>
      <c r="J1539" s="1">
        <v>45623</v>
      </c>
      <c r="K1539">
        <v>22</v>
      </c>
      <c r="L1539">
        <v>1.2</v>
      </c>
      <c r="M1539" t="b">
        <v>0</v>
      </c>
    </row>
    <row r="1540" spans="1:14" x14ac:dyDescent="0.25">
      <c r="A1540" t="s">
        <v>1593</v>
      </c>
      <c r="B1540" t="s">
        <v>15</v>
      </c>
      <c r="C1540" t="s">
        <v>32</v>
      </c>
      <c r="D1540" t="s">
        <v>17</v>
      </c>
      <c r="E1540" t="s">
        <v>39</v>
      </c>
      <c r="F1540" t="s">
        <v>70</v>
      </c>
      <c r="G1540">
        <v>203.02</v>
      </c>
      <c r="H1540">
        <v>0</v>
      </c>
      <c r="I1540">
        <v>203.02</v>
      </c>
      <c r="J1540" s="1">
        <v>45794</v>
      </c>
      <c r="K1540">
        <v>23</v>
      </c>
      <c r="L1540">
        <v>3.5</v>
      </c>
      <c r="M1540" t="b">
        <v>1</v>
      </c>
      <c r="N1540" t="s">
        <v>83</v>
      </c>
    </row>
    <row r="1541" spans="1:14" x14ac:dyDescent="0.25">
      <c r="A1541" t="s">
        <v>1594</v>
      </c>
      <c r="B1541" t="s">
        <v>42</v>
      </c>
      <c r="C1541" t="s">
        <v>53</v>
      </c>
      <c r="D1541" t="s">
        <v>34</v>
      </c>
      <c r="E1541" t="s">
        <v>49</v>
      </c>
      <c r="F1541" t="s">
        <v>25</v>
      </c>
      <c r="G1541">
        <v>115.39</v>
      </c>
      <c r="H1541">
        <v>11.2</v>
      </c>
      <c r="I1541">
        <v>102.47</v>
      </c>
      <c r="J1541" s="1">
        <v>45875</v>
      </c>
      <c r="K1541">
        <v>4</v>
      </c>
      <c r="L1541">
        <v>3.8</v>
      </c>
      <c r="M1541" t="b">
        <v>0</v>
      </c>
    </row>
    <row r="1542" spans="1:14" x14ac:dyDescent="0.25">
      <c r="A1542" t="s">
        <v>1595</v>
      </c>
      <c r="B1542" t="s">
        <v>27</v>
      </c>
      <c r="C1542" t="s">
        <v>43</v>
      </c>
      <c r="D1542" t="s">
        <v>17</v>
      </c>
      <c r="F1542" t="s">
        <v>25</v>
      </c>
      <c r="G1542">
        <v>27.91</v>
      </c>
      <c r="H1542">
        <v>49.8</v>
      </c>
      <c r="I1542">
        <v>14.01</v>
      </c>
      <c r="J1542" s="1">
        <v>45701</v>
      </c>
      <c r="K1542">
        <v>12</v>
      </c>
      <c r="L1542">
        <v>2.6</v>
      </c>
      <c r="M1542" t="b">
        <v>0</v>
      </c>
    </row>
    <row r="1543" spans="1:14" x14ac:dyDescent="0.25">
      <c r="A1543" t="s">
        <v>1596</v>
      </c>
      <c r="B1543" t="s">
        <v>27</v>
      </c>
      <c r="C1543" t="s">
        <v>48</v>
      </c>
      <c r="D1543" t="s">
        <v>23</v>
      </c>
      <c r="F1543" t="s">
        <v>64</v>
      </c>
      <c r="G1543">
        <v>79.69</v>
      </c>
      <c r="H1543">
        <v>0</v>
      </c>
      <c r="I1543">
        <v>79.69</v>
      </c>
      <c r="J1543" s="1">
        <v>45875</v>
      </c>
      <c r="K1543">
        <v>44</v>
      </c>
      <c r="L1543">
        <v>1.6</v>
      </c>
      <c r="M1543" t="b">
        <v>0</v>
      </c>
    </row>
    <row r="1544" spans="1:14" x14ac:dyDescent="0.25">
      <c r="A1544" t="s">
        <v>1597</v>
      </c>
      <c r="B1544" t="s">
        <v>38</v>
      </c>
      <c r="C1544" t="s">
        <v>75</v>
      </c>
      <c r="D1544" t="s">
        <v>34</v>
      </c>
      <c r="E1544" t="s">
        <v>39</v>
      </c>
      <c r="F1544" t="s">
        <v>70</v>
      </c>
      <c r="G1544">
        <v>47.22</v>
      </c>
      <c r="H1544">
        <v>0</v>
      </c>
      <c r="I1544">
        <v>47.22</v>
      </c>
      <c r="J1544" s="1">
        <v>45875</v>
      </c>
      <c r="K1544">
        <v>19</v>
      </c>
      <c r="L1544">
        <v>1.9</v>
      </c>
      <c r="M1544" t="b">
        <v>0</v>
      </c>
    </row>
    <row r="1545" spans="1:14" x14ac:dyDescent="0.25">
      <c r="A1545" t="s">
        <v>1598</v>
      </c>
      <c r="B1545" t="s">
        <v>30</v>
      </c>
      <c r="C1545" t="s">
        <v>48</v>
      </c>
      <c r="D1545" t="s">
        <v>34</v>
      </c>
      <c r="F1545" t="s">
        <v>70</v>
      </c>
      <c r="G1545">
        <v>172.27</v>
      </c>
      <c r="H1545">
        <v>14.9</v>
      </c>
      <c r="I1545">
        <v>146.6</v>
      </c>
      <c r="J1545" s="1">
        <v>45875</v>
      </c>
      <c r="K1545">
        <v>8</v>
      </c>
      <c r="L1545">
        <v>3.7</v>
      </c>
      <c r="M1545" t="b">
        <v>0</v>
      </c>
    </row>
    <row r="1546" spans="1:14" x14ac:dyDescent="0.25">
      <c r="A1546" t="s">
        <v>1599</v>
      </c>
      <c r="B1546" t="s">
        <v>27</v>
      </c>
      <c r="C1546" t="s">
        <v>16</v>
      </c>
      <c r="D1546" t="s">
        <v>23</v>
      </c>
      <c r="F1546" t="s">
        <v>28</v>
      </c>
      <c r="G1546">
        <v>27.9</v>
      </c>
      <c r="H1546">
        <v>0</v>
      </c>
      <c r="I1546">
        <v>27.9</v>
      </c>
      <c r="J1546" s="1">
        <v>45875</v>
      </c>
      <c r="K1546">
        <v>27</v>
      </c>
      <c r="L1546">
        <v>3</v>
      </c>
      <c r="M1546" t="b">
        <v>1</v>
      </c>
      <c r="N1546" t="s">
        <v>115</v>
      </c>
    </row>
    <row r="1547" spans="1:14" x14ac:dyDescent="0.25">
      <c r="A1547" t="s">
        <v>1600</v>
      </c>
      <c r="B1547" t="s">
        <v>42</v>
      </c>
      <c r="C1547" t="s">
        <v>16</v>
      </c>
      <c r="D1547" t="s">
        <v>17</v>
      </c>
      <c r="E1547" t="s">
        <v>39</v>
      </c>
      <c r="F1547" t="s">
        <v>56</v>
      </c>
      <c r="G1547">
        <v>139.26</v>
      </c>
      <c r="H1547">
        <v>0</v>
      </c>
      <c r="I1547">
        <v>139.26</v>
      </c>
      <c r="J1547" s="1">
        <v>45659</v>
      </c>
      <c r="K1547">
        <v>32</v>
      </c>
      <c r="L1547">
        <v>3.4</v>
      </c>
      <c r="M1547" t="b">
        <v>0</v>
      </c>
    </row>
    <row r="1548" spans="1:14" x14ac:dyDescent="0.25">
      <c r="A1548" t="s">
        <v>1601</v>
      </c>
      <c r="B1548" t="s">
        <v>27</v>
      </c>
      <c r="C1548" t="s">
        <v>53</v>
      </c>
      <c r="D1548" t="s">
        <v>62</v>
      </c>
      <c r="F1548" t="s">
        <v>40</v>
      </c>
      <c r="G1548">
        <v>30.47</v>
      </c>
      <c r="H1548">
        <v>0</v>
      </c>
      <c r="I1548">
        <v>30.47</v>
      </c>
      <c r="J1548" s="1">
        <v>45875</v>
      </c>
      <c r="K1548">
        <v>34</v>
      </c>
      <c r="L1548">
        <v>4.2</v>
      </c>
      <c r="M1548" t="b">
        <v>0</v>
      </c>
    </row>
    <row r="1549" spans="1:14" x14ac:dyDescent="0.25">
      <c r="A1549" t="s">
        <v>1602</v>
      </c>
      <c r="B1549" t="s">
        <v>15</v>
      </c>
      <c r="C1549" t="s">
        <v>61</v>
      </c>
      <c r="D1549" t="s">
        <v>34</v>
      </c>
      <c r="E1549" t="s">
        <v>58</v>
      </c>
      <c r="F1549" t="s">
        <v>66</v>
      </c>
      <c r="G1549">
        <v>141.53</v>
      </c>
      <c r="H1549">
        <v>39.799999999999997</v>
      </c>
      <c r="I1549">
        <v>85.2</v>
      </c>
      <c r="J1549" s="1">
        <v>45875</v>
      </c>
      <c r="K1549">
        <v>47</v>
      </c>
      <c r="L1549">
        <v>3.5</v>
      </c>
      <c r="M1549" t="b">
        <v>0</v>
      </c>
    </row>
    <row r="1550" spans="1:14" x14ac:dyDescent="0.25">
      <c r="A1550" t="s">
        <v>1603</v>
      </c>
      <c r="B1550" t="s">
        <v>42</v>
      </c>
      <c r="C1550" t="s">
        <v>61</v>
      </c>
      <c r="D1550" t="s">
        <v>17</v>
      </c>
      <c r="E1550" t="s">
        <v>18</v>
      </c>
      <c r="F1550" t="s">
        <v>40</v>
      </c>
      <c r="G1550">
        <v>47.45</v>
      </c>
      <c r="H1550">
        <v>24.4</v>
      </c>
      <c r="I1550">
        <v>35.869999999999997</v>
      </c>
      <c r="J1550" s="1">
        <v>45823</v>
      </c>
      <c r="K1550">
        <v>42</v>
      </c>
      <c r="L1550">
        <v>2.8</v>
      </c>
      <c r="M1550" t="b">
        <v>0</v>
      </c>
    </row>
    <row r="1551" spans="1:14" x14ac:dyDescent="0.25">
      <c r="A1551" t="s">
        <v>1604</v>
      </c>
      <c r="B1551" t="s">
        <v>38</v>
      </c>
      <c r="C1551" t="s">
        <v>61</v>
      </c>
      <c r="D1551" t="s">
        <v>23</v>
      </c>
      <c r="E1551" t="s">
        <v>55</v>
      </c>
      <c r="F1551" t="s">
        <v>64</v>
      </c>
      <c r="G1551">
        <v>51.39</v>
      </c>
      <c r="H1551">
        <v>6.3</v>
      </c>
      <c r="I1551">
        <v>48.15</v>
      </c>
      <c r="J1551" s="1">
        <v>45875</v>
      </c>
      <c r="K1551">
        <v>46</v>
      </c>
      <c r="M1551" t="b">
        <v>0</v>
      </c>
    </row>
    <row r="1552" spans="1:14" x14ac:dyDescent="0.25">
      <c r="A1552" t="s">
        <v>1605</v>
      </c>
      <c r="B1552" t="s">
        <v>21</v>
      </c>
      <c r="C1552" t="s">
        <v>61</v>
      </c>
      <c r="D1552" t="s">
        <v>17</v>
      </c>
      <c r="F1552" t="s">
        <v>35</v>
      </c>
      <c r="G1552">
        <v>74.13</v>
      </c>
      <c r="H1552">
        <v>0</v>
      </c>
      <c r="I1552">
        <v>74.13</v>
      </c>
      <c r="J1552" s="1">
        <v>45609</v>
      </c>
      <c r="K1552">
        <v>23</v>
      </c>
      <c r="M1552" t="b">
        <v>0</v>
      </c>
    </row>
    <row r="1553" spans="1:14" x14ac:dyDescent="0.25">
      <c r="A1553" t="s">
        <v>1606</v>
      </c>
      <c r="B1553" t="s">
        <v>42</v>
      </c>
      <c r="C1553" t="s">
        <v>16</v>
      </c>
      <c r="D1553" t="s">
        <v>34</v>
      </c>
      <c r="E1553" t="s">
        <v>18</v>
      </c>
      <c r="F1553" t="s">
        <v>66</v>
      </c>
      <c r="G1553">
        <v>156.13999999999999</v>
      </c>
      <c r="H1553">
        <v>5</v>
      </c>
      <c r="I1553">
        <v>148.33000000000001</v>
      </c>
      <c r="J1553" s="1">
        <v>45875</v>
      </c>
      <c r="K1553">
        <v>39</v>
      </c>
      <c r="M1553" t="b">
        <v>0</v>
      </c>
    </row>
    <row r="1554" spans="1:14" x14ac:dyDescent="0.25">
      <c r="A1554" t="s">
        <v>1607</v>
      </c>
      <c r="B1554" t="s">
        <v>15</v>
      </c>
      <c r="C1554" t="s">
        <v>32</v>
      </c>
      <c r="D1554" t="s">
        <v>62</v>
      </c>
      <c r="E1554" t="s">
        <v>55</v>
      </c>
      <c r="F1554" t="s">
        <v>46</v>
      </c>
      <c r="G1554">
        <v>105.3</v>
      </c>
      <c r="H1554">
        <v>0</v>
      </c>
      <c r="I1554">
        <v>105.3</v>
      </c>
      <c r="J1554" s="1">
        <v>45875</v>
      </c>
      <c r="K1554">
        <v>1</v>
      </c>
      <c r="L1554">
        <v>3</v>
      </c>
      <c r="M1554" t="b">
        <v>0</v>
      </c>
    </row>
    <row r="1555" spans="1:14" x14ac:dyDescent="0.25">
      <c r="A1555" t="s">
        <v>1608</v>
      </c>
      <c r="B1555" t="s">
        <v>42</v>
      </c>
      <c r="C1555" t="s">
        <v>48</v>
      </c>
      <c r="D1555" t="s">
        <v>23</v>
      </c>
      <c r="E1555" t="s">
        <v>39</v>
      </c>
      <c r="F1555" t="s">
        <v>64</v>
      </c>
      <c r="G1555">
        <v>126.76</v>
      </c>
      <c r="H1555">
        <v>0</v>
      </c>
      <c r="I1555">
        <v>126.76</v>
      </c>
      <c r="J1555" s="1">
        <v>45875</v>
      </c>
      <c r="K1555">
        <v>24</v>
      </c>
      <c r="L1555">
        <v>2.2000000000000002</v>
      </c>
      <c r="M1555" t="b">
        <v>0</v>
      </c>
    </row>
    <row r="1556" spans="1:14" x14ac:dyDescent="0.25">
      <c r="A1556" t="s">
        <v>1609</v>
      </c>
      <c r="B1556" t="s">
        <v>21</v>
      </c>
      <c r="C1556" t="s">
        <v>61</v>
      </c>
      <c r="D1556" t="s">
        <v>23</v>
      </c>
      <c r="E1556" t="s">
        <v>24</v>
      </c>
      <c r="F1556" t="s">
        <v>64</v>
      </c>
      <c r="G1556">
        <v>35.409999999999997</v>
      </c>
      <c r="H1556">
        <v>0</v>
      </c>
      <c r="I1556">
        <v>35.409999999999997</v>
      </c>
      <c r="J1556" s="1">
        <v>45875</v>
      </c>
      <c r="K1556">
        <v>48</v>
      </c>
      <c r="L1556">
        <v>4.3</v>
      </c>
      <c r="M1556" t="b">
        <v>1</v>
      </c>
      <c r="N1556" t="s">
        <v>78</v>
      </c>
    </row>
    <row r="1557" spans="1:14" x14ac:dyDescent="0.25">
      <c r="A1557" t="s">
        <v>1610</v>
      </c>
      <c r="B1557" t="s">
        <v>15</v>
      </c>
      <c r="C1557" t="s">
        <v>53</v>
      </c>
      <c r="D1557" t="s">
        <v>23</v>
      </c>
      <c r="E1557" t="s">
        <v>58</v>
      </c>
      <c r="F1557" t="s">
        <v>35</v>
      </c>
      <c r="G1557">
        <v>80.040000000000006</v>
      </c>
      <c r="H1557">
        <v>0</v>
      </c>
      <c r="I1557">
        <v>80.040000000000006</v>
      </c>
      <c r="J1557" s="1">
        <v>45875</v>
      </c>
      <c r="K1557">
        <v>13</v>
      </c>
      <c r="L1557">
        <v>2.2999999999999998</v>
      </c>
      <c r="M1557" t="b">
        <v>0</v>
      </c>
    </row>
    <row r="1558" spans="1:14" x14ac:dyDescent="0.25">
      <c r="A1558" t="s">
        <v>1611</v>
      </c>
      <c r="B1558" t="s">
        <v>38</v>
      </c>
      <c r="C1558" t="s">
        <v>61</v>
      </c>
      <c r="D1558" t="s">
        <v>34</v>
      </c>
      <c r="F1558" t="s">
        <v>64</v>
      </c>
      <c r="G1558">
        <v>68.16</v>
      </c>
      <c r="H1558">
        <v>0</v>
      </c>
      <c r="I1558">
        <v>68.16</v>
      </c>
      <c r="J1558" s="1">
        <v>45875</v>
      </c>
      <c r="K1558">
        <v>34</v>
      </c>
      <c r="L1558">
        <v>2.7</v>
      </c>
      <c r="M1558" t="b">
        <v>0</v>
      </c>
    </row>
    <row r="1559" spans="1:14" x14ac:dyDescent="0.25">
      <c r="A1559" t="s">
        <v>1612</v>
      </c>
      <c r="B1559" t="s">
        <v>42</v>
      </c>
      <c r="C1559" t="s">
        <v>53</v>
      </c>
      <c r="D1559" t="s">
        <v>34</v>
      </c>
      <c r="E1559" t="s">
        <v>18</v>
      </c>
      <c r="F1559" t="s">
        <v>35</v>
      </c>
      <c r="G1559">
        <v>60.87</v>
      </c>
      <c r="H1559">
        <v>0</v>
      </c>
      <c r="I1559">
        <v>60.87</v>
      </c>
      <c r="J1559" s="1">
        <v>45875</v>
      </c>
      <c r="K1559">
        <v>35</v>
      </c>
      <c r="M1559" t="b">
        <v>0</v>
      </c>
    </row>
    <row r="1560" spans="1:14" x14ac:dyDescent="0.25">
      <c r="A1560" t="s">
        <v>1613</v>
      </c>
      <c r="B1560" t="s">
        <v>21</v>
      </c>
      <c r="C1560" t="s">
        <v>48</v>
      </c>
      <c r="D1560" t="s">
        <v>17</v>
      </c>
      <c r="E1560" t="s">
        <v>24</v>
      </c>
      <c r="F1560" t="s">
        <v>70</v>
      </c>
      <c r="G1560">
        <v>59.8</v>
      </c>
      <c r="H1560">
        <v>0</v>
      </c>
      <c r="I1560">
        <v>59.8</v>
      </c>
      <c r="J1560" s="1">
        <v>45753</v>
      </c>
      <c r="K1560">
        <v>50</v>
      </c>
      <c r="L1560">
        <v>2.2000000000000002</v>
      </c>
      <c r="M1560" t="b">
        <v>1</v>
      </c>
      <c r="N1560" t="s">
        <v>73</v>
      </c>
    </row>
    <row r="1561" spans="1:14" x14ac:dyDescent="0.25">
      <c r="A1561" t="s">
        <v>1614</v>
      </c>
      <c r="B1561" t="s">
        <v>27</v>
      </c>
      <c r="C1561" t="s">
        <v>61</v>
      </c>
      <c r="D1561" t="s">
        <v>34</v>
      </c>
      <c r="F1561" t="s">
        <v>28</v>
      </c>
      <c r="G1561">
        <v>75.83</v>
      </c>
      <c r="H1561">
        <v>0</v>
      </c>
      <c r="I1561">
        <v>75.83</v>
      </c>
      <c r="J1561" s="1">
        <v>45875</v>
      </c>
      <c r="K1561">
        <v>8</v>
      </c>
      <c r="L1561">
        <v>2</v>
      </c>
      <c r="M1561" t="b">
        <v>0</v>
      </c>
    </row>
    <row r="1562" spans="1:14" x14ac:dyDescent="0.25">
      <c r="A1562" t="s">
        <v>1615</v>
      </c>
      <c r="B1562" t="s">
        <v>21</v>
      </c>
      <c r="C1562" t="s">
        <v>48</v>
      </c>
      <c r="D1562" t="s">
        <v>62</v>
      </c>
      <c r="E1562" t="s">
        <v>24</v>
      </c>
      <c r="F1562" t="s">
        <v>56</v>
      </c>
      <c r="G1562">
        <v>55.97</v>
      </c>
      <c r="H1562">
        <v>0</v>
      </c>
      <c r="I1562">
        <v>55.97</v>
      </c>
      <c r="J1562" s="1">
        <v>45875</v>
      </c>
      <c r="K1562">
        <v>30</v>
      </c>
      <c r="M1562" t="b">
        <v>0</v>
      </c>
    </row>
    <row r="1563" spans="1:14" x14ac:dyDescent="0.25">
      <c r="A1563" t="s">
        <v>1616</v>
      </c>
      <c r="B1563" t="s">
        <v>30</v>
      </c>
      <c r="C1563" t="s">
        <v>61</v>
      </c>
      <c r="D1563" t="s">
        <v>23</v>
      </c>
      <c r="E1563" t="s">
        <v>18</v>
      </c>
      <c r="F1563" t="s">
        <v>56</v>
      </c>
      <c r="G1563">
        <v>190.52</v>
      </c>
      <c r="H1563">
        <v>45.2</v>
      </c>
      <c r="I1563">
        <v>104.4</v>
      </c>
      <c r="J1563" s="1">
        <v>45875</v>
      </c>
      <c r="K1563">
        <v>2</v>
      </c>
      <c r="L1563">
        <v>1.1000000000000001</v>
      </c>
      <c r="M1563" t="b">
        <v>0</v>
      </c>
    </row>
    <row r="1564" spans="1:14" x14ac:dyDescent="0.25">
      <c r="A1564" t="s">
        <v>1617</v>
      </c>
      <c r="B1564" t="s">
        <v>38</v>
      </c>
      <c r="C1564" t="s">
        <v>16</v>
      </c>
      <c r="D1564" t="s">
        <v>62</v>
      </c>
      <c r="E1564" t="s">
        <v>58</v>
      </c>
      <c r="F1564" t="s">
        <v>25</v>
      </c>
      <c r="G1564">
        <v>89.19</v>
      </c>
      <c r="H1564">
        <v>10.3</v>
      </c>
      <c r="I1564">
        <v>80</v>
      </c>
      <c r="J1564" s="1">
        <v>45875</v>
      </c>
      <c r="K1564">
        <v>4</v>
      </c>
      <c r="M1564" t="b">
        <v>0</v>
      </c>
    </row>
    <row r="1565" spans="1:14" x14ac:dyDescent="0.25">
      <c r="A1565" t="s">
        <v>1618</v>
      </c>
      <c r="B1565" t="s">
        <v>30</v>
      </c>
      <c r="C1565" t="s">
        <v>32</v>
      </c>
      <c r="D1565" t="s">
        <v>62</v>
      </c>
      <c r="F1565" t="s">
        <v>35</v>
      </c>
      <c r="G1565">
        <v>79.59</v>
      </c>
      <c r="H1565">
        <v>8.9</v>
      </c>
      <c r="I1565">
        <v>72.510000000000005</v>
      </c>
      <c r="J1565" s="1">
        <v>45875</v>
      </c>
      <c r="K1565">
        <v>16</v>
      </c>
      <c r="L1565">
        <v>4.5999999999999996</v>
      </c>
      <c r="M1565" t="b">
        <v>1</v>
      </c>
      <c r="N1565" t="s">
        <v>125</v>
      </c>
    </row>
    <row r="1566" spans="1:14" x14ac:dyDescent="0.25">
      <c r="A1566" t="s">
        <v>1619</v>
      </c>
      <c r="B1566" t="s">
        <v>38</v>
      </c>
      <c r="C1566" t="s">
        <v>43</v>
      </c>
      <c r="D1566" t="s">
        <v>17</v>
      </c>
      <c r="E1566" t="s">
        <v>49</v>
      </c>
      <c r="F1566" t="s">
        <v>40</v>
      </c>
      <c r="G1566">
        <v>84.8</v>
      </c>
      <c r="H1566">
        <v>0</v>
      </c>
      <c r="I1566">
        <v>84.8</v>
      </c>
      <c r="J1566" s="1">
        <v>45846</v>
      </c>
      <c r="K1566">
        <v>46</v>
      </c>
      <c r="L1566">
        <v>4.5999999999999996</v>
      </c>
      <c r="M1566" t="b">
        <v>0</v>
      </c>
    </row>
    <row r="1567" spans="1:14" x14ac:dyDescent="0.25">
      <c r="A1567" t="s">
        <v>1620</v>
      </c>
      <c r="B1567" t="s">
        <v>38</v>
      </c>
      <c r="C1567" t="s">
        <v>75</v>
      </c>
      <c r="D1567" t="s">
        <v>34</v>
      </c>
      <c r="E1567" t="s">
        <v>58</v>
      </c>
      <c r="F1567" t="s">
        <v>28</v>
      </c>
      <c r="G1567">
        <v>69.209999999999994</v>
      </c>
      <c r="H1567">
        <v>0</v>
      </c>
      <c r="I1567">
        <v>69.209999999999994</v>
      </c>
      <c r="J1567" s="1">
        <v>45875</v>
      </c>
      <c r="K1567">
        <v>41</v>
      </c>
      <c r="M1567" t="b">
        <v>0</v>
      </c>
    </row>
    <row r="1568" spans="1:14" x14ac:dyDescent="0.25">
      <c r="A1568" t="s">
        <v>1621</v>
      </c>
      <c r="B1568" t="s">
        <v>15</v>
      </c>
      <c r="C1568" t="s">
        <v>32</v>
      </c>
      <c r="D1568" t="s">
        <v>17</v>
      </c>
      <c r="E1568" t="s">
        <v>55</v>
      </c>
      <c r="F1568" t="s">
        <v>64</v>
      </c>
      <c r="G1568">
        <v>229.17</v>
      </c>
      <c r="H1568">
        <v>0</v>
      </c>
      <c r="I1568">
        <v>229.17</v>
      </c>
      <c r="J1568" s="1">
        <v>45855</v>
      </c>
      <c r="K1568">
        <v>37</v>
      </c>
      <c r="L1568">
        <v>2</v>
      </c>
      <c r="M1568" t="b">
        <v>0</v>
      </c>
    </row>
    <row r="1569" spans="1:14" x14ac:dyDescent="0.25">
      <c r="A1569" t="s">
        <v>1622</v>
      </c>
      <c r="B1569" t="s">
        <v>42</v>
      </c>
      <c r="C1569" t="s">
        <v>32</v>
      </c>
      <c r="D1569" t="s">
        <v>23</v>
      </c>
      <c r="E1569" t="s">
        <v>24</v>
      </c>
      <c r="F1569" t="s">
        <v>35</v>
      </c>
      <c r="G1569">
        <v>103.9</v>
      </c>
      <c r="H1569">
        <v>0</v>
      </c>
      <c r="I1569">
        <v>103.9</v>
      </c>
      <c r="J1569" s="1">
        <v>45875</v>
      </c>
      <c r="K1569">
        <v>40</v>
      </c>
      <c r="L1569">
        <v>4.4000000000000004</v>
      </c>
      <c r="M1569" t="b">
        <v>0</v>
      </c>
    </row>
    <row r="1570" spans="1:14" x14ac:dyDescent="0.25">
      <c r="A1570" t="s">
        <v>1623</v>
      </c>
      <c r="B1570" t="s">
        <v>15</v>
      </c>
      <c r="C1570" t="s">
        <v>16</v>
      </c>
      <c r="D1570" t="s">
        <v>17</v>
      </c>
      <c r="E1570" t="s">
        <v>55</v>
      </c>
      <c r="F1570" t="s">
        <v>56</v>
      </c>
      <c r="G1570">
        <v>228.46</v>
      </c>
      <c r="H1570">
        <v>0</v>
      </c>
      <c r="I1570">
        <v>228.46</v>
      </c>
      <c r="J1570" s="1">
        <v>45695</v>
      </c>
      <c r="K1570">
        <v>7</v>
      </c>
      <c r="L1570">
        <v>2.5</v>
      </c>
      <c r="M1570" t="b">
        <v>1</v>
      </c>
      <c r="N1570" t="s">
        <v>83</v>
      </c>
    </row>
    <row r="1571" spans="1:14" x14ac:dyDescent="0.25">
      <c r="A1571" t="s">
        <v>1624</v>
      </c>
      <c r="B1571" t="s">
        <v>27</v>
      </c>
      <c r="C1571" t="s">
        <v>16</v>
      </c>
      <c r="D1571" t="s">
        <v>62</v>
      </c>
      <c r="F1571" t="s">
        <v>35</v>
      </c>
      <c r="G1571">
        <v>44.35</v>
      </c>
      <c r="H1571">
        <v>29.2</v>
      </c>
      <c r="I1571">
        <v>31.4</v>
      </c>
      <c r="J1571" s="1">
        <v>45875</v>
      </c>
      <c r="K1571">
        <v>20</v>
      </c>
      <c r="L1571">
        <v>4.9000000000000004</v>
      </c>
      <c r="M1571" t="b">
        <v>0</v>
      </c>
    </row>
    <row r="1572" spans="1:14" x14ac:dyDescent="0.25">
      <c r="A1572" t="s">
        <v>1625</v>
      </c>
      <c r="B1572" t="s">
        <v>38</v>
      </c>
      <c r="C1572" t="s">
        <v>22</v>
      </c>
      <c r="D1572" t="s">
        <v>17</v>
      </c>
      <c r="F1572" t="s">
        <v>40</v>
      </c>
      <c r="G1572">
        <v>28.76</v>
      </c>
      <c r="H1572">
        <v>54.7</v>
      </c>
      <c r="I1572">
        <v>13.03</v>
      </c>
      <c r="J1572" s="1">
        <v>45791</v>
      </c>
      <c r="K1572">
        <v>2</v>
      </c>
      <c r="L1572">
        <v>4.4000000000000004</v>
      </c>
      <c r="M1572" t="b">
        <v>1</v>
      </c>
      <c r="N1572" t="s">
        <v>36</v>
      </c>
    </row>
    <row r="1573" spans="1:14" x14ac:dyDescent="0.25">
      <c r="A1573" t="s">
        <v>1626</v>
      </c>
      <c r="B1573" t="s">
        <v>15</v>
      </c>
      <c r="C1573" t="s">
        <v>43</v>
      </c>
      <c r="D1573" t="s">
        <v>17</v>
      </c>
      <c r="E1573" t="s">
        <v>49</v>
      </c>
      <c r="F1573" t="s">
        <v>19</v>
      </c>
      <c r="G1573">
        <v>158.34</v>
      </c>
      <c r="H1573">
        <v>36.6</v>
      </c>
      <c r="I1573">
        <v>100.39</v>
      </c>
      <c r="J1573" s="1">
        <v>45684</v>
      </c>
      <c r="K1573">
        <v>11</v>
      </c>
      <c r="L1573">
        <v>4.5</v>
      </c>
      <c r="M1573" t="b">
        <v>0</v>
      </c>
    </row>
    <row r="1574" spans="1:14" x14ac:dyDescent="0.25">
      <c r="A1574" t="s">
        <v>1627</v>
      </c>
      <c r="B1574" t="s">
        <v>27</v>
      </c>
      <c r="C1574" t="s">
        <v>16</v>
      </c>
      <c r="D1574" t="s">
        <v>17</v>
      </c>
      <c r="F1574" t="s">
        <v>70</v>
      </c>
      <c r="G1574">
        <v>39.049999999999997</v>
      </c>
      <c r="H1574">
        <v>12</v>
      </c>
      <c r="I1574">
        <v>34.36</v>
      </c>
      <c r="J1574" s="1">
        <v>45565</v>
      </c>
      <c r="K1574">
        <v>0</v>
      </c>
      <c r="L1574">
        <v>3.1</v>
      </c>
      <c r="M1574" t="b">
        <v>0</v>
      </c>
    </row>
    <row r="1575" spans="1:14" x14ac:dyDescent="0.25">
      <c r="A1575" t="s">
        <v>1628</v>
      </c>
      <c r="B1575" t="s">
        <v>21</v>
      </c>
      <c r="C1575" t="s">
        <v>53</v>
      </c>
      <c r="D1575" t="s">
        <v>17</v>
      </c>
      <c r="E1575" t="s">
        <v>39</v>
      </c>
      <c r="F1575" t="s">
        <v>44</v>
      </c>
      <c r="G1575">
        <v>52.46</v>
      </c>
      <c r="H1575">
        <v>12.2</v>
      </c>
      <c r="I1575">
        <v>46.06</v>
      </c>
      <c r="J1575" s="1">
        <v>45645</v>
      </c>
      <c r="K1575">
        <v>39</v>
      </c>
      <c r="L1575">
        <v>2.2999999999999998</v>
      </c>
      <c r="M1575" t="b">
        <v>0</v>
      </c>
    </row>
    <row r="1576" spans="1:14" x14ac:dyDescent="0.25">
      <c r="A1576" t="s">
        <v>1629</v>
      </c>
      <c r="B1576" t="s">
        <v>38</v>
      </c>
      <c r="C1576" t="s">
        <v>61</v>
      </c>
      <c r="D1576" t="s">
        <v>17</v>
      </c>
      <c r="E1576" t="s">
        <v>39</v>
      </c>
      <c r="F1576" t="s">
        <v>19</v>
      </c>
      <c r="G1576">
        <v>70.31</v>
      </c>
      <c r="H1576">
        <v>34.4</v>
      </c>
      <c r="I1576">
        <v>46.12</v>
      </c>
      <c r="J1576" s="1">
        <v>45681</v>
      </c>
      <c r="K1576">
        <v>28</v>
      </c>
      <c r="L1576">
        <v>3.1</v>
      </c>
      <c r="M1576" t="b">
        <v>0</v>
      </c>
    </row>
    <row r="1577" spans="1:14" x14ac:dyDescent="0.25">
      <c r="A1577" t="s">
        <v>1630</v>
      </c>
      <c r="B1577" t="s">
        <v>15</v>
      </c>
      <c r="C1577" t="s">
        <v>75</v>
      </c>
      <c r="D1577" t="s">
        <v>62</v>
      </c>
      <c r="E1577" t="s">
        <v>39</v>
      </c>
      <c r="F1577" t="s">
        <v>56</v>
      </c>
      <c r="G1577">
        <v>123.27</v>
      </c>
      <c r="H1577">
        <v>0</v>
      </c>
      <c r="I1577">
        <v>123.27</v>
      </c>
      <c r="J1577" s="1">
        <v>45875</v>
      </c>
      <c r="K1577">
        <v>13</v>
      </c>
      <c r="L1577">
        <v>2.8</v>
      </c>
      <c r="M1577" t="b">
        <v>0</v>
      </c>
    </row>
    <row r="1578" spans="1:14" x14ac:dyDescent="0.25">
      <c r="A1578" t="s">
        <v>1631</v>
      </c>
      <c r="B1578" t="s">
        <v>15</v>
      </c>
      <c r="C1578" t="s">
        <v>43</v>
      </c>
      <c r="D1578" t="s">
        <v>62</v>
      </c>
      <c r="E1578" t="s">
        <v>24</v>
      </c>
      <c r="F1578" t="s">
        <v>64</v>
      </c>
      <c r="G1578">
        <v>215.82</v>
      </c>
      <c r="H1578">
        <v>16.5</v>
      </c>
      <c r="I1578">
        <v>180.21</v>
      </c>
      <c r="J1578" s="1">
        <v>45875</v>
      </c>
      <c r="K1578">
        <v>9</v>
      </c>
      <c r="L1578">
        <v>2.4</v>
      </c>
      <c r="M1578" t="b">
        <v>0</v>
      </c>
    </row>
    <row r="1579" spans="1:14" x14ac:dyDescent="0.25">
      <c r="A1579" t="s">
        <v>1632</v>
      </c>
      <c r="B1579" t="s">
        <v>15</v>
      </c>
      <c r="C1579" t="s">
        <v>61</v>
      </c>
      <c r="D1579" t="s">
        <v>62</v>
      </c>
      <c r="E1579" t="s">
        <v>55</v>
      </c>
      <c r="F1579" t="s">
        <v>44</v>
      </c>
      <c r="G1579">
        <v>82.91</v>
      </c>
      <c r="H1579">
        <v>0.7</v>
      </c>
      <c r="I1579">
        <v>82.33</v>
      </c>
      <c r="J1579" s="1">
        <v>45875</v>
      </c>
      <c r="K1579">
        <v>24</v>
      </c>
      <c r="M1579" t="b">
        <v>1</v>
      </c>
      <c r="N1579" t="s">
        <v>78</v>
      </c>
    </row>
    <row r="1580" spans="1:14" x14ac:dyDescent="0.25">
      <c r="A1580" t="s">
        <v>1633</v>
      </c>
      <c r="B1580" t="s">
        <v>21</v>
      </c>
      <c r="C1580" t="s">
        <v>61</v>
      </c>
      <c r="D1580" t="s">
        <v>23</v>
      </c>
      <c r="E1580" t="s">
        <v>18</v>
      </c>
      <c r="F1580" t="s">
        <v>66</v>
      </c>
      <c r="G1580">
        <v>33.46</v>
      </c>
      <c r="H1580">
        <v>0</v>
      </c>
      <c r="I1580">
        <v>33.46</v>
      </c>
      <c r="J1580" s="1">
        <v>45875</v>
      </c>
      <c r="K1580">
        <v>36</v>
      </c>
      <c r="L1580">
        <v>3.6</v>
      </c>
      <c r="M1580" t="b">
        <v>0</v>
      </c>
    </row>
    <row r="1581" spans="1:14" x14ac:dyDescent="0.25">
      <c r="A1581" t="s">
        <v>1634</v>
      </c>
      <c r="B1581" t="s">
        <v>38</v>
      </c>
      <c r="C1581" t="s">
        <v>32</v>
      </c>
      <c r="D1581" t="s">
        <v>17</v>
      </c>
      <c r="E1581" t="s">
        <v>24</v>
      </c>
      <c r="F1581" t="s">
        <v>40</v>
      </c>
      <c r="G1581">
        <v>37.21</v>
      </c>
      <c r="H1581">
        <v>53.9</v>
      </c>
      <c r="I1581">
        <v>17.149999999999999</v>
      </c>
      <c r="J1581" s="1">
        <v>45835</v>
      </c>
      <c r="K1581">
        <v>48</v>
      </c>
      <c r="L1581">
        <v>3.8</v>
      </c>
      <c r="M1581" t="b">
        <v>0</v>
      </c>
    </row>
    <row r="1582" spans="1:14" x14ac:dyDescent="0.25">
      <c r="A1582" t="s">
        <v>1635</v>
      </c>
      <c r="B1582" t="s">
        <v>38</v>
      </c>
      <c r="C1582" t="s">
        <v>43</v>
      </c>
      <c r="D1582" t="s">
        <v>23</v>
      </c>
      <c r="F1582" t="s">
        <v>19</v>
      </c>
      <c r="G1582">
        <v>76.86</v>
      </c>
      <c r="H1582">
        <v>48.9</v>
      </c>
      <c r="I1582">
        <v>39.28</v>
      </c>
      <c r="J1582" s="1">
        <v>45875</v>
      </c>
      <c r="K1582">
        <v>5</v>
      </c>
      <c r="L1582">
        <v>1.2</v>
      </c>
      <c r="M1582" t="b">
        <v>0</v>
      </c>
    </row>
    <row r="1583" spans="1:14" x14ac:dyDescent="0.25">
      <c r="A1583" t="s">
        <v>1636</v>
      </c>
      <c r="B1583" t="s">
        <v>15</v>
      </c>
      <c r="C1583" t="s">
        <v>48</v>
      </c>
      <c r="D1583" t="s">
        <v>23</v>
      </c>
      <c r="E1583" t="s">
        <v>39</v>
      </c>
      <c r="F1583" t="s">
        <v>56</v>
      </c>
      <c r="G1583">
        <v>208.57</v>
      </c>
      <c r="H1583">
        <v>0</v>
      </c>
      <c r="I1583">
        <v>208.57</v>
      </c>
      <c r="J1583" s="1">
        <v>45875</v>
      </c>
      <c r="K1583">
        <v>24</v>
      </c>
      <c r="L1583">
        <v>3.6</v>
      </c>
      <c r="M1583" t="b">
        <v>0</v>
      </c>
    </row>
    <row r="1584" spans="1:14" x14ac:dyDescent="0.25">
      <c r="A1584" t="s">
        <v>1637</v>
      </c>
      <c r="B1584" t="s">
        <v>42</v>
      </c>
      <c r="C1584" t="s">
        <v>61</v>
      </c>
      <c r="D1584" t="s">
        <v>17</v>
      </c>
      <c r="E1584" t="s">
        <v>18</v>
      </c>
      <c r="F1584" t="s">
        <v>19</v>
      </c>
      <c r="G1584">
        <v>131.69999999999999</v>
      </c>
      <c r="H1584">
        <v>15.8</v>
      </c>
      <c r="I1584">
        <v>110.89</v>
      </c>
      <c r="J1584" s="1">
        <v>45516</v>
      </c>
      <c r="K1584">
        <v>49</v>
      </c>
      <c r="L1584">
        <v>1.4</v>
      </c>
      <c r="M1584" t="b">
        <v>1</v>
      </c>
      <c r="N1584" t="s">
        <v>78</v>
      </c>
    </row>
    <row r="1585" spans="1:14" x14ac:dyDescent="0.25">
      <c r="A1585" t="s">
        <v>1638</v>
      </c>
      <c r="B1585" t="s">
        <v>38</v>
      </c>
      <c r="C1585" t="s">
        <v>43</v>
      </c>
      <c r="D1585" t="s">
        <v>62</v>
      </c>
      <c r="E1585" t="s">
        <v>49</v>
      </c>
      <c r="F1585" t="s">
        <v>44</v>
      </c>
      <c r="G1585">
        <v>117.21</v>
      </c>
      <c r="H1585">
        <v>0</v>
      </c>
      <c r="I1585">
        <v>117.21</v>
      </c>
      <c r="J1585" s="1">
        <v>45875</v>
      </c>
      <c r="K1585">
        <v>14</v>
      </c>
      <c r="L1585">
        <v>3.2</v>
      </c>
      <c r="M1585" t="b">
        <v>0</v>
      </c>
    </row>
    <row r="1586" spans="1:14" x14ac:dyDescent="0.25">
      <c r="A1586" t="s">
        <v>1639</v>
      </c>
      <c r="B1586" t="s">
        <v>27</v>
      </c>
      <c r="C1586" t="s">
        <v>43</v>
      </c>
      <c r="D1586" t="s">
        <v>62</v>
      </c>
      <c r="F1586" t="s">
        <v>46</v>
      </c>
      <c r="G1586">
        <v>23.01</v>
      </c>
      <c r="H1586">
        <v>48.8</v>
      </c>
      <c r="I1586">
        <v>11.78</v>
      </c>
      <c r="J1586" s="1">
        <v>45875</v>
      </c>
      <c r="K1586">
        <v>13</v>
      </c>
      <c r="L1586">
        <v>3.6</v>
      </c>
      <c r="M1586" t="b">
        <v>0</v>
      </c>
    </row>
    <row r="1587" spans="1:14" x14ac:dyDescent="0.25">
      <c r="A1587" t="s">
        <v>1640</v>
      </c>
      <c r="B1587" t="s">
        <v>27</v>
      </c>
      <c r="C1587" t="s">
        <v>75</v>
      </c>
      <c r="D1587" t="s">
        <v>62</v>
      </c>
      <c r="F1587" t="s">
        <v>19</v>
      </c>
      <c r="G1587">
        <v>47.6</v>
      </c>
      <c r="H1587">
        <v>0</v>
      </c>
      <c r="I1587">
        <v>47.6</v>
      </c>
      <c r="J1587" s="1">
        <v>45875</v>
      </c>
      <c r="K1587">
        <v>24</v>
      </c>
      <c r="L1587">
        <v>4.4000000000000004</v>
      </c>
      <c r="M1587" t="b">
        <v>1</v>
      </c>
      <c r="N1587" t="s">
        <v>125</v>
      </c>
    </row>
    <row r="1588" spans="1:14" x14ac:dyDescent="0.25">
      <c r="A1588" t="s">
        <v>1641</v>
      </c>
      <c r="B1588" t="s">
        <v>38</v>
      </c>
      <c r="C1588" t="s">
        <v>16</v>
      </c>
      <c r="D1588" t="s">
        <v>34</v>
      </c>
      <c r="E1588" t="s">
        <v>24</v>
      </c>
      <c r="F1588" t="s">
        <v>25</v>
      </c>
      <c r="G1588">
        <v>33.22</v>
      </c>
      <c r="H1588">
        <v>38.4</v>
      </c>
      <c r="I1588">
        <v>20.46</v>
      </c>
      <c r="J1588" s="1">
        <v>45875</v>
      </c>
      <c r="K1588">
        <v>11</v>
      </c>
      <c r="L1588">
        <v>2.9</v>
      </c>
      <c r="M1588" t="b">
        <v>0</v>
      </c>
    </row>
    <row r="1589" spans="1:14" x14ac:dyDescent="0.25">
      <c r="A1589" t="s">
        <v>1642</v>
      </c>
      <c r="B1589" t="s">
        <v>27</v>
      </c>
      <c r="C1589" t="s">
        <v>22</v>
      </c>
      <c r="D1589" t="s">
        <v>23</v>
      </c>
      <c r="F1589" t="s">
        <v>64</v>
      </c>
      <c r="G1589">
        <v>65.97</v>
      </c>
      <c r="H1589">
        <v>6.8</v>
      </c>
      <c r="I1589">
        <v>61.48</v>
      </c>
      <c r="J1589" s="1">
        <v>45875</v>
      </c>
      <c r="K1589">
        <v>41</v>
      </c>
      <c r="L1589">
        <v>4.3</v>
      </c>
      <c r="M1589" t="b">
        <v>0</v>
      </c>
    </row>
    <row r="1590" spans="1:14" x14ac:dyDescent="0.25">
      <c r="A1590" t="s">
        <v>1643</v>
      </c>
      <c r="B1590" t="s">
        <v>21</v>
      </c>
      <c r="C1590" t="s">
        <v>48</v>
      </c>
      <c r="D1590" t="s">
        <v>17</v>
      </c>
      <c r="E1590" t="s">
        <v>24</v>
      </c>
      <c r="F1590" t="s">
        <v>46</v>
      </c>
      <c r="G1590">
        <v>47.25</v>
      </c>
      <c r="H1590">
        <v>29</v>
      </c>
      <c r="I1590">
        <v>33.549999999999997</v>
      </c>
      <c r="J1590" s="1">
        <v>45828</v>
      </c>
      <c r="K1590">
        <v>38</v>
      </c>
      <c r="L1590">
        <v>5</v>
      </c>
      <c r="M1590" t="b">
        <v>0</v>
      </c>
    </row>
    <row r="1591" spans="1:14" x14ac:dyDescent="0.25">
      <c r="A1591" t="s">
        <v>1644</v>
      </c>
      <c r="B1591" t="s">
        <v>21</v>
      </c>
      <c r="C1591" t="s">
        <v>75</v>
      </c>
      <c r="D1591" t="s">
        <v>17</v>
      </c>
      <c r="E1591" t="s">
        <v>55</v>
      </c>
      <c r="F1591" t="s">
        <v>46</v>
      </c>
      <c r="G1591">
        <v>93.74</v>
      </c>
      <c r="H1591">
        <v>0</v>
      </c>
      <c r="I1591">
        <v>93.74</v>
      </c>
      <c r="J1591" s="1">
        <v>45653</v>
      </c>
      <c r="K1591">
        <v>39</v>
      </c>
      <c r="L1591">
        <v>4</v>
      </c>
      <c r="M1591" t="b">
        <v>0</v>
      </c>
    </row>
    <row r="1592" spans="1:14" x14ac:dyDescent="0.25">
      <c r="A1592" t="s">
        <v>1645</v>
      </c>
      <c r="B1592" t="s">
        <v>38</v>
      </c>
      <c r="C1592" t="s">
        <v>75</v>
      </c>
      <c r="D1592" t="s">
        <v>62</v>
      </c>
      <c r="E1592" t="s">
        <v>49</v>
      </c>
      <c r="F1592" t="s">
        <v>35</v>
      </c>
      <c r="G1592">
        <v>31.57</v>
      </c>
      <c r="H1592">
        <v>0</v>
      </c>
      <c r="I1592">
        <v>31.57</v>
      </c>
      <c r="J1592" s="1">
        <v>45875</v>
      </c>
      <c r="K1592">
        <v>2</v>
      </c>
      <c r="M1592" t="b">
        <v>0</v>
      </c>
    </row>
    <row r="1593" spans="1:14" x14ac:dyDescent="0.25">
      <c r="A1593" t="s">
        <v>1646</v>
      </c>
      <c r="B1593" t="s">
        <v>38</v>
      </c>
      <c r="C1593" t="s">
        <v>32</v>
      </c>
      <c r="D1593" t="s">
        <v>23</v>
      </c>
      <c r="E1593" t="s">
        <v>49</v>
      </c>
      <c r="F1593" t="s">
        <v>70</v>
      </c>
      <c r="G1593">
        <v>64.209999999999994</v>
      </c>
      <c r="H1593">
        <v>0</v>
      </c>
      <c r="I1593">
        <v>64.209999999999994</v>
      </c>
      <c r="J1593" s="1">
        <v>45875</v>
      </c>
      <c r="K1593">
        <v>3</v>
      </c>
      <c r="L1593">
        <v>2.8</v>
      </c>
      <c r="M1593" t="b">
        <v>0</v>
      </c>
    </row>
    <row r="1594" spans="1:14" x14ac:dyDescent="0.25">
      <c r="A1594" t="s">
        <v>1647</v>
      </c>
      <c r="B1594" t="s">
        <v>27</v>
      </c>
      <c r="C1594" t="s">
        <v>32</v>
      </c>
      <c r="D1594" t="s">
        <v>23</v>
      </c>
      <c r="F1594" t="s">
        <v>46</v>
      </c>
      <c r="G1594">
        <v>56.13</v>
      </c>
      <c r="H1594">
        <v>8.1</v>
      </c>
      <c r="I1594">
        <v>51.58</v>
      </c>
      <c r="J1594" s="1">
        <v>45875</v>
      </c>
      <c r="K1594">
        <v>12</v>
      </c>
      <c r="L1594">
        <v>3.8</v>
      </c>
      <c r="M1594" t="b">
        <v>0</v>
      </c>
    </row>
    <row r="1595" spans="1:14" x14ac:dyDescent="0.25">
      <c r="A1595" t="s">
        <v>1648</v>
      </c>
      <c r="B1595" t="s">
        <v>21</v>
      </c>
      <c r="C1595" t="s">
        <v>22</v>
      </c>
      <c r="D1595" t="s">
        <v>62</v>
      </c>
      <c r="E1595" t="s">
        <v>49</v>
      </c>
      <c r="F1595" t="s">
        <v>56</v>
      </c>
      <c r="G1595">
        <v>70.89</v>
      </c>
      <c r="H1595">
        <v>0</v>
      </c>
      <c r="I1595">
        <v>70.89</v>
      </c>
      <c r="J1595" s="1">
        <v>45875</v>
      </c>
      <c r="K1595">
        <v>14</v>
      </c>
      <c r="L1595">
        <v>4.7</v>
      </c>
      <c r="M1595" t="b">
        <v>1</v>
      </c>
      <c r="N1595" t="s">
        <v>73</v>
      </c>
    </row>
    <row r="1596" spans="1:14" x14ac:dyDescent="0.25">
      <c r="A1596" t="s">
        <v>1649</v>
      </c>
      <c r="B1596" t="s">
        <v>30</v>
      </c>
      <c r="C1596" t="s">
        <v>32</v>
      </c>
      <c r="D1596" t="s">
        <v>23</v>
      </c>
      <c r="E1596" t="s">
        <v>58</v>
      </c>
      <c r="F1596" t="s">
        <v>66</v>
      </c>
      <c r="G1596">
        <v>149.65</v>
      </c>
      <c r="H1596">
        <v>0</v>
      </c>
      <c r="I1596">
        <v>149.65</v>
      </c>
      <c r="J1596" s="1">
        <v>45875</v>
      </c>
      <c r="K1596">
        <v>26</v>
      </c>
      <c r="L1596">
        <v>3.8</v>
      </c>
      <c r="M1596" t="b">
        <v>0</v>
      </c>
    </row>
    <row r="1597" spans="1:14" x14ac:dyDescent="0.25">
      <c r="A1597" t="s">
        <v>1650</v>
      </c>
      <c r="B1597" t="s">
        <v>30</v>
      </c>
      <c r="C1597" t="s">
        <v>16</v>
      </c>
      <c r="D1597" t="s">
        <v>17</v>
      </c>
      <c r="E1597" t="s">
        <v>39</v>
      </c>
      <c r="F1597" t="s">
        <v>35</v>
      </c>
      <c r="G1597">
        <v>83.17</v>
      </c>
      <c r="H1597">
        <v>0</v>
      </c>
      <c r="I1597">
        <v>83.17</v>
      </c>
      <c r="J1597" s="1">
        <v>45538</v>
      </c>
      <c r="K1597">
        <v>48</v>
      </c>
      <c r="L1597">
        <v>3.2</v>
      </c>
      <c r="M1597" t="b">
        <v>0</v>
      </c>
    </row>
    <row r="1598" spans="1:14" x14ac:dyDescent="0.25">
      <c r="A1598" t="s">
        <v>1651</v>
      </c>
      <c r="B1598" t="s">
        <v>15</v>
      </c>
      <c r="C1598" t="s">
        <v>48</v>
      </c>
      <c r="D1598" t="s">
        <v>34</v>
      </c>
      <c r="E1598" t="s">
        <v>18</v>
      </c>
      <c r="F1598" t="s">
        <v>44</v>
      </c>
      <c r="G1598">
        <v>121.56</v>
      </c>
      <c r="H1598">
        <v>0</v>
      </c>
      <c r="I1598">
        <v>121.56</v>
      </c>
      <c r="J1598" s="1">
        <v>45875</v>
      </c>
      <c r="K1598">
        <v>18</v>
      </c>
      <c r="L1598">
        <v>3.3</v>
      </c>
      <c r="M1598" t="b">
        <v>0</v>
      </c>
    </row>
    <row r="1599" spans="1:14" x14ac:dyDescent="0.25">
      <c r="A1599" t="s">
        <v>1652</v>
      </c>
      <c r="B1599" t="s">
        <v>38</v>
      </c>
      <c r="C1599" t="s">
        <v>16</v>
      </c>
      <c r="D1599" t="s">
        <v>23</v>
      </c>
      <c r="E1599" t="s">
        <v>58</v>
      </c>
      <c r="F1599" t="s">
        <v>66</v>
      </c>
      <c r="G1599">
        <v>48.62</v>
      </c>
      <c r="H1599">
        <v>0</v>
      </c>
      <c r="I1599">
        <v>48.62</v>
      </c>
      <c r="J1599" s="1">
        <v>45875</v>
      </c>
      <c r="K1599">
        <v>3</v>
      </c>
      <c r="M1599" t="b">
        <v>1</v>
      </c>
      <c r="N1599" t="s">
        <v>78</v>
      </c>
    </row>
    <row r="1600" spans="1:14" x14ac:dyDescent="0.25">
      <c r="A1600" t="s">
        <v>1653</v>
      </c>
      <c r="B1600" t="s">
        <v>42</v>
      </c>
      <c r="C1600" t="s">
        <v>53</v>
      </c>
      <c r="D1600" t="s">
        <v>23</v>
      </c>
      <c r="E1600" t="s">
        <v>58</v>
      </c>
      <c r="F1600" t="s">
        <v>44</v>
      </c>
      <c r="G1600">
        <v>79.040000000000006</v>
      </c>
      <c r="H1600">
        <v>0</v>
      </c>
      <c r="I1600">
        <v>79.040000000000006</v>
      </c>
      <c r="J1600" s="1">
        <v>45875</v>
      </c>
      <c r="K1600">
        <v>4</v>
      </c>
      <c r="L1600">
        <v>4.0999999999999996</v>
      </c>
      <c r="M1600" t="b">
        <v>0</v>
      </c>
    </row>
    <row r="1601" spans="1:14" x14ac:dyDescent="0.25">
      <c r="A1601" t="s">
        <v>1654</v>
      </c>
      <c r="B1601" t="s">
        <v>15</v>
      </c>
      <c r="C1601" t="s">
        <v>43</v>
      </c>
      <c r="D1601" t="s">
        <v>17</v>
      </c>
      <c r="E1601" t="s">
        <v>55</v>
      </c>
      <c r="F1601" t="s">
        <v>40</v>
      </c>
      <c r="G1601">
        <v>198.58</v>
      </c>
      <c r="H1601">
        <v>0</v>
      </c>
      <c r="I1601">
        <v>198.58</v>
      </c>
      <c r="J1601" s="1">
        <v>45681</v>
      </c>
      <c r="K1601">
        <v>46</v>
      </c>
      <c r="M1601" t="b">
        <v>0</v>
      </c>
    </row>
    <row r="1602" spans="1:14" x14ac:dyDescent="0.25">
      <c r="A1602" t="s">
        <v>1655</v>
      </c>
      <c r="B1602" t="s">
        <v>15</v>
      </c>
      <c r="C1602" t="s">
        <v>32</v>
      </c>
      <c r="D1602" t="s">
        <v>62</v>
      </c>
      <c r="E1602" t="s">
        <v>58</v>
      </c>
      <c r="F1602" t="s">
        <v>46</v>
      </c>
      <c r="G1602">
        <v>109.82</v>
      </c>
      <c r="H1602">
        <v>0</v>
      </c>
      <c r="I1602">
        <v>109.82</v>
      </c>
      <c r="J1602" s="1">
        <v>45875</v>
      </c>
      <c r="K1602">
        <v>32</v>
      </c>
      <c r="L1602">
        <v>2.2999999999999998</v>
      </c>
      <c r="M1602" t="b">
        <v>0</v>
      </c>
    </row>
    <row r="1603" spans="1:14" x14ac:dyDescent="0.25">
      <c r="A1603" t="s">
        <v>1656</v>
      </c>
      <c r="B1603" t="s">
        <v>27</v>
      </c>
      <c r="C1603" t="s">
        <v>32</v>
      </c>
      <c r="D1603" t="s">
        <v>62</v>
      </c>
      <c r="F1603" t="s">
        <v>19</v>
      </c>
      <c r="G1603">
        <v>34.42</v>
      </c>
      <c r="H1603">
        <v>49.5</v>
      </c>
      <c r="I1603">
        <v>17.38</v>
      </c>
      <c r="J1603" s="1">
        <v>45875</v>
      </c>
      <c r="K1603">
        <v>26</v>
      </c>
      <c r="L1603">
        <v>2.2000000000000002</v>
      </c>
      <c r="M1603" t="b">
        <v>0</v>
      </c>
    </row>
    <row r="1604" spans="1:14" x14ac:dyDescent="0.25">
      <c r="A1604" t="s">
        <v>1657</v>
      </c>
      <c r="B1604" t="s">
        <v>30</v>
      </c>
      <c r="C1604" t="s">
        <v>16</v>
      </c>
      <c r="D1604" t="s">
        <v>23</v>
      </c>
      <c r="F1604" t="s">
        <v>40</v>
      </c>
      <c r="G1604">
        <v>112.1</v>
      </c>
      <c r="H1604">
        <v>0</v>
      </c>
      <c r="I1604">
        <v>112.1</v>
      </c>
      <c r="J1604" s="1">
        <v>45875</v>
      </c>
      <c r="K1604">
        <v>5</v>
      </c>
      <c r="L1604">
        <v>2</v>
      </c>
      <c r="M1604" t="b">
        <v>1</v>
      </c>
      <c r="N1604" t="s">
        <v>36</v>
      </c>
    </row>
    <row r="1605" spans="1:14" x14ac:dyDescent="0.25">
      <c r="A1605" t="s">
        <v>1658</v>
      </c>
      <c r="B1605" t="s">
        <v>38</v>
      </c>
      <c r="C1605" t="s">
        <v>61</v>
      </c>
      <c r="D1605" t="s">
        <v>34</v>
      </c>
      <c r="E1605" t="s">
        <v>55</v>
      </c>
      <c r="F1605" t="s">
        <v>35</v>
      </c>
      <c r="G1605">
        <v>25.07</v>
      </c>
      <c r="H1605">
        <v>0</v>
      </c>
      <c r="I1605">
        <v>25.07</v>
      </c>
      <c r="J1605" s="1">
        <v>45875</v>
      </c>
      <c r="K1605">
        <v>9</v>
      </c>
      <c r="L1605">
        <v>2.5</v>
      </c>
      <c r="M1605" t="b">
        <v>0</v>
      </c>
    </row>
    <row r="1606" spans="1:14" x14ac:dyDescent="0.25">
      <c r="A1606" t="s">
        <v>1659</v>
      </c>
      <c r="B1606" t="s">
        <v>42</v>
      </c>
      <c r="C1606" t="s">
        <v>22</v>
      </c>
      <c r="D1606" t="s">
        <v>17</v>
      </c>
      <c r="E1606" t="s">
        <v>18</v>
      </c>
      <c r="F1606" t="s">
        <v>46</v>
      </c>
      <c r="G1606">
        <v>170.38</v>
      </c>
      <c r="H1606">
        <v>0</v>
      </c>
      <c r="I1606">
        <v>170.38</v>
      </c>
      <c r="J1606" s="1">
        <v>45540</v>
      </c>
      <c r="K1606">
        <v>23</v>
      </c>
      <c r="L1606">
        <v>4.3</v>
      </c>
      <c r="M1606" t="b">
        <v>0</v>
      </c>
    </row>
    <row r="1607" spans="1:14" x14ac:dyDescent="0.25">
      <c r="A1607" t="s">
        <v>1660</v>
      </c>
      <c r="B1607" t="s">
        <v>42</v>
      </c>
      <c r="C1607" t="s">
        <v>43</v>
      </c>
      <c r="D1607" t="s">
        <v>23</v>
      </c>
      <c r="E1607" t="s">
        <v>49</v>
      </c>
      <c r="F1607" t="s">
        <v>46</v>
      </c>
      <c r="G1607">
        <v>77.319999999999993</v>
      </c>
      <c r="H1607">
        <v>0</v>
      </c>
      <c r="I1607">
        <v>77.319999999999993</v>
      </c>
      <c r="J1607" s="1">
        <v>45875</v>
      </c>
      <c r="K1607">
        <v>30</v>
      </c>
      <c r="L1607">
        <v>2.2000000000000002</v>
      </c>
      <c r="M1607" t="b">
        <v>1</v>
      </c>
      <c r="N1607" t="s">
        <v>36</v>
      </c>
    </row>
    <row r="1608" spans="1:14" x14ac:dyDescent="0.25">
      <c r="A1608" t="s">
        <v>1661</v>
      </c>
      <c r="B1608" t="s">
        <v>30</v>
      </c>
      <c r="C1608" t="s">
        <v>43</v>
      </c>
      <c r="D1608" t="s">
        <v>23</v>
      </c>
      <c r="E1608" t="s">
        <v>55</v>
      </c>
      <c r="F1608" t="s">
        <v>28</v>
      </c>
      <c r="G1608">
        <v>111.88</v>
      </c>
      <c r="H1608">
        <v>0</v>
      </c>
      <c r="I1608">
        <v>111.88</v>
      </c>
      <c r="J1608" s="1">
        <v>45875</v>
      </c>
      <c r="K1608">
        <v>17</v>
      </c>
      <c r="L1608">
        <v>4.5999999999999996</v>
      </c>
      <c r="M1608" t="b">
        <v>0</v>
      </c>
    </row>
    <row r="1609" spans="1:14" x14ac:dyDescent="0.25">
      <c r="A1609" t="s">
        <v>1662</v>
      </c>
      <c r="B1609" t="s">
        <v>27</v>
      </c>
      <c r="C1609" t="s">
        <v>75</v>
      </c>
      <c r="D1609" t="s">
        <v>34</v>
      </c>
      <c r="F1609" t="s">
        <v>28</v>
      </c>
      <c r="G1609">
        <v>24.71</v>
      </c>
      <c r="H1609">
        <v>0</v>
      </c>
      <c r="I1609">
        <v>24.71</v>
      </c>
      <c r="J1609" s="1">
        <v>45875</v>
      </c>
      <c r="K1609">
        <v>37</v>
      </c>
      <c r="M1609" t="b">
        <v>0</v>
      </c>
    </row>
    <row r="1610" spans="1:14" x14ac:dyDescent="0.25">
      <c r="A1610" t="s">
        <v>1663</v>
      </c>
      <c r="B1610" t="s">
        <v>21</v>
      </c>
      <c r="C1610" t="s">
        <v>22</v>
      </c>
      <c r="D1610" t="s">
        <v>17</v>
      </c>
      <c r="E1610" t="s">
        <v>18</v>
      </c>
      <c r="F1610" t="s">
        <v>19</v>
      </c>
      <c r="G1610">
        <v>61.42</v>
      </c>
      <c r="H1610">
        <v>0</v>
      </c>
      <c r="I1610">
        <v>61.42</v>
      </c>
      <c r="J1610" s="1">
        <v>45526</v>
      </c>
      <c r="K1610">
        <v>41</v>
      </c>
      <c r="L1610">
        <v>3.5</v>
      </c>
      <c r="M1610" t="b">
        <v>0</v>
      </c>
    </row>
    <row r="1611" spans="1:14" x14ac:dyDescent="0.25">
      <c r="A1611" t="s">
        <v>1664</v>
      </c>
      <c r="B1611" t="s">
        <v>27</v>
      </c>
      <c r="C1611" t="s">
        <v>61</v>
      </c>
      <c r="D1611" t="s">
        <v>34</v>
      </c>
      <c r="F1611" t="s">
        <v>44</v>
      </c>
      <c r="G1611">
        <v>60.48</v>
      </c>
      <c r="H1611">
        <v>7.3</v>
      </c>
      <c r="I1611">
        <v>56.06</v>
      </c>
      <c r="J1611" s="1">
        <v>45875</v>
      </c>
      <c r="K1611">
        <v>46</v>
      </c>
      <c r="L1611">
        <v>3.6</v>
      </c>
      <c r="M1611" t="b">
        <v>0</v>
      </c>
    </row>
    <row r="1612" spans="1:14" x14ac:dyDescent="0.25">
      <c r="A1612" t="s">
        <v>1665</v>
      </c>
      <c r="B1612" t="s">
        <v>27</v>
      </c>
      <c r="C1612" t="s">
        <v>43</v>
      </c>
      <c r="D1612" t="s">
        <v>34</v>
      </c>
      <c r="F1612" t="s">
        <v>66</v>
      </c>
      <c r="G1612">
        <v>34.94</v>
      </c>
      <c r="H1612">
        <v>5.2</v>
      </c>
      <c r="I1612">
        <v>33.119999999999997</v>
      </c>
      <c r="J1612" s="1">
        <v>45875</v>
      </c>
      <c r="K1612">
        <v>18</v>
      </c>
      <c r="M1612" t="b">
        <v>0</v>
      </c>
    </row>
    <row r="1613" spans="1:14" x14ac:dyDescent="0.25">
      <c r="A1613" t="s">
        <v>1666</v>
      </c>
      <c r="B1613" t="s">
        <v>38</v>
      </c>
      <c r="C1613" t="s">
        <v>32</v>
      </c>
      <c r="D1613" t="s">
        <v>17</v>
      </c>
      <c r="E1613" t="s">
        <v>18</v>
      </c>
      <c r="F1613" t="s">
        <v>19</v>
      </c>
      <c r="G1613">
        <v>30.51</v>
      </c>
      <c r="H1613">
        <v>0</v>
      </c>
      <c r="I1613">
        <v>30.51</v>
      </c>
      <c r="J1613" s="1">
        <v>45671</v>
      </c>
      <c r="K1613">
        <v>17</v>
      </c>
      <c r="L1613">
        <v>1.2</v>
      </c>
      <c r="M1613" t="b">
        <v>0</v>
      </c>
    </row>
    <row r="1614" spans="1:14" x14ac:dyDescent="0.25">
      <c r="A1614" t="s">
        <v>1667</v>
      </c>
      <c r="B1614" t="s">
        <v>42</v>
      </c>
      <c r="C1614" t="s">
        <v>32</v>
      </c>
      <c r="D1614" t="s">
        <v>23</v>
      </c>
      <c r="E1614" t="s">
        <v>49</v>
      </c>
      <c r="F1614" t="s">
        <v>64</v>
      </c>
      <c r="G1614">
        <v>65.540000000000006</v>
      </c>
      <c r="H1614">
        <v>40.299999999999997</v>
      </c>
      <c r="I1614">
        <v>39.130000000000003</v>
      </c>
      <c r="J1614" s="1">
        <v>45875</v>
      </c>
      <c r="K1614">
        <v>27</v>
      </c>
      <c r="L1614">
        <v>1.2</v>
      </c>
      <c r="M1614" t="b">
        <v>0</v>
      </c>
    </row>
    <row r="1615" spans="1:14" x14ac:dyDescent="0.25">
      <c r="A1615" t="s">
        <v>1668</v>
      </c>
      <c r="B1615" t="s">
        <v>30</v>
      </c>
      <c r="C1615" t="s">
        <v>75</v>
      </c>
      <c r="D1615" t="s">
        <v>62</v>
      </c>
      <c r="E1615" t="s">
        <v>39</v>
      </c>
      <c r="F1615" t="s">
        <v>56</v>
      </c>
      <c r="G1615">
        <v>114.37</v>
      </c>
      <c r="H1615">
        <v>43.2</v>
      </c>
      <c r="I1615">
        <v>64.959999999999994</v>
      </c>
      <c r="J1615" s="1">
        <v>45875</v>
      </c>
      <c r="K1615">
        <v>16</v>
      </c>
      <c r="L1615">
        <v>1.4</v>
      </c>
      <c r="M1615" t="b">
        <v>0</v>
      </c>
    </row>
    <row r="1616" spans="1:14" x14ac:dyDescent="0.25">
      <c r="A1616" t="s">
        <v>1669</v>
      </c>
      <c r="B1616" t="s">
        <v>42</v>
      </c>
      <c r="C1616" t="s">
        <v>43</v>
      </c>
      <c r="D1616" t="s">
        <v>17</v>
      </c>
      <c r="E1616" t="s">
        <v>39</v>
      </c>
      <c r="F1616" t="s">
        <v>35</v>
      </c>
      <c r="G1616">
        <v>145.80000000000001</v>
      </c>
      <c r="H1616">
        <v>0</v>
      </c>
      <c r="I1616">
        <v>145.80000000000001</v>
      </c>
      <c r="J1616" s="1">
        <v>45562</v>
      </c>
      <c r="K1616">
        <v>13</v>
      </c>
      <c r="L1616">
        <v>4</v>
      </c>
      <c r="M1616" t="b">
        <v>0</v>
      </c>
    </row>
    <row r="1617" spans="1:14" x14ac:dyDescent="0.25">
      <c r="A1617" t="s">
        <v>1670</v>
      </c>
      <c r="B1617" t="s">
        <v>30</v>
      </c>
      <c r="C1617" t="s">
        <v>16</v>
      </c>
      <c r="D1617" t="s">
        <v>62</v>
      </c>
      <c r="E1617" t="s">
        <v>39</v>
      </c>
      <c r="F1617" t="s">
        <v>19</v>
      </c>
      <c r="G1617">
        <v>121.43</v>
      </c>
      <c r="H1617">
        <v>44.1</v>
      </c>
      <c r="I1617">
        <v>67.88</v>
      </c>
      <c r="J1617" s="1">
        <v>45875</v>
      </c>
      <c r="K1617">
        <v>2</v>
      </c>
      <c r="L1617">
        <v>4.4000000000000004</v>
      </c>
      <c r="M1617" t="b">
        <v>0</v>
      </c>
    </row>
    <row r="1618" spans="1:14" x14ac:dyDescent="0.25">
      <c r="A1618" t="s">
        <v>1671</v>
      </c>
      <c r="B1618" t="s">
        <v>30</v>
      </c>
      <c r="C1618" t="s">
        <v>75</v>
      </c>
      <c r="D1618" t="s">
        <v>62</v>
      </c>
      <c r="E1618" t="s">
        <v>49</v>
      </c>
      <c r="F1618" t="s">
        <v>46</v>
      </c>
      <c r="G1618">
        <v>94.49</v>
      </c>
      <c r="H1618">
        <v>0</v>
      </c>
      <c r="I1618">
        <v>94.49</v>
      </c>
      <c r="J1618" s="1">
        <v>45875</v>
      </c>
      <c r="K1618">
        <v>30</v>
      </c>
      <c r="L1618">
        <v>1.5</v>
      </c>
      <c r="M1618" t="b">
        <v>0</v>
      </c>
    </row>
    <row r="1619" spans="1:14" x14ac:dyDescent="0.25">
      <c r="A1619" t="s">
        <v>1672</v>
      </c>
      <c r="B1619" t="s">
        <v>15</v>
      </c>
      <c r="C1619" t="s">
        <v>75</v>
      </c>
      <c r="D1619" t="s">
        <v>34</v>
      </c>
      <c r="E1619" t="s">
        <v>58</v>
      </c>
      <c r="F1619" t="s">
        <v>66</v>
      </c>
      <c r="G1619">
        <v>218.64</v>
      </c>
      <c r="H1619">
        <v>0</v>
      </c>
      <c r="I1619">
        <v>218.64</v>
      </c>
      <c r="J1619" s="1">
        <v>45875</v>
      </c>
      <c r="K1619">
        <v>5</v>
      </c>
      <c r="M1619" t="b">
        <v>0</v>
      </c>
    </row>
    <row r="1620" spans="1:14" x14ac:dyDescent="0.25">
      <c r="A1620" t="s">
        <v>1673</v>
      </c>
      <c r="B1620" t="s">
        <v>15</v>
      </c>
      <c r="C1620" t="s">
        <v>22</v>
      </c>
      <c r="D1620" t="s">
        <v>34</v>
      </c>
      <c r="E1620" t="s">
        <v>39</v>
      </c>
      <c r="F1620" t="s">
        <v>28</v>
      </c>
      <c r="G1620">
        <v>80.41</v>
      </c>
      <c r="H1620">
        <v>11.9</v>
      </c>
      <c r="I1620">
        <v>70.84</v>
      </c>
      <c r="J1620" s="1">
        <v>45875</v>
      </c>
      <c r="K1620">
        <v>35</v>
      </c>
      <c r="L1620">
        <v>1.5</v>
      </c>
      <c r="M1620" t="b">
        <v>0</v>
      </c>
    </row>
    <row r="1621" spans="1:14" x14ac:dyDescent="0.25">
      <c r="A1621" t="s">
        <v>1674</v>
      </c>
      <c r="B1621" t="s">
        <v>30</v>
      </c>
      <c r="C1621" t="s">
        <v>61</v>
      </c>
      <c r="D1621" t="s">
        <v>23</v>
      </c>
      <c r="E1621" t="s">
        <v>18</v>
      </c>
      <c r="F1621" t="s">
        <v>56</v>
      </c>
      <c r="G1621">
        <v>183.3</v>
      </c>
      <c r="H1621">
        <v>0</v>
      </c>
      <c r="I1621">
        <v>183.3</v>
      </c>
      <c r="J1621" s="1">
        <v>45875</v>
      </c>
      <c r="K1621">
        <v>7</v>
      </c>
      <c r="L1621">
        <v>2</v>
      </c>
      <c r="M1621" t="b">
        <v>0</v>
      </c>
    </row>
    <row r="1622" spans="1:14" x14ac:dyDescent="0.25">
      <c r="A1622" t="s">
        <v>1675</v>
      </c>
      <c r="B1622" t="s">
        <v>15</v>
      </c>
      <c r="C1622" t="s">
        <v>22</v>
      </c>
      <c r="D1622" t="s">
        <v>34</v>
      </c>
      <c r="E1622" t="s">
        <v>55</v>
      </c>
      <c r="F1622" t="s">
        <v>35</v>
      </c>
      <c r="G1622">
        <v>241.81</v>
      </c>
      <c r="H1622">
        <v>0</v>
      </c>
      <c r="I1622">
        <v>241.81</v>
      </c>
      <c r="J1622" s="1">
        <v>45875</v>
      </c>
      <c r="K1622">
        <v>38</v>
      </c>
      <c r="L1622">
        <v>3.5</v>
      </c>
      <c r="M1622" t="b">
        <v>0</v>
      </c>
    </row>
    <row r="1623" spans="1:14" x14ac:dyDescent="0.25">
      <c r="A1623" t="s">
        <v>1676</v>
      </c>
      <c r="B1623" t="s">
        <v>15</v>
      </c>
      <c r="C1623" t="s">
        <v>43</v>
      </c>
      <c r="D1623" t="s">
        <v>17</v>
      </c>
      <c r="E1623" t="s">
        <v>55</v>
      </c>
      <c r="F1623" t="s">
        <v>35</v>
      </c>
      <c r="G1623">
        <v>216.46</v>
      </c>
      <c r="H1623">
        <v>28.8</v>
      </c>
      <c r="I1623">
        <v>154.12</v>
      </c>
      <c r="J1623" s="1">
        <v>45516</v>
      </c>
      <c r="K1623">
        <v>43</v>
      </c>
      <c r="L1623">
        <v>1.3</v>
      </c>
      <c r="M1623" t="b">
        <v>0</v>
      </c>
    </row>
    <row r="1624" spans="1:14" x14ac:dyDescent="0.25">
      <c r="A1624" t="s">
        <v>1677</v>
      </c>
      <c r="B1624" t="s">
        <v>42</v>
      </c>
      <c r="C1624" t="s">
        <v>22</v>
      </c>
      <c r="D1624" t="s">
        <v>17</v>
      </c>
      <c r="E1624" t="s">
        <v>39</v>
      </c>
      <c r="F1624" t="s">
        <v>25</v>
      </c>
      <c r="G1624">
        <v>63.07</v>
      </c>
      <c r="H1624">
        <v>53.6</v>
      </c>
      <c r="I1624">
        <v>29.26</v>
      </c>
      <c r="J1624" s="1">
        <v>45797</v>
      </c>
      <c r="K1624">
        <v>4</v>
      </c>
      <c r="L1624">
        <v>1.5</v>
      </c>
      <c r="M1624" t="b">
        <v>1</v>
      </c>
      <c r="N1624" t="s">
        <v>36</v>
      </c>
    </row>
    <row r="1625" spans="1:14" x14ac:dyDescent="0.25">
      <c r="A1625" t="s">
        <v>1678</v>
      </c>
      <c r="B1625" t="s">
        <v>27</v>
      </c>
      <c r="C1625" t="s">
        <v>32</v>
      </c>
      <c r="D1625" t="s">
        <v>17</v>
      </c>
      <c r="F1625" t="s">
        <v>46</v>
      </c>
      <c r="G1625">
        <v>44.7</v>
      </c>
      <c r="H1625">
        <v>0</v>
      </c>
      <c r="I1625">
        <v>44.7</v>
      </c>
      <c r="J1625" s="1">
        <v>45733</v>
      </c>
      <c r="K1625">
        <v>29</v>
      </c>
      <c r="L1625">
        <v>3.2</v>
      </c>
      <c r="M1625" t="b">
        <v>0</v>
      </c>
    </row>
    <row r="1626" spans="1:14" x14ac:dyDescent="0.25">
      <c r="A1626" t="s">
        <v>1679</v>
      </c>
      <c r="B1626" t="s">
        <v>21</v>
      </c>
      <c r="C1626" t="s">
        <v>16</v>
      </c>
      <c r="D1626" t="s">
        <v>34</v>
      </c>
      <c r="E1626" t="s">
        <v>49</v>
      </c>
      <c r="F1626" t="s">
        <v>35</v>
      </c>
      <c r="G1626">
        <v>28.23</v>
      </c>
      <c r="H1626">
        <v>40.299999999999997</v>
      </c>
      <c r="I1626">
        <v>16.850000000000001</v>
      </c>
      <c r="J1626" s="1">
        <v>45875</v>
      </c>
      <c r="K1626">
        <v>21</v>
      </c>
      <c r="L1626">
        <v>2.7</v>
      </c>
      <c r="M1626" t="b">
        <v>0</v>
      </c>
    </row>
    <row r="1627" spans="1:14" x14ac:dyDescent="0.25">
      <c r="A1627" t="s">
        <v>1680</v>
      </c>
      <c r="B1627" t="s">
        <v>30</v>
      </c>
      <c r="C1627" t="s">
        <v>53</v>
      </c>
      <c r="D1627" t="s">
        <v>34</v>
      </c>
      <c r="E1627" t="s">
        <v>49</v>
      </c>
      <c r="F1627" t="s">
        <v>46</v>
      </c>
      <c r="G1627">
        <v>131.94</v>
      </c>
      <c r="H1627">
        <v>27.3</v>
      </c>
      <c r="I1627">
        <v>95.92</v>
      </c>
      <c r="J1627" s="1">
        <v>45875</v>
      </c>
      <c r="K1627">
        <v>6</v>
      </c>
      <c r="L1627">
        <v>2.8</v>
      </c>
      <c r="M1627" t="b">
        <v>1</v>
      </c>
      <c r="N1627" t="s">
        <v>78</v>
      </c>
    </row>
    <row r="1628" spans="1:14" x14ac:dyDescent="0.25">
      <c r="A1628" t="s">
        <v>1681</v>
      </c>
      <c r="B1628" t="s">
        <v>15</v>
      </c>
      <c r="C1628" t="s">
        <v>75</v>
      </c>
      <c r="D1628" t="s">
        <v>34</v>
      </c>
      <c r="E1628" t="s">
        <v>58</v>
      </c>
      <c r="F1628" t="s">
        <v>44</v>
      </c>
      <c r="G1628">
        <v>166.85</v>
      </c>
      <c r="H1628">
        <v>30.9</v>
      </c>
      <c r="I1628">
        <v>115.29</v>
      </c>
      <c r="J1628" s="1">
        <v>45875</v>
      </c>
      <c r="K1628">
        <v>14</v>
      </c>
      <c r="L1628">
        <v>4.2</v>
      </c>
      <c r="M1628" t="b">
        <v>1</v>
      </c>
      <c r="N1628" t="s">
        <v>115</v>
      </c>
    </row>
    <row r="1629" spans="1:14" x14ac:dyDescent="0.25">
      <c r="A1629" t="s">
        <v>1682</v>
      </c>
      <c r="B1629" t="s">
        <v>21</v>
      </c>
      <c r="C1629" t="s">
        <v>32</v>
      </c>
      <c r="D1629" t="s">
        <v>23</v>
      </c>
      <c r="E1629" t="s">
        <v>39</v>
      </c>
      <c r="F1629" t="s">
        <v>64</v>
      </c>
      <c r="G1629">
        <v>39.58</v>
      </c>
      <c r="H1629">
        <v>30.9</v>
      </c>
      <c r="I1629">
        <v>27.35</v>
      </c>
      <c r="J1629" s="1">
        <v>45875</v>
      </c>
      <c r="K1629">
        <v>17</v>
      </c>
      <c r="L1629">
        <v>2.5</v>
      </c>
      <c r="M1629" t="b">
        <v>0</v>
      </c>
    </row>
    <row r="1630" spans="1:14" x14ac:dyDescent="0.25">
      <c r="A1630" t="s">
        <v>1683</v>
      </c>
      <c r="B1630" t="s">
        <v>15</v>
      </c>
      <c r="C1630" t="s">
        <v>22</v>
      </c>
      <c r="D1630" t="s">
        <v>62</v>
      </c>
      <c r="E1630" t="s">
        <v>58</v>
      </c>
      <c r="F1630" t="s">
        <v>44</v>
      </c>
      <c r="G1630">
        <v>89.55</v>
      </c>
      <c r="H1630">
        <v>58</v>
      </c>
      <c r="I1630">
        <v>37.61</v>
      </c>
      <c r="J1630" s="1">
        <v>45875</v>
      </c>
      <c r="K1630">
        <v>21</v>
      </c>
      <c r="L1630">
        <v>2.6</v>
      </c>
      <c r="M1630" t="b">
        <v>0</v>
      </c>
    </row>
    <row r="1631" spans="1:14" x14ac:dyDescent="0.25">
      <c r="A1631" t="s">
        <v>1684</v>
      </c>
      <c r="B1631" t="s">
        <v>15</v>
      </c>
      <c r="C1631" t="s">
        <v>43</v>
      </c>
      <c r="D1631" t="s">
        <v>34</v>
      </c>
      <c r="E1631" t="s">
        <v>58</v>
      </c>
      <c r="F1631" t="s">
        <v>66</v>
      </c>
      <c r="G1631">
        <v>138.55000000000001</v>
      </c>
      <c r="H1631">
        <v>0</v>
      </c>
      <c r="I1631">
        <v>138.55000000000001</v>
      </c>
      <c r="J1631" s="1">
        <v>45875</v>
      </c>
      <c r="K1631">
        <v>25</v>
      </c>
      <c r="L1631">
        <v>2</v>
      </c>
      <c r="M1631" t="b">
        <v>0</v>
      </c>
    </row>
    <row r="1632" spans="1:14" x14ac:dyDescent="0.25">
      <c r="A1632" t="s">
        <v>1685</v>
      </c>
      <c r="B1632" t="s">
        <v>27</v>
      </c>
      <c r="C1632" t="s">
        <v>22</v>
      </c>
      <c r="D1632" t="s">
        <v>34</v>
      </c>
      <c r="F1632" t="s">
        <v>56</v>
      </c>
      <c r="G1632">
        <v>43.84</v>
      </c>
      <c r="H1632">
        <v>0</v>
      </c>
      <c r="I1632">
        <v>43.84</v>
      </c>
      <c r="J1632" s="1">
        <v>45875</v>
      </c>
      <c r="K1632">
        <v>28</v>
      </c>
      <c r="L1632">
        <v>2.8</v>
      </c>
      <c r="M1632" t="b">
        <v>0</v>
      </c>
    </row>
    <row r="1633" spans="1:14" x14ac:dyDescent="0.25">
      <c r="A1633" t="s">
        <v>1686</v>
      </c>
      <c r="B1633" t="s">
        <v>21</v>
      </c>
      <c r="C1633" t="s">
        <v>75</v>
      </c>
      <c r="D1633" t="s">
        <v>34</v>
      </c>
      <c r="E1633" t="s">
        <v>18</v>
      </c>
      <c r="F1633" t="s">
        <v>70</v>
      </c>
      <c r="G1633">
        <v>63.72</v>
      </c>
      <c r="H1633">
        <v>17.8</v>
      </c>
      <c r="I1633">
        <v>52.38</v>
      </c>
      <c r="J1633" s="1">
        <v>45875</v>
      </c>
      <c r="K1633">
        <v>45</v>
      </c>
      <c r="L1633">
        <v>2.4</v>
      </c>
      <c r="M1633" t="b">
        <v>0</v>
      </c>
    </row>
    <row r="1634" spans="1:14" x14ac:dyDescent="0.25">
      <c r="A1634" t="s">
        <v>1687</v>
      </c>
      <c r="B1634" t="s">
        <v>27</v>
      </c>
      <c r="C1634" t="s">
        <v>16</v>
      </c>
      <c r="D1634" t="s">
        <v>17</v>
      </c>
      <c r="F1634" t="s">
        <v>19</v>
      </c>
      <c r="G1634">
        <v>74.61</v>
      </c>
      <c r="H1634">
        <v>0</v>
      </c>
      <c r="I1634">
        <v>74.61</v>
      </c>
      <c r="J1634" s="1">
        <v>45775</v>
      </c>
      <c r="K1634">
        <v>38</v>
      </c>
      <c r="L1634">
        <v>2.8</v>
      </c>
      <c r="M1634" t="b">
        <v>0</v>
      </c>
    </row>
    <row r="1635" spans="1:14" x14ac:dyDescent="0.25">
      <c r="A1635" t="s">
        <v>1688</v>
      </c>
      <c r="B1635" t="s">
        <v>30</v>
      </c>
      <c r="C1635" t="s">
        <v>22</v>
      </c>
      <c r="D1635" t="s">
        <v>17</v>
      </c>
      <c r="E1635" t="s">
        <v>39</v>
      </c>
      <c r="F1635" t="s">
        <v>40</v>
      </c>
      <c r="G1635">
        <v>148.24</v>
      </c>
      <c r="H1635">
        <v>10.9</v>
      </c>
      <c r="I1635">
        <v>132.08000000000001</v>
      </c>
      <c r="J1635" s="1">
        <v>45531</v>
      </c>
      <c r="K1635">
        <v>44</v>
      </c>
      <c r="L1635">
        <v>1.3</v>
      </c>
      <c r="M1635" t="b">
        <v>0</v>
      </c>
    </row>
    <row r="1636" spans="1:14" x14ac:dyDescent="0.25">
      <c r="A1636" t="s">
        <v>1689</v>
      </c>
      <c r="B1636" t="s">
        <v>21</v>
      </c>
      <c r="C1636" t="s">
        <v>61</v>
      </c>
      <c r="D1636" t="s">
        <v>17</v>
      </c>
      <c r="E1636" t="s">
        <v>18</v>
      </c>
      <c r="F1636" t="s">
        <v>40</v>
      </c>
      <c r="G1636">
        <v>93.46</v>
      </c>
      <c r="H1636">
        <v>0</v>
      </c>
      <c r="I1636">
        <v>93.46</v>
      </c>
      <c r="J1636" s="1">
        <v>45700</v>
      </c>
      <c r="K1636">
        <v>20</v>
      </c>
      <c r="L1636">
        <v>2.2000000000000002</v>
      </c>
      <c r="M1636" t="b">
        <v>0</v>
      </c>
    </row>
    <row r="1637" spans="1:14" x14ac:dyDescent="0.25">
      <c r="A1637" t="s">
        <v>1690</v>
      </c>
      <c r="B1637" t="s">
        <v>15</v>
      </c>
      <c r="C1637" t="s">
        <v>22</v>
      </c>
      <c r="D1637" t="s">
        <v>62</v>
      </c>
      <c r="E1637" t="s">
        <v>49</v>
      </c>
      <c r="F1637" t="s">
        <v>19</v>
      </c>
      <c r="G1637">
        <v>245.31</v>
      </c>
      <c r="H1637">
        <v>44.1</v>
      </c>
      <c r="I1637">
        <v>137.13</v>
      </c>
      <c r="J1637" s="1">
        <v>45875</v>
      </c>
      <c r="K1637">
        <v>44</v>
      </c>
      <c r="M1637" t="b">
        <v>0</v>
      </c>
    </row>
    <row r="1638" spans="1:14" x14ac:dyDescent="0.25">
      <c r="A1638" t="s">
        <v>1691</v>
      </c>
      <c r="B1638" t="s">
        <v>21</v>
      </c>
      <c r="C1638" t="s">
        <v>32</v>
      </c>
      <c r="D1638" t="s">
        <v>17</v>
      </c>
      <c r="E1638" t="s">
        <v>49</v>
      </c>
      <c r="F1638" t="s">
        <v>19</v>
      </c>
      <c r="G1638">
        <v>43.38</v>
      </c>
      <c r="H1638">
        <v>45.9</v>
      </c>
      <c r="I1638">
        <v>23.47</v>
      </c>
      <c r="J1638" s="1">
        <v>45629</v>
      </c>
      <c r="K1638">
        <v>47</v>
      </c>
      <c r="L1638">
        <v>3.7</v>
      </c>
      <c r="M1638" t="b">
        <v>1</v>
      </c>
      <c r="N1638" t="s">
        <v>115</v>
      </c>
    </row>
    <row r="1639" spans="1:14" x14ac:dyDescent="0.25">
      <c r="A1639" t="s">
        <v>1692</v>
      </c>
      <c r="B1639" t="s">
        <v>27</v>
      </c>
      <c r="C1639" t="s">
        <v>53</v>
      </c>
      <c r="D1639" t="s">
        <v>34</v>
      </c>
      <c r="F1639" t="s">
        <v>28</v>
      </c>
      <c r="G1639">
        <v>40.04</v>
      </c>
      <c r="H1639">
        <v>45.5</v>
      </c>
      <c r="I1639">
        <v>21.82</v>
      </c>
      <c r="J1639" s="1">
        <v>45875</v>
      </c>
      <c r="K1639">
        <v>50</v>
      </c>
      <c r="L1639">
        <v>2.2000000000000002</v>
      </c>
      <c r="M1639" t="b">
        <v>0</v>
      </c>
    </row>
    <row r="1640" spans="1:14" x14ac:dyDescent="0.25">
      <c r="A1640" t="s">
        <v>1693</v>
      </c>
      <c r="B1640" t="s">
        <v>15</v>
      </c>
      <c r="C1640" t="s">
        <v>48</v>
      </c>
      <c r="D1640" t="s">
        <v>34</v>
      </c>
      <c r="E1640" t="s">
        <v>58</v>
      </c>
      <c r="F1640" t="s">
        <v>56</v>
      </c>
      <c r="G1640">
        <v>209.68</v>
      </c>
      <c r="H1640">
        <v>3.6</v>
      </c>
      <c r="I1640">
        <v>202.13</v>
      </c>
      <c r="J1640" s="1">
        <v>45875</v>
      </c>
      <c r="K1640">
        <v>18</v>
      </c>
      <c r="L1640">
        <v>4.0999999999999996</v>
      </c>
      <c r="M1640" t="b">
        <v>0</v>
      </c>
    </row>
    <row r="1641" spans="1:14" x14ac:dyDescent="0.25">
      <c r="A1641" t="s">
        <v>1694</v>
      </c>
      <c r="B1641" t="s">
        <v>27</v>
      </c>
      <c r="C1641" t="s">
        <v>43</v>
      </c>
      <c r="D1641" t="s">
        <v>23</v>
      </c>
      <c r="F1641" t="s">
        <v>70</v>
      </c>
      <c r="G1641">
        <v>38.08</v>
      </c>
      <c r="H1641">
        <v>0</v>
      </c>
      <c r="I1641">
        <v>38.08</v>
      </c>
      <c r="J1641" s="1">
        <v>45875</v>
      </c>
      <c r="K1641">
        <v>0</v>
      </c>
      <c r="L1641">
        <v>1.6</v>
      </c>
      <c r="M1641" t="b">
        <v>0</v>
      </c>
    </row>
    <row r="1642" spans="1:14" x14ac:dyDescent="0.25">
      <c r="A1642" t="s">
        <v>1695</v>
      </c>
      <c r="B1642" t="s">
        <v>15</v>
      </c>
      <c r="C1642" t="s">
        <v>53</v>
      </c>
      <c r="D1642" t="s">
        <v>17</v>
      </c>
      <c r="E1642" t="s">
        <v>49</v>
      </c>
      <c r="F1642" t="s">
        <v>56</v>
      </c>
      <c r="G1642">
        <v>123.04</v>
      </c>
      <c r="H1642">
        <v>0</v>
      </c>
      <c r="I1642">
        <v>123.04</v>
      </c>
      <c r="J1642" s="1">
        <v>45752</v>
      </c>
      <c r="K1642">
        <v>13</v>
      </c>
      <c r="L1642">
        <v>1.2</v>
      </c>
      <c r="M1642" t="b">
        <v>0</v>
      </c>
    </row>
    <row r="1643" spans="1:14" x14ac:dyDescent="0.25">
      <c r="A1643" t="s">
        <v>1696</v>
      </c>
      <c r="B1643" t="s">
        <v>27</v>
      </c>
      <c r="C1643" t="s">
        <v>22</v>
      </c>
      <c r="D1643" t="s">
        <v>62</v>
      </c>
      <c r="F1643" t="s">
        <v>25</v>
      </c>
      <c r="G1643">
        <v>39.94</v>
      </c>
      <c r="H1643">
        <v>0</v>
      </c>
      <c r="I1643">
        <v>39.94</v>
      </c>
      <c r="J1643" s="1">
        <v>45875</v>
      </c>
      <c r="K1643">
        <v>32</v>
      </c>
      <c r="L1643">
        <v>3.1</v>
      </c>
      <c r="M1643" t="b">
        <v>0</v>
      </c>
    </row>
    <row r="1644" spans="1:14" x14ac:dyDescent="0.25">
      <c r="A1644" t="s">
        <v>1697</v>
      </c>
      <c r="B1644" t="s">
        <v>42</v>
      </c>
      <c r="C1644" t="s">
        <v>48</v>
      </c>
      <c r="D1644" t="s">
        <v>62</v>
      </c>
      <c r="E1644" t="s">
        <v>58</v>
      </c>
      <c r="F1644" t="s">
        <v>40</v>
      </c>
      <c r="G1644">
        <v>80.19</v>
      </c>
      <c r="H1644">
        <v>0</v>
      </c>
      <c r="I1644">
        <v>80.19</v>
      </c>
      <c r="J1644" s="1">
        <v>45875</v>
      </c>
      <c r="K1644">
        <v>43</v>
      </c>
      <c r="L1644">
        <v>3.8</v>
      </c>
      <c r="M1644" t="b">
        <v>0</v>
      </c>
    </row>
    <row r="1645" spans="1:14" x14ac:dyDescent="0.25">
      <c r="A1645" t="s">
        <v>1698</v>
      </c>
      <c r="B1645" t="s">
        <v>21</v>
      </c>
      <c r="C1645" t="s">
        <v>22</v>
      </c>
      <c r="D1645" t="s">
        <v>17</v>
      </c>
      <c r="E1645" t="s">
        <v>49</v>
      </c>
      <c r="F1645" t="s">
        <v>66</v>
      </c>
      <c r="G1645">
        <v>35.03</v>
      </c>
      <c r="H1645">
        <v>10.1</v>
      </c>
      <c r="I1645">
        <v>31.49</v>
      </c>
      <c r="J1645" s="1">
        <v>45807</v>
      </c>
      <c r="K1645">
        <v>5</v>
      </c>
      <c r="L1645">
        <v>3.8</v>
      </c>
      <c r="M1645" t="b">
        <v>0</v>
      </c>
    </row>
    <row r="1646" spans="1:14" x14ac:dyDescent="0.25">
      <c r="A1646" t="s">
        <v>1699</v>
      </c>
      <c r="B1646" t="s">
        <v>21</v>
      </c>
      <c r="C1646" t="s">
        <v>48</v>
      </c>
      <c r="D1646" t="s">
        <v>62</v>
      </c>
      <c r="E1646" t="s">
        <v>58</v>
      </c>
      <c r="F1646" t="s">
        <v>28</v>
      </c>
      <c r="G1646">
        <v>27.64</v>
      </c>
      <c r="H1646">
        <v>29</v>
      </c>
      <c r="I1646">
        <v>19.62</v>
      </c>
      <c r="J1646" s="1">
        <v>45875</v>
      </c>
      <c r="K1646">
        <v>19</v>
      </c>
      <c r="L1646">
        <v>1</v>
      </c>
      <c r="M1646" t="b">
        <v>0</v>
      </c>
    </row>
    <row r="1647" spans="1:14" x14ac:dyDescent="0.25">
      <c r="A1647" t="s">
        <v>1700</v>
      </c>
      <c r="B1647" t="s">
        <v>15</v>
      </c>
      <c r="C1647" t="s">
        <v>43</v>
      </c>
      <c r="D1647" t="s">
        <v>17</v>
      </c>
      <c r="E1647" t="s">
        <v>58</v>
      </c>
      <c r="F1647" t="s">
        <v>64</v>
      </c>
      <c r="G1647">
        <v>187.63</v>
      </c>
      <c r="H1647">
        <v>0</v>
      </c>
      <c r="I1647">
        <v>187.63</v>
      </c>
      <c r="J1647" s="1">
        <v>45772</v>
      </c>
      <c r="K1647">
        <v>25</v>
      </c>
      <c r="L1647">
        <v>1.8</v>
      </c>
      <c r="M1647" t="b">
        <v>0</v>
      </c>
    </row>
    <row r="1648" spans="1:14" x14ac:dyDescent="0.25">
      <c r="A1648" t="s">
        <v>1701</v>
      </c>
      <c r="B1648" t="s">
        <v>15</v>
      </c>
      <c r="C1648" t="s">
        <v>48</v>
      </c>
      <c r="D1648" t="s">
        <v>23</v>
      </c>
      <c r="E1648" t="s">
        <v>49</v>
      </c>
      <c r="F1648" t="s">
        <v>28</v>
      </c>
      <c r="G1648">
        <v>193.17</v>
      </c>
      <c r="H1648">
        <v>34.6</v>
      </c>
      <c r="I1648">
        <v>126.33</v>
      </c>
      <c r="J1648" s="1">
        <v>45875</v>
      </c>
      <c r="K1648">
        <v>26</v>
      </c>
      <c r="M1648" t="b">
        <v>0</v>
      </c>
    </row>
    <row r="1649" spans="1:14" x14ac:dyDescent="0.25">
      <c r="A1649" t="s">
        <v>1702</v>
      </c>
      <c r="B1649" t="s">
        <v>30</v>
      </c>
      <c r="C1649" t="s">
        <v>32</v>
      </c>
      <c r="D1649" t="s">
        <v>17</v>
      </c>
      <c r="E1649" t="s">
        <v>58</v>
      </c>
      <c r="F1649" t="s">
        <v>28</v>
      </c>
      <c r="G1649">
        <v>157.78</v>
      </c>
      <c r="H1649">
        <v>40.200000000000003</v>
      </c>
      <c r="I1649">
        <v>94.35</v>
      </c>
      <c r="J1649" s="1">
        <v>45871</v>
      </c>
      <c r="K1649">
        <v>23</v>
      </c>
      <c r="L1649">
        <v>3.1</v>
      </c>
      <c r="M1649" t="b">
        <v>0</v>
      </c>
    </row>
    <row r="1650" spans="1:14" x14ac:dyDescent="0.25">
      <c r="A1650" t="s">
        <v>1703</v>
      </c>
      <c r="B1650" t="s">
        <v>30</v>
      </c>
      <c r="C1650" t="s">
        <v>16</v>
      </c>
      <c r="D1650" t="s">
        <v>23</v>
      </c>
      <c r="E1650" t="s">
        <v>24</v>
      </c>
      <c r="F1650" t="s">
        <v>28</v>
      </c>
      <c r="G1650">
        <v>119.14</v>
      </c>
      <c r="H1650">
        <v>7.8</v>
      </c>
      <c r="I1650">
        <v>109.85</v>
      </c>
      <c r="J1650" s="1">
        <v>45875</v>
      </c>
      <c r="K1650">
        <v>20</v>
      </c>
      <c r="L1650">
        <v>3.1</v>
      </c>
      <c r="M1650" t="b">
        <v>0</v>
      </c>
    </row>
    <row r="1651" spans="1:14" x14ac:dyDescent="0.25">
      <c r="A1651" t="s">
        <v>1704</v>
      </c>
      <c r="B1651" t="s">
        <v>42</v>
      </c>
      <c r="C1651" t="s">
        <v>75</v>
      </c>
      <c r="D1651" t="s">
        <v>23</v>
      </c>
      <c r="E1651" t="s">
        <v>58</v>
      </c>
      <c r="F1651" t="s">
        <v>35</v>
      </c>
      <c r="G1651">
        <v>150.08000000000001</v>
      </c>
      <c r="H1651">
        <v>4.8</v>
      </c>
      <c r="I1651">
        <v>142.88</v>
      </c>
      <c r="J1651" s="1">
        <v>45875</v>
      </c>
      <c r="K1651">
        <v>24</v>
      </c>
      <c r="L1651">
        <v>1.7</v>
      </c>
      <c r="M1651" t="b">
        <v>0</v>
      </c>
    </row>
    <row r="1652" spans="1:14" x14ac:dyDescent="0.25">
      <c r="A1652" t="s">
        <v>1705</v>
      </c>
      <c r="B1652" t="s">
        <v>42</v>
      </c>
      <c r="C1652" t="s">
        <v>22</v>
      </c>
      <c r="D1652" t="s">
        <v>62</v>
      </c>
      <c r="E1652" t="s">
        <v>24</v>
      </c>
      <c r="F1652" t="s">
        <v>44</v>
      </c>
      <c r="G1652">
        <v>153.18</v>
      </c>
      <c r="H1652">
        <v>0</v>
      </c>
      <c r="I1652">
        <v>153.18</v>
      </c>
      <c r="J1652" s="1">
        <v>45875</v>
      </c>
      <c r="K1652">
        <v>26</v>
      </c>
      <c r="L1652">
        <v>1.1000000000000001</v>
      </c>
      <c r="M1652" t="b">
        <v>0</v>
      </c>
    </row>
    <row r="1653" spans="1:14" x14ac:dyDescent="0.25">
      <c r="A1653" t="s">
        <v>1706</v>
      </c>
      <c r="B1653" t="s">
        <v>21</v>
      </c>
      <c r="C1653" t="s">
        <v>32</v>
      </c>
      <c r="D1653" t="s">
        <v>23</v>
      </c>
      <c r="E1653" t="s">
        <v>39</v>
      </c>
      <c r="F1653" t="s">
        <v>25</v>
      </c>
      <c r="G1653">
        <v>118.69</v>
      </c>
      <c r="H1653">
        <v>47.7</v>
      </c>
      <c r="I1653">
        <v>62.07</v>
      </c>
      <c r="J1653" s="1">
        <v>45875</v>
      </c>
      <c r="K1653">
        <v>11</v>
      </c>
      <c r="L1653">
        <v>2.8</v>
      </c>
      <c r="M1653" t="b">
        <v>0</v>
      </c>
    </row>
    <row r="1654" spans="1:14" x14ac:dyDescent="0.25">
      <c r="A1654" t="s">
        <v>1707</v>
      </c>
      <c r="B1654" t="s">
        <v>27</v>
      </c>
      <c r="C1654" t="s">
        <v>48</v>
      </c>
      <c r="D1654" t="s">
        <v>17</v>
      </c>
      <c r="F1654" t="s">
        <v>64</v>
      </c>
      <c r="G1654">
        <v>50.12</v>
      </c>
      <c r="H1654">
        <v>0</v>
      </c>
      <c r="I1654">
        <v>50.12</v>
      </c>
      <c r="J1654" s="1">
        <v>45725</v>
      </c>
      <c r="K1654">
        <v>27</v>
      </c>
      <c r="L1654">
        <v>2.4</v>
      </c>
      <c r="M1654" t="b">
        <v>0</v>
      </c>
    </row>
    <row r="1655" spans="1:14" x14ac:dyDescent="0.25">
      <c r="A1655" t="s">
        <v>1708</v>
      </c>
      <c r="B1655" t="s">
        <v>42</v>
      </c>
      <c r="C1655" t="s">
        <v>61</v>
      </c>
      <c r="D1655" t="s">
        <v>17</v>
      </c>
      <c r="E1655" t="s">
        <v>55</v>
      </c>
      <c r="F1655" t="s">
        <v>44</v>
      </c>
      <c r="G1655">
        <v>93.68</v>
      </c>
      <c r="H1655">
        <v>59.5</v>
      </c>
      <c r="I1655">
        <v>37.94</v>
      </c>
      <c r="J1655" s="1">
        <v>45771</v>
      </c>
      <c r="K1655">
        <v>21</v>
      </c>
      <c r="M1655" t="b">
        <v>0</v>
      </c>
    </row>
    <row r="1656" spans="1:14" x14ac:dyDescent="0.25">
      <c r="A1656" t="s">
        <v>1709</v>
      </c>
      <c r="B1656" t="s">
        <v>21</v>
      </c>
      <c r="C1656" t="s">
        <v>22</v>
      </c>
      <c r="D1656" t="s">
        <v>62</v>
      </c>
      <c r="E1656" t="s">
        <v>39</v>
      </c>
      <c r="F1656" t="s">
        <v>19</v>
      </c>
      <c r="G1656">
        <v>50.49</v>
      </c>
      <c r="H1656">
        <v>0</v>
      </c>
      <c r="I1656">
        <v>50.49</v>
      </c>
      <c r="J1656" s="1">
        <v>45875</v>
      </c>
      <c r="K1656">
        <v>30</v>
      </c>
      <c r="L1656">
        <v>4.0999999999999996</v>
      </c>
      <c r="M1656" t="b">
        <v>0</v>
      </c>
    </row>
    <row r="1657" spans="1:14" x14ac:dyDescent="0.25">
      <c r="A1657" t="s">
        <v>1710</v>
      </c>
      <c r="B1657" t="s">
        <v>30</v>
      </c>
      <c r="C1657" t="s">
        <v>43</v>
      </c>
      <c r="D1657" t="s">
        <v>62</v>
      </c>
      <c r="E1657" t="s">
        <v>55</v>
      </c>
      <c r="F1657" t="s">
        <v>35</v>
      </c>
      <c r="G1657">
        <v>97.9</v>
      </c>
      <c r="H1657">
        <v>0</v>
      </c>
      <c r="I1657">
        <v>97.9</v>
      </c>
      <c r="J1657" s="1">
        <v>45875</v>
      </c>
      <c r="K1657">
        <v>29</v>
      </c>
      <c r="L1657">
        <v>1.3</v>
      </c>
      <c r="M1657" t="b">
        <v>0</v>
      </c>
    </row>
    <row r="1658" spans="1:14" x14ac:dyDescent="0.25">
      <c r="A1658" t="s">
        <v>1711</v>
      </c>
      <c r="B1658" t="s">
        <v>21</v>
      </c>
      <c r="C1658" t="s">
        <v>22</v>
      </c>
      <c r="D1658" t="s">
        <v>62</v>
      </c>
      <c r="E1658" t="s">
        <v>39</v>
      </c>
      <c r="F1658" t="s">
        <v>40</v>
      </c>
      <c r="G1658">
        <v>69</v>
      </c>
      <c r="H1658">
        <v>0</v>
      </c>
      <c r="I1658">
        <v>69</v>
      </c>
      <c r="J1658" s="1">
        <v>45875</v>
      </c>
      <c r="K1658">
        <v>32</v>
      </c>
      <c r="L1658">
        <v>4.5</v>
      </c>
      <c r="M1658" t="b">
        <v>0</v>
      </c>
    </row>
    <row r="1659" spans="1:14" x14ac:dyDescent="0.25">
      <c r="A1659" t="s">
        <v>1712</v>
      </c>
      <c r="B1659" t="s">
        <v>27</v>
      </c>
      <c r="C1659" t="s">
        <v>43</v>
      </c>
      <c r="D1659" t="s">
        <v>34</v>
      </c>
      <c r="F1659" t="s">
        <v>66</v>
      </c>
      <c r="G1659">
        <v>30.2</v>
      </c>
      <c r="H1659">
        <v>27.1</v>
      </c>
      <c r="I1659">
        <v>22.02</v>
      </c>
      <c r="J1659" s="1">
        <v>45875</v>
      </c>
      <c r="K1659">
        <v>15</v>
      </c>
      <c r="M1659" t="b">
        <v>0</v>
      </c>
    </row>
    <row r="1660" spans="1:14" x14ac:dyDescent="0.25">
      <c r="A1660" t="s">
        <v>1713</v>
      </c>
      <c r="B1660" t="s">
        <v>21</v>
      </c>
      <c r="C1660" t="s">
        <v>32</v>
      </c>
      <c r="D1660" t="s">
        <v>23</v>
      </c>
      <c r="E1660" t="s">
        <v>24</v>
      </c>
      <c r="F1660" t="s">
        <v>56</v>
      </c>
      <c r="G1660">
        <v>84.92</v>
      </c>
      <c r="H1660">
        <v>59.1</v>
      </c>
      <c r="I1660">
        <v>34.729999999999997</v>
      </c>
      <c r="J1660" s="1">
        <v>45875</v>
      </c>
      <c r="K1660">
        <v>42</v>
      </c>
      <c r="M1660" t="b">
        <v>0</v>
      </c>
    </row>
    <row r="1661" spans="1:14" x14ac:dyDescent="0.25">
      <c r="A1661" t="s">
        <v>1714</v>
      </c>
      <c r="B1661" t="s">
        <v>21</v>
      </c>
      <c r="C1661" t="s">
        <v>75</v>
      </c>
      <c r="D1661" t="s">
        <v>34</v>
      </c>
      <c r="E1661" t="s">
        <v>55</v>
      </c>
      <c r="F1661" t="s">
        <v>35</v>
      </c>
      <c r="G1661">
        <v>116.48</v>
      </c>
      <c r="H1661">
        <v>0</v>
      </c>
      <c r="I1661">
        <v>116.48</v>
      </c>
      <c r="J1661" s="1">
        <v>45875</v>
      </c>
      <c r="K1661">
        <v>3</v>
      </c>
      <c r="L1661">
        <v>1.5</v>
      </c>
      <c r="M1661" t="b">
        <v>0</v>
      </c>
    </row>
    <row r="1662" spans="1:14" x14ac:dyDescent="0.25">
      <c r="A1662" t="s">
        <v>1715</v>
      </c>
      <c r="B1662" t="s">
        <v>21</v>
      </c>
      <c r="C1662" t="s">
        <v>48</v>
      </c>
      <c r="D1662" t="s">
        <v>62</v>
      </c>
      <c r="E1662" t="s">
        <v>18</v>
      </c>
      <c r="F1662" t="s">
        <v>64</v>
      </c>
      <c r="G1662">
        <v>40.68</v>
      </c>
      <c r="H1662">
        <v>0</v>
      </c>
      <c r="I1662">
        <v>40.68</v>
      </c>
      <c r="J1662" s="1">
        <v>45875</v>
      </c>
      <c r="K1662">
        <v>41</v>
      </c>
      <c r="L1662">
        <v>1.1000000000000001</v>
      </c>
      <c r="M1662" t="b">
        <v>1</v>
      </c>
      <c r="N1662" t="s">
        <v>115</v>
      </c>
    </row>
    <row r="1663" spans="1:14" x14ac:dyDescent="0.25">
      <c r="A1663" t="s">
        <v>1716</v>
      </c>
      <c r="B1663" t="s">
        <v>15</v>
      </c>
      <c r="C1663" t="s">
        <v>53</v>
      </c>
      <c r="D1663" t="s">
        <v>62</v>
      </c>
      <c r="E1663" t="s">
        <v>18</v>
      </c>
      <c r="F1663" t="s">
        <v>28</v>
      </c>
      <c r="G1663">
        <v>118.92</v>
      </c>
      <c r="H1663">
        <v>0</v>
      </c>
      <c r="I1663">
        <v>118.92</v>
      </c>
      <c r="J1663" s="1">
        <v>45875</v>
      </c>
      <c r="K1663">
        <v>36</v>
      </c>
      <c r="L1663">
        <v>1.8</v>
      </c>
      <c r="M1663" t="b">
        <v>1</v>
      </c>
      <c r="N1663" t="s">
        <v>125</v>
      </c>
    </row>
    <row r="1664" spans="1:14" x14ac:dyDescent="0.25">
      <c r="A1664" t="s">
        <v>1717</v>
      </c>
      <c r="B1664" t="s">
        <v>38</v>
      </c>
      <c r="C1664" t="s">
        <v>53</v>
      </c>
      <c r="D1664" t="s">
        <v>62</v>
      </c>
      <c r="E1664" t="s">
        <v>49</v>
      </c>
      <c r="F1664" t="s">
        <v>28</v>
      </c>
      <c r="G1664">
        <v>26.86</v>
      </c>
      <c r="H1664">
        <v>0</v>
      </c>
      <c r="I1664">
        <v>26.86</v>
      </c>
      <c r="J1664" s="1">
        <v>45875</v>
      </c>
      <c r="K1664">
        <v>18</v>
      </c>
      <c r="L1664">
        <v>3.2</v>
      </c>
      <c r="M1664" t="b">
        <v>0</v>
      </c>
    </row>
    <row r="1665" spans="1:14" x14ac:dyDescent="0.25">
      <c r="A1665" t="s">
        <v>1718</v>
      </c>
      <c r="B1665" t="s">
        <v>42</v>
      </c>
      <c r="C1665" t="s">
        <v>32</v>
      </c>
      <c r="D1665" t="s">
        <v>34</v>
      </c>
      <c r="E1665" t="s">
        <v>39</v>
      </c>
      <c r="F1665" t="s">
        <v>46</v>
      </c>
      <c r="G1665">
        <v>113.34</v>
      </c>
      <c r="H1665">
        <v>0</v>
      </c>
      <c r="I1665">
        <v>113.34</v>
      </c>
      <c r="J1665" s="1">
        <v>45875</v>
      </c>
      <c r="K1665">
        <v>13</v>
      </c>
      <c r="M1665" t="b">
        <v>0</v>
      </c>
    </row>
    <row r="1666" spans="1:14" x14ac:dyDescent="0.25">
      <c r="A1666" t="s">
        <v>1719</v>
      </c>
      <c r="B1666" t="s">
        <v>21</v>
      </c>
      <c r="C1666" t="s">
        <v>61</v>
      </c>
      <c r="D1666" t="s">
        <v>62</v>
      </c>
      <c r="E1666" t="s">
        <v>24</v>
      </c>
      <c r="F1666" t="s">
        <v>28</v>
      </c>
      <c r="G1666">
        <v>40.520000000000003</v>
      </c>
      <c r="H1666">
        <v>8.9</v>
      </c>
      <c r="I1666">
        <v>36.909999999999997</v>
      </c>
      <c r="J1666" s="1">
        <v>45875</v>
      </c>
      <c r="K1666">
        <v>13</v>
      </c>
      <c r="L1666">
        <v>2.5</v>
      </c>
      <c r="M1666" t="b">
        <v>0</v>
      </c>
    </row>
    <row r="1667" spans="1:14" x14ac:dyDescent="0.25">
      <c r="A1667" t="s">
        <v>1720</v>
      </c>
      <c r="B1667" t="s">
        <v>38</v>
      </c>
      <c r="C1667" t="s">
        <v>75</v>
      </c>
      <c r="D1667" t="s">
        <v>62</v>
      </c>
      <c r="E1667" t="s">
        <v>24</v>
      </c>
      <c r="F1667" t="s">
        <v>25</v>
      </c>
      <c r="G1667">
        <v>98.41</v>
      </c>
      <c r="H1667">
        <v>0</v>
      </c>
      <c r="I1667">
        <v>98.41</v>
      </c>
      <c r="J1667" s="1">
        <v>45875</v>
      </c>
      <c r="K1667">
        <v>7</v>
      </c>
      <c r="L1667">
        <v>4.5999999999999996</v>
      </c>
      <c r="M1667" t="b">
        <v>0</v>
      </c>
    </row>
    <row r="1668" spans="1:14" x14ac:dyDescent="0.25">
      <c r="A1668" t="s">
        <v>1721</v>
      </c>
      <c r="B1668" t="s">
        <v>38</v>
      </c>
      <c r="C1668" t="s">
        <v>75</v>
      </c>
      <c r="D1668" t="s">
        <v>23</v>
      </c>
      <c r="E1668" t="s">
        <v>55</v>
      </c>
      <c r="F1668" t="s">
        <v>19</v>
      </c>
      <c r="G1668">
        <v>83.18</v>
      </c>
      <c r="H1668">
        <v>0</v>
      </c>
      <c r="I1668">
        <v>83.18</v>
      </c>
      <c r="J1668" s="1">
        <v>45875</v>
      </c>
      <c r="K1668">
        <v>17</v>
      </c>
      <c r="L1668">
        <v>1.7</v>
      </c>
      <c r="M1668" t="b">
        <v>1</v>
      </c>
      <c r="N1668" t="s">
        <v>73</v>
      </c>
    </row>
    <row r="1669" spans="1:14" x14ac:dyDescent="0.25">
      <c r="A1669" t="s">
        <v>1722</v>
      </c>
      <c r="B1669" t="s">
        <v>30</v>
      </c>
      <c r="C1669" t="s">
        <v>48</v>
      </c>
      <c r="D1669" t="s">
        <v>17</v>
      </c>
      <c r="E1669" t="s">
        <v>49</v>
      </c>
      <c r="F1669" t="s">
        <v>66</v>
      </c>
      <c r="G1669">
        <v>179.31</v>
      </c>
      <c r="H1669">
        <v>24.1</v>
      </c>
      <c r="I1669">
        <v>136.1</v>
      </c>
      <c r="J1669" s="1">
        <v>45851</v>
      </c>
      <c r="K1669">
        <v>0</v>
      </c>
      <c r="L1669">
        <v>3.1</v>
      </c>
      <c r="M1669" t="b">
        <v>0</v>
      </c>
    </row>
    <row r="1670" spans="1:14" x14ac:dyDescent="0.25">
      <c r="A1670" t="s">
        <v>1723</v>
      </c>
      <c r="B1670" t="s">
        <v>21</v>
      </c>
      <c r="C1670" t="s">
        <v>16</v>
      </c>
      <c r="D1670" t="s">
        <v>17</v>
      </c>
      <c r="E1670" t="s">
        <v>49</v>
      </c>
      <c r="F1670" t="s">
        <v>46</v>
      </c>
      <c r="G1670">
        <v>47.88</v>
      </c>
      <c r="H1670">
        <v>0</v>
      </c>
      <c r="I1670">
        <v>47.88</v>
      </c>
      <c r="J1670" s="1">
        <v>45647</v>
      </c>
      <c r="K1670">
        <v>44</v>
      </c>
      <c r="L1670">
        <v>1.9</v>
      </c>
      <c r="M1670" t="b">
        <v>0</v>
      </c>
    </row>
    <row r="1671" spans="1:14" x14ac:dyDescent="0.25">
      <c r="A1671" t="s">
        <v>1724</v>
      </c>
      <c r="B1671" t="s">
        <v>15</v>
      </c>
      <c r="C1671" t="s">
        <v>43</v>
      </c>
      <c r="D1671" t="s">
        <v>23</v>
      </c>
      <c r="E1671" t="s">
        <v>18</v>
      </c>
      <c r="F1671" t="s">
        <v>64</v>
      </c>
      <c r="G1671">
        <v>89.26</v>
      </c>
      <c r="H1671">
        <v>0</v>
      </c>
      <c r="I1671">
        <v>89.26</v>
      </c>
      <c r="J1671" s="1">
        <v>45875</v>
      </c>
      <c r="K1671">
        <v>43</v>
      </c>
      <c r="L1671">
        <v>3.8</v>
      </c>
      <c r="M1671" t="b">
        <v>0</v>
      </c>
    </row>
    <row r="1672" spans="1:14" x14ac:dyDescent="0.25">
      <c r="A1672" t="s">
        <v>1725</v>
      </c>
      <c r="B1672" t="s">
        <v>42</v>
      </c>
      <c r="C1672" t="s">
        <v>61</v>
      </c>
      <c r="D1672" t="s">
        <v>62</v>
      </c>
      <c r="E1672" t="s">
        <v>49</v>
      </c>
      <c r="F1672" t="s">
        <v>28</v>
      </c>
      <c r="G1672">
        <v>114.2</v>
      </c>
      <c r="H1672">
        <v>0</v>
      </c>
      <c r="I1672">
        <v>114.2</v>
      </c>
      <c r="J1672" s="1">
        <v>45875</v>
      </c>
      <c r="K1672">
        <v>15</v>
      </c>
      <c r="M1672" t="b">
        <v>0</v>
      </c>
    </row>
    <row r="1673" spans="1:14" x14ac:dyDescent="0.25">
      <c r="A1673" t="s">
        <v>1726</v>
      </c>
      <c r="B1673" t="s">
        <v>30</v>
      </c>
      <c r="C1673" t="s">
        <v>61</v>
      </c>
      <c r="D1673" t="s">
        <v>62</v>
      </c>
      <c r="E1673" t="s">
        <v>24</v>
      </c>
      <c r="F1673" t="s">
        <v>46</v>
      </c>
      <c r="G1673">
        <v>169.5</v>
      </c>
      <c r="H1673">
        <v>59.7</v>
      </c>
      <c r="I1673">
        <v>68.31</v>
      </c>
      <c r="J1673" s="1">
        <v>45875</v>
      </c>
      <c r="K1673">
        <v>16</v>
      </c>
      <c r="L1673">
        <v>1.8</v>
      </c>
      <c r="M1673" t="b">
        <v>0</v>
      </c>
    </row>
    <row r="1674" spans="1:14" x14ac:dyDescent="0.25">
      <c r="A1674" t="s">
        <v>1727</v>
      </c>
      <c r="B1674" t="s">
        <v>21</v>
      </c>
      <c r="C1674" t="s">
        <v>48</v>
      </c>
      <c r="D1674" t="s">
        <v>34</v>
      </c>
      <c r="E1674" t="s">
        <v>55</v>
      </c>
      <c r="F1674" t="s">
        <v>35</v>
      </c>
      <c r="G1674">
        <v>77.989999999999995</v>
      </c>
      <c r="H1674">
        <v>0</v>
      </c>
      <c r="I1674">
        <v>77.989999999999995</v>
      </c>
      <c r="J1674" s="1">
        <v>45875</v>
      </c>
      <c r="K1674">
        <v>42</v>
      </c>
      <c r="M1674" t="b">
        <v>0</v>
      </c>
    </row>
    <row r="1675" spans="1:14" x14ac:dyDescent="0.25">
      <c r="A1675" t="s">
        <v>1728</v>
      </c>
      <c r="B1675" t="s">
        <v>38</v>
      </c>
      <c r="C1675" t="s">
        <v>53</v>
      </c>
      <c r="D1675" t="s">
        <v>34</v>
      </c>
      <c r="F1675" t="s">
        <v>25</v>
      </c>
      <c r="G1675">
        <v>103.77</v>
      </c>
      <c r="H1675">
        <v>0</v>
      </c>
      <c r="I1675">
        <v>103.77</v>
      </c>
      <c r="J1675" s="1">
        <v>45875</v>
      </c>
      <c r="K1675">
        <v>12</v>
      </c>
      <c r="L1675">
        <v>4.4000000000000004</v>
      </c>
      <c r="M1675" t="b">
        <v>0</v>
      </c>
    </row>
    <row r="1676" spans="1:14" x14ac:dyDescent="0.25">
      <c r="A1676" t="s">
        <v>1729</v>
      </c>
      <c r="B1676" t="s">
        <v>27</v>
      </c>
      <c r="C1676" t="s">
        <v>75</v>
      </c>
      <c r="D1676" t="s">
        <v>34</v>
      </c>
      <c r="F1676" t="s">
        <v>28</v>
      </c>
      <c r="G1676">
        <v>42.96</v>
      </c>
      <c r="H1676">
        <v>0</v>
      </c>
      <c r="I1676">
        <v>42.96</v>
      </c>
      <c r="J1676" s="1">
        <v>45875</v>
      </c>
      <c r="K1676">
        <v>36</v>
      </c>
      <c r="L1676">
        <v>1.1000000000000001</v>
      </c>
      <c r="M1676" t="b">
        <v>0</v>
      </c>
    </row>
    <row r="1677" spans="1:14" x14ac:dyDescent="0.25">
      <c r="A1677" t="s">
        <v>1730</v>
      </c>
      <c r="B1677" t="s">
        <v>42</v>
      </c>
      <c r="C1677" t="s">
        <v>32</v>
      </c>
      <c r="D1677" t="s">
        <v>34</v>
      </c>
      <c r="F1677" t="s">
        <v>70</v>
      </c>
      <c r="G1677">
        <v>126.11</v>
      </c>
      <c r="H1677">
        <v>0</v>
      </c>
      <c r="I1677">
        <v>126.11</v>
      </c>
      <c r="J1677" s="1">
        <v>45875</v>
      </c>
      <c r="K1677">
        <v>16</v>
      </c>
      <c r="L1677">
        <v>3.5</v>
      </c>
      <c r="M1677" t="b">
        <v>0</v>
      </c>
    </row>
    <row r="1678" spans="1:14" x14ac:dyDescent="0.25">
      <c r="A1678" t="s">
        <v>1731</v>
      </c>
      <c r="B1678" t="s">
        <v>27</v>
      </c>
      <c r="C1678" t="s">
        <v>32</v>
      </c>
      <c r="D1678" t="s">
        <v>62</v>
      </c>
      <c r="F1678" t="s">
        <v>56</v>
      </c>
      <c r="G1678">
        <v>43.83</v>
      </c>
      <c r="H1678">
        <v>0</v>
      </c>
      <c r="I1678">
        <v>43.83</v>
      </c>
      <c r="J1678" s="1">
        <v>45875</v>
      </c>
      <c r="K1678">
        <v>31</v>
      </c>
      <c r="L1678">
        <v>2.5</v>
      </c>
      <c r="M1678" t="b">
        <v>0</v>
      </c>
    </row>
    <row r="1679" spans="1:14" x14ac:dyDescent="0.25">
      <c r="A1679" t="s">
        <v>1732</v>
      </c>
      <c r="B1679" t="s">
        <v>30</v>
      </c>
      <c r="C1679" t="s">
        <v>32</v>
      </c>
      <c r="D1679" t="s">
        <v>34</v>
      </c>
      <c r="E1679" t="s">
        <v>39</v>
      </c>
      <c r="F1679" t="s">
        <v>56</v>
      </c>
      <c r="G1679">
        <v>94.1</v>
      </c>
      <c r="H1679">
        <v>0</v>
      </c>
      <c r="I1679">
        <v>94.1</v>
      </c>
      <c r="J1679" s="1">
        <v>45875</v>
      </c>
      <c r="K1679">
        <v>24</v>
      </c>
      <c r="L1679">
        <v>1.4</v>
      </c>
      <c r="M1679" t="b">
        <v>0</v>
      </c>
    </row>
    <row r="1680" spans="1:14" x14ac:dyDescent="0.25">
      <c r="A1680" t="s">
        <v>1733</v>
      </c>
      <c r="B1680" t="s">
        <v>30</v>
      </c>
      <c r="C1680" t="s">
        <v>16</v>
      </c>
      <c r="D1680" t="s">
        <v>34</v>
      </c>
      <c r="E1680" t="s">
        <v>58</v>
      </c>
      <c r="F1680" t="s">
        <v>19</v>
      </c>
      <c r="G1680">
        <v>151.27000000000001</v>
      </c>
      <c r="H1680">
        <v>0</v>
      </c>
      <c r="I1680">
        <v>151.27000000000001</v>
      </c>
      <c r="J1680" s="1">
        <v>45875</v>
      </c>
      <c r="K1680">
        <v>39</v>
      </c>
      <c r="L1680">
        <v>4</v>
      </c>
      <c r="M1680" t="b">
        <v>1</v>
      </c>
      <c r="N1680" t="s">
        <v>78</v>
      </c>
    </row>
    <row r="1681" spans="1:14" x14ac:dyDescent="0.25">
      <c r="A1681" t="s">
        <v>1734</v>
      </c>
      <c r="B1681" t="s">
        <v>27</v>
      </c>
      <c r="C1681" t="s">
        <v>61</v>
      </c>
      <c r="D1681" t="s">
        <v>17</v>
      </c>
      <c r="F1681" t="s">
        <v>64</v>
      </c>
      <c r="G1681">
        <v>61.47</v>
      </c>
      <c r="H1681">
        <v>0</v>
      </c>
      <c r="I1681">
        <v>61.47</v>
      </c>
      <c r="J1681" s="1">
        <v>45529</v>
      </c>
      <c r="K1681">
        <v>44</v>
      </c>
      <c r="M1681" t="b">
        <v>0</v>
      </c>
    </row>
    <row r="1682" spans="1:14" x14ac:dyDescent="0.25">
      <c r="A1682" t="s">
        <v>1735</v>
      </c>
      <c r="B1682" t="s">
        <v>30</v>
      </c>
      <c r="C1682" t="s">
        <v>43</v>
      </c>
      <c r="D1682" t="s">
        <v>62</v>
      </c>
      <c r="E1682" t="s">
        <v>58</v>
      </c>
      <c r="F1682" t="s">
        <v>64</v>
      </c>
      <c r="G1682">
        <v>185.96</v>
      </c>
      <c r="H1682">
        <v>0</v>
      </c>
      <c r="I1682">
        <v>185.96</v>
      </c>
      <c r="J1682" s="1">
        <v>45875</v>
      </c>
      <c r="K1682">
        <v>35</v>
      </c>
      <c r="L1682">
        <v>1.3</v>
      </c>
      <c r="M1682" t="b">
        <v>0</v>
      </c>
    </row>
    <row r="1683" spans="1:14" x14ac:dyDescent="0.25">
      <c r="A1683" t="s">
        <v>1736</v>
      </c>
      <c r="B1683" t="s">
        <v>42</v>
      </c>
      <c r="C1683" t="s">
        <v>61</v>
      </c>
      <c r="D1683" t="s">
        <v>34</v>
      </c>
      <c r="E1683" t="s">
        <v>58</v>
      </c>
      <c r="F1683" t="s">
        <v>19</v>
      </c>
      <c r="G1683">
        <v>113.05</v>
      </c>
      <c r="H1683">
        <v>0</v>
      </c>
      <c r="I1683">
        <v>113.05</v>
      </c>
      <c r="J1683" s="1">
        <v>45875</v>
      </c>
      <c r="K1683">
        <v>47</v>
      </c>
      <c r="L1683">
        <v>2</v>
      </c>
      <c r="M1683" t="b">
        <v>0</v>
      </c>
    </row>
    <row r="1684" spans="1:14" x14ac:dyDescent="0.25">
      <c r="A1684" t="s">
        <v>1737</v>
      </c>
      <c r="B1684" t="s">
        <v>21</v>
      </c>
      <c r="C1684" t="s">
        <v>32</v>
      </c>
      <c r="D1684" t="s">
        <v>62</v>
      </c>
      <c r="E1684" t="s">
        <v>24</v>
      </c>
      <c r="F1684" t="s">
        <v>70</v>
      </c>
      <c r="G1684">
        <v>110.9</v>
      </c>
      <c r="H1684">
        <v>34.700000000000003</v>
      </c>
      <c r="I1684">
        <v>72.42</v>
      </c>
      <c r="J1684" s="1">
        <v>45875</v>
      </c>
      <c r="K1684">
        <v>2</v>
      </c>
      <c r="L1684">
        <v>2.5</v>
      </c>
      <c r="M1684" t="b">
        <v>0</v>
      </c>
    </row>
    <row r="1685" spans="1:14" x14ac:dyDescent="0.25">
      <c r="A1685" t="s">
        <v>1738</v>
      </c>
      <c r="B1685" t="s">
        <v>21</v>
      </c>
      <c r="C1685" t="s">
        <v>22</v>
      </c>
      <c r="D1685" t="s">
        <v>62</v>
      </c>
      <c r="E1685" t="s">
        <v>49</v>
      </c>
      <c r="F1685" t="s">
        <v>35</v>
      </c>
      <c r="G1685">
        <v>29.04</v>
      </c>
      <c r="H1685">
        <v>0</v>
      </c>
      <c r="I1685">
        <v>29.04</v>
      </c>
      <c r="J1685" s="1">
        <v>45875</v>
      </c>
      <c r="K1685">
        <v>4</v>
      </c>
      <c r="L1685">
        <v>5</v>
      </c>
      <c r="M1685" t="b">
        <v>0</v>
      </c>
    </row>
    <row r="1686" spans="1:14" x14ac:dyDescent="0.25">
      <c r="A1686" t="s">
        <v>1739</v>
      </c>
      <c r="B1686" t="s">
        <v>30</v>
      </c>
      <c r="C1686" t="s">
        <v>75</v>
      </c>
      <c r="D1686" t="s">
        <v>17</v>
      </c>
      <c r="E1686" t="s">
        <v>18</v>
      </c>
      <c r="F1686" t="s">
        <v>40</v>
      </c>
      <c r="G1686">
        <v>164.48</v>
      </c>
      <c r="H1686">
        <v>51.5</v>
      </c>
      <c r="I1686">
        <v>79.77</v>
      </c>
      <c r="J1686" s="1">
        <v>45542</v>
      </c>
      <c r="K1686">
        <v>27</v>
      </c>
      <c r="L1686">
        <v>3.4</v>
      </c>
      <c r="M1686" t="b">
        <v>0</v>
      </c>
    </row>
    <row r="1687" spans="1:14" x14ac:dyDescent="0.25">
      <c r="A1687" t="s">
        <v>1740</v>
      </c>
      <c r="B1687" t="s">
        <v>38</v>
      </c>
      <c r="C1687" t="s">
        <v>32</v>
      </c>
      <c r="D1687" t="s">
        <v>23</v>
      </c>
      <c r="E1687" t="s">
        <v>24</v>
      </c>
      <c r="F1687" t="s">
        <v>35</v>
      </c>
      <c r="G1687">
        <v>52.51</v>
      </c>
      <c r="H1687">
        <v>49.4</v>
      </c>
      <c r="I1687">
        <v>26.57</v>
      </c>
      <c r="J1687" s="1">
        <v>45875</v>
      </c>
      <c r="K1687">
        <v>37</v>
      </c>
      <c r="L1687">
        <v>3.5</v>
      </c>
      <c r="M1687" t="b">
        <v>1</v>
      </c>
      <c r="N1687" t="s">
        <v>115</v>
      </c>
    </row>
    <row r="1688" spans="1:14" x14ac:dyDescent="0.25">
      <c r="A1688" t="s">
        <v>1741</v>
      </c>
      <c r="B1688" t="s">
        <v>42</v>
      </c>
      <c r="C1688" t="s">
        <v>53</v>
      </c>
      <c r="D1688" t="s">
        <v>23</v>
      </c>
      <c r="E1688" t="s">
        <v>49</v>
      </c>
      <c r="F1688" t="s">
        <v>40</v>
      </c>
      <c r="G1688">
        <v>175.74</v>
      </c>
      <c r="H1688">
        <v>42.9</v>
      </c>
      <c r="I1688">
        <v>100.35</v>
      </c>
      <c r="J1688" s="1">
        <v>45875</v>
      </c>
      <c r="K1688">
        <v>48</v>
      </c>
      <c r="M1688" t="b">
        <v>1</v>
      </c>
      <c r="N1688" t="s">
        <v>115</v>
      </c>
    </row>
    <row r="1689" spans="1:14" x14ac:dyDescent="0.25">
      <c r="A1689" t="s">
        <v>1742</v>
      </c>
      <c r="B1689" t="s">
        <v>21</v>
      </c>
      <c r="C1689" t="s">
        <v>53</v>
      </c>
      <c r="D1689" t="s">
        <v>17</v>
      </c>
      <c r="E1689" t="s">
        <v>55</v>
      </c>
      <c r="F1689" t="s">
        <v>56</v>
      </c>
      <c r="G1689">
        <v>57.06</v>
      </c>
      <c r="H1689">
        <v>27.5</v>
      </c>
      <c r="I1689">
        <v>41.37</v>
      </c>
      <c r="J1689" s="1">
        <v>45651</v>
      </c>
      <c r="K1689">
        <v>43</v>
      </c>
      <c r="L1689">
        <v>1.8</v>
      </c>
      <c r="M1689" t="b">
        <v>0</v>
      </c>
    </row>
    <row r="1690" spans="1:14" x14ac:dyDescent="0.25">
      <c r="A1690" t="s">
        <v>1743</v>
      </c>
      <c r="B1690" t="s">
        <v>42</v>
      </c>
      <c r="C1690" t="s">
        <v>53</v>
      </c>
      <c r="D1690" t="s">
        <v>23</v>
      </c>
      <c r="E1690" t="s">
        <v>24</v>
      </c>
      <c r="F1690" t="s">
        <v>28</v>
      </c>
      <c r="G1690">
        <v>158.24</v>
      </c>
      <c r="H1690">
        <v>0</v>
      </c>
      <c r="I1690">
        <v>158.24</v>
      </c>
      <c r="J1690" s="1">
        <v>45875</v>
      </c>
      <c r="K1690">
        <v>41</v>
      </c>
      <c r="L1690">
        <v>3.1</v>
      </c>
      <c r="M1690" t="b">
        <v>0</v>
      </c>
    </row>
    <row r="1691" spans="1:14" x14ac:dyDescent="0.25">
      <c r="A1691" t="s">
        <v>1744</v>
      </c>
      <c r="B1691" t="s">
        <v>15</v>
      </c>
      <c r="C1691" t="s">
        <v>43</v>
      </c>
      <c r="D1691" t="s">
        <v>34</v>
      </c>
      <c r="F1691" t="s">
        <v>25</v>
      </c>
      <c r="G1691">
        <v>153.46</v>
      </c>
      <c r="H1691">
        <v>0</v>
      </c>
      <c r="I1691">
        <v>153.46</v>
      </c>
      <c r="J1691" s="1">
        <v>45875</v>
      </c>
      <c r="K1691">
        <v>27</v>
      </c>
      <c r="L1691">
        <v>1.7</v>
      </c>
      <c r="M1691" t="b">
        <v>0</v>
      </c>
    </row>
    <row r="1692" spans="1:14" x14ac:dyDescent="0.25">
      <c r="A1692" t="s">
        <v>1745</v>
      </c>
      <c r="B1692" t="s">
        <v>27</v>
      </c>
      <c r="C1692" t="s">
        <v>16</v>
      </c>
      <c r="D1692" t="s">
        <v>17</v>
      </c>
      <c r="F1692" t="s">
        <v>70</v>
      </c>
      <c r="G1692">
        <v>54.92</v>
      </c>
      <c r="H1692">
        <v>0</v>
      </c>
      <c r="I1692">
        <v>54.92</v>
      </c>
      <c r="J1692" s="1">
        <v>45759</v>
      </c>
      <c r="K1692">
        <v>44</v>
      </c>
      <c r="L1692">
        <v>3.1</v>
      </c>
      <c r="M1692" t="b">
        <v>0</v>
      </c>
    </row>
    <row r="1693" spans="1:14" x14ac:dyDescent="0.25">
      <c r="A1693" t="s">
        <v>1746</v>
      </c>
      <c r="B1693" t="s">
        <v>27</v>
      </c>
      <c r="C1693" t="s">
        <v>22</v>
      </c>
      <c r="D1693" t="s">
        <v>17</v>
      </c>
      <c r="F1693" t="s">
        <v>66</v>
      </c>
      <c r="G1693">
        <v>32.200000000000003</v>
      </c>
      <c r="H1693">
        <v>19.2</v>
      </c>
      <c r="I1693">
        <v>26.02</v>
      </c>
      <c r="J1693" s="1">
        <v>45865</v>
      </c>
      <c r="K1693">
        <v>8</v>
      </c>
      <c r="L1693">
        <v>4.3</v>
      </c>
      <c r="M1693" t="b">
        <v>0</v>
      </c>
    </row>
    <row r="1694" spans="1:14" x14ac:dyDescent="0.25">
      <c r="A1694" t="s">
        <v>1747</v>
      </c>
      <c r="B1694" t="s">
        <v>27</v>
      </c>
      <c r="C1694" t="s">
        <v>43</v>
      </c>
      <c r="D1694" t="s">
        <v>34</v>
      </c>
      <c r="F1694" t="s">
        <v>70</v>
      </c>
      <c r="G1694">
        <v>66.489999999999995</v>
      </c>
      <c r="H1694">
        <v>29.1</v>
      </c>
      <c r="I1694">
        <v>47.14</v>
      </c>
      <c r="J1694" s="1">
        <v>45875</v>
      </c>
      <c r="K1694">
        <v>37</v>
      </c>
      <c r="L1694">
        <v>1.3</v>
      </c>
      <c r="M1694" t="b">
        <v>0</v>
      </c>
    </row>
    <row r="1695" spans="1:14" x14ac:dyDescent="0.25">
      <c r="A1695" t="s">
        <v>1748</v>
      </c>
      <c r="B1695" t="s">
        <v>27</v>
      </c>
      <c r="C1695" t="s">
        <v>43</v>
      </c>
      <c r="D1695" t="s">
        <v>23</v>
      </c>
      <c r="F1695" t="s">
        <v>44</v>
      </c>
      <c r="G1695">
        <v>32.950000000000003</v>
      </c>
      <c r="H1695">
        <v>50.2</v>
      </c>
      <c r="I1695">
        <v>16.41</v>
      </c>
      <c r="J1695" s="1">
        <v>45875</v>
      </c>
      <c r="K1695">
        <v>46</v>
      </c>
      <c r="M1695" t="b">
        <v>0</v>
      </c>
    </row>
    <row r="1696" spans="1:14" x14ac:dyDescent="0.25">
      <c r="A1696" t="s">
        <v>1749</v>
      </c>
      <c r="B1696" t="s">
        <v>27</v>
      </c>
      <c r="C1696" t="s">
        <v>48</v>
      </c>
      <c r="D1696" t="s">
        <v>34</v>
      </c>
      <c r="F1696" t="s">
        <v>40</v>
      </c>
      <c r="G1696">
        <v>54.31</v>
      </c>
      <c r="H1696">
        <v>19.2</v>
      </c>
      <c r="I1696">
        <v>43.88</v>
      </c>
      <c r="J1696" s="1">
        <v>45875</v>
      </c>
      <c r="K1696">
        <v>19</v>
      </c>
      <c r="L1696">
        <v>1.8</v>
      </c>
      <c r="M1696" t="b">
        <v>0</v>
      </c>
    </row>
    <row r="1697" spans="1:14" x14ac:dyDescent="0.25">
      <c r="A1697" t="s">
        <v>1750</v>
      </c>
      <c r="B1697" t="s">
        <v>27</v>
      </c>
      <c r="C1697" t="s">
        <v>32</v>
      </c>
      <c r="D1697" t="s">
        <v>62</v>
      </c>
      <c r="F1697" t="s">
        <v>64</v>
      </c>
      <c r="G1697">
        <v>19.68</v>
      </c>
      <c r="H1697">
        <v>0</v>
      </c>
      <c r="I1697">
        <v>19.68</v>
      </c>
      <c r="J1697" s="1">
        <v>45875</v>
      </c>
      <c r="K1697">
        <v>29</v>
      </c>
      <c r="L1697">
        <v>1.5</v>
      </c>
      <c r="M1697" t="b">
        <v>1</v>
      </c>
      <c r="N1697" t="s">
        <v>73</v>
      </c>
    </row>
    <row r="1698" spans="1:14" x14ac:dyDescent="0.25">
      <c r="A1698" t="s">
        <v>1751</v>
      </c>
      <c r="B1698" t="s">
        <v>21</v>
      </c>
      <c r="C1698" t="s">
        <v>16</v>
      </c>
      <c r="D1698" t="s">
        <v>17</v>
      </c>
      <c r="E1698" t="s">
        <v>55</v>
      </c>
      <c r="F1698" t="s">
        <v>40</v>
      </c>
      <c r="G1698">
        <v>105.19</v>
      </c>
      <c r="H1698">
        <v>24.3</v>
      </c>
      <c r="I1698">
        <v>79.63</v>
      </c>
      <c r="J1698" s="1">
        <v>45822</v>
      </c>
      <c r="K1698">
        <v>47</v>
      </c>
      <c r="L1698">
        <v>5</v>
      </c>
      <c r="M1698" t="b">
        <v>0</v>
      </c>
    </row>
    <row r="1699" spans="1:14" x14ac:dyDescent="0.25">
      <c r="A1699" t="s">
        <v>1752</v>
      </c>
      <c r="B1699" t="s">
        <v>27</v>
      </c>
      <c r="C1699" t="s">
        <v>32</v>
      </c>
      <c r="D1699" t="s">
        <v>62</v>
      </c>
      <c r="F1699" t="s">
        <v>46</v>
      </c>
      <c r="G1699">
        <v>20.3</v>
      </c>
      <c r="H1699">
        <v>19.600000000000001</v>
      </c>
      <c r="I1699">
        <v>16.32</v>
      </c>
      <c r="J1699" s="1">
        <v>45875</v>
      </c>
      <c r="K1699">
        <v>47</v>
      </c>
      <c r="L1699">
        <v>2.9</v>
      </c>
      <c r="M1699" t="b">
        <v>1</v>
      </c>
      <c r="N1699" t="s">
        <v>115</v>
      </c>
    </row>
    <row r="1700" spans="1:14" x14ac:dyDescent="0.25">
      <c r="A1700" t="s">
        <v>1753</v>
      </c>
      <c r="B1700" t="s">
        <v>38</v>
      </c>
      <c r="C1700" t="s">
        <v>43</v>
      </c>
      <c r="D1700" t="s">
        <v>62</v>
      </c>
      <c r="E1700" t="s">
        <v>39</v>
      </c>
      <c r="F1700" t="s">
        <v>70</v>
      </c>
      <c r="G1700">
        <v>105.37</v>
      </c>
      <c r="H1700">
        <v>19.600000000000001</v>
      </c>
      <c r="I1700">
        <v>84.72</v>
      </c>
      <c r="J1700" s="1">
        <v>45875</v>
      </c>
      <c r="K1700">
        <v>39</v>
      </c>
      <c r="L1700">
        <v>4.3</v>
      </c>
      <c r="M1700" t="b">
        <v>0</v>
      </c>
    </row>
    <row r="1701" spans="1:14" x14ac:dyDescent="0.25">
      <c r="A1701" t="s">
        <v>1754</v>
      </c>
      <c r="B1701" t="s">
        <v>42</v>
      </c>
      <c r="C1701" t="s">
        <v>53</v>
      </c>
      <c r="D1701" t="s">
        <v>23</v>
      </c>
      <c r="E1701" t="s">
        <v>55</v>
      </c>
      <c r="F1701" t="s">
        <v>46</v>
      </c>
      <c r="G1701">
        <v>156.24</v>
      </c>
      <c r="H1701">
        <v>0</v>
      </c>
      <c r="I1701">
        <v>156.24</v>
      </c>
      <c r="J1701" s="1">
        <v>45875</v>
      </c>
      <c r="K1701">
        <v>15</v>
      </c>
      <c r="L1701">
        <v>5</v>
      </c>
      <c r="M1701" t="b">
        <v>0</v>
      </c>
    </row>
    <row r="1702" spans="1:14" x14ac:dyDescent="0.25">
      <c r="A1702" t="s">
        <v>1755</v>
      </c>
      <c r="B1702" t="s">
        <v>30</v>
      </c>
      <c r="C1702" t="s">
        <v>43</v>
      </c>
      <c r="D1702" t="s">
        <v>23</v>
      </c>
      <c r="E1702" t="s">
        <v>55</v>
      </c>
      <c r="F1702" t="s">
        <v>70</v>
      </c>
      <c r="G1702">
        <v>162.19</v>
      </c>
      <c r="H1702">
        <v>5.7</v>
      </c>
      <c r="I1702">
        <v>152.94999999999999</v>
      </c>
      <c r="J1702" s="1">
        <v>45875</v>
      </c>
      <c r="K1702">
        <v>39</v>
      </c>
      <c r="L1702">
        <v>1.4</v>
      </c>
      <c r="M1702" t="b">
        <v>0</v>
      </c>
    </row>
    <row r="1703" spans="1:14" x14ac:dyDescent="0.25">
      <c r="A1703" t="s">
        <v>1756</v>
      </c>
      <c r="B1703" t="s">
        <v>21</v>
      </c>
      <c r="C1703" t="s">
        <v>48</v>
      </c>
      <c r="D1703" t="s">
        <v>17</v>
      </c>
      <c r="E1703" t="s">
        <v>58</v>
      </c>
      <c r="F1703" t="s">
        <v>56</v>
      </c>
      <c r="G1703">
        <v>75.790000000000006</v>
      </c>
      <c r="H1703">
        <v>7.1</v>
      </c>
      <c r="I1703">
        <v>70.41</v>
      </c>
      <c r="J1703" s="1">
        <v>45745</v>
      </c>
      <c r="K1703">
        <v>13</v>
      </c>
      <c r="L1703">
        <v>3.3</v>
      </c>
      <c r="M1703" t="b">
        <v>0</v>
      </c>
    </row>
    <row r="1704" spans="1:14" x14ac:dyDescent="0.25">
      <c r="A1704" t="s">
        <v>1757</v>
      </c>
      <c r="B1704" t="s">
        <v>27</v>
      </c>
      <c r="C1704" t="s">
        <v>75</v>
      </c>
      <c r="D1704" t="s">
        <v>62</v>
      </c>
      <c r="F1704" t="s">
        <v>25</v>
      </c>
      <c r="G1704">
        <v>32.04</v>
      </c>
      <c r="H1704">
        <v>0</v>
      </c>
      <c r="I1704">
        <v>32.04</v>
      </c>
      <c r="J1704" s="1">
        <v>45875</v>
      </c>
      <c r="K1704">
        <v>41</v>
      </c>
      <c r="L1704">
        <v>1.8</v>
      </c>
      <c r="M1704" t="b">
        <v>0</v>
      </c>
    </row>
    <row r="1705" spans="1:14" x14ac:dyDescent="0.25">
      <c r="A1705" t="s">
        <v>1758</v>
      </c>
      <c r="B1705" t="s">
        <v>21</v>
      </c>
      <c r="C1705" t="s">
        <v>61</v>
      </c>
      <c r="D1705" t="s">
        <v>34</v>
      </c>
      <c r="E1705" t="s">
        <v>58</v>
      </c>
      <c r="F1705" t="s">
        <v>28</v>
      </c>
      <c r="G1705">
        <v>27.65</v>
      </c>
      <c r="H1705">
        <v>31.8</v>
      </c>
      <c r="I1705">
        <v>18.86</v>
      </c>
      <c r="J1705" s="1">
        <v>45875</v>
      </c>
      <c r="K1705">
        <v>2</v>
      </c>
      <c r="L1705">
        <v>3.7</v>
      </c>
      <c r="M1705" t="b">
        <v>1</v>
      </c>
      <c r="N1705" t="s">
        <v>73</v>
      </c>
    </row>
    <row r="1706" spans="1:14" x14ac:dyDescent="0.25">
      <c r="A1706" t="s">
        <v>1759</v>
      </c>
      <c r="B1706" t="s">
        <v>38</v>
      </c>
      <c r="C1706" t="s">
        <v>32</v>
      </c>
      <c r="D1706" t="s">
        <v>17</v>
      </c>
      <c r="E1706" t="s">
        <v>58</v>
      </c>
      <c r="F1706" t="s">
        <v>66</v>
      </c>
      <c r="G1706">
        <v>31.54</v>
      </c>
      <c r="H1706">
        <v>0</v>
      </c>
      <c r="I1706">
        <v>31.54</v>
      </c>
      <c r="J1706" s="1">
        <v>45872</v>
      </c>
      <c r="K1706">
        <v>45</v>
      </c>
      <c r="L1706">
        <v>1.3</v>
      </c>
      <c r="M1706" t="b">
        <v>0</v>
      </c>
    </row>
    <row r="1707" spans="1:14" x14ac:dyDescent="0.25">
      <c r="A1707" t="s">
        <v>1760</v>
      </c>
      <c r="B1707" t="s">
        <v>38</v>
      </c>
      <c r="C1707" t="s">
        <v>16</v>
      </c>
      <c r="D1707" t="s">
        <v>62</v>
      </c>
      <c r="E1707" t="s">
        <v>49</v>
      </c>
      <c r="F1707" t="s">
        <v>56</v>
      </c>
      <c r="G1707">
        <v>77.64</v>
      </c>
      <c r="H1707">
        <v>39.1</v>
      </c>
      <c r="I1707">
        <v>47.28</v>
      </c>
      <c r="J1707" s="1">
        <v>45875</v>
      </c>
      <c r="K1707">
        <v>19</v>
      </c>
      <c r="L1707">
        <v>2.6</v>
      </c>
      <c r="M1707" t="b">
        <v>0</v>
      </c>
    </row>
    <row r="1708" spans="1:14" x14ac:dyDescent="0.25">
      <c r="A1708" t="s">
        <v>1761</v>
      </c>
      <c r="B1708" t="s">
        <v>42</v>
      </c>
      <c r="C1708" t="s">
        <v>48</v>
      </c>
      <c r="D1708" t="s">
        <v>23</v>
      </c>
      <c r="E1708" t="s">
        <v>18</v>
      </c>
      <c r="F1708" t="s">
        <v>25</v>
      </c>
      <c r="G1708">
        <v>51.48</v>
      </c>
      <c r="H1708">
        <v>0</v>
      </c>
      <c r="I1708">
        <v>51.48</v>
      </c>
      <c r="J1708" s="1">
        <v>45875</v>
      </c>
      <c r="K1708">
        <v>10</v>
      </c>
      <c r="L1708">
        <v>1</v>
      </c>
      <c r="M1708" t="b">
        <v>0</v>
      </c>
    </row>
    <row r="1709" spans="1:14" x14ac:dyDescent="0.25">
      <c r="A1709" t="s">
        <v>1762</v>
      </c>
      <c r="B1709" t="s">
        <v>15</v>
      </c>
      <c r="C1709" t="s">
        <v>16</v>
      </c>
      <c r="D1709" t="s">
        <v>34</v>
      </c>
      <c r="E1709" t="s">
        <v>58</v>
      </c>
      <c r="F1709" t="s">
        <v>25</v>
      </c>
      <c r="G1709">
        <v>108.58</v>
      </c>
      <c r="H1709">
        <v>0</v>
      </c>
      <c r="I1709">
        <v>108.58</v>
      </c>
      <c r="J1709" s="1">
        <v>45875</v>
      </c>
      <c r="K1709">
        <v>44</v>
      </c>
      <c r="L1709">
        <v>2.4</v>
      </c>
      <c r="M1709" t="b">
        <v>0</v>
      </c>
    </row>
    <row r="1710" spans="1:14" x14ac:dyDescent="0.25">
      <c r="A1710" t="s">
        <v>1763</v>
      </c>
      <c r="B1710" t="s">
        <v>21</v>
      </c>
      <c r="C1710" t="s">
        <v>75</v>
      </c>
      <c r="D1710" t="s">
        <v>23</v>
      </c>
      <c r="E1710" t="s">
        <v>49</v>
      </c>
      <c r="F1710" t="s">
        <v>28</v>
      </c>
      <c r="G1710">
        <v>84.17</v>
      </c>
      <c r="H1710">
        <v>0</v>
      </c>
      <c r="I1710">
        <v>84.17</v>
      </c>
      <c r="J1710" s="1">
        <v>45875</v>
      </c>
      <c r="K1710">
        <v>20</v>
      </c>
      <c r="L1710">
        <v>3.7</v>
      </c>
      <c r="M1710" t="b">
        <v>0</v>
      </c>
    </row>
    <row r="1711" spans="1:14" x14ac:dyDescent="0.25">
      <c r="A1711" t="s">
        <v>1764</v>
      </c>
      <c r="B1711" t="s">
        <v>38</v>
      </c>
      <c r="C1711" t="s">
        <v>43</v>
      </c>
      <c r="D1711" t="s">
        <v>17</v>
      </c>
      <c r="E1711" t="s">
        <v>24</v>
      </c>
      <c r="F1711" t="s">
        <v>25</v>
      </c>
      <c r="G1711">
        <v>76.45</v>
      </c>
      <c r="H1711">
        <v>0</v>
      </c>
      <c r="I1711">
        <v>76.45</v>
      </c>
      <c r="J1711" s="1">
        <v>45818</v>
      </c>
      <c r="K1711">
        <v>16</v>
      </c>
      <c r="L1711">
        <v>1</v>
      </c>
      <c r="M1711" t="b">
        <v>1</v>
      </c>
      <c r="N1711" t="s">
        <v>36</v>
      </c>
    </row>
    <row r="1712" spans="1:14" x14ac:dyDescent="0.25">
      <c r="A1712" t="s">
        <v>1765</v>
      </c>
      <c r="B1712" t="s">
        <v>27</v>
      </c>
      <c r="C1712" t="s">
        <v>22</v>
      </c>
      <c r="D1712" t="s">
        <v>17</v>
      </c>
      <c r="F1712" t="s">
        <v>40</v>
      </c>
      <c r="G1712">
        <v>50.31</v>
      </c>
      <c r="H1712">
        <v>0</v>
      </c>
      <c r="I1712">
        <v>50.31</v>
      </c>
      <c r="J1712" s="1">
        <v>45771</v>
      </c>
      <c r="K1712">
        <v>36</v>
      </c>
      <c r="M1712" t="b">
        <v>0</v>
      </c>
    </row>
    <row r="1713" spans="1:14" x14ac:dyDescent="0.25">
      <c r="A1713" t="s">
        <v>1766</v>
      </c>
      <c r="B1713" t="s">
        <v>21</v>
      </c>
      <c r="C1713" t="s">
        <v>61</v>
      </c>
      <c r="D1713" t="s">
        <v>17</v>
      </c>
      <c r="E1713" t="s">
        <v>39</v>
      </c>
      <c r="F1713" t="s">
        <v>25</v>
      </c>
      <c r="G1713">
        <v>43.45</v>
      </c>
      <c r="H1713">
        <v>0</v>
      </c>
      <c r="I1713">
        <v>43.45</v>
      </c>
      <c r="J1713" s="1">
        <v>45855</v>
      </c>
      <c r="K1713">
        <v>30</v>
      </c>
      <c r="L1713">
        <v>2.2999999999999998</v>
      </c>
      <c r="M1713" t="b">
        <v>0</v>
      </c>
    </row>
    <row r="1714" spans="1:14" x14ac:dyDescent="0.25">
      <c r="A1714" t="s">
        <v>1767</v>
      </c>
      <c r="B1714" t="s">
        <v>42</v>
      </c>
      <c r="C1714" t="s">
        <v>22</v>
      </c>
      <c r="D1714" t="s">
        <v>34</v>
      </c>
      <c r="E1714" t="s">
        <v>18</v>
      </c>
      <c r="F1714" t="s">
        <v>40</v>
      </c>
      <c r="G1714">
        <v>149.22</v>
      </c>
      <c r="H1714">
        <v>53.9</v>
      </c>
      <c r="I1714">
        <v>68.790000000000006</v>
      </c>
      <c r="J1714" s="1">
        <v>45875</v>
      </c>
      <c r="K1714">
        <v>41</v>
      </c>
      <c r="L1714">
        <v>2.2000000000000002</v>
      </c>
      <c r="M1714" t="b">
        <v>0</v>
      </c>
    </row>
    <row r="1715" spans="1:14" x14ac:dyDescent="0.25">
      <c r="A1715" t="s">
        <v>1768</v>
      </c>
      <c r="B1715" t="s">
        <v>38</v>
      </c>
      <c r="C1715" t="s">
        <v>61</v>
      </c>
      <c r="D1715" t="s">
        <v>62</v>
      </c>
      <c r="E1715" t="s">
        <v>55</v>
      </c>
      <c r="F1715" t="s">
        <v>40</v>
      </c>
      <c r="G1715">
        <v>48.24</v>
      </c>
      <c r="H1715">
        <v>31.7</v>
      </c>
      <c r="I1715">
        <v>32.950000000000003</v>
      </c>
      <c r="J1715" s="1">
        <v>45875</v>
      </c>
      <c r="K1715">
        <v>46</v>
      </c>
      <c r="L1715">
        <v>3.7</v>
      </c>
      <c r="M1715" t="b">
        <v>0</v>
      </c>
    </row>
    <row r="1716" spans="1:14" x14ac:dyDescent="0.25">
      <c r="A1716" t="s">
        <v>1769</v>
      </c>
      <c r="B1716" t="s">
        <v>38</v>
      </c>
      <c r="C1716" t="s">
        <v>48</v>
      </c>
      <c r="D1716" t="s">
        <v>62</v>
      </c>
      <c r="E1716" t="s">
        <v>39</v>
      </c>
      <c r="F1716" t="s">
        <v>70</v>
      </c>
      <c r="G1716">
        <v>66.27</v>
      </c>
      <c r="H1716">
        <v>21.7</v>
      </c>
      <c r="I1716">
        <v>51.89</v>
      </c>
      <c r="J1716" s="1">
        <v>45875</v>
      </c>
      <c r="K1716">
        <v>28</v>
      </c>
      <c r="L1716">
        <v>2.5</v>
      </c>
      <c r="M1716" t="b">
        <v>1</v>
      </c>
      <c r="N1716" t="s">
        <v>115</v>
      </c>
    </row>
    <row r="1717" spans="1:14" x14ac:dyDescent="0.25">
      <c r="A1717" t="s">
        <v>1770</v>
      </c>
      <c r="B1717" t="s">
        <v>30</v>
      </c>
      <c r="C1717" t="s">
        <v>48</v>
      </c>
      <c r="D1717" t="s">
        <v>34</v>
      </c>
      <c r="E1717" t="s">
        <v>49</v>
      </c>
      <c r="F1717" t="s">
        <v>64</v>
      </c>
      <c r="G1717">
        <v>82.65</v>
      </c>
      <c r="H1717">
        <v>0</v>
      </c>
      <c r="I1717">
        <v>82.65</v>
      </c>
      <c r="J1717" s="1">
        <v>45875</v>
      </c>
      <c r="K1717">
        <v>30</v>
      </c>
      <c r="L1717">
        <v>4.0999999999999996</v>
      </c>
      <c r="M1717" t="b">
        <v>0</v>
      </c>
    </row>
    <row r="1718" spans="1:14" x14ac:dyDescent="0.25">
      <c r="A1718" t="s">
        <v>1771</v>
      </c>
      <c r="B1718" t="s">
        <v>38</v>
      </c>
      <c r="C1718" t="s">
        <v>53</v>
      </c>
      <c r="D1718" t="s">
        <v>23</v>
      </c>
      <c r="E1718" t="s">
        <v>49</v>
      </c>
      <c r="F1718" t="s">
        <v>28</v>
      </c>
      <c r="G1718">
        <v>42.36</v>
      </c>
      <c r="H1718">
        <v>0</v>
      </c>
      <c r="I1718">
        <v>42.36</v>
      </c>
      <c r="J1718" s="1">
        <v>45875</v>
      </c>
      <c r="K1718">
        <v>37</v>
      </c>
      <c r="L1718">
        <v>1.4</v>
      </c>
      <c r="M1718" t="b">
        <v>0</v>
      </c>
    </row>
    <row r="1719" spans="1:14" x14ac:dyDescent="0.25">
      <c r="A1719" t="s">
        <v>1772</v>
      </c>
      <c r="B1719" t="s">
        <v>38</v>
      </c>
      <c r="C1719" t="s">
        <v>53</v>
      </c>
      <c r="D1719" t="s">
        <v>62</v>
      </c>
      <c r="E1719" t="s">
        <v>58</v>
      </c>
      <c r="F1719" t="s">
        <v>19</v>
      </c>
      <c r="G1719">
        <v>109.36</v>
      </c>
      <c r="H1719">
        <v>0</v>
      </c>
      <c r="I1719">
        <v>109.36</v>
      </c>
      <c r="J1719" s="1">
        <v>45875</v>
      </c>
      <c r="K1719">
        <v>24</v>
      </c>
      <c r="L1719">
        <v>1.7</v>
      </c>
      <c r="M1719" t="b">
        <v>0</v>
      </c>
    </row>
    <row r="1720" spans="1:14" x14ac:dyDescent="0.25">
      <c r="A1720" t="s">
        <v>1773</v>
      </c>
      <c r="B1720" t="s">
        <v>27</v>
      </c>
      <c r="C1720" t="s">
        <v>53</v>
      </c>
      <c r="D1720" t="s">
        <v>23</v>
      </c>
      <c r="F1720" t="s">
        <v>56</v>
      </c>
      <c r="G1720">
        <v>59.98</v>
      </c>
      <c r="H1720">
        <v>0</v>
      </c>
      <c r="I1720">
        <v>59.98</v>
      </c>
      <c r="J1720" s="1">
        <v>45875</v>
      </c>
      <c r="K1720">
        <v>28</v>
      </c>
      <c r="L1720">
        <v>2.2000000000000002</v>
      </c>
      <c r="M1720" t="b">
        <v>0</v>
      </c>
    </row>
    <row r="1721" spans="1:14" x14ac:dyDescent="0.25">
      <c r="A1721" t="s">
        <v>1774</v>
      </c>
      <c r="B1721" t="s">
        <v>42</v>
      </c>
      <c r="C1721" t="s">
        <v>61</v>
      </c>
      <c r="D1721" t="s">
        <v>17</v>
      </c>
      <c r="F1721" t="s">
        <v>66</v>
      </c>
      <c r="G1721">
        <v>111.81</v>
      </c>
      <c r="H1721">
        <v>0</v>
      </c>
      <c r="I1721">
        <v>111.81</v>
      </c>
      <c r="J1721" s="1">
        <v>45525</v>
      </c>
      <c r="K1721">
        <v>45</v>
      </c>
      <c r="L1721">
        <v>1.1000000000000001</v>
      </c>
      <c r="M1721" t="b">
        <v>0</v>
      </c>
    </row>
    <row r="1722" spans="1:14" x14ac:dyDescent="0.25">
      <c r="A1722" t="s">
        <v>1775</v>
      </c>
      <c r="B1722" t="s">
        <v>38</v>
      </c>
      <c r="C1722" t="s">
        <v>32</v>
      </c>
      <c r="D1722" t="s">
        <v>23</v>
      </c>
      <c r="E1722" t="s">
        <v>49</v>
      </c>
      <c r="F1722" t="s">
        <v>19</v>
      </c>
      <c r="G1722">
        <v>70.78</v>
      </c>
      <c r="H1722">
        <v>0</v>
      </c>
      <c r="I1722">
        <v>70.78</v>
      </c>
      <c r="J1722" s="1">
        <v>45875</v>
      </c>
      <c r="K1722">
        <v>39</v>
      </c>
      <c r="L1722">
        <v>3.4</v>
      </c>
      <c r="M1722" t="b">
        <v>1</v>
      </c>
      <c r="N1722" t="s">
        <v>36</v>
      </c>
    </row>
    <row r="1723" spans="1:14" x14ac:dyDescent="0.25">
      <c r="A1723" t="s">
        <v>1776</v>
      </c>
      <c r="B1723" t="s">
        <v>27</v>
      </c>
      <c r="C1723" t="s">
        <v>43</v>
      </c>
      <c r="D1723" t="s">
        <v>23</v>
      </c>
      <c r="F1723" t="s">
        <v>25</v>
      </c>
      <c r="G1723">
        <v>76.13</v>
      </c>
      <c r="H1723">
        <v>58.5</v>
      </c>
      <c r="I1723">
        <v>31.59</v>
      </c>
      <c r="J1723" s="1">
        <v>45875</v>
      </c>
      <c r="K1723">
        <v>40</v>
      </c>
      <c r="L1723">
        <v>1.6</v>
      </c>
      <c r="M1723" t="b">
        <v>0</v>
      </c>
    </row>
    <row r="1724" spans="1:14" x14ac:dyDescent="0.25">
      <c r="A1724" t="s">
        <v>1777</v>
      </c>
      <c r="B1724" t="s">
        <v>38</v>
      </c>
      <c r="C1724" t="s">
        <v>32</v>
      </c>
      <c r="D1724" t="s">
        <v>34</v>
      </c>
      <c r="E1724" t="s">
        <v>55</v>
      </c>
      <c r="F1724" t="s">
        <v>25</v>
      </c>
      <c r="G1724">
        <v>71.09</v>
      </c>
      <c r="H1724">
        <v>41.5</v>
      </c>
      <c r="I1724">
        <v>41.59</v>
      </c>
      <c r="J1724" s="1">
        <v>45875</v>
      </c>
      <c r="K1724">
        <v>20</v>
      </c>
      <c r="L1724">
        <v>3.1</v>
      </c>
      <c r="M1724" t="b">
        <v>0</v>
      </c>
    </row>
    <row r="1725" spans="1:14" x14ac:dyDescent="0.25">
      <c r="A1725" t="s">
        <v>1778</v>
      </c>
      <c r="B1725" t="s">
        <v>38</v>
      </c>
      <c r="C1725" t="s">
        <v>43</v>
      </c>
      <c r="D1725" t="s">
        <v>34</v>
      </c>
      <c r="F1725" t="s">
        <v>40</v>
      </c>
      <c r="G1725">
        <v>53.64</v>
      </c>
      <c r="H1725">
        <v>55.9</v>
      </c>
      <c r="I1725">
        <v>23.66</v>
      </c>
      <c r="J1725" s="1">
        <v>45875</v>
      </c>
      <c r="K1725">
        <v>10</v>
      </c>
      <c r="L1725">
        <v>2.5</v>
      </c>
      <c r="M1725" t="b">
        <v>0</v>
      </c>
    </row>
    <row r="1726" spans="1:14" x14ac:dyDescent="0.25">
      <c r="A1726" t="s">
        <v>1779</v>
      </c>
      <c r="B1726" t="s">
        <v>30</v>
      </c>
      <c r="C1726" t="s">
        <v>53</v>
      </c>
      <c r="D1726" t="s">
        <v>34</v>
      </c>
      <c r="F1726" t="s">
        <v>70</v>
      </c>
      <c r="G1726">
        <v>110.2</v>
      </c>
      <c r="H1726">
        <v>59.7</v>
      </c>
      <c r="I1726">
        <v>44.41</v>
      </c>
      <c r="J1726" s="1">
        <v>45875</v>
      </c>
      <c r="K1726">
        <v>13</v>
      </c>
      <c r="L1726">
        <v>3.5</v>
      </c>
      <c r="M1726" t="b">
        <v>1</v>
      </c>
      <c r="N1726" t="s">
        <v>36</v>
      </c>
    </row>
    <row r="1727" spans="1:14" x14ac:dyDescent="0.25">
      <c r="A1727" t="s">
        <v>1780</v>
      </c>
      <c r="B1727" t="s">
        <v>30</v>
      </c>
      <c r="C1727" t="s">
        <v>22</v>
      </c>
      <c r="D1727" t="s">
        <v>62</v>
      </c>
      <c r="E1727" t="s">
        <v>49</v>
      </c>
      <c r="F1727" t="s">
        <v>46</v>
      </c>
      <c r="G1727">
        <v>80.63</v>
      </c>
      <c r="H1727">
        <v>17.399999999999999</v>
      </c>
      <c r="I1727">
        <v>66.599999999999994</v>
      </c>
      <c r="J1727" s="1">
        <v>45875</v>
      </c>
      <c r="K1727">
        <v>6</v>
      </c>
      <c r="M1727" t="b">
        <v>1</v>
      </c>
      <c r="N1727" t="s">
        <v>78</v>
      </c>
    </row>
    <row r="1728" spans="1:14" x14ac:dyDescent="0.25">
      <c r="A1728" t="s">
        <v>1781</v>
      </c>
      <c r="B1728" t="s">
        <v>42</v>
      </c>
      <c r="C1728" t="s">
        <v>43</v>
      </c>
      <c r="D1728" t="s">
        <v>17</v>
      </c>
      <c r="E1728" t="s">
        <v>18</v>
      </c>
      <c r="F1728" t="s">
        <v>46</v>
      </c>
      <c r="G1728">
        <v>101.09</v>
      </c>
      <c r="H1728">
        <v>24.8</v>
      </c>
      <c r="I1728">
        <v>76.02</v>
      </c>
      <c r="J1728" s="1">
        <v>45537</v>
      </c>
      <c r="K1728">
        <v>7</v>
      </c>
      <c r="L1728">
        <v>4.5</v>
      </c>
      <c r="M1728" t="b">
        <v>1</v>
      </c>
      <c r="N1728" t="s">
        <v>78</v>
      </c>
    </row>
    <row r="1729" spans="1:13" x14ac:dyDescent="0.25">
      <c r="A1729" t="s">
        <v>1782</v>
      </c>
      <c r="B1729" t="s">
        <v>27</v>
      </c>
      <c r="C1729" t="s">
        <v>16</v>
      </c>
      <c r="D1729" t="s">
        <v>17</v>
      </c>
      <c r="F1729" t="s">
        <v>64</v>
      </c>
      <c r="G1729">
        <v>75.48</v>
      </c>
      <c r="H1729">
        <v>0</v>
      </c>
      <c r="I1729">
        <v>75.48</v>
      </c>
      <c r="J1729" s="1">
        <v>45804</v>
      </c>
      <c r="K1729">
        <v>16</v>
      </c>
      <c r="L1729">
        <v>1.4</v>
      </c>
      <c r="M1729" t="b">
        <v>0</v>
      </c>
    </row>
    <row r="1730" spans="1:13" x14ac:dyDescent="0.25">
      <c r="A1730" t="s">
        <v>1783</v>
      </c>
      <c r="B1730" t="s">
        <v>30</v>
      </c>
      <c r="C1730" t="s">
        <v>32</v>
      </c>
      <c r="D1730" t="s">
        <v>62</v>
      </c>
      <c r="E1730" t="s">
        <v>39</v>
      </c>
      <c r="F1730" t="s">
        <v>70</v>
      </c>
      <c r="G1730">
        <v>159.94999999999999</v>
      </c>
      <c r="H1730">
        <v>6.4</v>
      </c>
      <c r="I1730">
        <v>149.71</v>
      </c>
      <c r="J1730" s="1">
        <v>45875</v>
      </c>
      <c r="K1730">
        <v>39</v>
      </c>
      <c r="L1730">
        <v>3</v>
      </c>
      <c r="M1730" t="b">
        <v>0</v>
      </c>
    </row>
    <row r="1731" spans="1:13" x14ac:dyDescent="0.25">
      <c r="A1731" t="s">
        <v>1784</v>
      </c>
      <c r="B1731" t="s">
        <v>42</v>
      </c>
      <c r="C1731" t="s">
        <v>61</v>
      </c>
      <c r="D1731" t="s">
        <v>62</v>
      </c>
      <c r="E1731" t="s">
        <v>24</v>
      </c>
      <c r="F1731" t="s">
        <v>28</v>
      </c>
      <c r="G1731">
        <v>61.9</v>
      </c>
      <c r="H1731">
        <v>0</v>
      </c>
      <c r="I1731">
        <v>61.9</v>
      </c>
      <c r="J1731" s="1">
        <v>45875</v>
      </c>
      <c r="K1731">
        <v>29</v>
      </c>
      <c r="L1731">
        <v>4.4000000000000004</v>
      </c>
      <c r="M1731" t="b">
        <v>0</v>
      </c>
    </row>
    <row r="1732" spans="1:13" x14ac:dyDescent="0.25">
      <c r="A1732" t="s">
        <v>1785</v>
      </c>
      <c r="B1732" t="s">
        <v>21</v>
      </c>
      <c r="C1732" t="s">
        <v>32</v>
      </c>
      <c r="D1732" t="s">
        <v>34</v>
      </c>
      <c r="E1732" t="s">
        <v>18</v>
      </c>
      <c r="F1732" t="s">
        <v>66</v>
      </c>
      <c r="G1732">
        <v>63.45</v>
      </c>
      <c r="H1732">
        <v>12.3</v>
      </c>
      <c r="I1732">
        <v>55.65</v>
      </c>
      <c r="J1732" s="1">
        <v>45875</v>
      </c>
      <c r="K1732">
        <v>23</v>
      </c>
      <c r="L1732">
        <v>4.9000000000000004</v>
      </c>
      <c r="M1732" t="b">
        <v>0</v>
      </c>
    </row>
    <row r="1733" spans="1:13" x14ac:dyDescent="0.25">
      <c r="A1733" t="s">
        <v>1786</v>
      </c>
      <c r="B1733" t="s">
        <v>21</v>
      </c>
      <c r="C1733" t="s">
        <v>43</v>
      </c>
      <c r="D1733" t="s">
        <v>62</v>
      </c>
      <c r="E1733" t="s">
        <v>39</v>
      </c>
      <c r="F1733" t="s">
        <v>19</v>
      </c>
      <c r="G1733">
        <v>43.22</v>
      </c>
      <c r="H1733">
        <v>46.7</v>
      </c>
      <c r="I1733">
        <v>23.04</v>
      </c>
      <c r="J1733" s="1">
        <v>45875</v>
      </c>
      <c r="K1733">
        <v>29</v>
      </c>
      <c r="L1733">
        <v>1.3</v>
      </c>
      <c r="M1733" t="b">
        <v>0</v>
      </c>
    </row>
    <row r="1734" spans="1:13" x14ac:dyDescent="0.25">
      <c r="A1734" t="s">
        <v>1787</v>
      </c>
      <c r="B1734" t="s">
        <v>30</v>
      </c>
      <c r="C1734" t="s">
        <v>32</v>
      </c>
      <c r="D1734" t="s">
        <v>23</v>
      </c>
      <c r="E1734" t="s">
        <v>39</v>
      </c>
      <c r="F1734" t="s">
        <v>64</v>
      </c>
      <c r="G1734">
        <v>64.650000000000006</v>
      </c>
      <c r="H1734">
        <v>26.8</v>
      </c>
      <c r="I1734">
        <v>47.32</v>
      </c>
      <c r="J1734" s="1">
        <v>45875</v>
      </c>
      <c r="K1734">
        <v>28</v>
      </c>
      <c r="L1734">
        <v>4.7</v>
      </c>
      <c r="M1734" t="b">
        <v>0</v>
      </c>
    </row>
    <row r="1735" spans="1:13" x14ac:dyDescent="0.25">
      <c r="A1735" t="s">
        <v>1788</v>
      </c>
      <c r="B1735" t="s">
        <v>30</v>
      </c>
      <c r="C1735" t="s">
        <v>22</v>
      </c>
      <c r="D1735" t="s">
        <v>17</v>
      </c>
      <c r="E1735" t="s">
        <v>49</v>
      </c>
      <c r="F1735" t="s">
        <v>66</v>
      </c>
      <c r="G1735">
        <v>118.67</v>
      </c>
      <c r="H1735">
        <v>56</v>
      </c>
      <c r="I1735">
        <v>52.21</v>
      </c>
      <c r="J1735" s="1">
        <v>45773</v>
      </c>
      <c r="K1735">
        <v>27</v>
      </c>
      <c r="L1735">
        <v>3.5</v>
      </c>
      <c r="M1735" t="b">
        <v>0</v>
      </c>
    </row>
    <row r="1736" spans="1:13" x14ac:dyDescent="0.25">
      <c r="A1736" t="s">
        <v>1789</v>
      </c>
      <c r="B1736" t="s">
        <v>42</v>
      </c>
      <c r="C1736" t="s">
        <v>32</v>
      </c>
      <c r="D1736" t="s">
        <v>17</v>
      </c>
      <c r="E1736" t="s">
        <v>55</v>
      </c>
      <c r="F1736" t="s">
        <v>35</v>
      </c>
      <c r="G1736">
        <v>169.32</v>
      </c>
      <c r="H1736">
        <v>0</v>
      </c>
      <c r="I1736">
        <v>169.32</v>
      </c>
      <c r="J1736" s="1">
        <v>45643</v>
      </c>
      <c r="K1736">
        <v>19</v>
      </c>
      <c r="L1736">
        <v>2.2000000000000002</v>
      </c>
      <c r="M1736" t="b">
        <v>0</v>
      </c>
    </row>
    <row r="1737" spans="1:13" x14ac:dyDescent="0.25">
      <c r="A1737" t="s">
        <v>1790</v>
      </c>
      <c r="B1737" t="s">
        <v>30</v>
      </c>
      <c r="C1737" t="s">
        <v>53</v>
      </c>
      <c r="D1737" t="s">
        <v>17</v>
      </c>
      <c r="E1737" t="s">
        <v>55</v>
      </c>
      <c r="F1737" t="s">
        <v>40</v>
      </c>
      <c r="G1737">
        <v>115.77</v>
      </c>
      <c r="H1737">
        <v>0</v>
      </c>
      <c r="I1737">
        <v>115.77</v>
      </c>
      <c r="J1737" s="1">
        <v>45620</v>
      </c>
      <c r="K1737">
        <v>43</v>
      </c>
      <c r="M1737" t="b">
        <v>0</v>
      </c>
    </row>
    <row r="1738" spans="1:13" x14ac:dyDescent="0.25">
      <c r="A1738" t="s">
        <v>1791</v>
      </c>
      <c r="B1738" t="s">
        <v>30</v>
      </c>
      <c r="C1738" t="s">
        <v>43</v>
      </c>
      <c r="D1738" t="s">
        <v>34</v>
      </c>
      <c r="E1738" t="s">
        <v>55</v>
      </c>
      <c r="F1738" t="s">
        <v>56</v>
      </c>
      <c r="G1738">
        <v>139.91</v>
      </c>
      <c r="H1738">
        <v>0</v>
      </c>
      <c r="I1738">
        <v>139.91</v>
      </c>
      <c r="J1738" s="1">
        <v>45875</v>
      </c>
      <c r="K1738">
        <v>9</v>
      </c>
      <c r="L1738">
        <v>3.7</v>
      </c>
      <c r="M1738" t="b">
        <v>0</v>
      </c>
    </row>
    <row r="1739" spans="1:13" x14ac:dyDescent="0.25">
      <c r="A1739" t="s">
        <v>1792</v>
      </c>
      <c r="B1739" t="s">
        <v>38</v>
      </c>
      <c r="C1739" t="s">
        <v>32</v>
      </c>
      <c r="D1739" t="s">
        <v>62</v>
      </c>
      <c r="E1739" t="s">
        <v>49</v>
      </c>
      <c r="F1739" t="s">
        <v>66</v>
      </c>
      <c r="G1739">
        <v>101.73</v>
      </c>
      <c r="H1739">
        <v>0</v>
      </c>
      <c r="I1739">
        <v>101.73</v>
      </c>
      <c r="J1739" s="1">
        <v>45875</v>
      </c>
      <c r="K1739">
        <v>14</v>
      </c>
      <c r="L1739">
        <v>4.7</v>
      </c>
      <c r="M1739" t="b">
        <v>0</v>
      </c>
    </row>
    <row r="1740" spans="1:13" x14ac:dyDescent="0.25">
      <c r="A1740" t="s">
        <v>1793</v>
      </c>
      <c r="B1740" t="s">
        <v>21</v>
      </c>
      <c r="C1740" t="s">
        <v>75</v>
      </c>
      <c r="D1740" t="s">
        <v>62</v>
      </c>
      <c r="F1740" t="s">
        <v>25</v>
      </c>
      <c r="G1740">
        <v>105.85</v>
      </c>
      <c r="H1740">
        <v>0</v>
      </c>
      <c r="I1740">
        <v>105.85</v>
      </c>
      <c r="J1740" s="1">
        <v>45875</v>
      </c>
      <c r="K1740">
        <v>29</v>
      </c>
      <c r="L1740">
        <v>2.1</v>
      </c>
      <c r="M1740" t="b">
        <v>0</v>
      </c>
    </row>
    <row r="1741" spans="1:13" x14ac:dyDescent="0.25">
      <c r="A1741" t="s">
        <v>1794</v>
      </c>
      <c r="B1741" t="s">
        <v>21</v>
      </c>
      <c r="C1741" t="s">
        <v>61</v>
      </c>
      <c r="D1741" t="s">
        <v>17</v>
      </c>
      <c r="E1741" t="s">
        <v>18</v>
      </c>
      <c r="F1741" t="s">
        <v>40</v>
      </c>
      <c r="G1741">
        <v>105.37</v>
      </c>
      <c r="H1741">
        <v>0</v>
      </c>
      <c r="I1741">
        <v>105.37</v>
      </c>
      <c r="J1741" s="1">
        <v>45762</v>
      </c>
      <c r="K1741">
        <v>24</v>
      </c>
      <c r="L1741">
        <v>1.2</v>
      </c>
      <c r="M1741" t="b">
        <v>0</v>
      </c>
    </row>
    <row r="1742" spans="1:13" x14ac:dyDescent="0.25">
      <c r="A1742" t="s">
        <v>1795</v>
      </c>
      <c r="B1742" t="s">
        <v>21</v>
      </c>
      <c r="C1742" t="s">
        <v>48</v>
      </c>
      <c r="D1742" t="s">
        <v>62</v>
      </c>
      <c r="E1742" t="s">
        <v>39</v>
      </c>
      <c r="F1742" t="s">
        <v>70</v>
      </c>
      <c r="G1742">
        <v>44.42</v>
      </c>
      <c r="H1742">
        <v>0</v>
      </c>
      <c r="I1742">
        <v>44.42</v>
      </c>
      <c r="J1742" s="1">
        <v>45875</v>
      </c>
      <c r="K1742">
        <v>49</v>
      </c>
      <c r="M1742" t="b">
        <v>0</v>
      </c>
    </row>
    <row r="1743" spans="1:13" x14ac:dyDescent="0.25">
      <c r="A1743" t="s">
        <v>1796</v>
      </c>
      <c r="B1743" t="s">
        <v>30</v>
      </c>
      <c r="C1743" t="s">
        <v>22</v>
      </c>
      <c r="D1743" t="s">
        <v>17</v>
      </c>
      <c r="E1743" t="s">
        <v>55</v>
      </c>
      <c r="F1743" t="s">
        <v>40</v>
      </c>
      <c r="G1743">
        <v>164.86</v>
      </c>
      <c r="H1743">
        <v>14.3</v>
      </c>
      <c r="I1743">
        <v>141.29</v>
      </c>
      <c r="J1743" s="1">
        <v>45730</v>
      </c>
      <c r="K1743">
        <v>7</v>
      </c>
      <c r="L1743">
        <v>2.2999999999999998</v>
      </c>
      <c r="M1743" t="b">
        <v>0</v>
      </c>
    </row>
    <row r="1744" spans="1:13" x14ac:dyDescent="0.25">
      <c r="A1744" t="s">
        <v>1797</v>
      </c>
      <c r="B1744" t="s">
        <v>30</v>
      </c>
      <c r="C1744" t="s">
        <v>43</v>
      </c>
      <c r="D1744" t="s">
        <v>34</v>
      </c>
      <c r="E1744" t="s">
        <v>49</v>
      </c>
      <c r="F1744" t="s">
        <v>28</v>
      </c>
      <c r="G1744">
        <v>163.88</v>
      </c>
      <c r="H1744">
        <v>5.9</v>
      </c>
      <c r="I1744">
        <v>154.21</v>
      </c>
      <c r="J1744" s="1">
        <v>45875</v>
      </c>
      <c r="K1744">
        <v>39</v>
      </c>
      <c r="L1744">
        <v>2.6</v>
      </c>
      <c r="M1744" t="b">
        <v>0</v>
      </c>
    </row>
    <row r="1745" spans="1:14" x14ac:dyDescent="0.25">
      <c r="A1745" t="s">
        <v>1798</v>
      </c>
      <c r="B1745" t="s">
        <v>38</v>
      </c>
      <c r="C1745" t="s">
        <v>16</v>
      </c>
      <c r="D1745" t="s">
        <v>34</v>
      </c>
      <c r="E1745" t="s">
        <v>55</v>
      </c>
      <c r="F1745" t="s">
        <v>46</v>
      </c>
      <c r="G1745">
        <v>36.54</v>
      </c>
      <c r="H1745">
        <v>5.3</v>
      </c>
      <c r="I1745">
        <v>34.6</v>
      </c>
      <c r="J1745" s="1">
        <v>45875</v>
      </c>
      <c r="K1745">
        <v>13</v>
      </c>
      <c r="L1745">
        <v>2.5</v>
      </c>
      <c r="M1745" t="b">
        <v>0</v>
      </c>
    </row>
    <row r="1746" spans="1:14" x14ac:dyDescent="0.25">
      <c r="A1746" t="s">
        <v>1799</v>
      </c>
      <c r="B1746" t="s">
        <v>42</v>
      </c>
      <c r="C1746" t="s">
        <v>32</v>
      </c>
      <c r="D1746" t="s">
        <v>17</v>
      </c>
      <c r="E1746" t="s">
        <v>58</v>
      </c>
      <c r="F1746" t="s">
        <v>19</v>
      </c>
      <c r="G1746">
        <v>99.97</v>
      </c>
      <c r="H1746">
        <v>0</v>
      </c>
      <c r="I1746">
        <v>99.97</v>
      </c>
      <c r="J1746" s="1">
        <v>45581</v>
      </c>
      <c r="K1746">
        <v>38</v>
      </c>
      <c r="L1746">
        <v>1.4</v>
      </c>
      <c r="M1746" t="b">
        <v>0</v>
      </c>
    </row>
    <row r="1747" spans="1:14" x14ac:dyDescent="0.25">
      <c r="A1747" t="s">
        <v>1800</v>
      </c>
      <c r="B1747" t="s">
        <v>15</v>
      </c>
      <c r="C1747" t="s">
        <v>53</v>
      </c>
      <c r="D1747" t="s">
        <v>62</v>
      </c>
      <c r="E1747" t="s">
        <v>18</v>
      </c>
      <c r="F1747" t="s">
        <v>19</v>
      </c>
      <c r="G1747">
        <v>194.78</v>
      </c>
      <c r="H1747">
        <v>0</v>
      </c>
      <c r="I1747">
        <v>194.78</v>
      </c>
      <c r="J1747" s="1">
        <v>45875</v>
      </c>
      <c r="K1747">
        <v>31</v>
      </c>
      <c r="M1747" t="b">
        <v>0</v>
      </c>
    </row>
    <row r="1748" spans="1:14" x14ac:dyDescent="0.25">
      <c r="A1748" t="s">
        <v>1801</v>
      </c>
      <c r="B1748" t="s">
        <v>15</v>
      </c>
      <c r="C1748" t="s">
        <v>22</v>
      </c>
      <c r="D1748" t="s">
        <v>34</v>
      </c>
      <c r="E1748" t="s">
        <v>55</v>
      </c>
      <c r="F1748" t="s">
        <v>44</v>
      </c>
      <c r="G1748">
        <v>208.93</v>
      </c>
      <c r="H1748">
        <v>0</v>
      </c>
      <c r="I1748">
        <v>208.93</v>
      </c>
      <c r="J1748" s="1">
        <v>45875</v>
      </c>
      <c r="K1748">
        <v>12</v>
      </c>
      <c r="L1748">
        <v>2.2999999999999998</v>
      </c>
      <c r="M1748" t="b">
        <v>0</v>
      </c>
    </row>
    <row r="1749" spans="1:14" x14ac:dyDescent="0.25">
      <c r="A1749" t="s">
        <v>1802</v>
      </c>
      <c r="B1749" t="s">
        <v>38</v>
      </c>
      <c r="C1749" t="s">
        <v>53</v>
      </c>
      <c r="D1749" t="s">
        <v>17</v>
      </c>
      <c r="E1749" t="s">
        <v>55</v>
      </c>
      <c r="F1749" t="s">
        <v>19</v>
      </c>
      <c r="G1749">
        <v>68.459999999999994</v>
      </c>
      <c r="H1749">
        <v>50</v>
      </c>
      <c r="I1749">
        <v>34.229999999999997</v>
      </c>
      <c r="J1749" s="1">
        <v>45683</v>
      </c>
      <c r="K1749">
        <v>24</v>
      </c>
      <c r="L1749">
        <v>1.9</v>
      </c>
      <c r="M1749" t="b">
        <v>0</v>
      </c>
    </row>
    <row r="1750" spans="1:14" x14ac:dyDescent="0.25">
      <c r="A1750" t="s">
        <v>1803</v>
      </c>
      <c r="B1750" t="s">
        <v>27</v>
      </c>
      <c r="C1750" t="s">
        <v>32</v>
      </c>
      <c r="D1750" t="s">
        <v>23</v>
      </c>
      <c r="F1750" t="s">
        <v>66</v>
      </c>
      <c r="G1750">
        <v>30.26</v>
      </c>
      <c r="H1750">
        <v>50</v>
      </c>
      <c r="I1750">
        <v>15.13</v>
      </c>
      <c r="J1750" s="1">
        <v>45875</v>
      </c>
      <c r="K1750">
        <v>23</v>
      </c>
      <c r="L1750">
        <v>1.4</v>
      </c>
      <c r="M1750" t="b">
        <v>0</v>
      </c>
    </row>
    <row r="1751" spans="1:14" x14ac:dyDescent="0.25">
      <c r="A1751" t="s">
        <v>1804</v>
      </c>
      <c r="B1751" t="s">
        <v>15</v>
      </c>
      <c r="C1751" t="s">
        <v>43</v>
      </c>
      <c r="D1751" t="s">
        <v>62</v>
      </c>
      <c r="E1751" t="s">
        <v>55</v>
      </c>
      <c r="F1751" t="s">
        <v>46</v>
      </c>
      <c r="G1751">
        <v>186.66</v>
      </c>
      <c r="H1751">
        <v>30.9</v>
      </c>
      <c r="I1751">
        <v>128.97999999999999</v>
      </c>
      <c r="J1751" s="1">
        <v>45875</v>
      </c>
      <c r="K1751">
        <v>7</v>
      </c>
      <c r="L1751">
        <v>1</v>
      </c>
      <c r="M1751" t="b">
        <v>0</v>
      </c>
    </row>
    <row r="1752" spans="1:14" x14ac:dyDescent="0.25">
      <c r="A1752" t="s">
        <v>1805</v>
      </c>
      <c r="B1752" t="s">
        <v>21</v>
      </c>
      <c r="C1752" t="s">
        <v>16</v>
      </c>
      <c r="D1752" t="s">
        <v>23</v>
      </c>
      <c r="E1752" t="s">
        <v>39</v>
      </c>
      <c r="F1752" t="s">
        <v>28</v>
      </c>
      <c r="G1752">
        <v>78.05</v>
      </c>
      <c r="H1752">
        <v>48.1</v>
      </c>
      <c r="I1752">
        <v>40.51</v>
      </c>
      <c r="J1752" s="1">
        <v>45875</v>
      </c>
      <c r="K1752">
        <v>36</v>
      </c>
      <c r="L1752">
        <v>2.9</v>
      </c>
      <c r="M1752" t="b">
        <v>1</v>
      </c>
      <c r="N1752" t="s">
        <v>115</v>
      </c>
    </row>
    <row r="1753" spans="1:14" x14ac:dyDescent="0.25">
      <c r="A1753" t="s">
        <v>1806</v>
      </c>
      <c r="B1753" t="s">
        <v>21</v>
      </c>
      <c r="C1753" t="s">
        <v>22</v>
      </c>
      <c r="D1753" t="s">
        <v>17</v>
      </c>
      <c r="E1753" t="s">
        <v>58</v>
      </c>
      <c r="F1753" t="s">
        <v>66</v>
      </c>
      <c r="G1753">
        <v>104.75</v>
      </c>
      <c r="H1753">
        <v>0</v>
      </c>
      <c r="I1753">
        <v>104.75</v>
      </c>
      <c r="J1753" s="1">
        <v>45591</v>
      </c>
      <c r="K1753">
        <v>11</v>
      </c>
      <c r="M1753" t="b">
        <v>0</v>
      </c>
    </row>
    <row r="1754" spans="1:14" x14ac:dyDescent="0.25">
      <c r="A1754" t="s">
        <v>1807</v>
      </c>
      <c r="B1754" t="s">
        <v>30</v>
      </c>
      <c r="C1754" t="s">
        <v>22</v>
      </c>
      <c r="D1754" t="s">
        <v>62</v>
      </c>
      <c r="E1754" t="s">
        <v>58</v>
      </c>
      <c r="F1754" t="s">
        <v>70</v>
      </c>
      <c r="G1754">
        <v>121.33</v>
      </c>
      <c r="H1754">
        <v>0</v>
      </c>
      <c r="I1754">
        <v>121.33</v>
      </c>
      <c r="J1754" s="1">
        <v>45875</v>
      </c>
      <c r="K1754">
        <v>30</v>
      </c>
      <c r="L1754">
        <v>4.2</v>
      </c>
      <c r="M1754" t="b">
        <v>0</v>
      </c>
    </row>
    <row r="1755" spans="1:14" x14ac:dyDescent="0.25">
      <c r="A1755" t="s">
        <v>1808</v>
      </c>
      <c r="B1755" t="s">
        <v>42</v>
      </c>
      <c r="C1755" t="s">
        <v>43</v>
      </c>
      <c r="D1755" t="s">
        <v>34</v>
      </c>
      <c r="E1755" t="s">
        <v>49</v>
      </c>
      <c r="F1755" t="s">
        <v>46</v>
      </c>
      <c r="G1755">
        <v>78.09</v>
      </c>
      <c r="H1755">
        <v>0</v>
      </c>
      <c r="I1755">
        <v>78.09</v>
      </c>
      <c r="J1755" s="1">
        <v>45875</v>
      </c>
      <c r="K1755">
        <v>6</v>
      </c>
      <c r="L1755">
        <v>2</v>
      </c>
      <c r="M1755" t="b">
        <v>0</v>
      </c>
    </row>
    <row r="1756" spans="1:14" x14ac:dyDescent="0.25">
      <c r="A1756" t="s">
        <v>1809</v>
      </c>
      <c r="B1756" t="s">
        <v>21</v>
      </c>
      <c r="C1756" t="s">
        <v>22</v>
      </c>
      <c r="D1756" t="s">
        <v>34</v>
      </c>
      <c r="E1756" t="s">
        <v>49</v>
      </c>
      <c r="F1756" t="s">
        <v>19</v>
      </c>
      <c r="G1756">
        <v>109.19</v>
      </c>
      <c r="H1756">
        <v>0</v>
      </c>
      <c r="I1756">
        <v>109.19</v>
      </c>
      <c r="J1756" s="1">
        <v>45875</v>
      </c>
      <c r="K1756">
        <v>47</v>
      </c>
      <c r="L1756">
        <v>4.5</v>
      </c>
      <c r="M1756" t="b">
        <v>0</v>
      </c>
    </row>
    <row r="1757" spans="1:14" x14ac:dyDescent="0.25">
      <c r="A1757" t="s">
        <v>1810</v>
      </c>
      <c r="B1757" t="s">
        <v>30</v>
      </c>
      <c r="C1757" t="s">
        <v>53</v>
      </c>
      <c r="D1757" t="s">
        <v>23</v>
      </c>
      <c r="E1757" t="s">
        <v>24</v>
      </c>
      <c r="F1757" t="s">
        <v>28</v>
      </c>
      <c r="G1757">
        <v>126.74</v>
      </c>
      <c r="H1757">
        <v>0</v>
      </c>
      <c r="I1757">
        <v>126.74</v>
      </c>
      <c r="J1757" s="1">
        <v>45875</v>
      </c>
      <c r="K1757">
        <v>2</v>
      </c>
      <c r="L1757">
        <v>2.9</v>
      </c>
      <c r="M1757" t="b">
        <v>0</v>
      </c>
    </row>
    <row r="1758" spans="1:14" x14ac:dyDescent="0.25">
      <c r="A1758" t="s">
        <v>1811</v>
      </c>
      <c r="B1758" t="s">
        <v>30</v>
      </c>
      <c r="C1758" t="s">
        <v>48</v>
      </c>
      <c r="D1758" t="s">
        <v>17</v>
      </c>
      <c r="E1758" t="s">
        <v>18</v>
      </c>
      <c r="F1758" t="s">
        <v>28</v>
      </c>
      <c r="G1758">
        <v>95.85</v>
      </c>
      <c r="H1758">
        <v>0</v>
      </c>
      <c r="I1758">
        <v>95.85</v>
      </c>
      <c r="J1758" s="1">
        <v>45703</v>
      </c>
      <c r="K1758">
        <v>45</v>
      </c>
      <c r="L1758">
        <v>5</v>
      </c>
      <c r="M1758" t="b">
        <v>0</v>
      </c>
    </row>
    <row r="1759" spans="1:14" x14ac:dyDescent="0.25">
      <c r="A1759" t="s">
        <v>1812</v>
      </c>
      <c r="B1759" t="s">
        <v>15</v>
      </c>
      <c r="C1759" t="s">
        <v>43</v>
      </c>
      <c r="D1759" t="s">
        <v>62</v>
      </c>
      <c r="E1759" t="s">
        <v>39</v>
      </c>
      <c r="F1759" t="s">
        <v>44</v>
      </c>
      <c r="G1759">
        <v>213.98</v>
      </c>
      <c r="H1759">
        <v>0</v>
      </c>
      <c r="I1759">
        <v>213.98</v>
      </c>
      <c r="J1759" s="1">
        <v>45875</v>
      </c>
      <c r="K1759">
        <v>38</v>
      </c>
      <c r="M1759" t="b">
        <v>0</v>
      </c>
    </row>
    <row r="1760" spans="1:14" x14ac:dyDescent="0.25">
      <c r="A1760" t="s">
        <v>1813</v>
      </c>
      <c r="B1760" t="s">
        <v>30</v>
      </c>
      <c r="C1760" t="s">
        <v>75</v>
      </c>
      <c r="D1760" t="s">
        <v>17</v>
      </c>
      <c r="E1760" t="s">
        <v>49</v>
      </c>
      <c r="F1760" t="s">
        <v>56</v>
      </c>
      <c r="G1760">
        <v>146.22999999999999</v>
      </c>
      <c r="H1760">
        <v>40</v>
      </c>
      <c r="I1760">
        <v>87.74</v>
      </c>
      <c r="J1760" s="1">
        <v>45684</v>
      </c>
      <c r="K1760">
        <v>17</v>
      </c>
      <c r="L1760">
        <v>2.6</v>
      </c>
      <c r="M1760" t="b">
        <v>1</v>
      </c>
      <c r="N1760" t="s">
        <v>83</v>
      </c>
    </row>
    <row r="1761" spans="1:14" x14ac:dyDescent="0.25">
      <c r="A1761" t="s">
        <v>1814</v>
      </c>
      <c r="B1761" t="s">
        <v>38</v>
      </c>
      <c r="C1761" t="s">
        <v>43</v>
      </c>
      <c r="D1761" t="s">
        <v>23</v>
      </c>
      <c r="E1761" t="s">
        <v>24</v>
      </c>
      <c r="F1761" t="s">
        <v>25</v>
      </c>
      <c r="G1761">
        <v>115.57</v>
      </c>
      <c r="H1761">
        <v>16.100000000000001</v>
      </c>
      <c r="I1761">
        <v>96.96</v>
      </c>
      <c r="J1761" s="1">
        <v>45875</v>
      </c>
      <c r="K1761">
        <v>32</v>
      </c>
      <c r="L1761">
        <v>3.1</v>
      </c>
      <c r="M1761" t="b">
        <v>1</v>
      </c>
      <c r="N1761" t="s">
        <v>73</v>
      </c>
    </row>
    <row r="1762" spans="1:14" x14ac:dyDescent="0.25">
      <c r="A1762" t="s">
        <v>1815</v>
      </c>
      <c r="B1762" t="s">
        <v>27</v>
      </c>
      <c r="C1762" t="s">
        <v>32</v>
      </c>
      <c r="D1762" t="s">
        <v>17</v>
      </c>
      <c r="F1762" t="s">
        <v>44</v>
      </c>
      <c r="G1762">
        <v>66.62</v>
      </c>
      <c r="H1762">
        <v>0</v>
      </c>
      <c r="I1762">
        <v>66.62</v>
      </c>
      <c r="J1762" s="1">
        <v>45592</v>
      </c>
      <c r="K1762">
        <v>37</v>
      </c>
      <c r="M1762" t="b">
        <v>0</v>
      </c>
    </row>
    <row r="1763" spans="1:14" x14ac:dyDescent="0.25">
      <c r="A1763" t="s">
        <v>1816</v>
      </c>
      <c r="B1763" t="s">
        <v>42</v>
      </c>
      <c r="C1763" t="s">
        <v>32</v>
      </c>
      <c r="D1763" t="s">
        <v>17</v>
      </c>
      <c r="E1763" t="s">
        <v>55</v>
      </c>
      <c r="F1763" t="s">
        <v>66</v>
      </c>
      <c r="G1763">
        <v>60.37</v>
      </c>
      <c r="H1763">
        <v>23.1</v>
      </c>
      <c r="I1763">
        <v>46.42</v>
      </c>
      <c r="J1763" s="1">
        <v>45730</v>
      </c>
      <c r="K1763">
        <v>30</v>
      </c>
      <c r="L1763">
        <v>4.8</v>
      </c>
      <c r="M1763" t="b">
        <v>0</v>
      </c>
    </row>
    <row r="1764" spans="1:14" x14ac:dyDescent="0.25">
      <c r="A1764" t="s">
        <v>1817</v>
      </c>
      <c r="B1764" t="s">
        <v>30</v>
      </c>
      <c r="C1764" t="s">
        <v>48</v>
      </c>
      <c r="D1764" t="s">
        <v>23</v>
      </c>
      <c r="E1764" t="s">
        <v>58</v>
      </c>
      <c r="F1764" t="s">
        <v>44</v>
      </c>
      <c r="G1764">
        <v>83.2</v>
      </c>
      <c r="H1764">
        <v>57.1</v>
      </c>
      <c r="I1764">
        <v>35.69</v>
      </c>
      <c r="J1764" s="1">
        <v>45875</v>
      </c>
      <c r="K1764">
        <v>10</v>
      </c>
      <c r="L1764">
        <v>3.3</v>
      </c>
      <c r="M1764" t="b">
        <v>0</v>
      </c>
    </row>
    <row r="1765" spans="1:14" x14ac:dyDescent="0.25">
      <c r="A1765" t="s">
        <v>1818</v>
      </c>
      <c r="B1765" t="s">
        <v>15</v>
      </c>
      <c r="C1765" t="s">
        <v>22</v>
      </c>
      <c r="D1765" t="s">
        <v>62</v>
      </c>
      <c r="E1765" t="s">
        <v>39</v>
      </c>
      <c r="F1765" t="s">
        <v>64</v>
      </c>
      <c r="G1765">
        <v>204.47</v>
      </c>
      <c r="H1765">
        <v>3.6</v>
      </c>
      <c r="I1765">
        <v>197.11</v>
      </c>
      <c r="J1765" s="1">
        <v>45875</v>
      </c>
      <c r="K1765">
        <v>26</v>
      </c>
      <c r="M1765" t="b">
        <v>0</v>
      </c>
    </row>
    <row r="1766" spans="1:14" x14ac:dyDescent="0.25">
      <c r="A1766" t="s">
        <v>1819</v>
      </c>
      <c r="B1766" t="s">
        <v>27</v>
      </c>
      <c r="C1766" t="s">
        <v>43</v>
      </c>
      <c r="D1766" t="s">
        <v>34</v>
      </c>
      <c r="F1766" t="s">
        <v>66</v>
      </c>
      <c r="G1766">
        <v>52.73</v>
      </c>
      <c r="H1766">
        <v>0</v>
      </c>
      <c r="I1766">
        <v>52.73</v>
      </c>
      <c r="J1766" s="1">
        <v>45875</v>
      </c>
      <c r="K1766">
        <v>42</v>
      </c>
      <c r="M1766" t="b">
        <v>0</v>
      </c>
    </row>
    <row r="1767" spans="1:14" x14ac:dyDescent="0.25">
      <c r="A1767" t="s">
        <v>1820</v>
      </c>
      <c r="B1767" t="s">
        <v>38</v>
      </c>
      <c r="C1767" t="s">
        <v>75</v>
      </c>
      <c r="D1767" t="s">
        <v>34</v>
      </c>
      <c r="E1767" t="s">
        <v>49</v>
      </c>
      <c r="F1767" t="s">
        <v>56</v>
      </c>
      <c r="G1767">
        <v>61.1</v>
      </c>
      <c r="H1767">
        <v>0</v>
      </c>
      <c r="I1767">
        <v>61.1</v>
      </c>
      <c r="J1767" s="1">
        <v>45875</v>
      </c>
      <c r="K1767">
        <v>30</v>
      </c>
      <c r="L1767">
        <v>4.5999999999999996</v>
      </c>
      <c r="M1767" t="b">
        <v>0</v>
      </c>
    </row>
    <row r="1768" spans="1:14" x14ac:dyDescent="0.25">
      <c r="A1768" t="s">
        <v>1821</v>
      </c>
      <c r="B1768" t="s">
        <v>15</v>
      </c>
      <c r="C1768" t="s">
        <v>16</v>
      </c>
      <c r="D1768" t="s">
        <v>62</v>
      </c>
      <c r="E1768" t="s">
        <v>39</v>
      </c>
      <c r="F1768" t="s">
        <v>40</v>
      </c>
      <c r="G1768">
        <v>227.92</v>
      </c>
      <c r="H1768">
        <v>0</v>
      </c>
      <c r="I1768">
        <v>227.92</v>
      </c>
      <c r="J1768" s="1">
        <v>45875</v>
      </c>
      <c r="K1768">
        <v>34</v>
      </c>
      <c r="M1768" t="b">
        <v>0</v>
      </c>
    </row>
    <row r="1769" spans="1:14" x14ac:dyDescent="0.25">
      <c r="A1769" t="s">
        <v>1822</v>
      </c>
      <c r="B1769" t="s">
        <v>42</v>
      </c>
      <c r="C1769" t="s">
        <v>48</v>
      </c>
      <c r="D1769" t="s">
        <v>34</v>
      </c>
      <c r="E1769" t="s">
        <v>24</v>
      </c>
      <c r="F1769" t="s">
        <v>44</v>
      </c>
      <c r="G1769">
        <v>111.55</v>
      </c>
      <c r="H1769">
        <v>0</v>
      </c>
      <c r="I1769">
        <v>111.55</v>
      </c>
      <c r="J1769" s="1">
        <v>45875</v>
      </c>
      <c r="K1769">
        <v>14</v>
      </c>
      <c r="M1769" t="b">
        <v>0</v>
      </c>
    </row>
    <row r="1770" spans="1:14" x14ac:dyDescent="0.25">
      <c r="A1770" t="s">
        <v>1823</v>
      </c>
      <c r="B1770" t="s">
        <v>38</v>
      </c>
      <c r="C1770" t="s">
        <v>75</v>
      </c>
      <c r="D1770" t="s">
        <v>34</v>
      </c>
      <c r="E1770" t="s">
        <v>55</v>
      </c>
      <c r="F1770" t="s">
        <v>25</v>
      </c>
      <c r="G1770">
        <v>29.09</v>
      </c>
      <c r="H1770">
        <v>29.6</v>
      </c>
      <c r="I1770">
        <v>20.48</v>
      </c>
      <c r="J1770" s="1">
        <v>45875</v>
      </c>
      <c r="K1770">
        <v>25</v>
      </c>
      <c r="L1770">
        <v>4.8</v>
      </c>
      <c r="M1770" t="b">
        <v>0</v>
      </c>
    </row>
    <row r="1771" spans="1:14" x14ac:dyDescent="0.25">
      <c r="A1771" t="s">
        <v>1824</v>
      </c>
      <c r="B1771" t="s">
        <v>42</v>
      </c>
      <c r="C1771" t="s">
        <v>48</v>
      </c>
      <c r="D1771" t="s">
        <v>34</v>
      </c>
      <c r="E1771" t="s">
        <v>58</v>
      </c>
      <c r="F1771" t="s">
        <v>25</v>
      </c>
      <c r="G1771">
        <v>179.71</v>
      </c>
      <c r="H1771">
        <v>0</v>
      </c>
      <c r="I1771">
        <v>179.71</v>
      </c>
      <c r="J1771" s="1">
        <v>45875</v>
      </c>
      <c r="K1771">
        <v>9</v>
      </c>
      <c r="L1771">
        <v>3.9</v>
      </c>
      <c r="M1771" t="b">
        <v>0</v>
      </c>
    </row>
    <row r="1772" spans="1:14" x14ac:dyDescent="0.25">
      <c r="A1772" t="s">
        <v>1825</v>
      </c>
      <c r="B1772" t="s">
        <v>27</v>
      </c>
      <c r="C1772" t="s">
        <v>48</v>
      </c>
      <c r="D1772" t="s">
        <v>62</v>
      </c>
      <c r="F1772" t="s">
        <v>25</v>
      </c>
      <c r="G1772">
        <v>52.76</v>
      </c>
      <c r="H1772">
        <v>39.4</v>
      </c>
      <c r="I1772">
        <v>31.97</v>
      </c>
      <c r="J1772" s="1">
        <v>45875</v>
      </c>
      <c r="K1772">
        <v>0</v>
      </c>
      <c r="L1772">
        <v>1.4</v>
      </c>
      <c r="M1772" t="b">
        <v>0</v>
      </c>
    </row>
    <row r="1773" spans="1:14" x14ac:dyDescent="0.25">
      <c r="A1773" t="s">
        <v>1826</v>
      </c>
      <c r="B1773" t="s">
        <v>27</v>
      </c>
      <c r="C1773" t="s">
        <v>22</v>
      </c>
      <c r="D1773" t="s">
        <v>17</v>
      </c>
      <c r="F1773" t="s">
        <v>46</v>
      </c>
      <c r="G1773">
        <v>67.900000000000006</v>
      </c>
      <c r="H1773">
        <v>0</v>
      </c>
      <c r="I1773">
        <v>67.900000000000006</v>
      </c>
      <c r="J1773" s="1">
        <v>45657</v>
      </c>
      <c r="K1773">
        <v>1</v>
      </c>
      <c r="L1773">
        <v>1.3</v>
      </c>
      <c r="M1773" t="b">
        <v>0</v>
      </c>
    </row>
    <row r="1774" spans="1:14" x14ac:dyDescent="0.25">
      <c r="A1774" t="s">
        <v>1827</v>
      </c>
      <c r="B1774" t="s">
        <v>27</v>
      </c>
      <c r="C1774" t="s">
        <v>22</v>
      </c>
      <c r="D1774" t="s">
        <v>34</v>
      </c>
      <c r="F1774" t="s">
        <v>64</v>
      </c>
      <c r="G1774">
        <v>46.77</v>
      </c>
      <c r="H1774">
        <v>40.799999999999997</v>
      </c>
      <c r="I1774">
        <v>27.69</v>
      </c>
      <c r="J1774" s="1">
        <v>45875</v>
      </c>
      <c r="K1774">
        <v>25</v>
      </c>
      <c r="L1774">
        <v>2.6</v>
      </c>
      <c r="M1774" t="b">
        <v>0</v>
      </c>
    </row>
    <row r="1775" spans="1:14" x14ac:dyDescent="0.25">
      <c r="A1775" t="s">
        <v>1828</v>
      </c>
      <c r="B1775" t="s">
        <v>21</v>
      </c>
      <c r="C1775" t="s">
        <v>22</v>
      </c>
      <c r="D1775" t="s">
        <v>23</v>
      </c>
      <c r="E1775" t="s">
        <v>18</v>
      </c>
      <c r="F1775" t="s">
        <v>64</v>
      </c>
      <c r="G1775">
        <v>91.6</v>
      </c>
      <c r="H1775">
        <v>0</v>
      </c>
      <c r="I1775">
        <v>91.6</v>
      </c>
      <c r="J1775" s="1">
        <v>45875</v>
      </c>
      <c r="K1775">
        <v>6</v>
      </c>
      <c r="L1775">
        <v>2.7</v>
      </c>
      <c r="M1775" t="b">
        <v>0</v>
      </c>
    </row>
    <row r="1776" spans="1:14" x14ac:dyDescent="0.25">
      <c r="A1776" t="s">
        <v>1829</v>
      </c>
      <c r="B1776" t="s">
        <v>15</v>
      </c>
      <c r="C1776" t="s">
        <v>22</v>
      </c>
      <c r="D1776" t="s">
        <v>17</v>
      </c>
      <c r="E1776" t="s">
        <v>55</v>
      </c>
      <c r="F1776" t="s">
        <v>25</v>
      </c>
      <c r="G1776">
        <v>230.39</v>
      </c>
      <c r="H1776">
        <v>4.2</v>
      </c>
      <c r="I1776">
        <v>220.71</v>
      </c>
      <c r="J1776" s="1">
        <v>45580</v>
      </c>
      <c r="K1776">
        <v>34</v>
      </c>
      <c r="L1776">
        <v>3.5</v>
      </c>
      <c r="M1776" t="b">
        <v>0</v>
      </c>
    </row>
    <row r="1777" spans="1:14" x14ac:dyDescent="0.25">
      <c r="A1777" t="s">
        <v>1830</v>
      </c>
      <c r="B1777" t="s">
        <v>15</v>
      </c>
      <c r="C1777" t="s">
        <v>53</v>
      </c>
      <c r="D1777" t="s">
        <v>34</v>
      </c>
      <c r="E1777" t="s">
        <v>58</v>
      </c>
      <c r="F1777" t="s">
        <v>44</v>
      </c>
      <c r="G1777">
        <v>118.37</v>
      </c>
      <c r="H1777">
        <v>0</v>
      </c>
      <c r="I1777">
        <v>118.37</v>
      </c>
      <c r="J1777" s="1">
        <v>45875</v>
      </c>
      <c r="K1777">
        <v>45</v>
      </c>
      <c r="M1777" t="b">
        <v>0</v>
      </c>
    </row>
    <row r="1778" spans="1:14" x14ac:dyDescent="0.25">
      <c r="A1778" t="s">
        <v>1831</v>
      </c>
      <c r="B1778" t="s">
        <v>30</v>
      </c>
      <c r="C1778" t="s">
        <v>61</v>
      </c>
      <c r="D1778" t="s">
        <v>23</v>
      </c>
      <c r="E1778" t="s">
        <v>58</v>
      </c>
      <c r="F1778" t="s">
        <v>19</v>
      </c>
      <c r="G1778">
        <v>81.260000000000005</v>
      </c>
      <c r="H1778">
        <v>32.700000000000003</v>
      </c>
      <c r="I1778">
        <v>54.69</v>
      </c>
      <c r="J1778" s="1">
        <v>45875</v>
      </c>
      <c r="K1778">
        <v>2</v>
      </c>
      <c r="L1778">
        <v>3.3</v>
      </c>
      <c r="M1778" t="b">
        <v>0</v>
      </c>
    </row>
    <row r="1779" spans="1:14" x14ac:dyDescent="0.25">
      <c r="A1779" t="s">
        <v>1832</v>
      </c>
      <c r="B1779" t="s">
        <v>27</v>
      </c>
      <c r="C1779" t="s">
        <v>48</v>
      </c>
      <c r="D1779" t="s">
        <v>34</v>
      </c>
      <c r="F1779" t="s">
        <v>66</v>
      </c>
      <c r="G1779">
        <v>57.21</v>
      </c>
      <c r="H1779">
        <v>18</v>
      </c>
      <c r="I1779">
        <v>46.91</v>
      </c>
      <c r="J1779" s="1">
        <v>45875</v>
      </c>
      <c r="K1779">
        <v>7</v>
      </c>
      <c r="L1779">
        <v>2.5</v>
      </c>
      <c r="M1779" t="b">
        <v>0</v>
      </c>
    </row>
    <row r="1780" spans="1:14" x14ac:dyDescent="0.25">
      <c r="A1780" t="s">
        <v>1833</v>
      </c>
      <c r="B1780" t="s">
        <v>42</v>
      </c>
      <c r="C1780" t="s">
        <v>75</v>
      </c>
      <c r="D1780" t="s">
        <v>62</v>
      </c>
      <c r="E1780" t="s">
        <v>18</v>
      </c>
      <c r="F1780" t="s">
        <v>70</v>
      </c>
      <c r="G1780">
        <v>74.53</v>
      </c>
      <c r="H1780">
        <v>0</v>
      </c>
      <c r="I1780">
        <v>74.53</v>
      </c>
      <c r="J1780" s="1">
        <v>45875</v>
      </c>
      <c r="K1780">
        <v>9</v>
      </c>
      <c r="M1780" t="b">
        <v>0</v>
      </c>
    </row>
    <row r="1781" spans="1:14" x14ac:dyDescent="0.25">
      <c r="A1781" t="s">
        <v>1834</v>
      </c>
      <c r="B1781" t="s">
        <v>42</v>
      </c>
      <c r="C1781" t="s">
        <v>32</v>
      </c>
      <c r="D1781" t="s">
        <v>62</v>
      </c>
      <c r="E1781" t="s">
        <v>58</v>
      </c>
      <c r="F1781" t="s">
        <v>19</v>
      </c>
      <c r="G1781">
        <v>69.540000000000006</v>
      </c>
      <c r="H1781">
        <v>0</v>
      </c>
      <c r="I1781">
        <v>69.540000000000006</v>
      </c>
      <c r="J1781" s="1">
        <v>45875</v>
      </c>
      <c r="K1781">
        <v>40</v>
      </c>
      <c r="L1781">
        <v>3.2</v>
      </c>
      <c r="M1781" t="b">
        <v>1</v>
      </c>
      <c r="N1781" t="s">
        <v>73</v>
      </c>
    </row>
    <row r="1782" spans="1:14" x14ac:dyDescent="0.25">
      <c r="A1782" t="s">
        <v>1835</v>
      </c>
      <c r="B1782" t="s">
        <v>42</v>
      </c>
      <c r="C1782" t="s">
        <v>53</v>
      </c>
      <c r="D1782" t="s">
        <v>62</v>
      </c>
      <c r="E1782" t="s">
        <v>18</v>
      </c>
      <c r="F1782" t="s">
        <v>70</v>
      </c>
      <c r="G1782">
        <v>102.71</v>
      </c>
      <c r="H1782">
        <v>55.9</v>
      </c>
      <c r="I1782">
        <v>45.3</v>
      </c>
      <c r="J1782" s="1">
        <v>45875</v>
      </c>
      <c r="K1782">
        <v>31</v>
      </c>
      <c r="L1782">
        <v>4.5999999999999996</v>
      </c>
      <c r="M1782" t="b">
        <v>0</v>
      </c>
    </row>
    <row r="1783" spans="1:14" x14ac:dyDescent="0.25">
      <c r="A1783" t="s">
        <v>1836</v>
      </c>
      <c r="B1783" t="s">
        <v>30</v>
      </c>
      <c r="C1783" t="s">
        <v>61</v>
      </c>
      <c r="D1783" t="s">
        <v>62</v>
      </c>
      <c r="E1783" t="s">
        <v>24</v>
      </c>
      <c r="F1783" t="s">
        <v>56</v>
      </c>
      <c r="G1783">
        <v>117.82</v>
      </c>
      <c r="H1783">
        <v>0</v>
      </c>
      <c r="I1783">
        <v>117.82</v>
      </c>
      <c r="J1783" s="1">
        <v>45875</v>
      </c>
      <c r="K1783">
        <v>7</v>
      </c>
      <c r="L1783">
        <v>4.9000000000000004</v>
      </c>
      <c r="M1783" t="b">
        <v>0</v>
      </c>
    </row>
    <row r="1784" spans="1:14" x14ac:dyDescent="0.25">
      <c r="A1784" t="s">
        <v>1837</v>
      </c>
      <c r="B1784" t="s">
        <v>27</v>
      </c>
      <c r="C1784" t="s">
        <v>61</v>
      </c>
      <c r="D1784" t="s">
        <v>17</v>
      </c>
      <c r="F1784" t="s">
        <v>66</v>
      </c>
      <c r="G1784">
        <v>61.01</v>
      </c>
      <c r="H1784">
        <v>0</v>
      </c>
      <c r="I1784">
        <v>61.01</v>
      </c>
      <c r="J1784" s="1">
        <v>45772</v>
      </c>
      <c r="K1784">
        <v>30</v>
      </c>
      <c r="L1784">
        <v>3.4</v>
      </c>
      <c r="M1784" t="b">
        <v>0</v>
      </c>
    </row>
    <row r="1785" spans="1:14" x14ac:dyDescent="0.25">
      <c r="A1785" t="s">
        <v>1838</v>
      </c>
      <c r="B1785" t="s">
        <v>15</v>
      </c>
      <c r="C1785" t="s">
        <v>75</v>
      </c>
      <c r="D1785" t="s">
        <v>23</v>
      </c>
      <c r="E1785" t="s">
        <v>18</v>
      </c>
      <c r="F1785" t="s">
        <v>25</v>
      </c>
      <c r="G1785">
        <v>222.01</v>
      </c>
      <c r="H1785">
        <v>0</v>
      </c>
      <c r="I1785">
        <v>222.01</v>
      </c>
      <c r="J1785" s="1">
        <v>45875</v>
      </c>
      <c r="K1785">
        <v>27</v>
      </c>
      <c r="L1785">
        <v>2.1</v>
      </c>
      <c r="M1785" t="b">
        <v>0</v>
      </c>
    </row>
    <row r="1786" spans="1:14" x14ac:dyDescent="0.25">
      <c r="A1786" t="s">
        <v>1839</v>
      </c>
      <c r="B1786" t="s">
        <v>15</v>
      </c>
      <c r="C1786" t="s">
        <v>48</v>
      </c>
      <c r="D1786" t="s">
        <v>62</v>
      </c>
      <c r="E1786" t="s">
        <v>24</v>
      </c>
      <c r="F1786" t="s">
        <v>70</v>
      </c>
      <c r="G1786">
        <v>123.55</v>
      </c>
      <c r="H1786">
        <v>0</v>
      </c>
      <c r="I1786">
        <v>123.55</v>
      </c>
      <c r="J1786" s="1">
        <v>45875</v>
      </c>
      <c r="K1786">
        <v>28</v>
      </c>
      <c r="L1786">
        <v>1.2</v>
      </c>
      <c r="M1786" t="b">
        <v>0</v>
      </c>
    </row>
    <row r="1787" spans="1:14" x14ac:dyDescent="0.25">
      <c r="A1787" t="s">
        <v>1840</v>
      </c>
      <c r="B1787" t="s">
        <v>27</v>
      </c>
      <c r="C1787" t="s">
        <v>16</v>
      </c>
      <c r="D1787" t="s">
        <v>34</v>
      </c>
      <c r="F1787" t="s">
        <v>28</v>
      </c>
      <c r="G1787">
        <v>24.65</v>
      </c>
      <c r="H1787">
        <v>0</v>
      </c>
      <c r="I1787">
        <v>24.65</v>
      </c>
      <c r="J1787" s="1">
        <v>45875</v>
      </c>
      <c r="K1787">
        <v>43</v>
      </c>
      <c r="L1787">
        <v>1.1000000000000001</v>
      </c>
      <c r="M1787" t="b">
        <v>0</v>
      </c>
    </row>
    <row r="1788" spans="1:14" x14ac:dyDescent="0.25">
      <c r="A1788" t="s">
        <v>1841</v>
      </c>
      <c r="B1788" t="s">
        <v>15</v>
      </c>
      <c r="C1788" t="s">
        <v>32</v>
      </c>
      <c r="D1788" t="s">
        <v>34</v>
      </c>
      <c r="E1788" t="s">
        <v>49</v>
      </c>
      <c r="F1788" t="s">
        <v>64</v>
      </c>
      <c r="G1788">
        <v>168.8</v>
      </c>
      <c r="H1788">
        <v>0</v>
      </c>
      <c r="I1788">
        <v>168.8</v>
      </c>
      <c r="J1788" s="1">
        <v>45875</v>
      </c>
      <c r="K1788">
        <v>1</v>
      </c>
      <c r="L1788">
        <v>1</v>
      </c>
      <c r="M1788" t="b">
        <v>0</v>
      </c>
    </row>
    <row r="1789" spans="1:14" x14ac:dyDescent="0.25">
      <c r="A1789" t="s">
        <v>1842</v>
      </c>
      <c r="B1789" t="s">
        <v>21</v>
      </c>
      <c r="C1789" t="s">
        <v>61</v>
      </c>
      <c r="D1789" t="s">
        <v>34</v>
      </c>
      <c r="E1789" t="s">
        <v>39</v>
      </c>
      <c r="F1789" t="s">
        <v>46</v>
      </c>
      <c r="G1789">
        <v>39.159999999999997</v>
      </c>
      <c r="H1789">
        <v>40.1</v>
      </c>
      <c r="I1789">
        <v>23.46</v>
      </c>
      <c r="J1789" s="1">
        <v>45875</v>
      </c>
      <c r="K1789">
        <v>4</v>
      </c>
      <c r="L1789">
        <v>2.8</v>
      </c>
      <c r="M1789" t="b">
        <v>0</v>
      </c>
    </row>
    <row r="1790" spans="1:14" x14ac:dyDescent="0.25">
      <c r="A1790" t="s">
        <v>1843</v>
      </c>
      <c r="B1790" t="s">
        <v>38</v>
      </c>
      <c r="C1790" t="s">
        <v>48</v>
      </c>
      <c r="D1790" t="s">
        <v>34</v>
      </c>
      <c r="F1790" t="s">
        <v>70</v>
      </c>
      <c r="G1790">
        <v>74.760000000000005</v>
      </c>
      <c r="H1790">
        <v>0</v>
      </c>
      <c r="I1790">
        <v>74.760000000000005</v>
      </c>
      <c r="J1790" s="1">
        <v>45875</v>
      </c>
      <c r="K1790">
        <v>50</v>
      </c>
      <c r="L1790">
        <v>4.4000000000000004</v>
      </c>
      <c r="M1790" t="b">
        <v>1</v>
      </c>
      <c r="N1790" t="s">
        <v>36</v>
      </c>
    </row>
    <row r="1791" spans="1:14" x14ac:dyDescent="0.25">
      <c r="A1791" t="s">
        <v>1844</v>
      </c>
      <c r="B1791" t="s">
        <v>27</v>
      </c>
      <c r="C1791" t="s">
        <v>61</v>
      </c>
      <c r="D1791" t="s">
        <v>23</v>
      </c>
      <c r="F1791" t="s">
        <v>64</v>
      </c>
      <c r="G1791">
        <v>37</v>
      </c>
      <c r="H1791">
        <v>0</v>
      </c>
      <c r="I1791">
        <v>37</v>
      </c>
      <c r="J1791" s="1">
        <v>45875</v>
      </c>
      <c r="K1791">
        <v>5</v>
      </c>
      <c r="L1791">
        <v>4.9000000000000004</v>
      </c>
      <c r="M1791" t="b">
        <v>0</v>
      </c>
    </row>
    <row r="1792" spans="1:14" x14ac:dyDescent="0.25">
      <c r="A1792" t="s">
        <v>1845</v>
      </c>
      <c r="B1792" t="s">
        <v>27</v>
      </c>
      <c r="C1792" t="s">
        <v>43</v>
      </c>
      <c r="D1792" t="s">
        <v>23</v>
      </c>
      <c r="F1792" t="s">
        <v>28</v>
      </c>
      <c r="G1792">
        <v>67.38</v>
      </c>
      <c r="H1792">
        <v>0</v>
      </c>
      <c r="I1792">
        <v>67.38</v>
      </c>
      <c r="J1792" s="1">
        <v>45875</v>
      </c>
      <c r="K1792">
        <v>15</v>
      </c>
      <c r="L1792">
        <v>1.6</v>
      </c>
      <c r="M1792" t="b">
        <v>0</v>
      </c>
    </row>
    <row r="1793" spans="1:14" x14ac:dyDescent="0.25">
      <c r="A1793" t="s">
        <v>1846</v>
      </c>
      <c r="B1793" t="s">
        <v>38</v>
      </c>
      <c r="C1793" t="s">
        <v>48</v>
      </c>
      <c r="D1793" t="s">
        <v>62</v>
      </c>
      <c r="E1793" t="s">
        <v>55</v>
      </c>
      <c r="F1793" t="s">
        <v>35</v>
      </c>
      <c r="G1793">
        <v>77.44</v>
      </c>
      <c r="H1793">
        <v>1.4</v>
      </c>
      <c r="I1793">
        <v>76.36</v>
      </c>
      <c r="J1793" s="1">
        <v>45875</v>
      </c>
      <c r="K1793">
        <v>18</v>
      </c>
      <c r="L1793">
        <v>3.3</v>
      </c>
      <c r="M1793" t="b">
        <v>0</v>
      </c>
    </row>
    <row r="1794" spans="1:14" x14ac:dyDescent="0.25">
      <c r="A1794" t="s">
        <v>1847</v>
      </c>
      <c r="B1794" t="s">
        <v>15</v>
      </c>
      <c r="C1794" t="s">
        <v>48</v>
      </c>
      <c r="D1794" t="s">
        <v>62</v>
      </c>
      <c r="E1794" t="s">
        <v>55</v>
      </c>
      <c r="F1794" t="s">
        <v>40</v>
      </c>
      <c r="G1794">
        <v>215.06</v>
      </c>
      <c r="H1794">
        <v>0</v>
      </c>
      <c r="I1794">
        <v>215.06</v>
      </c>
      <c r="J1794" s="1">
        <v>45875</v>
      </c>
      <c r="K1794">
        <v>50</v>
      </c>
      <c r="L1794">
        <v>1.6</v>
      </c>
      <c r="M1794" t="b">
        <v>0</v>
      </c>
    </row>
    <row r="1795" spans="1:14" x14ac:dyDescent="0.25">
      <c r="A1795" t="s">
        <v>1848</v>
      </c>
      <c r="B1795" t="s">
        <v>15</v>
      </c>
      <c r="C1795" t="s">
        <v>32</v>
      </c>
      <c r="D1795" t="s">
        <v>23</v>
      </c>
      <c r="E1795" t="s">
        <v>55</v>
      </c>
      <c r="F1795" t="s">
        <v>40</v>
      </c>
      <c r="G1795">
        <v>141.44</v>
      </c>
      <c r="H1795">
        <v>0</v>
      </c>
      <c r="I1795">
        <v>141.44</v>
      </c>
      <c r="J1795" s="1">
        <v>45875</v>
      </c>
      <c r="K1795">
        <v>34</v>
      </c>
      <c r="L1795">
        <v>2.4</v>
      </c>
      <c r="M1795" t="b">
        <v>0</v>
      </c>
    </row>
    <row r="1796" spans="1:14" x14ac:dyDescent="0.25">
      <c r="A1796" t="s">
        <v>1849</v>
      </c>
      <c r="B1796" t="s">
        <v>42</v>
      </c>
      <c r="C1796" t="s">
        <v>53</v>
      </c>
      <c r="D1796" t="s">
        <v>17</v>
      </c>
      <c r="E1796" t="s">
        <v>49</v>
      </c>
      <c r="F1796" t="s">
        <v>35</v>
      </c>
      <c r="G1796">
        <v>151.83000000000001</v>
      </c>
      <c r="H1796">
        <v>0</v>
      </c>
      <c r="I1796">
        <v>151.83000000000001</v>
      </c>
      <c r="J1796" s="1">
        <v>45825</v>
      </c>
      <c r="K1796">
        <v>24</v>
      </c>
      <c r="L1796">
        <v>4.3</v>
      </c>
      <c r="M1796" t="b">
        <v>1</v>
      </c>
      <c r="N1796" t="s">
        <v>125</v>
      </c>
    </row>
    <row r="1797" spans="1:14" x14ac:dyDescent="0.25">
      <c r="A1797" t="s">
        <v>1850</v>
      </c>
      <c r="B1797" t="s">
        <v>15</v>
      </c>
      <c r="C1797" t="s">
        <v>61</v>
      </c>
      <c r="D1797" t="s">
        <v>23</v>
      </c>
      <c r="E1797" t="s">
        <v>18</v>
      </c>
      <c r="F1797" t="s">
        <v>40</v>
      </c>
      <c r="G1797">
        <v>140.07</v>
      </c>
      <c r="H1797">
        <v>0</v>
      </c>
      <c r="I1797">
        <v>140.07</v>
      </c>
      <c r="J1797" s="1">
        <v>45875</v>
      </c>
      <c r="K1797">
        <v>23</v>
      </c>
      <c r="L1797">
        <v>2.7</v>
      </c>
      <c r="M1797" t="b">
        <v>0</v>
      </c>
    </row>
    <row r="1798" spans="1:14" x14ac:dyDescent="0.25">
      <c r="A1798" t="s">
        <v>1851</v>
      </c>
      <c r="B1798" t="s">
        <v>42</v>
      </c>
      <c r="C1798" t="s">
        <v>43</v>
      </c>
      <c r="D1798" t="s">
        <v>62</v>
      </c>
      <c r="E1798" t="s">
        <v>49</v>
      </c>
      <c r="F1798" t="s">
        <v>25</v>
      </c>
      <c r="G1798">
        <v>94.26</v>
      </c>
      <c r="H1798">
        <v>28.9</v>
      </c>
      <c r="I1798">
        <v>67.02</v>
      </c>
      <c r="J1798" s="1">
        <v>45875</v>
      </c>
      <c r="K1798">
        <v>44</v>
      </c>
      <c r="L1798">
        <v>3.6</v>
      </c>
      <c r="M1798" t="b">
        <v>0</v>
      </c>
    </row>
    <row r="1799" spans="1:14" x14ac:dyDescent="0.25">
      <c r="A1799" t="s">
        <v>1852</v>
      </c>
      <c r="B1799" t="s">
        <v>27</v>
      </c>
      <c r="C1799" t="s">
        <v>53</v>
      </c>
      <c r="D1799" t="s">
        <v>23</v>
      </c>
      <c r="F1799" t="s">
        <v>46</v>
      </c>
      <c r="G1799">
        <v>55.79</v>
      </c>
      <c r="H1799">
        <v>27.3</v>
      </c>
      <c r="I1799">
        <v>40.56</v>
      </c>
      <c r="J1799" s="1">
        <v>45875</v>
      </c>
      <c r="K1799">
        <v>39</v>
      </c>
      <c r="L1799">
        <v>4.9000000000000004</v>
      </c>
      <c r="M1799" t="b">
        <v>0</v>
      </c>
    </row>
    <row r="1800" spans="1:14" x14ac:dyDescent="0.25">
      <c r="A1800" t="s">
        <v>1853</v>
      </c>
      <c r="B1800" t="s">
        <v>27</v>
      </c>
      <c r="C1800" t="s">
        <v>61</v>
      </c>
      <c r="D1800" t="s">
        <v>23</v>
      </c>
      <c r="F1800" t="s">
        <v>28</v>
      </c>
      <c r="G1800">
        <v>58.99</v>
      </c>
      <c r="H1800">
        <v>0</v>
      </c>
      <c r="I1800">
        <v>58.99</v>
      </c>
      <c r="J1800" s="1">
        <v>45875</v>
      </c>
      <c r="K1800">
        <v>50</v>
      </c>
      <c r="L1800">
        <v>2.7</v>
      </c>
      <c r="M1800" t="b">
        <v>0</v>
      </c>
    </row>
    <row r="1801" spans="1:14" x14ac:dyDescent="0.25">
      <c r="A1801" t="s">
        <v>1854</v>
      </c>
      <c r="B1801" t="s">
        <v>38</v>
      </c>
      <c r="C1801" t="s">
        <v>75</v>
      </c>
      <c r="D1801" t="s">
        <v>62</v>
      </c>
      <c r="E1801" t="s">
        <v>49</v>
      </c>
      <c r="F1801" t="s">
        <v>66</v>
      </c>
      <c r="G1801">
        <v>61.96</v>
      </c>
      <c r="H1801">
        <v>0</v>
      </c>
      <c r="I1801">
        <v>61.96</v>
      </c>
      <c r="J1801" s="1">
        <v>45875</v>
      </c>
      <c r="K1801">
        <v>13</v>
      </c>
      <c r="L1801">
        <v>3.9</v>
      </c>
      <c r="M1801" t="b">
        <v>0</v>
      </c>
    </row>
    <row r="1802" spans="1:14" x14ac:dyDescent="0.25">
      <c r="A1802" t="s">
        <v>1855</v>
      </c>
      <c r="B1802" t="s">
        <v>38</v>
      </c>
      <c r="C1802" t="s">
        <v>16</v>
      </c>
      <c r="D1802" t="s">
        <v>34</v>
      </c>
      <c r="E1802" t="s">
        <v>24</v>
      </c>
      <c r="F1802" t="s">
        <v>70</v>
      </c>
      <c r="G1802">
        <v>104.25</v>
      </c>
      <c r="H1802">
        <v>0</v>
      </c>
      <c r="I1802">
        <v>104.25</v>
      </c>
      <c r="J1802" s="1">
        <v>45875</v>
      </c>
      <c r="K1802">
        <v>35</v>
      </c>
      <c r="L1802">
        <v>3.1</v>
      </c>
      <c r="M1802" t="b">
        <v>0</v>
      </c>
    </row>
    <row r="1803" spans="1:14" x14ac:dyDescent="0.25">
      <c r="A1803" t="s">
        <v>1856</v>
      </c>
      <c r="B1803" t="s">
        <v>15</v>
      </c>
      <c r="C1803" t="s">
        <v>48</v>
      </c>
      <c r="D1803" t="s">
        <v>23</v>
      </c>
      <c r="E1803" t="s">
        <v>24</v>
      </c>
      <c r="F1803" t="s">
        <v>40</v>
      </c>
      <c r="G1803">
        <v>102.68</v>
      </c>
      <c r="H1803">
        <v>0</v>
      </c>
      <c r="I1803">
        <v>102.68</v>
      </c>
      <c r="J1803" s="1">
        <v>45875</v>
      </c>
      <c r="K1803">
        <v>18</v>
      </c>
      <c r="L1803">
        <v>1.9</v>
      </c>
      <c r="M1803" t="b">
        <v>0</v>
      </c>
    </row>
    <row r="1804" spans="1:14" x14ac:dyDescent="0.25">
      <c r="A1804" t="s">
        <v>1857</v>
      </c>
      <c r="B1804" t="s">
        <v>42</v>
      </c>
      <c r="C1804" t="s">
        <v>61</v>
      </c>
      <c r="D1804" t="s">
        <v>23</v>
      </c>
      <c r="E1804" t="s">
        <v>49</v>
      </c>
      <c r="F1804" t="s">
        <v>56</v>
      </c>
      <c r="G1804">
        <v>131.05000000000001</v>
      </c>
      <c r="H1804">
        <v>32.6</v>
      </c>
      <c r="I1804">
        <v>88.33</v>
      </c>
      <c r="J1804" s="1">
        <v>45875</v>
      </c>
      <c r="K1804">
        <v>9</v>
      </c>
      <c r="M1804" t="b">
        <v>0</v>
      </c>
    </row>
    <row r="1805" spans="1:14" x14ac:dyDescent="0.25">
      <c r="A1805" t="s">
        <v>1858</v>
      </c>
      <c r="B1805" t="s">
        <v>15</v>
      </c>
      <c r="C1805" t="s">
        <v>32</v>
      </c>
      <c r="D1805" t="s">
        <v>17</v>
      </c>
      <c r="E1805" t="s">
        <v>55</v>
      </c>
      <c r="F1805" t="s">
        <v>64</v>
      </c>
      <c r="G1805">
        <v>139.72999999999999</v>
      </c>
      <c r="H1805">
        <v>54.3</v>
      </c>
      <c r="I1805">
        <v>63.86</v>
      </c>
      <c r="J1805" s="1">
        <v>45743</v>
      </c>
      <c r="K1805">
        <v>38</v>
      </c>
      <c r="M1805" t="b">
        <v>1</v>
      </c>
      <c r="N1805" t="s">
        <v>115</v>
      </c>
    </row>
    <row r="1806" spans="1:14" x14ac:dyDescent="0.25">
      <c r="A1806" t="s">
        <v>1859</v>
      </c>
      <c r="B1806" t="s">
        <v>27</v>
      </c>
      <c r="C1806" t="s">
        <v>75</v>
      </c>
      <c r="D1806" t="s">
        <v>23</v>
      </c>
      <c r="F1806" t="s">
        <v>64</v>
      </c>
      <c r="G1806">
        <v>17.59</v>
      </c>
      <c r="H1806">
        <v>0</v>
      </c>
      <c r="I1806">
        <v>17.59</v>
      </c>
      <c r="J1806" s="1">
        <v>45875</v>
      </c>
      <c r="K1806">
        <v>14</v>
      </c>
      <c r="M1806" t="b">
        <v>0</v>
      </c>
    </row>
    <row r="1807" spans="1:14" x14ac:dyDescent="0.25">
      <c r="A1807" t="s">
        <v>1860</v>
      </c>
      <c r="B1807" t="s">
        <v>30</v>
      </c>
      <c r="C1807" t="s">
        <v>16</v>
      </c>
      <c r="D1807" t="s">
        <v>34</v>
      </c>
      <c r="E1807" t="s">
        <v>24</v>
      </c>
      <c r="F1807" t="s">
        <v>19</v>
      </c>
      <c r="G1807">
        <v>115.09</v>
      </c>
      <c r="H1807">
        <v>0</v>
      </c>
      <c r="I1807">
        <v>115.09</v>
      </c>
      <c r="J1807" s="1">
        <v>45875</v>
      </c>
      <c r="K1807">
        <v>10</v>
      </c>
      <c r="L1807">
        <v>2.5</v>
      </c>
      <c r="M1807" t="b">
        <v>0</v>
      </c>
    </row>
    <row r="1808" spans="1:14" x14ac:dyDescent="0.25">
      <c r="A1808" t="s">
        <v>1861</v>
      </c>
      <c r="B1808" t="s">
        <v>27</v>
      </c>
      <c r="C1808" t="s">
        <v>16</v>
      </c>
      <c r="D1808" t="s">
        <v>62</v>
      </c>
      <c r="F1808" t="s">
        <v>28</v>
      </c>
      <c r="G1808">
        <v>73.75</v>
      </c>
      <c r="H1808">
        <v>0</v>
      </c>
      <c r="I1808">
        <v>73.75</v>
      </c>
      <c r="J1808" s="1">
        <v>45875</v>
      </c>
      <c r="K1808">
        <v>23</v>
      </c>
      <c r="L1808">
        <v>4.5</v>
      </c>
      <c r="M1808" t="b">
        <v>0</v>
      </c>
    </row>
    <row r="1809" spans="1:14" x14ac:dyDescent="0.25">
      <c r="A1809" t="s">
        <v>1862</v>
      </c>
      <c r="B1809" t="s">
        <v>27</v>
      </c>
      <c r="C1809" t="s">
        <v>53</v>
      </c>
      <c r="D1809" t="s">
        <v>23</v>
      </c>
      <c r="F1809" t="s">
        <v>64</v>
      </c>
      <c r="G1809">
        <v>66.77</v>
      </c>
      <c r="H1809">
        <v>0</v>
      </c>
      <c r="I1809">
        <v>66.77</v>
      </c>
      <c r="J1809" s="1">
        <v>45875</v>
      </c>
      <c r="K1809">
        <v>28</v>
      </c>
      <c r="L1809">
        <v>5</v>
      </c>
      <c r="M1809" t="b">
        <v>1</v>
      </c>
      <c r="N1809" t="s">
        <v>73</v>
      </c>
    </row>
    <row r="1810" spans="1:14" x14ac:dyDescent="0.25">
      <c r="A1810" t="s">
        <v>1863</v>
      </c>
      <c r="B1810" t="s">
        <v>21</v>
      </c>
      <c r="C1810" t="s">
        <v>48</v>
      </c>
      <c r="D1810" t="s">
        <v>34</v>
      </c>
      <c r="E1810" t="s">
        <v>24</v>
      </c>
      <c r="F1810" t="s">
        <v>35</v>
      </c>
      <c r="G1810">
        <v>63.92</v>
      </c>
      <c r="H1810">
        <v>0</v>
      </c>
      <c r="I1810">
        <v>63.92</v>
      </c>
      <c r="J1810" s="1">
        <v>45875</v>
      </c>
      <c r="K1810">
        <v>10</v>
      </c>
      <c r="L1810">
        <v>4.4000000000000004</v>
      </c>
      <c r="M1810" t="b">
        <v>0</v>
      </c>
    </row>
    <row r="1811" spans="1:14" x14ac:dyDescent="0.25">
      <c r="A1811" t="s">
        <v>1864</v>
      </c>
      <c r="B1811" t="s">
        <v>27</v>
      </c>
      <c r="C1811" t="s">
        <v>48</v>
      </c>
      <c r="D1811" t="s">
        <v>34</v>
      </c>
      <c r="F1811" t="s">
        <v>46</v>
      </c>
      <c r="G1811">
        <v>26.26</v>
      </c>
      <c r="H1811">
        <v>0</v>
      </c>
      <c r="I1811">
        <v>26.26</v>
      </c>
      <c r="J1811" s="1">
        <v>45875</v>
      </c>
      <c r="K1811">
        <v>27</v>
      </c>
      <c r="M1811" t="b">
        <v>0</v>
      </c>
    </row>
    <row r="1812" spans="1:14" x14ac:dyDescent="0.25">
      <c r="A1812" t="s">
        <v>1865</v>
      </c>
      <c r="B1812" t="s">
        <v>27</v>
      </c>
      <c r="C1812" t="s">
        <v>48</v>
      </c>
      <c r="D1812" t="s">
        <v>17</v>
      </c>
      <c r="F1812" t="s">
        <v>35</v>
      </c>
      <c r="G1812">
        <v>62.58</v>
      </c>
      <c r="H1812">
        <v>8.8000000000000007</v>
      </c>
      <c r="I1812">
        <v>57.07</v>
      </c>
      <c r="J1812" s="1">
        <v>45602</v>
      </c>
      <c r="K1812">
        <v>1</v>
      </c>
      <c r="L1812">
        <v>1.7</v>
      </c>
      <c r="M1812" t="b">
        <v>0</v>
      </c>
    </row>
    <row r="1813" spans="1:14" x14ac:dyDescent="0.25">
      <c r="A1813" t="s">
        <v>1866</v>
      </c>
      <c r="B1813" t="s">
        <v>30</v>
      </c>
      <c r="C1813" t="s">
        <v>32</v>
      </c>
      <c r="D1813" t="s">
        <v>62</v>
      </c>
      <c r="E1813" t="s">
        <v>39</v>
      </c>
      <c r="F1813" t="s">
        <v>46</v>
      </c>
      <c r="G1813">
        <v>143.88</v>
      </c>
      <c r="H1813">
        <v>0</v>
      </c>
      <c r="I1813">
        <v>143.88</v>
      </c>
      <c r="J1813" s="1">
        <v>45875</v>
      </c>
      <c r="K1813">
        <v>1</v>
      </c>
      <c r="L1813">
        <v>3.1</v>
      </c>
      <c r="M1813" t="b">
        <v>0</v>
      </c>
    </row>
    <row r="1814" spans="1:14" x14ac:dyDescent="0.25">
      <c r="A1814" t="s">
        <v>1867</v>
      </c>
      <c r="B1814" t="s">
        <v>15</v>
      </c>
      <c r="C1814" t="s">
        <v>16</v>
      </c>
      <c r="D1814" t="s">
        <v>17</v>
      </c>
      <c r="E1814" t="s">
        <v>18</v>
      </c>
      <c r="F1814" t="s">
        <v>44</v>
      </c>
      <c r="G1814">
        <v>226.24</v>
      </c>
      <c r="H1814">
        <v>1.2</v>
      </c>
      <c r="I1814">
        <v>223.53</v>
      </c>
      <c r="J1814" s="1">
        <v>45708</v>
      </c>
      <c r="K1814">
        <v>24</v>
      </c>
      <c r="L1814">
        <v>4.5</v>
      </c>
      <c r="M1814" t="b">
        <v>0</v>
      </c>
    </row>
    <row r="1815" spans="1:14" x14ac:dyDescent="0.25">
      <c r="A1815" t="s">
        <v>1868</v>
      </c>
      <c r="B1815" t="s">
        <v>30</v>
      </c>
      <c r="C1815" t="s">
        <v>61</v>
      </c>
      <c r="D1815" t="s">
        <v>17</v>
      </c>
      <c r="E1815" t="s">
        <v>49</v>
      </c>
      <c r="F1815" t="s">
        <v>28</v>
      </c>
      <c r="G1815">
        <v>164.75</v>
      </c>
      <c r="H1815">
        <v>0</v>
      </c>
      <c r="I1815">
        <v>164.75</v>
      </c>
      <c r="J1815" s="1">
        <v>45779</v>
      </c>
      <c r="K1815">
        <v>8</v>
      </c>
      <c r="L1815">
        <v>3.7</v>
      </c>
      <c r="M1815" t="b">
        <v>0</v>
      </c>
    </row>
    <row r="1816" spans="1:14" x14ac:dyDescent="0.25">
      <c r="A1816" t="s">
        <v>1869</v>
      </c>
      <c r="B1816" t="s">
        <v>38</v>
      </c>
      <c r="C1816" t="s">
        <v>16</v>
      </c>
      <c r="D1816" t="s">
        <v>62</v>
      </c>
      <c r="E1816" t="s">
        <v>24</v>
      </c>
      <c r="F1816" t="s">
        <v>64</v>
      </c>
      <c r="G1816">
        <v>56.14</v>
      </c>
      <c r="H1816">
        <v>0</v>
      </c>
      <c r="I1816">
        <v>56.14</v>
      </c>
      <c r="J1816" s="1">
        <v>45875</v>
      </c>
      <c r="K1816">
        <v>16</v>
      </c>
      <c r="L1816">
        <v>4.3</v>
      </c>
      <c r="M1816" t="b">
        <v>0</v>
      </c>
    </row>
    <row r="1817" spans="1:14" x14ac:dyDescent="0.25">
      <c r="A1817" t="s">
        <v>1870</v>
      </c>
      <c r="B1817" t="s">
        <v>27</v>
      </c>
      <c r="C1817" t="s">
        <v>48</v>
      </c>
      <c r="D1817" t="s">
        <v>23</v>
      </c>
      <c r="F1817" t="s">
        <v>19</v>
      </c>
      <c r="G1817">
        <v>39.96</v>
      </c>
      <c r="H1817">
        <v>0</v>
      </c>
      <c r="I1817">
        <v>39.96</v>
      </c>
      <c r="J1817" s="1">
        <v>45875</v>
      </c>
      <c r="K1817">
        <v>49</v>
      </c>
      <c r="M1817" t="b">
        <v>0</v>
      </c>
    </row>
    <row r="1818" spans="1:14" x14ac:dyDescent="0.25">
      <c r="A1818" t="s">
        <v>1871</v>
      </c>
      <c r="B1818" t="s">
        <v>38</v>
      </c>
      <c r="C1818" t="s">
        <v>53</v>
      </c>
      <c r="D1818" t="s">
        <v>62</v>
      </c>
      <c r="E1818" t="s">
        <v>24</v>
      </c>
      <c r="F1818" t="s">
        <v>64</v>
      </c>
      <c r="G1818">
        <v>26.5</v>
      </c>
      <c r="H1818">
        <v>57.9</v>
      </c>
      <c r="I1818">
        <v>11.16</v>
      </c>
      <c r="J1818" s="1">
        <v>45875</v>
      </c>
      <c r="K1818">
        <v>8</v>
      </c>
      <c r="L1818">
        <v>1.7</v>
      </c>
      <c r="M1818" t="b">
        <v>0</v>
      </c>
    </row>
    <row r="1819" spans="1:14" x14ac:dyDescent="0.25">
      <c r="A1819" t="s">
        <v>1872</v>
      </c>
      <c r="B1819" t="s">
        <v>30</v>
      </c>
      <c r="C1819" t="s">
        <v>48</v>
      </c>
      <c r="D1819" t="s">
        <v>17</v>
      </c>
      <c r="E1819" t="s">
        <v>49</v>
      </c>
      <c r="F1819" t="s">
        <v>70</v>
      </c>
      <c r="G1819">
        <v>118.53</v>
      </c>
      <c r="H1819">
        <v>55</v>
      </c>
      <c r="I1819">
        <v>53.34</v>
      </c>
      <c r="J1819" s="1">
        <v>45772</v>
      </c>
      <c r="K1819">
        <v>2</v>
      </c>
      <c r="L1819">
        <v>4.9000000000000004</v>
      </c>
      <c r="M1819" t="b">
        <v>0</v>
      </c>
    </row>
    <row r="1820" spans="1:14" x14ac:dyDescent="0.25">
      <c r="A1820" t="s">
        <v>1873</v>
      </c>
      <c r="B1820" t="s">
        <v>42</v>
      </c>
      <c r="C1820" t="s">
        <v>43</v>
      </c>
      <c r="D1820" t="s">
        <v>62</v>
      </c>
      <c r="E1820" t="s">
        <v>18</v>
      </c>
      <c r="F1820" t="s">
        <v>66</v>
      </c>
      <c r="G1820">
        <v>58.08</v>
      </c>
      <c r="H1820">
        <v>0</v>
      </c>
      <c r="I1820">
        <v>58.08</v>
      </c>
      <c r="J1820" s="1">
        <v>45875</v>
      </c>
      <c r="K1820">
        <v>42</v>
      </c>
      <c r="L1820">
        <v>1.6</v>
      </c>
      <c r="M1820" t="b">
        <v>0</v>
      </c>
    </row>
    <row r="1821" spans="1:14" x14ac:dyDescent="0.25">
      <c r="A1821" t="s">
        <v>1874</v>
      </c>
      <c r="B1821" t="s">
        <v>30</v>
      </c>
      <c r="C1821" t="s">
        <v>48</v>
      </c>
      <c r="D1821" t="s">
        <v>62</v>
      </c>
      <c r="E1821" t="s">
        <v>39</v>
      </c>
      <c r="F1821" t="s">
        <v>64</v>
      </c>
      <c r="G1821">
        <v>138.85</v>
      </c>
      <c r="H1821">
        <v>15</v>
      </c>
      <c r="I1821">
        <v>118.02</v>
      </c>
      <c r="J1821" s="1">
        <v>45875</v>
      </c>
      <c r="K1821">
        <v>17</v>
      </c>
      <c r="M1821" t="b">
        <v>0</v>
      </c>
    </row>
    <row r="1822" spans="1:14" x14ac:dyDescent="0.25">
      <c r="A1822" t="s">
        <v>1875</v>
      </c>
      <c r="B1822" t="s">
        <v>38</v>
      </c>
      <c r="C1822" t="s">
        <v>32</v>
      </c>
      <c r="D1822" t="s">
        <v>62</v>
      </c>
      <c r="E1822" t="s">
        <v>55</v>
      </c>
      <c r="F1822" t="s">
        <v>40</v>
      </c>
      <c r="G1822">
        <v>73.33</v>
      </c>
      <c r="H1822">
        <v>0</v>
      </c>
      <c r="I1822">
        <v>73.33</v>
      </c>
      <c r="J1822" s="1">
        <v>45875</v>
      </c>
      <c r="K1822">
        <v>3</v>
      </c>
      <c r="L1822">
        <v>3.1</v>
      </c>
      <c r="M1822" t="b">
        <v>1</v>
      </c>
      <c r="N1822" t="s">
        <v>115</v>
      </c>
    </row>
    <row r="1823" spans="1:14" x14ac:dyDescent="0.25">
      <c r="A1823" t="s">
        <v>1876</v>
      </c>
      <c r="B1823" t="s">
        <v>15</v>
      </c>
      <c r="C1823" t="s">
        <v>75</v>
      </c>
      <c r="D1823" t="s">
        <v>23</v>
      </c>
      <c r="E1823" t="s">
        <v>39</v>
      </c>
      <c r="F1823" t="s">
        <v>46</v>
      </c>
      <c r="G1823">
        <v>167.73</v>
      </c>
      <c r="H1823">
        <v>0</v>
      </c>
      <c r="I1823">
        <v>167.73</v>
      </c>
      <c r="J1823" s="1">
        <v>45875</v>
      </c>
      <c r="K1823">
        <v>4</v>
      </c>
      <c r="L1823">
        <v>4.9000000000000004</v>
      </c>
      <c r="M1823" t="b">
        <v>0</v>
      </c>
    </row>
    <row r="1824" spans="1:14" x14ac:dyDescent="0.25">
      <c r="A1824" t="s">
        <v>1877</v>
      </c>
      <c r="B1824" t="s">
        <v>21</v>
      </c>
      <c r="C1824" t="s">
        <v>48</v>
      </c>
      <c r="D1824" t="s">
        <v>23</v>
      </c>
      <c r="E1824" t="s">
        <v>49</v>
      </c>
      <c r="F1824" t="s">
        <v>28</v>
      </c>
      <c r="G1824">
        <v>79.47</v>
      </c>
      <c r="H1824">
        <v>0</v>
      </c>
      <c r="I1824">
        <v>79.47</v>
      </c>
      <c r="J1824" s="1">
        <v>45875</v>
      </c>
      <c r="K1824">
        <v>31</v>
      </c>
      <c r="L1824">
        <v>3.7</v>
      </c>
      <c r="M1824" t="b">
        <v>0</v>
      </c>
    </row>
    <row r="1825" spans="1:14" x14ac:dyDescent="0.25">
      <c r="A1825" t="s">
        <v>1878</v>
      </c>
      <c r="B1825" t="s">
        <v>42</v>
      </c>
      <c r="C1825" t="s">
        <v>75</v>
      </c>
      <c r="D1825" t="s">
        <v>62</v>
      </c>
      <c r="E1825" t="s">
        <v>18</v>
      </c>
      <c r="F1825" t="s">
        <v>35</v>
      </c>
      <c r="G1825">
        <v>69.12</v>
      </c>
      <c r="H1825">
        <v>49.4</v>
      </c>
      <c r="I1825">
        <v>34.97</v>
      </c>
      <c r="J1825" s="1">
        <v>45875</v>
      </c>
      <c r="K1825">
        <v>45</v>
      </c>
      <c r="L1825">
        <v>2.2999999999999998</v>
      </c>
      <c r="M1825" t="b">
        <v>0</v>
      </c>
    </row>
    <row r="1826" spans="1:14" x14ac:dyDescent="0.25">
      <c r="A1826" t="s">
        <v>1879</v>
      </c>
      <c r="B1826" t="s">
        <v>38</v>
      </c>
      <c r="C1826" t="s">
        <v>43</v>
      </c>
      <c r="D1826" t="s">
        <v>62</v>
      </c>
      <c r="E1826" t="s">
        <v>39</v>
      </c>
      <c r="F1826" t="s">
        <v>66</v>
      </c>
      <c r="G1826">
        <v>56.18</v>
      </c>
      <c r="H1826">
        <v>6.7</v>
      </c>
      <c r="I1826">
        <v>52.42</v>
      </c>
      <c r="J1826" s="1">
        <v>45875</v>
      </c>
      <c r="K1826">
        <v>35</v>
      </c>
      <c r="L1826">
        <v>2.6</v>
      </c>
      <c r="M1826" t="b">
        <v>1</v>
      </c>
      <c r="N1826" t="s">
        <v>115</v>
      </c>
    </row>
    <row r="1827" spans="1:14" x14ac:dyDescent="0.25">
      <c r="A1827" t="s">
        <v>1880</v>
      </c>
      <c r="B1827" t="s">
        <v>21</v>
      </c>
      <c r="C1827" t="s">
        <v>61</v>
      </c>
      <c r="D1827" t="s">
        <v>23</v>
      </c>
      <c r="E1827" t="s">
        <v>55</v>
      </c>
      <c r="F1827" t="s">
        <v>40</v>
      </c>
      <c r="G1827">
        <v>51.28</v>
      </c>
      <c r="H1827">
        <v>48.3</v>
      </c>
      <c r="I1827">
        <v>26.51</v>
      </c>
      <c r="J1827" s="1">
        <v>45875</v>
      </c>
      <c r="K1827">
        <v>9</v>
      </c>
      <c r="L1827">
        <v>1.1000000000000001</v>
      </c>
      <c r="M1827" t="b">
        <v>1</v>
      </c>
      <c r="N1827" t="s">
        <v>115</v>
      </c>
    </row>
    <row r="1828" spans="1:14" x14ac:dyDescent="0.25">
      <c r="A1828" t="s">
        <v>1881</v>
      </c>
      <c r="B1828" t="s">
        <v>15</v>
      </c>
      <c r="C1828" t="s">
        <v>61</v>
      </c>
      <c r="D1828" t="s">
        <v>17</v>
      </c>
      <c r="F1828" t="s">
        <v>46</v>
      </c>
      <c r="G1828">
        <v>111.73</v>
      </c>
      <c r="H1828">
        <v>16.8</v>
      </c>
      <c r="I1828">
        <v>92.96</v>
      </c>
      <c r="J1828" s="1">
        <v>45806</v>
      </c>
      <c r="K1828">
        <v>41</v>
      </c>
      <c r="L1828">
        <v>1.2</v>
      </c>
      <c r="M1828" t="b">
        <v>0</v>
      </c>
    </row>
    <row r="1829" spans="1:14" x14ac:dyDescent="0.25">
      <c r="A1829" t="s">
        <v>1882</v>
      </c>
      <c r="B1829" t="s">
        <v>38</v>
      </c>
      <c r="C1829" t="s">
        <v>53</v>
      </c>
      <c r="D1829" t="s">
        <v>34</v>
      </c>
      <c r="E1829" t="s">
        <v>49</v>
      </c>
      <c r="F1829" t="s">
        <v>40</v>
      </c>
      <c r="G1829">
        <v>49.08</v>
      </c>
      <c r="H1829">
        <v>19.899999999999999</v>
      </c>
      <c r="I1829">
        <v>39.31</v>
      </c>
      <c r="J1829" s="1">
        <v>45875</v>
      </c>
      <c r="K1829">
        <v>46</v>
      </c>
      <c r="L1829">
        <v>1</v>
      </c>
      <c r="M1829" t="b">
        <v>1</v>
      </c>
      <c r="N1829" t="s">
        <v>115</v>
      </c>
    </row>
    <row r="1830" spans="1:14" x14ac:dyDescent="0.25">
      <c r="A1830" t="s">
        <v>1883</v>
      </c>
      <c r="B1830" t="s">
        <v>30</v>
      </c>
      <c r="C1830" t="s">
        <v>75</v>
      </c>
      <c r="D1830" t="s">
        <v>23</v>
      </c>
      <c r="E1830" t="s">
        <v>58</v>
      </c>
      <c r="F1830" t="s">
        <v>25</v>
      </c>
      <c r="G1830">
        <v>182.47</v>
      </c>
      <c r="H1830">
        <v>27.1</v>
      </c>
      <c r="I1830">
        <v>133.02000000000001</v>
      </c>
      <c r="J1830" s="1">
        <v>45875</v>
      </c>
      <c r="K1830">
        <v>40</v>
      </c>
      <c r="M1830" t="b">
        <v>0</v>
      </c>
    </row>
    <row r="1831" spans="1:14" x14ac:dyDescent="0.25">
      <c r="A1831" t="s">
        <v>1884</v>
      </c>
      <c r="B1831" t="s">
        <v>15</v>
      </c>
      <c r="C1831" t="s">
        <v>75</v>
      </c>
      <c r="D1831" t="s">
        <v>62</v>
      </c>
      <c r="E1831" t="s">
        <v>55</v>
      </c>
      <c r="F1831" t="s">
        <v>66</v>
      </c>
      <c r="G1831">
        <v>241.22</v>
      </c>
      <c r="H1831">
        <v>5.9</v>
      </c>
      <c r="I1831">
        <v>226.99</v>
      </c>
      <c r="J1831" s="1">
        <v>45875</v>
      </c>
      <c r="K1831">
        <v>13</v>
      </c>
      <c r="L1831">
        <v>1.2</v>
      </c>
      <c r="M1831" t="b">
        <v>0</v>
      </c>
    </row>
    <row r="1832" spans="1:14" x14ac:dyDescent="0.25">
      <c r="A1832" t="s">
        <v>1885</v>
      </c>
      <c r="B1832" t="s">
        <v>42</v>
      </c>
      <c r="C1832" t="s">
        <v>53</v>
      </c>
      <c r="D1832" t="s">
        <v>17</v>
      </c>
      <c r="E1832" t="s">
        <v>49</v>
      </c>
      <c r="F1832" t="s">
        <v>44</v>
      </c>
      <c r="G1832">
        <v>78.3</v>
      </c>
      <c r="H1832">
        <v>0</v>
      </c>
      <c r="I1832">
        <v>78.3</v>
      </c>
      <c r="J1832" s="1">
        <v>45730</v>
      </c>
      <c r="K1832">
        <v>19</v>
      </c>
      <c r="L1832">
        <v>3</v>
      </c>
      <c r="M1832" t="b">
        <v>0</v>
      </c>
    </row>
    <row r="1833" spans="1:14" x14ac:dyDescent="0.25">
      <c r="A1833" t="s">
        <v>1886</v>
      </c>
      <c r="B1833" t="s">
        <v>30</v>
      </c>
      <c r="C1833" t="s">
        <v>32</v>
      </c>
      <c r="D1833" t="s">
        <v>23</v>
      </c>
      <c r="E1833" t="s">
        <v>58</v>
      </c>
      <c r="F1833" t="s">
        <v>66</v>
      </c>
      <c r="G1833">
        <v>73.930000000000007</v>
      </c>
      <c r="H1833">
        <v>0</v>
      </c>
      <c r="I1833">
        <v>73.930000000000007</v>
      </c>
      <c r="J1833" s="1">
        <v>45875</v>
      </c>
      <c r="K1833">
        <v>0</v>
      </c>
      <c r="M1833" t="b">
        <v>0</v>
      </c>
    </row>
    <row r="1834" spans="1:14" x14ac:dyDescent="0.25">
      <c r="A1834" t="s">
        <v>1887</v>
      </c>
      <c r="B1834" t="s">
        <v>38</v>
      </c>
      <c r="C1834" t="s">
        <v>48</v>
      </c>
      <c r="D1834" t="s">
        <v>62</v>
      </c>
      <c r="E1834" t="s">
        <v>49</v>
      </c>
      <c r="F1834" t="s">
        <v>46</v>
      </c>
      <c r="G1834">
        <v>97.5</v>
      </c>
      <c r="H1834">
        <v>0</v>
      </c>
      <c r="I1834">
        <v>97.5</v>
      </c>
      <c r="J1834" s="1">
        <v>45875</v>
      </c>
      <c r="K1834">
        <v>43</v>
      </c>
      <c r="L1834">
        <v>1.6</v>
      </c>
      <c r="M1834" t="b">
        <v>0</v>
      </c>
    </row>
    <row r="1835" spans="1:14" x14ac:dyDescent="0.25">
      <c r="A1835" t="s">
        <v>1888</v>
      </c>
      <c r="B1835" t="s">
        <v>21</v>
      </c>
      <c r="C1835" t="s">
        <v>53</v>
      </c>
      <c r="D1835" t="s">
        <v>62</v>
      </c>
      <c r="E1835" t="s">
        <v>55</v>
      </c>
      <c r="F1835" t="s">
        <v>46</v>
      </c>
      <c r="G1835">
        <v>38.9</v>
      </c>
      <c r="H1835">
        <v>0</v>
      </c>
      <c r="I1835">
        <v>38.9</v>
      </c>
      <c r="J1835" s="1">
        <v>45875</v>
      </c>
      <c r="K1835">
        <v>1</v>
      </c>
      <c r="L1835">
        <v>5</v>
      </c>
      <c r="M1835" t="b">
        <v>0</v>
      </c>
    </row>
    <row r="1836" spans="1:14" x14ac:dyDescent="0.25">
      <c r="A1836" t="s">
        <v>1889</v>
      </c>
      <c r="B1836" t="s">
        <v>30</v>
      </c>
      <c r="C1836" t="s">
        <v>32</v>
      </c>
      <c r="D1836" t="s">
        <v>62</v>
      </c>
      <c r="E1836" t="s">
        <v>39</v>
      </c>
      <c r="F1836" t="s">
        <v>44</v>
      </c>
      <c r="G1836">
        <v>95.52</v>
      </c>
      <c r="H1836">
        <v>0</v>
      </c>
      <c r="I1836">
        <v>95.52</v>
      </c>
      <c r="J1836" s="1">
        <v>45875</v>
      </c>
      <c r="K1836">
        <v>47</v>
      </c>
      <c r="L1836">
        <v>3.9</v>
      </c>
      <c r="M1836" t="b">
        <v>0</v>
      </c>
    </row>
    <row r="1837" spans="1:14" x14ac:dyDescent="0.25">
      <c r="A1837" t="s">
        <v>1890</v>
      </c>
      <c r="B1837" t="s">
        <v>15</v>
      </c>
      <c r="C1837" t="s">
        <v>16</v>
      </c>
      <c r="D1837" t="s">
        <v>34</v>
      </c>
      <c r="E1837" t="s">
        <v>58</v>
      </c>
      <c r="F1837" t="s">
        <v>19</v>
      </c>
      <c r="G1837">
        <v>158.63999999999999</v>
      </c>
      <c r="H1837">
        <v>50.2</v>
      </c>
      <c r="I1837">
        <v>79</v>
      </c>
      <c r="J1837" s="1">
        <v>45875</v>
      </c>
      <c r="K1837">
        <v>7</v>
      </c>
      <c r="L1837">
        <v>3</v>
      </c>
      <c r="M1837" t="b">
        <v>1</v>
      </c>
      <c r="N1837" t="s">
        <v>115</v>
      </c>
    </row>
    <row r="1838" spans="1:14" x14ac:dyDescent="0.25">
      <c r="A1838" t="s">
        <v>1891</v>
      </c>
      <c r="B1838" t="s">
        <v>21</v>
      </c>
      <c r="C1838" t="s">
        <v>43</v>
      </c>
      <c r="D1838" t="s">
        <v>34</v>
      </c>
      <c r="E1838" t="s">
        <v>18</v>
      </c>
      <c r="F1838" t="s">
        <v>64</v>
      </c>
      <c r="G1838">
        <v>26.11</v>
      </c>
      <c r="H1838">
        <v>0</v>
      </c>
      <c r="I1838">
        <v>26.11</v>
      </c>
      <c r="J1838" s="1">
        <v>45875</v>
      </c>
      <c r="K1838">
        <v>41</v>
      </c>
      <c r="L1838">
        <v>4.3</v>
      </c>
      <c r="M1838" t="b">
        <v>0</v>
      </c>
    </row>
    <row r="1839" spans="1:14" x14ac:dyDescent="0.25">
      <c r="A1839" t="s">
        <v>1892</v>
      </c>
      <c r="B1839" t="s">
        <v>30</v>
      </c>
      <c r="C1839" t="s">
        <v>75</v>
      </c>
      <c r="D1839" t="s">
        <v>17</v>
      </c>
      <c r="F1839" t="s">
        <v>35</v>
      </c>
      <c r="G1839">
        <v>107.09</v>
      </c>
      <c r="H1839">
        <v>43.1</v>
      </c>
      <c r="I1839">
        <v>60.93</v>
      </c>
      <c r="J1839" s="1">
        <v>45702</v>
      </c>
      <c r="K1839">
        <v>16</v>
      </c>
      <c r="L1839">
        <v>4.7</v>
      </c>
      <c r="M1839" t="b">
        <v>1</v>
      </c>
      <c r="N1839" t="s">
        <v>115</v>
      </c>
    </row>
    <row r="1840" spans="1:14" x14ac:dyDescent="0.25">
      <c r="A1840" t="s">
        <v>1893</v>
      </c>
      <c r="B1840" t="s">
        <v>27</v>
      </c>
      <c r="C1840" t="s">
        <v>61</v>
      </c>
      <c r="D1840" t="s">
        <v>62</v>
      </c>
      <c r="F1840" t="s">
        <v>28</v>
      </c>
      <c r="G1840">
        <v>71.42</v>
      </c>
      <c r="H1840">
        <v>38</v>
      </c>
      <c r="I1840">
        <v>44.28</v>
      </c>
      <c r="J1840" s="1">
        <v>45875</v>
      </c>
      <c r="K1840">
        <v>49</v>
      </c>
      <c r="L1840">
        <v>2.8</v>
      </c>
      <c r="M1840" t="b">
        <v>0</v>
      </c>
    </row>
    <row r="1841" spans="1:14" x14ac:dyDescent="0.25">
      <c r="A1841" t="s">
        <v>1894</v>
      </c>
      <c r="B1841" t="s">
        <v>30</v>
      </c>
      <c r="C1841" t="s">
        <v>16</v>
      </c>
      <c r="D1841" t="s">
        <v>62</v>
      </c>
      <c r="E1841" t="s">
        <v>18</v>
      </c>
      <c r="F1841" t="s">
        <v>19</v>
      </c>
      <c r="G1841">
        <v>124.56</v>
      </c>
      <c r="H1841">
        <v>0</v>
      </c>
      <c r="I1841">
        <v>124.56</v>
      </c>
      <c r="J1841" s="1">
        <v>45875</v>
      </c>
      <c r="K1841">
        <v>18</v>
      </c>
      <c r="L1841">
        <v>3</v>
      </c>
      <c r="M1841" t="b">
        <v>0</v>
      </c>
    </row>
    <row r="1842" spans="1:14" x14ac:dyDescent="0.25">
      <c r="A1842" t="s">
        <v>1895</v>
      </c>
      <c r="B1842" t="s">
        <v>38</v>
      </c>
      <c r="C1842" t="s">
        <v>22</v>
      </c>
      <c r="D1842" t="s">
        <v>62</v>
      </c>
      <c r="E1842" t="s">
        <v>24</v>
      </c>
      <c r="F1842" t="s">
        <v>66</v>
      </c>
      <c r="G1842">
        <v>30.91</v>
      </c>
      <c r="H1842">
        <v>0</v>
      </c>
      <c r="I1842">
        <v>30.91</v>
      </c>
      <c r="J1842" s="1">
        <v>45875</v>
      </c>
      <c r="K1842">
        <v>45</v>
      </c>
      <c r="L1842">
        <v>1.8</v>
      </c>
      <c r="M1842" t="b">
        <v>0</v>
      </c>
    </row>
    <row r="1843" spans="1:14" x14ac:dyDescent="0.25">
      <c r="A1843" t="s">
        <v>1896</v>
      </c>
      <c r="B1843" t="s">
        <v>21</v>
      </c>
      <c r="C1843" t="s">
        <v>16</v>
      </c>
      <c r="D1843" t="s">
        <v>23</v>
      </c>
      <c r="E1843" t="s">
        <v>55</v>
      </c>
      <c r="F1843" t="s">
        <v>56</v>
      </c>
      <c r="G1843">
        <v>53.37</v>
      </c>
      <c r="H1843">
        <v>0</v>
      </c>
      <c r="I1843">
        <v>53.37</v>
      </c>
      <c r="J1843" s="1">
        <v>45875</v>
      </c>
      <c r="K1843">
        <v>15</v>
      </c>
      <c r="L1843">
        <v>1.1000000000000001</v>
      </c>
      <c r="M1843" t="b">
        <v>0</v>
      </c>
    </row>
    <row r="1844" spans="1:14" x14ac:dyDescent="0.25">
      <c r="A1844" t="s">
        <v>1897</v>
      </c>
      <c r="B1844" t="s">
        <v>30</v>
      </c>
      <c r="C1844" t="s">
        <v>61</v>
      </c>
      <c r="D1844" t="s">
        <v>62</v>
      </c>
      <c r="E1844" t="s">
        <v>18</v>
      </c>
      <c r="F1844" t="s">
        <v>46</v>
      </c>
      <c r="G1844">
        <v>159.16</v>
      </c>
      <c r="H1844">
        <v>0</v>
      </c>
      <c r="I1844">
        <v>159.16</v>
      </c>
      <c r="J1844" s="1">
        <v>45875</v>
      </c>
      <c r="K1844">
        <v>40</v>
      </c>
      <c r="M1844" t="b">
        <v>1</v>
      </c>
      <c r="N1844" t="s">
        <v>115</v>
      </c>
    </row>
    <row r="1845" spans="1:14" x14ac:dyDescent="0.25">
      <c r="A1845" t="s">
        <v>1898</v>
      </c>
      <c r="B1845" t="s">
        <v>42</v>
      </c>
      <c r="C1845" t="s">
        <v>43</v>
      </c>
      <c r="D1845" t="s">
        <v>34</v>
      </c>
      <c r="E1845" t="s">
        <v>39</v>
      </c>
      <c r="F1845" t="s">
        <v>25</v>
      </c>
      <c r="G1845">
        <v>169.64</v>
      </c>
      <c r="H1845">
        <v>0</v>
      </c>
      <c r="I1845">
        <v>169.64</v>
      </c>
      <c r="J1845" s="1">
        <v>45875</v>
      </c>
      <c r="K1845">
        <v>5</v>
      </c>
      <c r="L1845">
        <v>1.6</v>
      </c>
      <c r="M1845" t="b">
        <v>0</v>
      </c>
    </row>
    <row r="1846" spans="1:14" x14ac:dyDescent="0.25">
      <c r="A1846" t="s">
        <v>1899</v>
      </c>
      <c r="B1846" t="s">
        <v>27</v>
      </c>
      <c r="C1846" t="s">
        <v>61</v>
      </c>
      <c r="D1846" t="s">
        <v>62</v>
      </c>
      <c r="F1846" t="s">
        <v>44</v>
      </c>
      <c r="G1846">
        <v>59.94</v>
      </c>
      <c r="H1846">
        <v>0</v>
      </c>
      <c r="I1846">
        <v>59.94</v>
      </c>
      <c r="J1846" s="1">
        <v>45875</v>
      </c>
      <c r="K1846">
        <v>7</v>
      </c>
      <c r="L1846">
        <v>4</v>
      </c>
      <c r="M1846" t="b">
        <v>0</v>
      </c>
    </row>
    <row r="1847" spans="1:14" x14ac:dyDescent="0.25">
      <c r="A1847" t="s">
        <v>1900</v>
      </c>
      <c r="B1847" t="s">
        <v>42</v>
      </c>
      <c r="C1847" t="s">
        <v>61</v>
      </c>
      <c r="D1847" t="s">
        <v>34</v>
      </c>
      <c r="E1847" t="s">
        <v>18</v>
      </c>
      <c r="F1847" t="s">
        <v>66</v>
      </c>
      <c r="G1847">
        <v>92.59</v>
      </c>
      <c r="H1847">
        <v>0</v>
      </c>
      <c r="I1847">
        <v>92.59</v>
      </c>
      <c r="J1847" s="1">
        <v>45875</v>
      </c>
      <c r="K1847">
        <v>29</v>
      </c>
      <c r="L1847">
        <v>3.5</v>
      </c>
      <c r="M1847" t="b">
        <v>1</v>
      </c>
      <c r="N1847" t="s">
        <v>73</v>
      </c>
    </row>
    <row r="1848" spans="1:14" x14ac:dyDescent="0.25">
      <c r="A1848" t="s">
        <v>1901</v>
      </c>
      <c r="B1848" t="s">
        <v>38</v>
      </c>
      <c r="C1848" t="s">
        <v>48</v>
      </c>
      <c r="D1848" t="s">
        <v>17</v>
      </c>
      <c r="E1848" t="s">
        <v>39</v>
      </c>
      <c r="F1848" t="s">
        <v>35</v>
      </c>
      <c r="G1848">
        <v>64.069999999999993</v>
      </c>
      <c r="H1848">
        <v>0</v>
      </c>
      <c r="I1848">
        <v>64.069999999999993</v>
      </c>
      <c r="J1848" s="1">
        <v>45734</v>
      </c>
      <c r="K1848">
        <v>10</v>
      </c>
      <c r="M1848" t="b">
        <v>0</v>
      </c>
    </row>
    <row r="1849" spans="1:14" x14ac:dyDescent="0.25">
      <c r="A1849" t="s">
        <v>1902</v>
      </c>
      <c r="B1849" t="s">
        <v>42</v>
      </c>
      <c r="C1849" t="s">
        <v>75</v>
      </c>
      <c r="D1849" t="s">
        <v>34</v>
      </c>
      <c r="E1849" t="s">
        <v>55</v>
      </c>
      <c r="F1849" t="s">
        <v>44</v>
      </c>
      <c r="G1849">
        <v>127.87</v>
      </c>
      <c r="H1849">
        <v>54.6</v>
      </c>
      <c r="I1849">
        <v>58.05</v>
      </c>
      <c r="J1849" s="1">
        <v>45875</v>
      </c>
      <c r="K1849">
        <v>14</v>
      </c>
      <c r="L1849">
        <v>4.4000000000000004</v>
      </c>
      <c r="M1849" t="b">
        <v>0</v>
      </c>
    </row>
    <row r="1850" spans="1:14" x14ac:dyDescent="0.25">
      <c r="A1850" t="s">
        <v>1903</v>
      </c>
      <c r="B1850" t="s">
        <v>38</v>
      </c>
      <c r="C1850" t="s">
        <v>32</v>
      </c>
      <c r="D1850" t="s">
        <v>34</v>
      </c>
      <c r="E1850" t="s">
        <v>58</v>
      </c>
      <c r="F1850" t="s">
        <v>44</v>
      </c>
      <c r="G1850">
        <v>32.46</v>
      </c>
      <c r="H1850">
        <v>12.9</v>
      </c>
      <c r="I1850">
        <v>28.27</v>
      </c>
      <c r="J1850" s="1">
        <v>45875</v>
      </c>
      <c r="K1850">
        <v>9</v>
      </c>
      <c r="M1850" t="b">
        <v>0</v>
      </c>
    </row>
    <row r="1851" spans="1:14" x14ac:dyDescent="0.25">
      <c r="A1851" t="s">
        <v>1904</v>
      </c>
      <c r="B1851" t="s">
        <v>38</v>
      </c>
      <c r="C1851" t="s">
        <v>48</v>
      </c>
      <c r="D1851" t="s">
        <v>62</v>
      </c>
      <c r="E1851" t="s">
        <v>49</v>
      </c>
      <c r="F1851" t="s">
        <v>25</v>
      </c>
      <c r="G1851">
        <v>40.31</v>
      </c>
      <c r="H1851">
        <v>43</v>
      </c>
      <c r="I1851">
        <v>22.98</v>
      </c>
      <c r="J1851" s="1">
        <v>45875</v>
      </c>
      <c r="K1851">
        <v>30</v>
      </c>
      <c r="L1851">
        <v>3.5</v>
      </c>
      <c r="M1851" t="b">
        <v>1</v>
      </c>
      <c r="N1851" t="s">
        <v>36</v>
      </c>
    </row>
    <row r="1852" spans="1:14" x14ac:dyDescent="0.25">
      <c r="A1852" t="s">
        <v>1905</v>
      </c>
      <c r="B1852" t="s">
        <v>27</v>
      </c>
      <c r="C1852" t="s">
        <v>53</v>
      </c>
      <c r="D1852" t="s">
        <v>23</v>
      </c>
      <c r="F1852" t="s">
        <v>46</v>
      </c>
      <c r="G1852">
        <v>51.3</v>
      </c>
      <c r="H1852">
        <v>6.1</v>
      </c>
      <c r="I1852">
        <v>48.17</v>
      </c>
      <c r="J1852" s="1">
        <v>45875</v>
      </c>
      <c r="K1852">
        <v>31</v>
      </c>
      <c r="M1852" t="b">
        <v>0</v>
      </c>
    </row>
    <row r="1853" spans="1:14" x14ac:dyDescent="0.25">
      <c r="A1853" t="s">
        <v>1906</v>
      </c>
      <c r="B1853" t="s">
        <v>38</v>
      </c>
      <c r="C1853" t="s">
        <v>61</v>
      </c>
      <c r="D1853" t="s">
        <v>23</v>
      </c>
      <c r="E1853" t="s">
        <v>55</v>
      </c>
      <c r="F1853" t="s">
        <v>25</v>
      </c>
      <c r="G1853">
        <v>28.62</v>
      </c>
      <c r="H1853">
        <v>0</v>
      </c>
      <c r="I1853">
        <v>28.62</v>
      </c>
      <c r="J1853" s="1">
        <v>45875</v>
      </c>
      <c r="K1853">
        <v>41</v>
      </c>
      <c r="L1853">
        <v>4</v>
      </c>
      <c r="M1853" t="b">
        <v>0</v>
      </c>
    </row>
    <row r="1854" spans="1:14" x14ac:dyDescent="0.25">
      <c r="A1854" t="s">
        <v>1907</v>
      </c>
      <c r="B1854" t="s">
        <v>27</v>
      </c>
      <c r="C1854" t="s">
        <v>61</v>
      </c>
      <c r="D1854" t="s">
        <v>34</v>
      </c>
      <c r="F1854" t="s">
        <v>46</v>
      </c>
      <c r="G1854">
        <v>59.03</v>
      </c>
      <c r="H1854">
        <v>6.4</v>
      </c>
      <c r="I1854">
        <v>55.25</v>
      </c>
      <c r="J1854" s="1">
        <v>45875</v>
      </c>
      <c r="K1854">
        <v>45</v>
      </c>
      <c r="M1854" t="b">
        <v>0</v>
      </c>
    </row>
    <row r="1855" spans="1:14" x14ac:dyDescent="0.25">
      <c r="A1855" t="s">
        <v>1908</v>
      </c>
      <c r="B1855" t="s">
        <v>21</v>
      </c>
      <c r="C1855" t="s">
        <v>53</v>
      </c>
      <c r="D1855" t="s">
        <v>62</v>
      </c>
      <c r="E1855" t="s">
        <v>39</v>
      </c>
      <c r="F1855" t="s">
        <v>70</v>
      </c>
      <c r="G1855">
        <v>99.65</v>
      </c>
      <c r="H1855">
        <v>7.4</v>
      </c>
      <c r="I1855">
        <v>92.28</v>
      </c>
      <c r="J1855" s="1">
        <v>45875</v>
      </c>
      <c r="K1855">
        <v>31</v>
      </c>
      <c r="L1855">
        <v>3.8</v>
      </c>
      <c r="M1855" t="b">
        <v>0</v>
      </c>
    </row>
    <row r="1856" spans="1:14" x14ac:dyDescent="0.25">
      <c r="A1856" t="s">
        <v>1909</v>
      </c>
      <c r="B1856" t="s">
        <v>42</v>
      </c>
      <c r="C1856" t="s">
        <v>75</v>
      </c>
      <c r="D1856" t="s">
        <v>23</v>
      </c>
      <c r="F1856" t="s">
        <v>44</v>
      </c>
      <c r="G1856">
        <v>128.55000000000001</v>
      </c>
      <c r="H1856">
        <v>0</v>
      </c>
      <c r="I1856">
        <v>128.55000000000001</v>
      </c>
      <c r="J1856" s="1">
        <v>45875</v>
      </c>
      <c r="K1856">
        <v>1</v>
      </c>
      <c r="L1856">
        <v>3.7</v>
      </c>
      <c r="M1856" t="b">
        <v>0</v>
      </c>
    </row>
    <row r="1857" spans="1:14" x14ac:dyDescent="0.25">
      <c r="A1857" t="s">
        <v>1910</v>
      </c>
      <c r="B1857" t="s">
        <v>38</v>
      </c>
      <c r="C1857" t="s">
        <v>43</v>
      </c>
      <c r="D1857" t="s">
        <v>17</v>
      </c>
      <c r="E1857" t="s">
        <v>24</v>
      </c>
      <c r="F1857" t="s">
        <v>66</v>
      </c>
      <c r="G1857">
        <v>78.09</v>
      </c>
      <c r="H1857">
        <v>56.3</v>
      </c>
      <c r="I1857">
        <v>34.130000000000003</v>
      </c>
      <c r="J1857" s="1">
        <v>45770</v>
      </c>
      <c r="K1857">
        <v>20</v>
      </c>
      <c r="L1857">
        <v>1.3</v>
      </c>
      <c r="M1857" t="b">
        <v>0</v>
      </c>
    </row>
    <row r="1858" spans="1:14" x14ac:dyDescent="0.25">
      <c r="A1858" t="s">
        <v>1911</v>
      </c>
      <c r="B1858" t="s">
        <v>38</v>
      </c>
      <c r="C1858" t="s">
        <v>43</v>
      </c>
      <c r="D1858" t="s">
        <v>62</v>
      </c>
      <c r="E1858" t="s">
        <v>49</v>
      </c>
      <c r="F1858" t="s">
        <v>64</v>
      </c>
      <c r="G1858">
        <v>108.89</v>
      </c>
      <c r="H1858">
        <v>0</v>
      </c>
      <c r="I1858">
        <v>108.89</v>
      </c>
      <c r="J1858" s="1">
        <v>45875</v>
      </c>
      <c r="K1858">
        <v>50</v>
      </c>
      <c r="L1858">
        <v>2.9</v>
      </c>
      <c r="M1858" t="b">
        <v>0</v>
      </c>
    </row>
    <row r="1859" spans="1:14" x14ac:dyDescent="0.25">
      <c r="A1859" t="s">
        <v>1912</v>
      </c>
      <c r="B1859" t="s">
        <v>38</v>
      </c>
      <c r="C1859" t="s">
        <v>53</v>
      </c>
      <c r="D1859" t="s">
        <v>17</v>
      </c>
      <c r="F1859" t="s">
        <v>40</v>
      </c>
      <c r="G1859">
        <v>35.21</v>
      </c>
      <c r="H1859">
        <v>14.7</v>
      </c>
      <c r="I1859">
        <v>30.03</v>
      </c>
      <c r="J1859" s="1">
        <v>45649</v>
      </c>
      <c r="K1859">
        <v>15</v>
      </c>
      <c r="L1859">
        <v>3.1</v>
      </c>
      <c r="M1859" t="b">
        <v>1</v>
      </c>
      <c r="N1859" t="s">
        <v>83</v>
      </c>
    </row>
    <row r="1860" spans="1:14" x14ac:dyDescent="0.25">
      <c r="A1860" t="s">
        <v>1913</v>
      </c>
      <c r="B1860" t="s">
        <v>42</v>
      </c>
      <c r="C1860" t="s">
        <v>61</v>
      </c>
      <c r="D1860" t="s">
        <v>62</v>
      </c>
      <c r="E1860" t="s">
        <v>49</v>
      </c>
      <c r="F1860" t="s">
        <v>70</v>
      </c>
      <c r="G1860">
        <v>129.16</v>
      </c>
      <c r="H1860">
        <v>34</v>
      </c>
      <c r="I1860">
        <v>85.25</v>
      </c>
      <c r="J1860" s="1">
        <v>45875</v>
      </c>
      <c r="K1860">
        <v>24</v>
      </c>
      <c r="L1860">
        <v>1.7</v>
      </c>
      <c r="M1860" t="b">
        <v>0</v>
      </c>
    </row>
    <row r="1861" spans="1:14" x14ac:dyDescent="0.25">
      <c r="A1861" t="s">
        <v>1914</v>
      </c>
      <c r="B1861" t="s">
        <v>42</v>
      </c>
      <c r="C1861" t="s">
        <v>53</v>
      </c>
      <c r="D1861" t="s">
        <v>62</v>
      </c>
      <c r="E1861" t="s">
        <v>39</v>
      </c>
      <c r="F1861" t="s">
        <v>40</v>
      </c>
      <c r="G1861">
        <v>142.43</v>
      </c>
      <c r="H1861">
        <v>0</v>
      </c>
      <c r="I1861">
        <v>142.43</v>
      </c>
      <c r="J1861" s="1">
        <v>45875</v>
      </c>
      <c r="K1861">
        <v>15</v>
      </c>
      <c r="L1861">
        <v>4.0999999999999996</v>
      </c>
      <c r="M1861" t="b">
        <v>1</v>
      </c>
      <c r="N1861" t="s">
        <v>73</v>
      </c>
    </row>
    <row r="1862" spans="1:14" x14ac:dyDescent="0.25">
      <c r="A1862" t="s">
        <v>1915</v>
      </c>
      <c r="B1862" t="s">
        <v>27</v>
      </c>
      <c r="C1862" t="s">
        <v>75</v>
      </c>
      <c r="D1862" t="s">
        <v>17</v>
      </c>
      <c r="F1862" t="s">
        <v>64</v>
      </c>
      <c r="G1862">
        <v>45.19</v>
      </c>
      <c r="H1862">
        <v>0</v>
      </c>
      <c r="I1862">
        <v>45.19</v>
      </c>
      <c r="J1862" s="1">
        <v>45716</v>
      </c>
      <c r="K1862">
        <v>38</v>
      </c>
      <c r="L1862">
        <v>1.6</v>
      </c>
      <c r="M1862" t="b">
        <v>1</v>
      </c>
      <c r="N1862" t="s">
        <v>125</v>
      </c>
    </row>
    <row r="1863" spans="1:14" x14ac:dyDescent="0.25">
      <c r="A1863" t="s">
        <v>1916</v>
      </c>
      <c r="B1863" t="s">
        <v>38</v>
      </c>
      <c r="C1863" t="s">
        <v>48</v>
      </c>
      <c r="D1863" t="s">
        <v>34</v>
      </c>
      <c r="E1863" t="s">
        <v>39</v>
      </c>
      <c r="F1863" t="s">
        <v>66</v>
      </c>
      <c r="G1863">
        <v>47.66</v>
      </c>
      <c r="H1863">
        <v>0</v>
      </c>
      <c r="I1863">
        <v>47.66</v>
      </c>
      <c r="J1863" s="1">
        <v>45875</v>
      </c>
      <c r="K1863">
        <v>0</v>
      </c>
      <c r="L1863">
        <v>4.8</v>
      </c>
      <c r="M1863" t="b">
        <v>1</v>
      </c>
      <c r="N1863" t="s">
        <v>73</v>
      </c>
    </row>
    <row r="1864" spans="1:14" x14ac:dyDescent="0.25">
      <c r="A1864" t="s">
        <v>1917</v>
      </c>
      <c r="B1864" t="s">
        <v>38</v>
      </c>
      <c r="C1864" t="s">
        <v>22</v>
      </c>
      <c r="D1864" t="s">
        <v>62</v>
      </c>
      <c r="E1864" t="s">
        <v>55</v>
      </c>
      <c r="F1864" t="s">
        <v>56</v>
      </c>
      <c r="G1864">
        <v>115.05</v>
      </c>
      <c r="H1864">
        <v>40</v>
      </c>
      <c r="I1864">
        <v>69.03</v>
      </c>
      <c r="J1864" s="1">
        <v>45875</v>
      </c>
      <c r="K1864">
        <v>48</v>
      </c>
      <c r="L1864">
        <v>3.1</v>
      </c>
      <c r="M1864" t="b">
        <v>0</v>
      </c>
    </row>
    <row r="1865" spans="1:14" x14ac:dyDescent="0.25">
      <c r="A1865" t="s">
        <v>1918</v>
      </c>
      <c r="B1865" t="s">
        <v>38</v>
      </c>
      <c r="C1865" t="s">
        <v>32</v>
      </c>
      <c r="D1865" t="s">
        <v>62</v>
      </c>
      <c r="E1865" t="s">
        <v>18</v>
      </c>
      <c r="F1865" t="s">
        <v>70</v>
      </c>
      <c r="G1865">
        <v>87.84</v>
      </c>
      <c r="H1865">
        <v>0</v>
      </c>
      <c r="I1865">
        <v>87.84</v>
      </c>
      <c r="J1865" s="1">
        <v>45875</v>
      </c>
      <c r="K1865">
        <v>29</v>
      </c>
      <c r="L1865">
        <v>1.3</v>
      </c>
      <c r="M1865" t="b">
        <v>0</v>
      </c>
    </row>
    <row r="1866" spans="1:14" x14ac:dyDescent="0.25">
      <c r="A1866" t="s">
        <v>1919</v>
      </c>
      <c r="B1866" t="s">
        <v>42</v>
      </c>
      <c r="C1866" t="s">
        <v>75</v>
      </c>
      <c r="D1866" t="s">
        <v>34</v>
      </c>
      <c r="E1866" t="s">
        <v>39</v>
      </c>
      <c r="F1866" t="s">
        <v>44</v>
      </c>
      <c r="G1866">
        <v>73.42</v>
      </c>
      <c r="H1866">
        <v>35</v>
      </c>
      <c r="I1866">
        <v>47.72</v>
      </c>
      <c r="J1866" s="1">
        <v>45875</v>
      </c>
      <c r="K1866">
        <v>44</v>
      </c>
      <c r="M1866" t="b">
        <v>0</v>
      </c>
    </row>
    <row r="1867" spans="1:14" x14ac:dyDescent="0.25">
      <c r="A1867" t="s">
        <v>1920</v>
      </c>
      <c r="B1867" t="s">
        <v>30</v>
      </c>
      <c r="C1867" t="s">
        <v>61</v>
      </c>
      <c r="D1867" t="s">
        <v>34</v>
      </c>
      <c r="E1867" t="s">
        <v>24</v>
      </c>
      <c r="F1867" t="s">
        <v>64</v>
      </c>
      <c r="G1867">
        <v>181.58</v>
      </c>
      <c r="H1867">
        <v>21.6</v>
      </c>
      <c r="I1867">
        <v>142.36000000000001</v>
      </c>
      <c r="J1867" s="1">
        <v>45875</v>
      </c>
      <c r="K1867">
        <v>14</v>
      </c>
      <c r="L1867">
        <v>4.7</v>
      </c>
      <c r="M1867" t="b">
        <v>0</v>
      </c>
    </row>
    <row r="1868" spans="1:14" x14ac:dyDescent="0.25">
      <c r="A1868" t="s">
        <v>1921</v>
      </c>
      <c r="B1868" t="s">
        <v>21</v>
      </c>
      <c r="C1868" t="s">
        <v>48</v>
      </c>
      <c r="D1868" t="s">
        <v>17</v>
      </c>
      <c r="E1868" t="s">
        <v>24</v>
      </c>
      <c r="F1868" t="s">
        <v>28</v>
      </c>
      <c r="G1868">
        <v>71.680000000000007</v>
      </c>
      <c r="H1868">
        <v>0</v>
      </c>
      <c r="I1868">
        <v>71.680000000000007</v>
      </c>
      <c r="J1868" s="1">
        <v>45874</v>
      </c>
      <c r="K1868">
        <v>0</v>
      </c>
      <c r="L1868">
        <v>1.5</v>
      </c>
      <c r="M1868" t="b">
        <v>0</v>
      </c>
    </row>
    <row r="1869" spans="1:14" x14ac:dyDescent="0.25">
      <c r="A1869" t="s">
        <v>1922</v>
      </c>
      <c r="B1869" t="s">
        <v>21</v>
      </c>
      <c r="C1869" t="s">
        <v>32</v>
      </c>
      <c r="D1869" t="s">
        <v>23</v>
      </c>
      <c r="E1869" t="s">
        <v>49</v>
      </c>
      <c r="F1869" t="s">
        <v>56</v>
      </c>
      <c r="G1869">
        <v>25.63</v>
      </c>
      <c r="H1869">
        <v>0</v>
      </c>
      <c r="I1869">
        <v>25.63</v>
      </c>
      <c r="J1869" s="1">
        <v>45875</v>
      </c>
      <c r="K1869">
        <v>27</v>
      </c>
      <c r="L1869">
        <v>1.2</v>
      </c>
      <c r="M1869" t="b">
        <v>0</v>
      </c>
    </row>
    <row r="1870" spans="1:14" x14ac:dyDescent="0.25">
      <c r="A1870" t="s">
        <v>1923</v>
      </c>
      <c r="B1870" t="s">
        <v>21</v>
      </c>
      <c r="C1870" t="s">
        <v>75</v>
      </c>
      <c r="D1870" t="s">
        <v>23</v>
      </c>
      <c r="F1870" t="s">
        <v>70</v>
      </c>
      <c r="G1870">
        <v>31.34</v>
      </c>
      <c r="H1870">
        <v>48.5</v>
      </c>
      <c r="I1870">
        <v>16.14</v>
      </c>
      <c r="J1870" s="1">
        <v>45875</v>
      </c>
      <c r="K1870">
        <v>36</v>
      </c>
      <c r="L1870">
        <v>1.6</v>
      </c>
      <c r="M1870" t="b">
        <v>1</v>
      </c>
      <c r="N1870" t="s">
        <v>73</v>
      </c>
    </row>
    <row r="1871" spans="1:14" x14ac:dyDescent="0.25">
      <c r="A1871" t="s">
        <v>1924</v>
      </c>
      <c r="B1871" t="s">
        <v>42</v>
      </c>
      <c r="C1871" t="s">
        <v>48</v>
      </c>
      <c r="D1871" t="s">
        <v>34</v>
      </c>
      <c r="E1871" t="s">
        <v>24</v>
      </c>
      <c r="F1871" t="s">
        <v>56</v>
      </c>
      <c r="G1871">
        <v>98.91</v>
      </c>
      <c r="H1871">
        <v>33.799999999999997</v>
      </c>
      <c r="I1871">
        <v>65.48</v>
      </c>
      <c r="J1871" s="1">
        <v>45875</v>
      </c>
      <c r="K1871">
        <v>33</v>
      </c>
      <c r="M1871" t="b">
        <v>1</v>
      </c>
      <c r="N1871" t="s">
        <v>36</v>
      </c>
    </row>
    <row r="1872" spans="1:14" x14ac:dyDescent="0.25">
      <c r="A1872" t="s">
        <v>1925</v>
      </c>
      <c r="B1872" t="s">
        <v>27</v>
      </c>
      <c r="C1872" t="s">
        <v>16</v>
      </c>
      <c r="D1872" t="s">
        <v>23</v>
      </c>
      <c r="F1872" t="s">
        <v>19</v>
      </c>
      <c r="G1872">
        <v>43.33</v>
      </c>
      <c r="H1872">
        <v>7.8</v>
      </c>
      <c r="I1872">
        <v>39.950000000000003</v>
      </c>
      <c r="J1872" s="1">
        <v>45875</v>
      </c>
      <c r="K1872">
        <v>4</v>
      </c>
      <c r="L1872">
        <v>1.3</v>
      </c>
      <c r="M1872" t="b">
        <v>0</v>
      </c>
    </row>
    <row r="1873" spans="1:14" x14ac:dyDescent="0.25">
      <c r="A1873" t="s">
        <v>1926</v>
      </c>
      <c r="B1873" t="s">
        <v>30</v>
      </c>
      <c r="C1873" t="s">
        <v>61</v>
      </c>
      <c r="D1873" t="s">
        <v>62</v>
      </c>
      <c r="E1873" t="s">
        <v>58</v>
      </c>
      <c r="F1873" t="s">
        <v>28</v>
      </c>
      <c r="G1873">
        <v>70.709999999999994</v>
      </c>
      <c r="H1873">
        <v>0</v>
      </c>
      <c r="I1873">
        <v>70.709999999999994</v>
      </c>
      <c r="J1873" s="1">
        <v>45875</v>
      </c>
      <c r="K1873">
        <v>8</v>
      </c>
      <c r="L1873">
        <v>2.2999999999999998</v>
      </c>
      <c r="M1873" t="b">
        <v>0</v>
      </c>
    </row>
    <row r="1874" spans="1:14" x14ac:dyDescent="0.25">
      <c r="A1874" t="s">
        <v>1927</v>
      </c>
      <c r="B1874" t="s">
        <v>15</v>
      </c>
      <c r="C1874" t="s">
        <v>48</v>
      </c>
      <c r="D1874" t="s">
        <v>23</v>
      </c>
      <c r="E1874" t="s">
        <v>39</v>
      </c>
      <c r="F1874" t="s">
        <v>66</v>
      </c>
      <c r="G1874">
        <v>215.99</v>
      </c>
      <c r="H1874">
        <v>38.1</v>
      </c>
      <c r="I1874">
        <v>133.69999999999999</v>
      </c>
      <c r="J1874" s="1">
        <v>45875</v>
      </c>
      <c r="K1874">
        <v>14</v>
      </c>
      <c r="L1874">
        <v>3.9</v>
      </c>
      <c r="M1874" t="b">
        <v>0</v>
      </c>
    </row>
    <row r="1875" spans="1:14" x14ac:dyDescent="0.25">
      <c r="A1875" t="s">
        <v>1928</v>
      </c>
      <c r="B1875" t="s">
        <v>42</v>
      </c>
      <c r="C1875" t="s">
        <v>32</v>
      </c>
      <c r="D1875" t="s">
        <v>23</v>
      </c>
      <c r="E1875" t="s">
        <v>18</v>
      </c>
      <c r="F1875" t="s">
        <v>46</v>
      </c>
      <c r="G1875">
        <v>145.57</v>
      </c>
      <c r="H1875">
        <v>5.0999999999999996</v>
      </c>
      <c r="I1875">
        <v>138.15</v>
      </c>
      <c r="J1875" s="1">
        <v>45875</v>
      </c>
      <c r="K1875">
        <v>8</v>
      </c>
      <c r="L1875">
        <v>4.4000000000000004</v>
      </c>
      <c r="M1875" t="b">
        <v>0</v>
      </c>
    </row>
    <row r="1876" spans="1:14" x14ac:dyDescent="0.25">
      <c r="A1876" t="s">
        <v>1929</v>
      </c>
      <c r="B1876" t="s">
        <v>30</v>
      </c>
      <c r="C1876" t="s">
        <v>32</v>
      </c>
      <c r="D1876" t="s">
        <v>34</v>
      </c>
      <c r="E1876" t="s">
        <v>55</v>
      </c>
      <c r="F1876" t="s">
        <v>64</v>
      </c>
      <c r="G1876">
        <v>195.03</v>
      </c>
      <c r="H1876">
        <v>0</v>
      </c>
      <c r="I1876">
        <v>195.03</v>
      </c>
      <c r="J1876" s="1">
        <v>45875</v>
      </c>
      <c r="K1876">
        <v>44</v>
      </c>
      <c r="L1876">
        <v>4.4000000000000004</v>
      </c>
      <c r="M1876" t="b">
        <v>0</v>
      </c>
    </row>
    <row r="1877" spans="1:14" x14ac:dyDescent="0.25">
      <c r="A1877" t="s">
        <v>1930</v>
      </c>
      <c r="B1877" t="s">
        <v>38</v>
      </c>
      <c r="C1877" t="s">
        <v>53</v>
      </c>
      <c r="D1877" t="s">
        <v>23</v>
      </c>
      <c r="E1877" t="s">
        <v>55</v>
      </c>
      <c r="F1877" t="s">
        <v>28</v>
      </c>
      <c r="G1877">
        <v>74.88</v>
      </c>
      <c r="H1877">
        <v>9.6999999999999993</v>
      </c>
      <c r="I1877">
        <v>67.62</v>
      </c>
      <c r="J1877" s="1">
        <v>45875</v>
      </c>
      <c r="K1877">
        <v>23</v>
      </c>
      <c r="L1877">
        <v>2.6</v>
      </c>
      <c r="M1877" t="b">
        <v>0</v>
      </c>
    </row>
    <row r="1878" spans="1:14" x14ac:dyDescent="0.25">
      <c r="A1878" t="s">
        <v>1931</v>
      </c>
      <c r="B1878" t="s">
        <v>21</v>
      </c>
      <c r="C1878" t="s">
        <v>61</v>
      </c>
      <c r="D1878" t="s">
        <v>17</v>
      </c>
      <c r="E1878" t="s">
        <v>24</v>
      </c>
      <c r="F1878" t="s">
        <v>25</v>
      </c>
      <c r="G1878">
        <v>50.3</v>
      </c>
      <c r="H1878">
        <v>0</v>
      </c>
      <c r="I1878">
        <v>50.3</v>
      </c>
      <c r="J1878" s="1">
        <v>45522</v>
      </c>
      <c r="K1878">
        <v>23</v>
      </c>
      <c r="L1878">
        <v>1.3</v>
      </c>
      <c r="M1878" t="b">
        <v>0</v>
      </c>
    </row>
    <row r="1879" spans="1:14" x14ac:dyDescent="0.25">
      <c r="A1879" t="s">
        <v>1932</v>
      </c>
      <c r="B1879" t="s">
        <v>15</v>
      </c>
      <c r="C1879" t="s">
        <v>53</v>
      </c>
      <c r="D1879" t="s">
        <v>62</v>
      </c>
      <c r="E1879" t="s">
        <v>49</v>
      </c>
      <c r="F1879" t="s">
        <v>19</v>
      </c>
      <c r="G1879">
        <v>130.65</v>
      </c>
      <c r="H1879">
        <v>0</v>
      </c>
      <c r="I1879">
        <v>130.65</v>
      </c>
      <c r="J1879" s="1">
        <v>45875</v>
      </c>
      <c r="K1879">
        <v>20</v>
      </c>
      <c r="L1879">
        <v>2.6</v>
      </c>
      <c r="M1879" t="b">
        <v>0</v>
      </c>
    </row>
    <row r="1880" spans="1:14" x14ac:dyDescent="0.25">
      <c r="A1880" t="s">
        <v>1933</v>
      </c>
      <c r="B1880" t="s">
        <v>42</v>
      </c>
      <c r="C1880" t="s">
        <v>75</v>
      </c>
      <c r="D1880" t="s">
        <v>17</v>
      </c>
      <c r="E1880" t="s">
        <v>49</v>
      </c>
      <c r="F1880" t="s">
        <v>46</v>
      </c>
      <c r="G1880">
        <v>94.56</v>
      </c>
      <c r="H1880">
        <v>40.299999999999997</v>
      </c>
      <c r="I1880">
        <v>56.45</v>
      </c>
      <c r="J1880" s="1">
        <v>45822</v>
      </c>
      <c r="K1880">
        <v>41</v>
      </c>
      <c r="L1880">
        <v>4.7</v>
      </c>
      <c r="M1880" t="b">
        <v>0</v>
      </c>
    </row>
    <row r="1881" spans="1:14" x14ac:dyDescent="0.25">
      <c r="A1881" t="s">
        <v>1934</v>
      </c>
      <c r="B1881" t="s">
        <v>15</v>
      </c>
      <c r="C1881" t="s">
        <v>22</v>
      </c>
      <c r="D1881" t="s">
        <v>17</v>
      </c>
      <c r="E1881" t="s">
        <v>39</v>
      </c>
      <c r="F1881" t="s">
        <v>70</v>
      </c>
      <c r="G1881">
        <v>138.97999999999999</v>
      </c>
      <c r="H1881">
        <v>10.199999999999999</v>
      </c>
      <c r="I1881">
        <v>124.8</v>
      </c>
      <c r="J1881" s="1">
        <v>45860</v>
      </c>
      <c r="K1881">
        <v>36</v>
      </c>
      <c r="L1881">
        <v>1.4</v>
      </c>
      <c r="M1881" t="b">
        <v>0</v>
      </c>
    </row>
    <row r="1882" spans="1:14" x14ac:dyDescent="0.25">
      <c r="A1882" t="s">
        <v>1935</v>
      </c>
      <c r="B1882" t="s">
        <v>27</v>
      </c>
      <c r="C1882" t="s">
        <v>48</v>
      </c>
      <c r="D1882" t="s">
        <v>23</v>
      </c>
      <c r="F1882" t="s">
        <v>46</v>
      </c>
      <c r="G1882">
        <v>52.57</v>
      </c>
      <c r="H1882">
        <v>0</v>
      </c>
      <c r="I1882">
        <v>52.57</v>
      </c>
      <c r="J1882" s="1">
        <v>45875</v>
      </c>
      <c r="K1882">
        <v>50</v>
      </c>
      <c r="L1882">
        <v>2.5</v>
      </c>
      <c r="M1882" t="b">
        <v>1</v>
      </c>
      <c r="N1882" t="s">
        <v>78</v>
      </c>
    </row>
    <row r="1883" spans="1:14" x14ac:dyDescent="0.25">
      <c r="A1883" t="s">
        <v>1936</v>
      </c>
      <c r="B1883" t="s">
        <v>15</v>
      </c>
      <c r="C1883" t="s">
        <v>48</v>
      </c>
      <c r="D1883" t="s">
        <v>17</v>
      </c>
      <c r="F1883" t="s">
        <v>35</v>
      </c>
      <c r="G1883">
        <v>151.62</v>
      </c>
      <c r="H1883">
        <v>0</v>
      </c>
      <c r="I1883">
        <v>151.62</v>
      </c>
      <c r="J1883" s="1">
        <v>45849</v>
      </c>
      <c r="K1883">
        <v>41</v>
      </c>
      <c r="L1883">
        <v>3.5</v>
      </c>
      <c r="M1883" t="b">
        <v>0</v>
      </c>
    </row>
    <row r="1884" spans="1:14" x14ac:dyDescent="0.25">
      <c r="A1884" t="s">
        <v>1937</v>
      </c>
      <c r="B1884" t="s">
        <v>27</v>
      </c>
      <c r="C1884" t="s">
        <v>22</v>
      </c>
      <c r="D1884" t="s">
        <v>17</v>
      </c>
      <c r="F1884" t="s">
        <v>44</v>
      </c>
      <c r="G1884">
        <v>26.7</v>
      </c>
      <c r="H1884">
        <v>0</v>
      </c>
      <c r="I1884">
        <v>26.7</v>
      </c>
      <c r="J1884" s="1">
        <v>45804</v>
      </c>
      <c r="K1884">
        <v>48</v>
      </c>
      <c r="L1884">
        <v>3.1</v>
      </c>
      <c r="M1884" t="b">
        <v>0</v>
      </c>
    </row>
    <row r="1885" spans="1:14" x14ac:dyDescent="0.25">
      <c r="A1885" t="s">
        <v>1938</v>
      </c>
      <c r="B1885" t="s">
        <v>15</v>
      </c>
      <c r="C1885" t="s">
        <v>53</v>
      </c>
      <c r="D1885" t="s">
        <v>62</v>
      </c>
      <c r="E1885" t="s">
        <v>39</v>
      </c>
      <c r="F1885" t="s">
        <v>70</v>
      </c>
      <c r="G1885">
        <v>147.5</v>
      </c>
      <c r="H1885">
        <v>0</v>
      </c>
      <c r="I1885">
        <v>147.5</v>
      </c>
      <c r="J1885" s="1">
        <v>45875</v>
      </c>
      <c r="K1885">
        <v>4</v>
      </c>
      <c r="L1885">
        <v>2.4</v>
      </c>
      <c r="M1885" t="b">
        <v>0</v>
      </c>
    </row>
    <row r="1886" spans="1:14" x14ac:dyDescent="0.25">
      <c r="A1886" t="s">
        <v>1939</v>
      </c>
      <c r="B1886" t="s">
        <v>21</v>
      </c>
      <c r="C1886" t="s">
        <v>43</v>
      </c>
      <c r="D1886" t="s">
        <v>34</v>
      </c>
      <c r="E1886" t="s">
        <v>39</v>
      </c>
      <c r="F1886" t="s">
        <v>64</v>
      </c>
      <c r="G1886">
        <v>66</v>
      </c>
      <c r="H1886">
        <v>2.7</v>
      </c>
      <c r="I1886">
        <v>64.22</v>
      </c>
      <c r="J1886" s="1">
        <v>45875</v>
      </c>
      <c r="K1886">
        <v>42</v>
      </c>
      <c r="L1886">
        <v>4.4000000000000004</v>
      </c>
      <c r="M1886" t="b">
        <v>0</v>
      </c>
    </row>
    <row r="1887" spans="1:14" x14ac:dyDescent="0.25">
      <c r="A1887" t="s">
        <v>1940</v>
      </c>
      <c r="B1887" t="s">
        <v>15</v>
      </c>
      <c r="C1887" t="s">
        <v>16</v>
      </c>
      <c r="D1887" t="s">
        <v>34</v>
      </c>
      <c r="E1887" t="s">
        <v>55</v>
      </c>
      <c r="F1887" t="s">
        <v>19</v>
      </c>
      <c r="G1887">
        <v>183.6</v>
      </c>
      <c r="H1887">
        <v>0</v>
      </c>
      <c r="I1887">
        <v>183.6</v>
      </c>
      <c r="J1887" s="1">
        <v>45875</v>
      </c>
      <c r="K1887">
        <v>10</v>
      </c>
      <c r="M1887" t="b">
        <v>0</v>
      </c>
    </row>
    <row r="1888" spans="1:14" x14ac:dyDescent="0.25">
      <c r="A1888" t="s">
        <v>1941</v>
      </c>
      <c r="B1888" t="s">
        <v>30</v>
      </c>
      <c r="C1888" t="s">
        <v>22</v>
      </c>
      <c r="D1888" t="s">
        <v>62</v>
      </c>
      <c r="E1888" t="s">
        <v>24</v>
      </c>
      <c r="F1888" t="s">
        <v>44</v>
      </c>
      <c r="G1888">
        <v>195.83</v>
      </c>
      <c r="H1888">
        <v>0</v>
      </c>
      <c r="I1888">
        <v>195.83</v>
      </c>
      <c r="J1888" s="1">
        <v>45875</v>
      </c>
      <c r="K1888">
        <v>14</v>
      </c>
      <c r="L1888">
        <v>2.1</v>
      </c>
      <c r="M1888" t="b">
        <v>0</v>
      </c>
    </row>
    <row r="1889" spans="1:14" x14ac:dyDescent="0.25">
      <c r="A1889" t="s">
        <v>1942</v>
      </c>
      <c r="B1889" t="s">
        <v>38</v>
      </c>
      <c r="C1889" t="s">
        <v>53</v>
      </c>
      <c r="D1889" t="s">
        <v>23</v>
      </c>
      <c r="E1889" t="s">
        <v>39</v>
      </c>
      <c r="F1889" t="s">
        <v>56</v>
      </c>
      <c r="G1889">
        <v>75.53</v>
      </c>
      <c r="H1889">
        <v>58.1</v>
      </c>
      <c r="I1889">
        <v>31.65</v>
      </c>
      <c r="J1889" s="1">
        <v>45875</v>
      </c>
      <c r="K1889">
        <v>33</v>
      </c>
      <c r="L1889">
        <v>4</v>
      </c>
      <c r="M1889" t="b">
        <v>0</v>
      </c>
    </row>
    <row r="1890" spans="1:14" x14ac:dyDescent="0.25">
      <c r="A1890" t="s">
        <v>1943</v>
      </c>
      <c r="B1890" t="s">
        <v>21</v>
      </c>
      <c r="C1890" t="s">
        <v>43</v>
      </c>
      <c r="D1890" t="s">
        <v>17</v>
      </c>
      <c r="E1890" t="s">
        <v>18</v>
      </c>
      <c r="F1890" t="s">
        <v>56</v>
      </c>
      <c r="G1890">
        <v>30.78</v>
      </c>
      <c r="H1890">
        <v>0</v>
      </c>
      <c r="I1890">
        <v>30.78</v>
      </c>
      <c r="J1890" s="1">
        <v>45821</v>
      </c>
      <c r="K1890">
        <v>28</v>
      </c>
      <c r="L1890">
        <v>3.9</v>
      </c>
      <c r="M1890" t="b">
        <v>0</v>
      </c>
    </row>
    <row r="1891" spans="1:14" x14ac:dyDescent="0.25">
      <c r="A1891" t="s">
        <v>1944</v>
      </c>
      <c r="B1891" t="s">
        <v>30</v>
      </c>
      <c r="C1891" t="s">
        <v>32</v>
      </c>
      <c r="D1891" t="s">
        <v>23</v>
      </c>
      <c r="E1891" t="s">
        <v>24</v>
      </c>
      <c r="F1891" t="s">
        <v>35</v>
      </c>
      <c r="G1891">
        <v>150.96</v>
      </c>
      <c r="H1891">
        <v>0</v>
      </c>
      <c r="I1891">
        <v>150.96</v>
      </c>
      <c r="J1891" s="1">
        <v>45875</v>
      </c>
      <c r="K1891">
        <v>18</v>
      </c>
      <c r="L1891">
        <v>4.5999999999999996</v>
      </c>
      <c r="M1891" t="b">
        <v>0</v>
      </c>
    </row>
    <row r="1892" spans="1:14" x14ac:dyDescent="0.25">
      <c r="A1892" t="s">
        <v>1945</v>
      </c>
      <c r="B1892" t="s">
        <v>38</v>
      </c>
      <c r="C1892" t="s">
        <v>75</v>
      </c>
      <c r="D1892" t="s">
        <v>62</v>
      </c>
      <c r="E1892" t="s">
        <v>24</v>
      </c>
      <c r="F1892" t="s">
        <v>28</v>
      </c>
      <c r="G1892">
        <v>58.98</v>
      </c>
      <c r="H1892">
        <v>18.100000000000001</v>
      </c>
      <c r="I1892">
        <v>48.3</v>
      </c>
      <c r="J1892" s="1">
        <v>45875</v>
      </c>
      <c r="K1892">
        <v>23</v>
      </c>
      <c r="L1892">
        <v>2.8</v>
      </c>
      <c r="M1892" t="b">
        <v>0</v>
      </c>
    </row>
    <row r="1893" spans="1:14" x14ac:dyDescent="0.25">
      <c r="A1893" t="s">
        <v>1946</v>
      </c>
      <c r="B1893" t="s">
        <v>15</v>
      </c>
      <c r="C1893" t="s">
        <v>75</v>
      </c>
      <c r="D1893" t="s">
        <v>17</v>
      </c>
      <c r="E1893" t="s">
        <v>24</v>
      </c>
      <c r="F1893" t="s">
        <v>66</v>
      </c>
      <c r="G1893">
        <v>224.91</v>
      </c>
      <c r="H1893">
        <v>18.899999999999999</v>
      </c>
      <c r="I1893">
        <v>182.4</v>
      </c>
      <c r="J1893" s="1">
        <v>45554</v>
      </c>
      <c r="K1893">
        <v>50</v>
      </c>
      <c r="M1893" t="b">
        <v>0</v>
      </c>
    </row>
    <row r="1894" spans="1:14" x14ac:dyDescent="0.25">
      <c r="A1894" t="s">
        <v>1947</v>
      </c>
      <c r="B1894" t="s">
        <v>15</v>
      </c>
      <c r="C1894" t="s">
        <v>32</v>
      </c>
      <c r="D1894" t="s">
        <v>17</v>
      </c>
      <c r="E1894" t="s">
        <v>18</v>
      </c>
      <c r="F1894" t="s">
        <v>70</v>
      </c>
      <c r="G1894">
        <v>155.75</v>
      </c>
      <c r="H1894">
        <v>0</v>
      </c>
      <c r="I1894">
        <v>155.75</v>
      </c>
      <c r="J1894" s="1">
        <v>45741</v>
      </c>
      <c r="K1894">
        <v>0</v>
      </c>
      <c r="L1894">
        <v>2.4</v>
      </c>
      <c r="M1894" t="b">
        <v>0</v>
      </c>
    </row>
    <row r="1895" spans="1:14" x14ac:dyDescent="0.25">
      <c r="A1895" t="s">
        <v>1948</v>
      </c>
      <c r="B1895" t="s">
        <v>30</v>
      </c>
      <c r="C1895" t="s">
        <v>48</v>
      </c>
      <c r="D1895" t="s">
        <v>23</v>
      </c>
      <c r="E1895" t="s">
        <v>18</v>
      </c>
      <c r="F1895" t="s">
        <v>44</v>
      </c>
      <c r="G1895">
        <v>194.4</v>
      </c>
      <c r="H1895">
        <v>16.2</v>
      </c>
      <c r="I1895">
        <v>162.91</v>
      </c>
      <c r="J1895" s="1">
        <v>45875</v>
      </c>
      <c r="K1895">
        <v>36</v>
      </c>
      <c r="L1895">
        <v>1.5</v>
      </c>
      <c r="M1895" t="b">
        <v>0</v>
      </c>
    </row>
    <row r="1896" spans="1:14" x14ac:dyDescent="0.25">
      <c r="A1896" t="s">
        <v>1949</v>
      </c>
      <c r="B1896" t="s">
        <v>30</v>
      </c>
      <c r="C1896" t="s">
        <v>32</v>
      </c>
      <c r="D1896" t="s">
        <v>34</v>
      </c>
      <c r="E1896" t="s">
        <v>24</v>
      </c>
      <c r="F1896" t="s">
        <v>19</v>
      </c>
      <c r="G1896">
        <v>169.77</v>
      </c>
      <c r="H1896">
        <v>0</v>
      </c>
      <c r="I1896">
        <v>169.77</v>
      </c>
      <c r="J1896" s="1">
        <v>45875</v>
      </c>
      <c r="K1896">
        <v>39</v>
      </c>
      <c r="L1896">
        <v>4.4000000000000004</v>
      </c>
      <c r="M1896" t="b">
        <v>0</v>
      </c>
    </row>
    <row r="1897" spans="1:14" x14ac:dyDescent="0.25">
      <c r="A1897" t="s">
        <v>1950</v>
      </c>
      <c r="B1897" t="s">
        <v>27</v>
      </c>
      <c r="C1897" t="s">
        <v>22</v>
      </c>
      <c r="D1897" t="s">
        <v>23</v>
      </c>
      <c r="F1897" t="s">
        <v>44</v>
      </c>
      <c r="G1897">
        <v>41.52</v>
      </c>
      <c r="H1897">
        <v>27.3</v>
      </c>
      <c r="I1897">
        <v>30.19</v>
      </c>
      <c r="J1897" s="1">
        <v>45875</v>
      </c>
      <c r="K1897">
        <v>48</v>
      </c>
      <c r="L1897">
        <v>3.4</v>
      </c>
      <c r="M1897" t="b">
        <v>0</v>
      </c>
    </row>
    <row r="1898" spans="1:14" x14ac:dyDescent="0.25">
      <c r="A1898" t="s">
        <v>1951</v>
      </c>
      <c r="B1898" t="s">
        <v>38</v>
      </c>
      <c r="C1898" t="s">
        <v>22</v>
      </c>
      <c r="D1898" t="s">
        <v>23</v>
      </c>
      <c r="E1898" t="s">
        <v>39</v>
      </c>
      <c r="F1898" t="s">
        <v>46</v>
      </c>
      <c r="G1898">
        <v>29.5</v>
      </c>
      <c r="H1898">
        <v>0</v>
      </c>
      <c r="I1898">
        <v>29.5</v>
      </c>
      <c r="J1898" s="1">
        <v>45875</v>
      </c>
      <c r="K1898">
        <v>36</v>
      </c>
      <c r="L1898">
        <v>2.6</v>
      </c>
      <c r="M1898" t="b">
        <v>0</v>
      </c>
    </row>
    <row r="1899" spans="1:14" x14ac:dyDescent="0.25">
      <c r="A1899" t="s">
        <v>1952</v>
      </c>
      <c r="B1899" t="s">
        <v>15</v>
      </c>
      <c r="C1899" t="s">
        <v>32</v>
      </c>
      <c r="D1899" t="s">
        <v>17</v>
      </c>
      <c r="E1899" t="s">
        <v>39</v>
      </c>
      <c r="F1899" t="s">
        <v>40</v>
      </c>
      <c r="G1899">
        <v>224.47</v>
      </c>
      <c r="H1899">
        <v>2.7</v>
      </c>
      <c r="I1899">
        <v>218.41</v>
      </c>
      <c r="J1899" s="1">
        <v>45684</v>
      </c>
      <c r="K1899">
        <v>15</v>
      </c>
      <c r="L1899">
        <v>3.5</v>
      </c>
      <c r="M1899" t="b">
        <v>0</v>
      </c>
    </row>
    <row r="1900" spans="1:14" x14ac:dyDescent="0.25">
      <c r="A1900" t="s">
        <v>1953</v>
      </c>
      <c r="B1900" t="s">
        <v>38</v>
      </c>
      <c r="C1900" t="s">
        <v>75</v>
      </c>
      <c r="D1900" t="s">
        <v>62</v>
      </c>
      <c r="E1900" t="s">
        <v>39</v>
      </c>
      <c r="F1900" t="s">
        <v>40</v>
      </c>
      <c r="G1900">
        <v>101.45</v>
      </c>
      <c r="H1900">
        <v>7.8</v>
      </c>
      <c r="I1900">
        <v>93.54</v>
      </c>
      <c r="J1900" s="1">
        <v>45875</v>
      </c>
      <c r="K1900">
        <v>4</v>
      </c>
      <c r="L1900">
        <v>1.1000000000000001</v>
      </c>
      <c r="M1900" t="b">
        <v>0</v>
      </c>
    </row>
    <row r="1901" spans="1:14" x14ac:dyDescent="0.25">
      <c r="A1901" t="s">
        <v>1954</v>
      </c>
      <c r="B1901" t="s">
        <v>30</v>
      </c>
      <c r="C1901" t="s">
        <v>32</v>
      </c>
      <c r="D1901" t="s">
        <v>17</v>
      </c>
      <c r="E1901" t="s">
        <v>49</v>
      </c>
      <c r="F1901" t="s">
        <v>19</v>
      </c>
      <c r="G1901">
        <v>84.65</v>
      </c>
      <c r="H1901">
        <v>0</v>
      </c>
      <c r="I1901">
        <v>84.65</v>
      </c>
      <c r="J1901" s="1">
        <v>45864</v>
      </c>
      <c r="K1901">
        <v>49</v>
      </c>
      <c r="L1901">
        <v>3.6</v>
      </c>
      <c r="M1901" t="b">
        <v>0</v>
      </c>
    </row>
    <row r="1902" spans="1:14" x14ac:dyDescent="0.25">
      <c r="A1902" t="s">
        <v>1955</v>
      </c>
      <c r="B1902" t="s">
        <v>15</v>
      </c>
      <c r="C1902" t="s">
        <v>53</v>
      </c>
      <c r="D1902" t="s">
        <v>62</v>
      </c>
      <c r="E1902" t="s">
        <v>39</v>
      </c>
      <c r="F1902" t="s">
        <v>56</v>
      </c>
      <c r="G1902">
        <v>155.85</v>
      </c>
      <c r="H1902">
        <v>0</v>
      </c>
      <c r="I1902">
        <v>155.85</v>
      </c>
      <c r="J1902" s="1">
        <v>45875</v>
      </c>
      <c r="K1902">
        <v>38</v>
      </c>
      <c r="M1902" t="b">
        <v>0</v>
      </c>
    </row>
    <row r="1903" spans="1:14" x14ac:dyDescent="0.25">
      <c r="A1903" t="s">
        <v>1956</v>
      </c>
      <c r="B1903" t="s">
        <v>21</v>
      </c>
      <c r="C1903" t="s">
        <v>16</v>
      </c>
      <c r="D1903" t="s">
        <v>23</v>
      </c>
      <c r="E1903" t="s">
        <v>18</v>
      </c>
      <c r="F1903" t="s">
        <v>44</v>
      </c>
      <c r="G1903">
        <v>89.62</v>
      </c>
      <c r="H1903">
        <v>0</v>
      </c>
      <c r="I1903">
        <v>89.62</v>
      </c>
      <c r="J1903" s="1">
        <v>45875</v>
      </c>
      <c r="K1903">
        <v>0</v>
      </c>
      <c r="L1903">
        <v>4.5999999999999996</v>
      </c>
      <c r="M1903" t="b">
        <v>1</v>
      </c>
      <c r="N1903" t="s">
        <v>36</v>
      </c>
    </row>
    <row r="1904" spans="1:14" x14ac:dyDescent="0.25">
      <c r="A1904" t="s">
        <v>1957</v>
      </c>
      <c r="B1904" t="s">
        <v>21</v>
      </c>
      <c r="C1904" t="s">
        <v>61</v>
      </c>
      <c r="D1904" t="s">
        <v>62</v>
      </c>
      <c r="E1904" t="s">
        <v>24</v>
      </c>
      <c r="F1904" t="s">
        <v>46</v>
      </c>
      <c r="G1904">
        <v>62.79</v>
      </c>
      <c r="H1904">
        <v>37.700000000000003</v>
      </c>
      <c r="I1904">
        <v>39.119999999999997</v>
      </c>
      <c r="J1904" s="1">
        <v>45875</v>
      </c>
      <c r="K1904">
        <v>5</v>
      </c>
      <c r="L1904">
        <v>2.6</v>
      </c>
      <c r="M1904" t="b">
        <v>0</v>
      </c>
    </row>
    <row r="1905" spans="1:14" x14ac:dyDescent="0.25">
      <c r="A1905" t="s">
        <v>1958</v>
      </c>
      <c r="B1905" t="s">
        <v>38</v>
      </c>
      <c r="C1905" t="s">
        <v>61</v>
      </c>
      <c r="D1905" t="s">
        <v>62</v>
      </c>
      <c r="E1905" t="s">
        <v>18</v>
      </c>
      <c r="F1905" t="s">
        <v>56</v>
      </c>
      <c r="G1905">
        <v>84.72</v>
      </c>
      <c r="H1905">
        <v>24.2</v>
      </c>
      <c r="I1905">
        <v>64.22</v>
      </c>
      <c r="J1905" s="1">
        <v>45875</v>
      </c>
      <c r="K1905">
        <v>44</v>
      </c>
      <c r="M1905" t="b">
        <v>1</v>
      </c>
      <c r="N1905" t="s">
        <v>36</v>
      </c>
    </row>
    <row r="1906" spans="1:14" x14ac:dyDescent="0.25">
      <c r="A1906" t="s">
        <v>1959</v>
      </c>
      <c r="B1906" t="s">
        <v>21</v>
      </c>
      <c r="C1906" t="s">
        <v>43</v>
      </c>
      <c r="D1906" t="s">
        <v>34</v>
      </c>
      <c r="E1906" t="s">
        <v>18</v>
      </c>
      <c r="F1906" t="s">
        <v>25</v>
      </c>
      <c r="G1906">
        <v>50.9</v>
      </c>
      <c r="H1906">
        <v>0</v>
      </c>
      <c r="I1906">
        <v>50.9</v>
      </c>
      <c r="J1906" s="1">
        <v>45875</v>
      </c>
      <c r="K1906">
        <v>1</v>
      </c>
      <c r="L1906">
        <v>1.8</v>
      </c>
      <c r="M1906" t="b">
        <v>0</v>
      </c>
    </row>
    <row r="1907" spans="1:14" x14ac:dyDescent="0.25">
      <c r="A1907" t="s">
        <v>1960</v>
      </c>
      <c r="B1907" t="s">
        <v>27</v>
      </c>
      <c r="C1907" t="s">
        <v>16</v>
      </c>
      <c r="D1907" t="s">
        <v>23</v>
      </c>
      <c r="F1907" t="s">
        <v>25</v>
      </c>
      <c r="G1907">
        <v>31.23</v>
      </c>
      <c r="H1907">
        <v>0</v>
      </c>
      <c r="I1907">
        <v>31.23</v>
      </c>
      <c r="J1907" s="1">
        <v>45875</v>
      </c>
      <c r="K1907">
        <v>25</v>
      </c>
      <c r="L1907">
        <v>2.8</v>
      </c>
      <c r="M1907" t="b">
        <v>0</v>
      </c>
    </row>
    <row r="1908" spans="1:14" x14ac:dyDescent="0.25">
      <c r="A1908" t="s">
        <v>1961</v>
      </c>
      <c r="B1908" t="s">
        <v>21</v>
      </c>
      <c r="C1908" t="s">
        <v>16</v>
      </c>
      <c r="D1908" t="s">
        <v>17</v>
      </c>
      <c r="E1908" t="s">
        <v>49</v>
      </c>
      <c r="F1908" t="s">
        <v>19</v>
      </c>
      <c r="G1908">
        <v>105.1</v>
      </c>
      <c r="H1908">
        <v>0</v>
      </c>
      <c r="I1908">
        <v>105.1</v>
      </c>
      <c r="J1908" s="1">
        <v>45532</v>
      </c>
      <c r="K1908">
        <v>39</v>
      </c>
      <c r="L1908">
        <v>4.4000000000000004</v>
      </c>
      <c r="M1908" t="b">
        <v>0</v>
      </c>
    </row>
    <row r="1909" spans="1:14" x14ac:dyDescent="0.25">
      <c r="A1909" t="s">
        <v>1962</v>
      </c>
      <c r="B1909" t="s">
        <v>42</v>
      </c>
      <c r="C1909" t="s">
        <v>75</v>
      </c>
      <c r="D1909" t="s">
        <v>62</v>
      </c>
      <c r="E1909" t="s">
        <v>55</v>
      </c>
      <c r="F1909" t="s">
        <v>70</v>
      </c>
      <c r="G1909">
        <v>160.38</v>
      </c>
      <c r="H1909">
        <v>0</v>
      </c>
      <c r="I1909">
        <v>160.38</v>
      </c>
      <c r="J1909" s="1">
        <v>45875</v>
      </c>
      <c r="K1909">
        <v>27</v>
      </c>
      <c r="L1909">
        <v>2.7</v>
      </c>
      <c r="M1909" t="b">
        <v>1</v>
      </c>
      <c r="N1909" t="s">
        <v>125</v>
      </c>
    </row>
    <row r="1910" spans="1:14" x14ac:dyDescent="0.25">
      <c r="A1910" t="s">
        <v>1963</v>
      </c>
      <c r="B1910" t="s">
        <v>38</v>
      </c>
      <c r="C1910" t="s">
        <v>22</v>
      </c>
      <c r="D1910" t="s">
        <v>17</v>
      </c>
      <c r="E1910" t="s">
        <v>55</v>
      </c>
      <c r="F1910" t="s">
        <v>25</v>
      </c>
      <c r="G1910">
        <v>96.68</v>
      </c>
      <c r="H1910">
        <v>26</v>
      </c>
      <c r="I1910">
        <v>71.540000000000006</v>
      </c>
      <c r="J1910" s="1">
        <v>45556</v>
      </c>
      <c r="K1910">
        <v>16</v>
      </c>
      <c r="M1910" t="b">
        <v>0</v>
      </c>
    </row>
    <row r="1911" spans="1:14" x14ac:dyDescent="0.25">
      <c r="A1911" t="s">
        <v>1964</v>
      </c>
      <c r="B1911" t="s">
        <v>27</v>
      </c>
      <c r="C1911" t="s">
        <v>75</v>
      </c>
      <c r="D1911" t="s">
        <v>62</v>
      </c>
      <c r="F1911" t="s">
        <v>56</v>
      </c>
      <c r="G1911">
        <v>16.64</v>
      </c>
      <c r="H1911">
        <v>0</v>
      </c>
      <c r="I1911">
        <v>16.64</v>
      </c>
      <c r="J1911" s="1">
        <v>45875</v>
      </c>
      <c r="K1911">
        <v>8</v>
      </c>
      <c r="L1911">
        <v>4.8</v>
      </c>
      <c r="M1911" t="b">
        <v>0</v>
      </c>
    </row>
    <row r="1912" spans="1:14" x14ac:dyDescent="0.25">
      <c r="A1912" t="s">
        <v>1965</v>
      </c>
      <c r="B1912" t="s">
        <v>15</v>
      </c>
      <c r="C1912" t="s">
        <v>53</v>
      </c>
      <c r="D1912" t="s">
        <v>34</v>
      </c>
      <c r="E1912" t="s">
        <v>39</v>
      </c>
      <c r="F1912" t="s">
        <v>56</v>
      </c>
      <c r="G1912">
        <v>160.05000000000001</v>
      </c>
      <c r="H1912">
        <v>53.7</v>
      </c>
      <c r="I1912">
        <v>74.099999999999994</v>
      </c>
      <c r="J1912" s="1">
        <v>45875</v>
      </c>
      <c r="K1912">
        <v>2</v>
      </c>
      <c r="L1912">
        <v>3.2</v>
      </c>
      <c r="M1912" t="b">
        <v>1</v>
      </c>
      <c r="N1912" t="s">
        <v>83</v>
      </c>
    </row>
    <row r="1913" spans="1:14" x14ac:dyDescent="0.25">
      <c r="A1913" t="s">
        <v>1966</v>
      </c>
      <c r="B1913" t="s">
        <v>27</v>
      </c>
      <c r="C1913" t="s">
        <v>43</v>
      </c>
      <c r="D1913" t="s">
        <v>34</v>
      </c>
      <c r="F1913" t="s">
        <v>40</v>
      </c>
      <c r="G1913">
        <v>23.56</v>
      </c>
      <c r="H1913">
        <v>0</v>
      </c>
      <c r="I1913">
        <v>23.56</v>
      </c>
      <c r="J1913" s="1">
        <v>45875</v>
      </c>
      <c r="K1913">
        <v>16</v>
      </c>
      <c r="L1913">
        <v>4.4000000000000004</v>
      </c>
      <c r="M1913" t="b">
        <v>0</v>
      </c>
    </row>
    <row r="1914" spans="1:14" x14ac:dyDescent="0.25">
      <c r="A1914" t="s">
        <v>1967</v>
      </c>
      <c r="B1914" t="s">
        <v>30</v>
      </c>
      <c r="C1914" t="s">
        <v>16</v>
      </c>
      <c r="D1914" t="s">
        <v>34</v>
      </c>
      <c r="E1914" t="s">
        <v>55</v>
      </c>
      <c r="F1914" t="s">
        <v>28</v>
      </c>
      <c r="G1914">
        <v>68.37</v>
      </c>
      <c r="H1914">
        <v>24.2</v>
      </c>
      <c r="I1914">
        <v>51.82</v>
      </c>
      <c r="J1914" s="1">
        <v>45875</v>
      </c>
      <c r="K1914">
        <v>8</v>
      </c>
      <c r="L1914">
        <v>3.7</v>
      </c>
      <c r="M1914" t="b">
        <v>0</v>
      </c>
    </row>
    <row r="1915" spans="1:14" x14ac:dyDescent="0.25">
      <c r="A1915" t="s">
        <v>1968</v>
      </c>
      <c r="B1915" t="s">
        <v>15</v>
      </c>
      <c r="C1915" t="s">
        <v>43</v>
      </c>
      <c r="D1915" t="s">
        <v>34</v>
      </c>
      <c r="E1915" t="s">
        <v>39</v>
      </c>
      <c r="F1915" t="s">
        <v>46</v>
      </c>
      <c r="G1915">
        <v>184.24</v>
      </c>
      <c r="H1915">
        <v>0</v>
      </c>
      <c r="I1915">
        <v>184.24</v>
      </c>
      <c r="J1915" s="1">
        <v>45875</v>
      </c>
      <c r="K1915">
        <v>49</v>
      </c>
      <c r="L1915">
        <v>4</v>
      </c>
      <c r="M1915" t="b">
        <v>0</v>
      </c>
    </row>
    <row r="1916" spans="1:14" x14ac:dyDescent="0.25">
      <c r="A1916" t="s">
        <v>1969</v>
      </c>
      <c r="B1916" t="s">
        <v>30</v>
      </c>
      <c r="C1916" t="s">
        <v>32</v>
      </c>
      <c r="D1916" t="s">
        <v>17</v>
      </c>
      <c r="E1916" t="s">
        <v>55</v>
      </c>
      <c r="F1916" t="s">
        <v>46</v>
      </c>
      <c r="G1916">
        <v>94.83</v>
      </c>
      <c r="H1916">
        <v>0</v>
      </c>
      <c r="I1916">
        <v>94.83</v>
      </c>
      <c r="J1916" s="1">
        <v>45543</v>
      </c>
      <c r="K1916">
        <v>23</v>
      </c>
      <c r="L1916">
        <v>2.9</v>
      </c>
      <c r="M1916" t="b">
        <v>0</v>
      </c>
    </row>
    <row r="1917" spans="1:14" x14ac:dyDescent="0.25">
      <c r="A1917" t="s">
        <v>1970</v>
      </c>
      <c r="B1917" t="s">
        <v>21</v>
      </c>
      <c r="C1917" t="s">
        <v>53</v>
      </c>
      <c r="D1917" t="s">
        <v>62</v>
      </c>
      <c r="E1917" t="s">
        <v>58</v>
      </c>
      <c r="F1917" t="s">
        <v>25</v>
      </c>
      <c r="G1917">
        <v>115.58</v>
      </c>
      <c r="H1917">
        <v>0</v>
      </c>
      <c r="I1917">
        <v>115.58</v>
      </c>
      <c r="J1917" s="1">
        <v>45875</v>
      </c>
      <c r="K1917">
        <v>37</v>
      </c>
      <c r="L1917">
        <v>2.2000000000000002</v>
      </c>
      <c r="M1917" t="b">
        <v>0</v>
      </c>
    </row>
    <row r="1918" spans="1:14" x14ac:dyDescent="0.25">
      <c r="A1918" t="s">
        <v>1971</v>
      </c>
      <c r="B1918" t="s">
        <v>15</v>
      </c>
      <c r="C1918" t="s">
        <v>16</v>
      </c>
      <c r="D1918" t="s">
        <v>23</v>
      </c>
      <c r="E1918" t="s">
        <v>49</v>
      </c>
      <c r="F1918" t="s">
        <v>46</v>
      </c>
      <c r="G1918">
        <v>116.29</v>
      </c>
      <c r="H1918">
        <v>58.7</v>
      </c>
      <c r="I1918">
        <v>48.03</v>
      </c>
      <c r="J1918" s="1">
        <v>45875</v>
      </c>
      <c r="K1918">
        <v>34</v>
      </c>
      <c r="L1918">
        <v>3.3</v>
      </c>
      <c r="M1918" t="b">
        <v>0</v>
      </c>
    </row>
    <row r="1919" spans="1:14" x14ac:dyDescent="0.25">
      <c r="A1919" t="s">
        <v>1972</v>
      </c>
      <c r="B1919" t="s">
        <v>27</v>
      </c>
      <c r="C1919" t="s">
        <v>32</v>
      </c>
      <c r="D1919" t="s">
        <v>62</v>
      </c>
      <c r="F1919" t="s">
        <v>46</v>
      </c>
      <c r="G1919">
        <v>24.55</v>
      </c>
      <c r="H1919">
        <v>0</v>
      </c>
      <c r="I1919">
        <v>24.55</v>
      </c>
      <c r="J1919" s="1">
        <v>45875</v>
      </c>
      <c r="K1919">
        <v>43</v>
      </c>
      <c r="L1919">
        <v>2.2999999999999998</v>
      </c>
      <c r="M1919" t="b">
        <v>0</v>
      </c>
    </row>
    <row r="1920" spans="1:14" x14ac:dyDescent="0.25">
      <c r="A1920" t="s">
        <v>1973</v>
      </c>
      <c r="B1920" t="s">
        <v>42</v>
      </c>
      <c r="C1920" t="s">
        <v>16</v>
      </c>
      <c r="D1920" t="s">
        <v>17</v>
      </c>
      <c r="F1920" t="s">
        <v>64</v>
      </c>
      <c r="G1920">
        <v>81.56</v>
      </c>
      <c r="H1920">
        <v>0</v>
      </c>
      <c r="I1920">
        <v>81.56</v>
      </c>
      <c r="J1920" s="1">
        <v>45666</v>
      </c>
      <c r="K1920">
        <v>28</v>
      </c>
      <c r="L1920">
        <v>3</v>
      </c>
      <c r="M1920" t="b">
        <v>0</v>
      </c>
    </row>
    <row r="1921" spans="1:14" x14ac:dyDescent="0.25">
      <c r="A1921" t="s">
        <v>1974</v>
      </c>
      <c r="B1921" t="s">
        <v>15</v>
      </c>
      <c r="C1921" t="s">
        <v>32</v>
      </c>
      <c r="D1921" t="s">
        <v>17</v>
      </c>
      <c r="E1921" t="s">
        <v>58</v>
      </c>
      <c r="F1921" t="s">
        <v>35</v>
      </c>
      <c r="G1921">
        <v>234.63</v>
      </c>
      <c r="H1921">
        <v>0</v>
      </c>
      <c r="I1921">
        <v>234.63</v>
      </c>
      <c r="J1921" s="1">
        <v>45695</v>
      </c>
      <c r="K1921">
        <v>30</v>
      </c>
      <c r="L1921">
        <v>4.3</v>
      </c>
      <c r="M1921" t="b">
        <v>0</v>
      </c>
    </row>
    <row r="1922" spans="1:14" x14ac:dyDescent="0.25">
      <c r="A1922" t="s">
        <v>1975</v>
      </c>
      <c r="B1922" t="s">
        <v>27</v>
      </c>
      <c r="C1922" t="s">
        <v>16</v>
      </c>
      <c r="D1922" t="s">
        <v>34</v>
      </c>
      <c r="F1922" t="s">
        <v>35</v>
      </c>
      <c r="G1922">
        <v>27.6</v>
      </c>
      <c r="H1922">
        <v>0</v>
      </c>
      <c r="I1922">
        <v>27.6</v>
      </c>
      <c r="J1922" s="1">
        <v>45875</v>
      </c>
      <c r="K1922">
        <v>33</v>
      </c>
      <c r="L1922">
        <v>2.8</v>
      </c>
      <c r="M1922" t="b">
        <v>0</v>
      </c>
    </row>
    <row r="1923" spans="1:14" x14ac:dyDescent="0.25">
      <c r="A1923" t="s">
        <v>1976</v>
      </c>
      <c r="B1923" t="s">
        <v>21</v>
      </c>
      <c r="C1923" t="s">
        <v>53</v>
      </c>
      <c r="D1923" t="s">
        <v>34</v>
      </c>
      <c r="E1923" t="s">
        <v>55</v>
      </c>
      <c r="F1923" t="s">
        <v>40</v>
      </c>
      <c r="G1923">
        <v>114.76</v>
      </c>
      <c r="H1923">
        <v>24.3</v>
      </c>
      <c r="I1923">
        <v>86.87</v>
      </c>
      <c r="J1923" s="1">
        <v>45875</v>
      </c>
      <c r="K1923">
        <v>10</v>
      </c>
      <c r="L1923">
        <v>3.4</v>
      </c>
      <c r="M1923" t="b">
        <v>0</v>
      </c>
    </row>
    <row r="1924" spans="1:14" x14ac:dyDescent="0.25">
      <c r="A1924" t="s">
        <v>1977</v>
      </c>
      <c r="B1924" t="s">
        <v>30</v>
      </c>
      <c r="C1924" t="s">
        <v>16</v>
      </c>
      <c r="D1924" t="s">
        <v>17</v>
      </c>
      <c r="E1924" t="s">
        <v>39</v>
      </c>
      <c r="F1924" t="s">
        <v>46</v>
      </c>
      <c r="G1924">
        <v>133.52000000000001</v>
      </c>
      <c r="H1924">
        <v>0</v>
      </c>
      <c r="I1924">
        <v>133.52000000000001</v>
      </c>
      <c r="J1924" s="1">
        <v>45569</v>
      </c>
      <c r="K1924">
        <v>32</v>
      </c>
      <c r="M1924" t="b">
        <v>0</v>
      </c>
    </row>
    <row r="1925" spans="1:14" x14ac:dyDescent="0.25">
      <c r="A1925" t="s">
        <v>1978</v>
      </c>
      <c r="B1925" t="s">
        <v>21</v>
      </c>
      <c r="C1925" t="s">
        <v>32</v>
      </c>
      <c r="D1925" t="s">
        <v>23</v>
      </c>
      <c r="E1925" t="s">
        <v>55</v>
      </c>
      <c r="F1925" t="s">
        <v>44</v>
      </c>
      <c r="G1925">
        <v>64.34</v>
      </c>
      <c r="H1925">
        <v>59.3</v>
      </c>
      <c r="I1925">
        <v>26.19</v>
      </c>
      <c r="J1925" s="1">
        <v>45875</v>
      </c>
      <c r="K1925">
        <v>34</v>
      </c>
      <c r="L1925">
        <v>1.2</v>
      </c>
      <c r="M1925" t="b">
        <v>0</v>
      </c>
    </row>
    <row r="1926" spans="1:14" x14ac:dyDescent="0.25">
      <c r="A1926" t="s">
        <v>1979</v>
      </c>
      <c r="B1926" t="s">
        <v>38</v>
      </c>
      <c r="C1926" t="s">
        <v>75</v>
      </c>
      <c r="D1926" t="s">
        <v>34</v>
      </c>
      <c r="E1926" t="s">
        <v>24</v>
      </c>
      <c r="F1926" t="s">
        <v>66</v>
      </c>
      <c r="G1926">
        <v>117.81</v>
      </c>
      <c r="H1926">
        <v>0</v>
      </c>
      <c r="I1926">
        <v>117.81</v>
      </c>
      <c r="J1926" s="1">
        <v>45875</v>
      </c>
      <c r="K1926">
        <v>22</v>
      </c>
      <c r="L1926">
        <v>4.9000000000000004</v>
      </c>
      <c r="M1926" t="b">
        <v>0</v>
      </c>
    </row>
    <row r="1927" spans="1:14" x14ac:dyDescent="0.25">
      <c r="A1927" t="s">
        <v>1980</v>
      </c>
      <c r="B1927" t="s">
        <v>27</v>
      </c>
      <c r="C1927" t="s">
        <v>53</v>
      </c>
      <c r="D1927" t="s">
        <v>17</v>
      </c>
      <c r="F1927" t="s">
        <v>44</v>
      </c>
      <c r="G1927">
        <v>29.19</v>
      </c>
      <c r="H1927">
        <v>0</v>
      </c>
      <c r="I1927">
        <v>29.19</v>
      </c>
      <c r="J1927" s="1">
        <v>45731</v>
      </c>
      <c r="K1927">
        <v>20</v>
      </c>
      <c r="L1927">
        <v>1.9</v>
      </c>
      <c r="M1927" t="b">
        <v>0</v>
      </c>
    </row>
    <row r="1928" spans="1:14" x14ac:dyDescent="0.25">
      <c r="A1928" t="s">
        <v>1981</v>
      </c>
      <c r="B1928" t="s">
        <v>21</v>
      </c>
      <c r="C1928" t="s">
        <v>22</v>
      </c>
      <c r="D1928" t="s">
        <v>34</v>
      </c>
      <c r="E1928" t="s">
        <v>58</v>
      </c>
      <c r="F1928" t="s">
        <v>66</v>
      </c>
      <c r="G1928">
        <v>34.72</v>
      </c>
      <c r="H1928">
        <v>0</v>
      </c>
      <c r="I1928">
        <v>34.72</v>
      </c>
      <c r="J1928" s="1">
        <v>45875</v>
      </c>
      <c r="K1928">
        <v>7</v>
      </c>
      <c r="M1928" t="b">
        <v>0</v>
      </c>
    </row>
    <row r="1929" spans="1:14" x14ac:dyDescent="0.25">
      <c r="A1929" t="s">
        <v>1982</v>
      </c>
      <c r="B1929" t="s">
        <v>42</v>
      </c>
      <c r="C1929" t="s">
        <v>61</v>
      </c>
      <c r="D1929" t="s">
        <v>34</v>
      </c>
      <c r="E1929" t="s">
        <v>18</v>
      </c>
      <c r="F1929" t="s">
        <v>40</v>
      </c>
      <c r="G1929">
        <v>107.49</v>
      </c>
      <c r="H1929">
        <v>0</v>
      </c>
      <c r="I1929">
        <v>107.49</v>
      </c>
      <c r="J1929" s="1">
        <v>45875</v>
      </c>
      <c r="K1929">
        <v>49</v>
      </c>
      <c r="L1929">
        <v>3.3</v>
      </c>
      <c r="M1929" t="b">
        <v>0</v>
      </c>
    </row>
    <row r="1930" spans="1:14" x14ac:dyDescent="0.25">
      <c r="A1930" t="s">
        <v>1983</v>
      </c>
      <c r="B1930" t="s">
        <v>38</v>
      </c>
      <c r="C1930" t="s">
        <v>22</v>
      </c>
      <c r="D1930" t="s">
        <v>23</v>
      </c>
      <c r="E1930" t="s">
        <v>49</v>
      </c>
      <c r="F1930" t="s">
        <v>44</v>
      </c>
      <c r="G1930">
        <v>38.700000000000003</v>
      </c>
      <c r="H1930">
        <v>0</v>
      </c>
      <c r="I1930">
        <v>38.700000000000003</v>
      </c>
      <c r="J1930" s="1">
        <v>45875</v>
      </c>
      <c r="K1930">
        <v>11</v>
      </c>
      <c r="L1930">
        <v>4</v>
      </c>
      <c r="M1930" t="b">
        <v>0</v>
      </c>
    </row>
    <row r="1931" spans="1:14" x14ac:dyDescent="0.25">
      <c r="A1931" t="s">
        <v>1984</v>
      </c>
      <c r="B1931" t="s">
        <v>15</v>
      </c>
      <c r="C1931" t="s">
        <v>53</v>
      </c>
      <c r="D1931" t="s">
        <v>17</v>
      </c>
      <c r="E1931" t="s">
        <v>55</v>
      </c>
      <c r="F1931" t="s">
        <v>70</v>
      </c>
      <c r="G1931">
        <v>152.63999999999999</v>
      </c>
      <c r="H1931">
        <v>0</v>
      </c>
      <c r="I1931">
        <v>152.63999999999999</v>
      </c>
      <c r="J1931" s="1">
        <v>45752</v>
      </c>
      <c r="K1931">
        <v>19</v>
      </c>
      <c r="L1931">
        <v>4.0999999999999996</v>
      </c>
      <c r="M1931" t="b">
        <v>0</v>
      </c>
    </row>
    <row r="1932" spans="1:14" x14ac:dyDescent="0.25">
      <c r="A1932" t="s">
        <v>1985</v>
      </c>
      <c r="B1932" t="s">
        <v>15</v>
      </c>
      <c r="C1932" t="s">
        <v>43</v>
      </c>
      <c r="D1932" t="s">
        <v>34</v>
      </c>
      <c r="E1932" t="s">
        <v>55</v>
      </c>
      <c r="F1932" t="s">
        <v>66</v>
      </c>
      <c r="G1932">
        <v>181.66</v>
      </c>
      <c r="H1932">
        <v>56.4</v>
      </c>
      <c r="I1932">
        <v>79.2</v>
      </c>
      <c r="J1932" s="1">
        <v>45875</v>
      </c>
      <c r="K1932">
        <v>43</v>
      </c>
      <c r="L1932">
        <v>1.2</v>
      </c>
      <c r="M1932" t="b">
        <v>0</v>
      </c>
    </row>
    <row r="1933" spans="1:14" x14ac:dyDescent="0.25">
      <c r="A1933" t="s">
        <v>1986</v>
      </c>
      <c r="B1933" t="s">
        <v>21</v>
      </c>
      <c r="C1933" t="s">
        <v>22</v>
      </c>
      <c r="D1933" t="s">
        <v>17</v>
      </c>
      <c r="E1933" t="s">
        <v>18</v>
      </c>
      <c r="F1933" t="s">
        <v>46</v>
      </c>
      <c r="G1933">
        <v>114.8</v>
      </c>
      <c r="H1933">
        <v>17.399999999999999</v>
      </c>
      <c r="I1933">
        <v>94.82</v>
      </c>
      <c r="J1933" s="1">
        <v>45794</v>
      </c>
      <c r="K1933">
        <v>4</v>
      </c>
      <c r="L1933">
        <v>1.8</v>
      </c>
      <c r="M1933" t="b">
        <v>0</v>
      </c>
    </row>
    <row r="1934" spans="1:14" x14ac:dyDescent="0.25">
      <c r="A1934" t="s">
        <v>1987</v>
      </c>
      <c r="B1934" t="s">
        <v>30</v>
      </c>
      <c r="C1934" t="s">
        <v>22</v>
      </c>
      <c r="D1934" t="s">
        <v>23</v>
      </c>
      <c r="E1934" t="s">
        <v>49</v>
      </c>
      <c r="F1934" t="s">
        <v>46</v>
      </c>
      <c r="G1934">
        <v>102.95</v>
      </c>
      <c r="H1934">
        <v>0</v>
      </c>
      <c r="I1934">
        <v>102.95</v>
      </c>
      <c r="J1934" s="1">
        <v>45875</v>
      </c>
      <c r="K1934">
        <v>38</v>
      </c>
      <c r="L1934">
        <v>3.8</v>
      </c>
      <c r="M1934" t="b">
        <v>0</v>
      </c>
    </row>
    <row r="1935" spans="1:14" x14ac:dyDescent="0.25">
      <c r="A1935" t="s">
        <v>1988</v>
      </c>
      <c r="B1935" t="s">
        <v>21</v>
      </c>
      <c r="C1935" t="s">
        <v>75</v>
      </c>
      <c r="D1935" t="s">
        <v>23</v>
      </c>
      <c r="E1935" t="s">
        <v>49</v>
      </c>
      <c r="F1935" t="s">
        <v>46</v>
      </c>
      <c r="G1935">
        <v>86.82</v>
      </c>
      <c r="H1935">
        <v>0</v>
      </c>
      <c r="I1935">
        <v>86.82</v>
      </c>
      <c r="J1935" s="1">
        <v>45875</v>
      </c>
      <c r="K1935">
        <v>0</v>
      </c>
      <c r="L1935">
        <v>4.8</v>
      </c>
      <c r="M1935" t="b">
        <v>0</v>
      </c>
    </row>
    <row r="1936" spans="1:14" x14ac:dyDescent="0.25">
      <c r="A1936" t="s">
        <v>1989</v>
      </c>
      <c r="B1936" t="s">
        <v>15</v>
      </c>
      <c r="C1936" t="s">
        <v>48</v>
      </c>
      <c r="D1936" t="s">
        <v>62</v>
      </c>
      <c r="E1936" t="s">
        <v>24</v>
      </c>
      <c r="F1936" t="s">
        <v>19</v>
      </c>
      <c r="G1936">
        <v>83.68</v>
      </c>
      <c r="H1936">
        <v>28.1</v>
      </c>
      <c r="I1936">
        <v>60.17</v>
      </c>
      <c r="J1936" s="1">
        <v>45875</v>
      </c>
      <c r="K1936">
        <v>46</v>
      </c>
      <c r="M1936" t="b">
        <v>1</v>
      </c>
      <c r="N1936" t="s">
        <v>83</v>
      </c>
    </row>
    <row r="1937" spans="1:14" x14ac:dyDescent="0.25">
      <c r="A1937" t="s">
        <v>1990</v>
      </c>
      <c r="B1937" t="s">
        <v>15</v>
      </c>
      <c r="C1937" t="s">
        <v>32</v>
      </c>
      <c r="D1937" t="s">
        <v>34</v>
      </c>
      <c r="E1937" t="s">
        <v>39</v>
      </c>
      <c r="F1937" t="s">
        <v>25</v>
      </c>
      <c r="G1937">
        <v>167.31</v>
      </c>
      <c r="H1937">
        <v>50.7</v>
      </c>
      <c r="I1937">
        <v>82.48</v>
      </c>
      <c r="J1937" s="1">
        <v>45875</v>
      </c>
      <c r="K1937">
        <v>9</v>
      </c>
      <c r="L1937">
        <v>3.2</v>
      </c>
      <c r="M1937" t="b">
        <v>0</v>
      </c>
    </row>
    <row r="1938" spans="1:14" x14ac:dyDescent="0.25">
      <c r="A1938" t="s">
        <v>1991</v>
      </c>
      <c r="B1938" t="s">
        <v>38</v>
      </c>
      <c r="C1938" t="s">
        <v>48</v>
      </c>
      <c r="D1938" t="s">
        <v>34</v>
      </c>
      <c r="E1938" t="s">
        <v>55</v>
      </c>
      <c r="F1938" t="s">
        <v>40</v>
      </c>
      <c r="G1938">
        <v>114.64</v>
      </c>
      <c r="H1938">
        <v>5.0999999999999996</v>
      </c>
      <c r="I1938">
        <v>108.79</v>
      </c>
      <c r="J1938" s="1">
        <v>45875</v>
      </c>
      <c r="K1938">
        <v>21</v>
      </c>
      <c r="L1938">
        <v>2</v>
      </c>
      <c r="M1938" t="b">
        <v>0</v>
      </c>
    </row>
    <row r="1939" spans="1:14" x14ac:dyDescent="0.25">
      <c r="A1939" t="s">
        <v>1992</v>
      </c>
      <c r="B1939" t="s">
        <v>15</v>
      </c>
      <c r="C1939" t="s">
        <v>48</v>
      </c>
      <c r="D1939" t="s">
        <v>17</v>
      </c>
      <c r="E1939" t="s">
        <v>49</v>
      </c>
      <c r="F1939" t="s">
        <v>35</v>
      </c>
      <c r="G1939">
        <v>109.53</v>
      </c>
      <c r="H1939">
        <v>29.3</v>
      </c>
      <c r="I1939">
        <v>77.44</v>
      </c>
      <c r="J1939" s="1">
        <v>45598</v>
      </c>
      <c r="K1939">
        <v>35</v>
      </c>
      <c r="L1939">
        <v>1.3</v>
      </c>
      <c r="M1939" t="b">
        <v>0</v>
      </c>
    </row>
    <row r="1940" spans="1:14" x14ac:dyDescent="0.25">
      <c r="A1940" t="s">
        <v>1993</v>
      </c>
      <c r="B1940" t="s">
        <v>27</v>
      </c>
      <c r="C1940" t="s">
        <v>53</v>
      </c>
      <c r="D1940" t="s">
        <v>62</v>
      </c>
      <c r="F1940" t="s">
        <v>56</v>
      </c>
      <c r="G1940">
        <v>51.02</v>
      </c>
      <c r="H1940">
        <v>57.9</v>
      </c>
      <c r="I1940">
        <v>21.48</v>
      </c>
      <c r="J1940" s="1">
        <v>45875</v>
      </c>
      <c r="K1940">
        <v>36</v>
      </c>
      <c r="M1940" t="b">
        <v>0</v>
      </c>
    </row>
    <row r="1941" spans="1:14" x14ac:dyDescent="0.25">
      <c r="A1941" t="s">
        <v>1994</v>
      </c>
      <c r="B1941" t="s">
        <v>30</v>
      </c>
      <c r="C1941" t="s">
        <v>48</v>
      </c>
      <c r="D1941" t="s">
        <v>34</v>
      </c>
      <c r="E1941" t="s">
        <v>58</v>
      </c>
      <c r="F1941" t="s">
        <v>46</v>
      </c>
      <c r="G1941">
        <v>77.45</v>
      </c>
      <c r="H1941">
        <v>52.8</v>
      </c>
      <c r="I1941">
        <v>36.56</v>
      </c>
      <c r="J1941" s="1">
        <v>45875</v>
      </c>
      <c r="K1941">
        <v>6</v>
      </c>
      <c r="L1941">
        <v>2.7</v>
      </c>
      <c r="M1941" t="b">
        <v>0</v>
      </c>
    </row>
    <row r="1942" spans="1:14" x14ac:dyDescent="0.25">
      <c r="A1942" t="s">
        <v>1995</v>
      </c>
      <c r="B1942" t="s">
        <v>30</v>
      </c>
      <c r="C1942" t="s">
        <v>53</v>
      </c>
      <c r="D1942" t="s">
        <v>34</v>
      </c>
      <c r="E1942" t="s">
        <v>55</v>
      </c>
      <c r="F1942" t="s">
        <v>35</v>
      </c>
      <c r="G1942">
        <v>142.87</v>
      </c>
      <c r="H1942">
        <v>45.4</v>
      </c>
      <c r="I1942">
        <v>78.010000000000005</v>
      </c>
      <c r="J1942" s="1">
        <v>45875</v>
      </c>
      <c r="K1942">
        <v>20</v>
      </c>
      <c r="L1942">
        <v>1.7</v>
      </c>
      <c r="M1942" t="b">
        <v>0</v>
      </c>
    </row>
    <row r="1943" spans="1:14" x14ac:dyDescent="0.25">
      <c r="A1943" t="s">
        <v>1996</v>
      </c>
      <c r="B1943" t="s">
        <v>15</v>
      </c>
      <c r="C1943" t="s">
        <v>32</v>
      </c>
      <c r="D1943" t="s">
        <v>23</v>
      </c>
      <c r="E1943" t="s">
        <v>55</v>
      </c>
      <c r="F1943" t="s">
        <v>35</v>
      </c>
      <c r="G1943">
        <v>138.87</v>
      </c>
      <c r="H1943">
        <v>0</v>
      </c>
      <c r="I1943">
        <v>138.87</v>
      </c>
      <c r="J1943" s="1">
        <v>45875</v>
      </c>
      <c r="K1943">
        <v>37</v>
      </c>
      <c r="L1943">
        <v>3.2</v>
      </c>
      <c r="M1943" t="b">
        <v>0</v>
      </c>
    </row>
    <row r="1944" spans="1:14" x14ac:dyDescent="0.25">
      <c r="A1944" t="s">
        <v>1997</v>
      </c>
      <c r="B1944" t="s">
        <v>30</v>
      </c>
      <c r="C1944" t="s">
        <v>53</v>
      </c>
      <c r="D1944" t="s">
        <v>17</v>
      </c>
      <c r="E1944" t="s">
        <v>39</v>
      </c>
      <c r="F1944" t="s">
        <v>19</v>
      </c>
      <c r="G1944">
        <v>132.82</v>
      </c>
      <c r="H1944">
        <v>0</v>
      </c>
      <c r="I1944">
        <v>132.82</v>
      </c>
      <c r="J1944" s="1">
        <v>45733</v>
      </c>
      <c r="K1944">
        <v>40</v>
      </c>
      <c r="M1944" t="b">
        <v>1</v>
      </c>
      <c r="N1944" t="s">
        <v>115</v>
      </c>
    </row>
    <row r="1945" spans="1:14" x14ac:dyDescent="0.25">
      <c r="A1945" t="s">
        <v>1998</v>
      </c>
      <c r="B1945" t="s">
        <v>30</v>
      </c>
      <c r="C1945" t="s">
        <v>48</v>
      </c>
      <c r="D1945" t="s">
        <v>62</v>
      </c>
      <c r="E1945" t="s">
        <v>24</v>
      </c>
      <c r="F1945" t="s">
        <v>64</v>
      </c>
      <c r="G1945">
        <v>110.54</v>
      </c>
      <c r="H1945">
        <v>0</v>
      </c>
      <c r="I1945">
        <v>110.54</v>
      </c>
      <c r="J1945" s="1">
        <v>45875</v>
      </c>
      <c r="K1945">
        <v>24</v>
      </c>
      <c r="M1945" t="b">
        <v>1</v>
      </c>
      <c r="N1945" t="s">
        <v>73</v>
      </c>
    </row>
    <row r="1946" spans="1:14" x14ac:dyDescent="0.25">
      <c r="A1946" t="s">
        <v>1999</v>
      </c>
      <c r="B1946" t="s">
        <v>38</v>
      </c>
      <c r="C1946" t="s">
        <v>16</v>
      </c>
      <c r="D1946" t="s">
        <v>62</v>
      </c>
      <c r="E1946" t="s">
        <v>18</v>
      </c>
      <c r="F1946" t="s">
        <v>56</v>
      </c>
      <c r="G1946">
        <v>29.07</v>
      </c>
      <c r="H1946">
        <v>0</v>
      </c>
      <c r="I1946">
        <v>29.07</v>
      </c>
      <c r="J1946" s="1">
        <v>45875</v>
      </c>
      <c r="K1946">
        <v>41</v>
      </c>
      <c r="L1946">
        <v>2.8</v>
      </c>
      <c r="M1946" t="b">
        <v>0</v>
      </c>
    </row>
    <row r="1947" spans="1:14" x14ac:dyDescent="0.25">
      <c r="A1947" t="s">
        <v>2000</v>
      </c>
      <c r="B1947" t="s">
        <v>15</v>
      </c>
      <c r="C1947" t="s">
        <v>61</v>
      </c>
      <c r="D1947" t="s">
        <v>62</v>
      </c>
      <c r="E1947" t="s">
        <v>39</v>
      </c>
      <c r="F1947" t="s">
        <v>64</v>
      </c>
      <c r="G1947">
        <v>141.91999999999999</v>
      </c>
      <c r="H1947">
        <v>0</v>
      </c>
      <c r="I1947">
        <v>141.91999999999999</v>
      </c>
      <c r="J1947" s="1">
        <v>45875</v>
      </c>
      <c r="K1947">
        <v>37</v>
      </c>
      <c r="L1947">
        <v>1.7</v>
      </c>
      <c r="M1947" t="b">
        <v>0</v>
      </c>
    </row>
    <row r="1948" spans="1:14" x14ac:dyDescent="0.25">
      <c r="A1948" t="s">
        <v>2001</v>
      </c>
      <c r="B1948" t="s">
        <v>30</v>
      </c>
      <c r="C1948" t="s">
        <v>32</v>
      </c>
      <c r="D1948" t="s">
        <v>62</v>
      </c>
      <c r="E1948" t="s">
        <v>18</v>
      </c>
      <c r="F1948" t="s">
        <v>19</v>
      </c>
      <c r="G1948">
        <v>67.84</v>
      </c>
      <c r="H1948">
        <v>0</v>
      </c>
      <c r="I1948">
        <v>67.84</v>
      </c>
      <c r="J1948" s="1">
        <v>45875</v>
      </c>
      <c r="K1948">
        <v>24</v>
      </c>
      <c r="L1948">
        <v>1.2</v>
      </c>
      <c r="M1948" t="b">
        <v>0</v>
      </c>
    </row>
    <row r="1949" spans="1:14" x14ac:dyDescent="0.25">
      <c r="A1949" t="s">
        <v>2002</v>
      </c>
      <c r="B1949" t="s">
        <v>30</v>
      </c>
      <c r="C1949" t="s">
        <v>43</v>
      </c>
      <c r="D1949" t="s">
        <v>23</v>
      </c>
      <c r="E1949" t="s">
        <v>39</v>
      </c>
      <c r="F1949" t="s">
        <v>70</v>
      </c>
      <c r="G1949">
        <v>143.27000000000001</v>
      </c>
      <c r="H1949">
        <v>0</v>
      </c>
      <c r="I1949">
        <v>143.27000000000001</v>
      </c>
      <c r="J1949" s="1">
        <v>45875</v>
      </c>
      <c r="K1949">
        <v>0</v>
      </c>
      <c r="M1949" t="b">
        <v>0</v>
      </c>
    </row>
    <row r="1950" spans="1:14" x14ac:dyDescent="0.25">
      <c r="A1950" t="s">
        <v>2003</v>
      </c>
      <c r="B1950" t="s">
        <v>27</v>
      </c>
      <c r="C1950" t="s">
        <v>32</v>
      </c>
      <c r="D1950" t="s">
        <v>23</v>
      </c>
      <c r="F1950" t="s">
        <v>70</v>
      </c>
      <c r="G1950">
        <v>20.97</v>
      </c>
      <c r="H1950">
        <v>0</v>
      </c>
      <c r="I1950">
        <v>20.97</v>
      </c>
      <c r="J1950" s="1">
        <v>45875</v>
      </c>
      <c r="K1950">
        <v>44</v>
      </c>
      <c r="L1950">
        <v>4.5999999999999996</v>
      </c>
      <c r="M1950" t="b">
        <v>0</v>
      </c>
    </row>
    <row r="1951" spans="1:14" x14ac:dyDescent="0.25">
      <c r="A1951" t="s">
        <v>2004</v>
      </c>
      <c r="B1951" t="s">
        <v>42</v>
      </c>
      <c r="C1951" t="s">
        <v>16</v>
      </c>
      <c r="D1951" t="s">
        <v>62</v>
      </c>
      <c r="E1951" t="s">
        <v>18</v>
      </c>
      <c r="F1951" t="s">
        <v>66</v>
      </c>
      <c r="G1951">
        <v>105.5</v>
      </c>
      <c r="H1951">
        <v>59.8</v>
      </c>
      <c r="I1951">
        <v>42.41</v>
      </c>
      <c r="J1951" s="1">
        <v>45875</v>
      </c>
      <c r="K1951">
        <v>34</v>
      </c>
      <c r="M1951" t="b">
        <v>0</v>
      </c>
    </row>
    <row r="1952" spans="1:14" x14ac:dyDescent="0.25">
      <c r="A1952" t="s">
        <v>2005</v>
      </c>
      <c r="B1952" t="s">
        <v>30</v>
      </c>
      <c r="C1952" t="s">
        <v>32</v>
      </c>
      <c r="D1952" t="s">
        <v>17</v>
      </c>
      <c r="E1952" t="s">
        <v>49</v>
      </c>
      <c r="F1952" t="s">
        <v>46</v>
      </c>
      <c r="G1952">
        <v>184.7</v>
      </c>
      <c r="H1952">
        <v>0</v>
      </c>
      <c r="I1952">
        <v>184.7</v>
      </c>
      <c r="J1952" s="1">
        <v>45554</v>
      </c>
      <c r="K1952">
        <v>39</v>
      </c>
      <c r="L1952">
        <v>2.1</v>
      </c>
      <c r="M1952" t="b">
        <v>1</v>
      </c>
      <c r="N1952" t="s">
        <v>73</v>
      </c>
    </row>
    <row r="1953" spans="1:14" x14ac:dyDescent="0.25">
      <c r="A1953" t="s">
        <v>2006</v>
      </c>
      <c r="B1953" t="s">
        <v>30</v>
      </c>
      <c r="C1953" t="s">
        <v>48</v>
      </c>
      <c r="D1953" t="s">
        <v>17</v>
      </c>
      <c r="E1953" t="s">
        <v>55</v>
      </c>
      <c r="F1953" t="s">
        <v>44</v>
      </c>
      <c r="G1953">
        <v>81.47</v>
      </c>
      <c r="H1953">
        <v>32</v>
      </c>
      <c r="I1953">
        <v>55.4</v>
      </c>
      <c r="J1953" s="1">
        <v>45536</v>
      </c>
      <c r="K1953">
        <v>2</v>
      </c>
      <c r="L1953">
        <v>1.1000000000000001</v>
      </c>
      <c r="M1953" t="b">
        <v>0</v>
      </c>
    </row>
    <row r="1954" spans="1:14" x14ac:dyDescent="0.25">
      <c r="A1954" t="s">
        <v>2007</v>
      </c>
      <c r="B1954" t="s">
        <v>15</v>
      </c>
      <c r="C1954" t="s">
        <v>32</v>
      </c>
      <c r="D1954" t="s">
        <v>23</v>
      </c>
      <c r="E1954" t="s">
        <v>24</v>
      </c>
      <c r="F1954" t="s">
        <v>44</v>
      </c>
      <c r="G1954">
        <v>107.67</v>
      </c>
      <c r="H1954">
        <v>20.3</v>
      </c>
      <c r="I1954">
        <v>85.81</v>
      </c>
      <c r="J1954" s="1">
        <v>45875</v>
      </c>
      <c r="K1954">
        <v>16</v>
      </c>
      <c r="L1954">
        <v>4.3</v>
      </c>
      <c r="M1954" t="b">
        <v>0</v>
      </c>
    </row>
    <row r="1955" spans="1:14" x14ac:dyDescent="0.25">
      <c r="A1955" t="s">
        <v>2008</v>
      </c>
      <c r="B1955" t="s">
        <v>21</v>
      </c>
      <c r="C1955" t="s">
        <v>32</v>
      </c>
      <c r="D1955" t="s">
        <v>62</v>
      </c>
      <c r="E1955" t="s">
        <v>18</v>
      </c>
      <c r="F1955" t="s">
        <v>66</v>
      </c>
      <c r="G1955">
        <v>88.64</v>
      </c>
      <c r="H1955">
        <v>0</v>
      </c>
      <c r="I1955">
        <v>88.64</v>
      </c>
      <c r="J1955" s="1">
        <v>45875</v>
      </c>
      <c r="K1955">
        <v>33</v>
      </c>
      <c r="M1955" t="b">
        <v>0</v>
      </c>
    </row>
    <row r="1956" spans="1:14" x14ac:dyDescent="0.25">
      <c r="A1956" t="s">
        <v>2009</v>
      </c>
      <c r="B1956" t="s">
        <v>27</v>
      </c>
      <c r="C1956" t="s">
        <v>16</v>
      </c>
      <c r="D1956" t="s">
        <v>23</v>
      </c>
      <c r="F1956" t="s">
        <v>19</v>
      </c>
      <c r="G1956">
        <v>17.5</v>
      </c>
      <c r="H1956">
        <v>14.4</v>
      </c>
      <c r="I1956">
        <v>14.98</v>
      </c>
      <c r="J1956" s="1">
        <v>45875</v>
      </c>
      <c r="K1956">
        <v>16</v>
      </c>
      <c r="L1956">
        <v>3.1</v>
      </c>
      <c r="M1956" t="b">
        <v>0</v>
      </c>
    </row>
    <row r="1957" spans="1:14" x14ac:dyDescent="0.25">
      <c r="A1957" t="s">
        <v>2010</v>
      </c>
      <c r="B1957" t="s">
        <v>15</v>
      </c>
      <c r="C1957" t="s">
        <v>48</v>
      </c>
      <c r="D1957" t="s">
        <v>23</v>
      </c>
      <c r="E1957" t="s">
        <v>18</v>
      </c>
      <c r="F1957" t="s">
        <v>40</v>
      </c>
      <c r="G1957">
        <v>205.37</v>
      </c>
      <c r="H1957">
        <v>0</v>
      </c>
      <c r="I1957">
        <v>205.37</v>
      </c>
      <c r="J1957" s="1">
        <v>45875</v>
      </c>
      <c r="K1957">
        <v>25</v>
      </c>
      <c r="L1957">
        <v>2</v>
      </c>
      <c r="M1957" t="b">
        <v>1</v>
      </c>
      <c r="N1957" t="s">
        <v>78</v>
      </c>
    </row>
    <row r="1958" spans="1:14" x14ac:dyDescent="0.25">
      <c r="A1958" t="s">
        <v>2011</v>
      </c>
      <c r="B1958" t="s">
        <v>42</v>
      </c>
      <c r="C1958" t="s">
        <v>43</v>
      </c>
      <c r="D1958" t="s">
        <v>23</v>
      </c>
      <c r="E1958" t="s">
        <v>55</v>
      </c>
      <c r="F1958" t="s">
        <v>56</v>
      </c>
      <c r="G1958">
        <v>111.66</v>
      </c>
      <c r="H1958">
        <v>0</v>
      </c>
      <c r="I1958">
        <v>111.66</v>
      </c>
      <c r="J1958" s="1">
        <v>45875</v>
      </c>
      <c r="K1958">
        <v>26</v>
      </c>
      <c r="L1958">
        <v>1.4</v>
      </c>
      <c r="M1958" t="b">
        <v>0</v>
      </c>
    </row>
    <row r="1959" spans="1:14" x14ac:dyDescent="0.25">
      <c r="A1959" t="s">
        <v>2012</v>
      </c>
      <c r="B1959" t="s">
        <v>30</v>
      </c>
      <c r="C1959" t="s">
        <v>43</v>
      </c>
      <c r="D1959" t="s">
        <v>62</v>
      </c>
      <c r="E1959" t="s">
        <v>39</v>
      </c>
      <c r="F1959" t="s">
        <v>25</v>
      </c>
      <c r="G1959">
        <v>184.87</v>
      </c>
      <c r="H1959">
        <v>56.4</v>
      </c>
      <c r="I1959">
        <v>80.599999999999994</v>
      </c>
      <c r="J1959" s="1">
        <v>45875</v>
      </c>
      <c r="K1959">
        <v>10</v>
      </c>
      <c r="L1959">
        <v>3.7</v>
      </c>
      <c r="M1959" t="b">
        <v>0</v>
      </c>
    </row>
    <row r="1960" spans="1:14" x14ac:dyDescent="0.25">
      <c r="A1960" t="s">
        <v>2013</v>
      </c>
      <c r="B1960" t="s">
        <v>38</v>
      </c>
      <c r="C1960" t="s">
        <v>16</v>
      </c>
      <c r="D1960" t="s">
        <v>17</v>
      </c>
      <c r="E1960" t="s">
        <v>24</v>
      </c>
      <c r="F1960" t="s">
        <v>46</v>
      </c>
      <c r="G1960">
        <v>84.58</v>
      </c>
      <c r="H1960">
        <v>0</v>
      </c>
      <c r="I1960">
        <v>84.58</v>
      </c>
      <c r="J1960" s="1">
        <v>45674</v>
      </c>
      <c r="K1960">
        <v>33</v>
      </c>
      <c r="L1960">
        <v>4.5</v>
      </c>
      <c r="M1960" t="b">
        <v>0</v>
      </c>
    </row>
    <row r="1961" spans="1:14" x14ac:dyDescent="0.25">
      <c r="A1961" t="s">
        <v>2014</v>
      </c>
      <c r="B1961" t="s">
        <v>38</v>
      </c>
      <c r="C1961" t="s">
        <v>75</v>
      </c>
      <c r="D1961" t="s">
        <v>62</v>
      </c>
      <c r="E1961" t="s">
        <v>49</v>
      </c>
      <c r="F1961" t="s">
        <v>35</v>
      </c>
      <c r="G1961">
        <v>66.739999999999995</v>
      </c>
      <c r="H1961">
        <v>0</v>
      </c>
      <c r="I1961">
        <v>66.739999999999995</v>
      </c>
      <c r="J1961" s="1">
        <v>45875</v>
      </c>
      <c r="K1961">
        <v>26</v>
      </c>
      <c r="L1961">
        <v>4.5999999999999996</v>
      </c>
      <c r="M1961" t="b">
        <v>0</v>
      </c>
    </row>
    <row r="1962" spans="1:14" x14ac:dyDescent="0.25">
      <c r="A1962" t="s">
        <v>2015</v>
      </c>
      <c r="B1962" t="s">
        <v>30</v>
      </c>
      <c r="C1962" t="s">
        <v>48</v>
      </c>
      <c r="D1962" t="s">
        <v>62</v>
      </c>
      <c r="E1962" t="s">
        <v>58</v>
      </c>
      <c r="F1962" t="s">
        <v>46</v>
      </c>
      <c r="G1962">
        <v>104.19</v>
      </c>
      <c r="H1962">
        <v>0</v>
      </c>
      <c r="I1962">
        <v>104.19</v>
      </c>
      <c r="J1962" s="1">
        <v>45875</v>
      </c>
      <c r="K1962">
        <v>4</v>
      </c>
      <c r="L1962">
        <v>4.7</v>
      </c>
      <c r="M1962" t="b">
        <v>0</v>
      </c>
    </row>
    <row r="1963" spans="1:14" x14ac:dyDescent="0.25">
      <c r="A1963" t="s">
        <v>2016</v>
      </c>
      <c r="B1963" t="s">
        <v>15</v>
      </c>
      <c r="C1963" t="s">
        <v>22</v>
      </c>
      <c r="D1963" t="s">
        <v>62</v>
      </c>
      <c r="E1963" t="s">
        <v>58</v>
      </c>
      <c r="F1963" t="s">
        <v>46</v>
      </c>
      <c r="G1963">
        <v>216.73</v>
      </c>
      <c r="H1963">
        <v>0</v>
      </c>
      <c r="I1963">
        <v>216.73</v>
      </c>
      <c r="J1963" s="1">
        <v>45875</v>
      </c>
      <c r="K1963">
        <v>5</v>
      </c>
      <c r="L1963">
        <v>2.7</v>
      </c>
      <c r="M1963" t="b">
        <v>1</v>
      </c>
      <c r="N1963" t="s">
        <v>125</v>
      </c>
    </row>
    <row r="1964" spans="1:14" x14ac:dyDescent="0.25">
      <c r="A1964" t="s">
        <v>2017</v>
      </c>
      <c r="B1964" t="s">
        <v>42</v>
      </c>
      <c r="C1964" t="s">
        <v>43</v>
      </c>
      <c r="D1964" t="s">
        <v>62</v>
      </c>
      <c r="E1964" t="s">
        <v>49</v>
      </c>
      <c r="F1964" t="s">
        <v>56</v>
      </c>
      <c r="G1964">
        <v>87.82</v>
      </c>
      <c r="H1964">
        <v>0</v>
      </c>
      <c r="I1964">
        <v>87.82</v>
      </c>
      <c r="J1964" s="1">
        <v>45875</v>
      </c>
      <c r="K1964">
        <v>24</v>
      </c>
      <c r="L1964">
        <v>4.2</v>
      </c>
      <c r="M1964" t="b">
        <v>0</v>
      </c>
    </row>
    <row r="1965" spans="1:14" x14ac:dyDescent="0.25">
      <c r="A1965" t="s">
        <v>2018</v>
      </c>
      <c r="B1965" t="s">
        <v>30</v>
      </c>
      <c r="C1965" t="s">
        <v>16</v>
      </c>
      <c r="D1965" t="s">
        <v>62</v>
      </c>
      <c r="E1965" t="s">
        <v>24</v>
      </c>
      <c r="F1965" t="s">
        <v>46</v>
      </c>
      <c r="G1965">
        <v>81.59</v>
      </c>
      <c r="H1965">
        <v>0</v>
      </c>
      <c r="I1965">
        <v>81.59</v>
      </c>
      <c r="J1965" s="1">
        <v>45875</v>
      </c>
      <c r="K1965">
        <v>5</v>
      </c>
      <c r="L1965">
        <v>2.5</v>
      </c>
      <c r="M1965" t="b">
        <v>0</v>
      </c>
    </row>
    <row r="1966" spans="1:14" x14ac:dyDescent="0.25">
      <c r="A1966" t="s">
        <v>2019</v>
      </c>
      <c r="B1966" t="s">
        <v>15</v>
      </c>
      <c r="C1966" t="s">
        <v>61</v>
      </c>
      <c r="D1966" t="s">
        <v>62</v>
      </c>
      <c r="F1966" t="s">
        <v>44</v>
      </c>
      <c r="G1966">
        <v>93.14</v>
      </c>
      <c r="H1966">
        <v>32.799999999999997</v>
      </c>
      <c r="I1966">
        <v>62.59</v>
      </c>
      <c r="J1966" s="1">
        <v>45875</v>
      </c>
      <c r="K1966">
        <v>45</v>
      </c>
      <c r="L1966">
        <v>4.5</v>
      </c>
      <c r="M1966" t="b">
        <v>0</v>
      </c>
    </row>
    <row r="1967" spans="1:14" x14ac:dyDescent="0.25">
      <c r="A1967" t="s">
        <v>2020</v>
      </c>
      <c r="B1967" t="s">
        <v>38</v>
      </c>
      <c r="C1967" t="s">
        <v>61</v>
      </c>
      <c r="D1967" t="s">
        <v>17</v>
      </c>
      <c r="E1967" t="s">
        <v>55</v>
      </c>
      <c r="F1967" t="s">
        <v>40</v>
      </c>
      <c r="G1967">
        <v>96.73</v>
      </c>
      <c r="H1967">
        <v>0</v>
      </c>
      <c r="I1967">
        <v>96.73</v>
      </c>
      <c r="J1967" s="1">
        <v>45605</v>
      </c>
      <c r="K1967">
        <v>18</v>
      </c>
      <c r="L1967">
        <v>4.8</v>
      </c>
      <c r="M1967" t="b">
        <v>0</v>
      </c>
    </row>
    <row r="1968" spans="1:14" x14ac:dyDescent="0.25">
      <c r="A1968" t="s">
        <v>2021</v>
      </c>
      <c r="B1968" t="s">
        <v>27</v>
      </c>
      <c r="C1968" t="s">
        <v>75</v>
      </c>
      <c r="D1968" t="s">
        <v>23</v>
      </c>
      <c r="F1968" t="s">
        <v>44</v>
      </c>
      <c r="G1968">
        <v>19.34</v>
      </c>
      <c r="H1968">
        <v>0</v>
      </c>
      <c r="I1968">
        <v>19.34</v>
      </c>
      <c r="J1968" s="1">
        <v>45875</v>
      </c>
      <c r="K1968">
        <v>19</v>
      </c>
      <c r="M1968" t="b">
        <v>0</v>
      </c>
    </row>
    <row r="1969" spans="1:14" x14ac:dyDescent="0.25">
      <c r="A1969" t="s">
        <v>2022</v>
      </c>
      <c r="B1969" t="s">
        <v>30</v>
      </c>
      <c r="C1969" t="s">
        <v>16</v>
      </c>
      <c r="D1969" t="s">
        <v>17</v>
      </c>
      <c r="E1969" t="s">
        <v>39</v>
      </c>
      <c r="F1969" t="s">
        <v>19</v>
      </c>
      <c r="G1969">
        <v>113.88</v>
      </c>
      <c r="H1969">
        <v>31.1</v>
      </c>
      <c r="I1969">
        <v>78.459999999999994</v>
      </c>
      <c r="J1969" s="1">
        <v>45818</v>
      </c>
      <c r="K1969">
        <v>22</v>
      </c>
      <c r="L1969">
        <v>3.1</v>
      </c>
      <c r="M1969" t="b">
        <v>0</v>
      </c>
    </row>
    <row r="1970" spans="1:14" x14ac:dyDescent="0.25">
      <c r="A1970" t="s">
        <v>2023</v>
      </c>
      <c r="B1970" t="s">
        <v>42</v>
      </c>
      <c r="C1970" t="s">
        <v>16</v>
      </c>
      <c r="D1970" t="s">
        <v>17</v>
      </c>
      <c r="E1970" t="s">
        <v>18</v>
      </c>
      <c r="F1970" t="s">
        <v>64</v>
      </c>
      <c r="G1970">
        <v>90.32</v>
      </c>
      <c r="H1970">
        <v>0</v>
      </c>
      <c r="I1970">
        <v>90.32</v>
      </c>
      <c r="J1970" s="1">
        <v>45742</v>
      </c>
      <c r="K1970">
        <v>41</v>
      </c>
      <c r="L1970">
        <v>2.8</v>
      </c>
      <c r="M1970" t="b">
        <v>0</v>
      </c>
    </row>
    <row r="1971" spans="1:14" x14ac:dyDescent="0.25">
      <c r="A1971" t="s">
        <v>2024</v>
      </c>
      <c r="B1971" t="s">
        <v>21</v>
      </c>
      <c r="C1971" t="s">
        <v>32</v>
      </c>
      <c r="D1971" t="s">
        <v>62</v>
      </c>
      <c r="E1971" t="s">
        <v>24</v>
      </c>
      <c r="F1971" t="s">
        <v>40</v>
      </c>
      <c r="G1971">
        <v>38.119999999999997</v>
      </c>
      <c r="H1971">
        <v>0</v>
      </c>
      <c r="I1971">
        <v>38.119999999999997</v>
      </c>
      <c r="J1971" s="1">
        <v>45875</v>
      </c>
      <c r="K1971">
        <v>44</v>
      </c>
      <c r="M1971" t="b">
        <v>0</v>
      </c>
    </row>
    <row r="1972" spans="1:14" x14ac:dyDescent="0.25">
      <c r="A1972" t="s">
        <v>2025</v>
      </c>
      <c r="B1972" t="s">
        <v>30</v>
      </c>
      <c r="C1972" t="s">
        <v>32</v>
      </c>
      <c r="D1972" t="s">
        <v>62</v>
      </c>
      <c r="E1972" t="s">
        <v>39</v>
      </c>
      <c r="F1972" t="s">
        <v>44</v>
      </c>
      <c r="G1972">
        <v>175.31</v>
      </c>
      <c r="H1972">
        <v>0</v>
      </c>
      <c r="I1972">
        <v>175.31</v>
      </c>
      <c r="J1972" s="1">
        <v>45875</v>
      </c>
      <c r="K1972">
        <v>13</v>
      </c>
      <c r="M1972" t="b">
        <v>0</v>
      </c>
    </row>
    <row r="1973" spans="1:14" x14ac:dyDescent="0.25">
      <c r="A1973" t="s">
        <v>2026</v>
      </c>
      <c r="B1973" t="s">
        <v>42</v>
      </c>
      <c r="C1973" t="s">
        <v>16</v>
      </c>
      <c r="D1973" t="s">
        <v>17</v>
      </c>
      <c r="E1973" t="s">
        <v>24</v>
      </c>
      <c r="F1973" t="s">
        <v>19</v>
      </c>
      <c r="G1973">
        <v>171.92</v>
      </c>
      <c r="H1973">
        <v>0</v>
      </c>
      <c r="I1973">
        <v>171.92</v>
      </c>
      <c r="J1973" s="1">
        <v>45816</v>
      </c>
      <c r="K1973">
        <v>12</v>
      </c>
      <c r="L1973">
        <v>1.3</v>
      </c>
      <c r="M1973" t="b">
        <v>0</v>
      </c>
    </row>
    <row r="1974" spans="1:14" x14ac:dyDescent="0.25">
      <c r="A1974" t="s">
        <v>2027</v>
      </c>
      <c r="B1974" t="s">
        <v>27</v>
      </c>
      <c r="C1974" t="s">
        <v>61</v>
      </c>
      <c r="D1974" t="s">
        <v>62</v>
      </c>
      <c r="F1974" t="s">
        <v>44</v>
      </c>
      <c r="G1974">
        <v>35.6</v>
      </c>
      <c r="H1974">
        <v>0</v>
      </c>
      <c r="I1974">
        <v>35.6</v>
      </c>
      <c r="J1974" s="1">
        <v>45875</v>
      </c>
      <c r="K1974">
        <v>24</v>
      </c>
      <c r="L1974">
        <v>3.1</v>
      </c>
      <c r="M1974" t="b">
        <v>0</v>
      </c>
    </row>
    <row r="1975" spans="1:14" x14ac:dyDescent="0.25">
      <c r="A1975" t="s">
        <v>2028</v>
      </c>
      <c r="B1975" t="s">
        <v>38</v>
      </c>
      <c r="C1975" t="s">
        <v>48</v>
      </c>
      <c r="D1975" t="s">
        <v>62</v>
      </c>
      <c r="E1975" t="s">
        <v>58</v>
      </c>
      <c r="F1975" t="s">
        <v>64</v>
      </c>
      <c r="G1975">
        <v>81.7</v>
      </c>
      <c r="H1975">
        <v>0</v>
      </c>
      <c r="I1975">
        <v>81.7</v>
      </c>
      <c r="J1975" s="1">
        <v>45875</v>
      </c>
      <c r="K1975">
        <v>33</v>
      </c>
      <c r="M1975" t="b">
        <v>1</v>
      </c>
      <c r="N1975" t="s">
        <v>125</v>
      </c>
    </row>
    <row r="1976" spans="1:14" x14ac:dyDescent="0.25">
      <c r="A1976" t="s">
        <v>2029</v>
      </c>
      <c r="B1976" t="s">
        <v>38</v>
      </c>
      <c r="C1976" t="s">
        <v>32</v>
      </c>
      <c r="D1976" t="s">
        <v>62</v>
      </c>
      <c r="F1976" t="s">
        <v>66</v>
      </c>
      <c r="G1976">
        <v>29.7</v>
      </c>
      <c r="H1976">
        <v>0</v>
      </c>
      <c r="I1976">
        <v>29.7</v>
      </c>
      <c r="J1976" s="1">
        <v>45875</v>
      </c>
      <c r="K1976">
        <v>16</v>
      </c>
      <c r="L1976">
        <v>2.7</v>
      </c>
      <c r="M1976" t="b">
        <v>0</v>
      </c>
    </row>
    <row r="1977" spans="1:14" x14ac:dyDescent="0.25">
      <c r="A1977" t="s">
        <v>2030</v>
      </c>
      <c r="B1977" t="s">
        <v>15</v>
      </c>
      <c r="C1977" t="s">
        <v>43</v>
      </c>
      <c r="D1977" t="s">
        <v>23</v>
      </c>
      <c r="E1977" t="s">
        <v>39</v>
      </c>
      <c r="F1977" t="s">
        <v>70</v>
      </c>
      <c r="G1977">
        <v>239.65</v>
      </c>
      <c r="H1977">
        <v>0</v>
      </c>
      <c r="I1977">
        <v>239.65</v>
      </c>
      <c r="J1977" s="1">
        <v>45875</v>
      </c>
      <c r="K1977">
        <v>27</v>
      </c>
      <c r="L1977">
        <v>2.9</v>
      </c>
      <c r="M1977" t="b">
        <v>0</v>
      </c>
    </row>
    <row r="1978" spans="1:14" x14ac:dyDescent="0.25">
      <c r="A1978" t="s">
        <v>2031</v>
      </c>
      <c r="B1978" t="s">
        <v>21</v>
      </c>
      <c r="C1978" t="s">
        <v>48</v>
      </c>
      <c r="D1978" t="s">
        <v>34</v>
      </c>
      <c r="E1978" t="s">
        <v>58</v>
      </c>
      <c r="F1978" t="s">
        <v>19</v>
      </c>
      <c r="G1978">
        <v>90.41</v>
      </c>
      <c r="H1978">
        <v>0</v>
      </c>
      <c r="I1978">
        <v>90.41</v>
      </c>
      <c r="J1978" s="1">
        <v>45875</v>
      </c>
      <c r="K1978">
        <v>11</v>
      </c>
      <c r="M1978" t="b">
        <v>0</v>
      </c>
    </row>
    <row r="1979" spans="1:14" x14ac:dyDescent="0.25">
      <c r="A1979" t="s">
        <v>2032</v>
      </c>
      <c r="B1979" t="s">
        <v>42</v>
      </c>
      <c r="C1979" t="s">
        <v>53</v>
      </c>
      <c r="D1979" t="s">
        <v>23</v>
      </c>
      <c r="E1979" t="s">
        <v>18</v>
      </c>
      <c r="F1979" t="s">
        <v>35</v>
      </c>
      <c r="G1979">
        <v>81.78</v>
      </c>
      <c r="H1979">
        <v>10</v>
      </c>
      <c r="I1979">
        <v>73.599999999999994</v>
      </c>
      <c r="J1979" s="1">
        <v>45875</v>
      </c>
      <c r="K1979">
        <v>24</v>
      </c>
      <c r="L1979">
        <v>1.2</v>
      </c>
      <c r="M1979" t="b">
        <v>0</v>
      </c>
    </row>
    <row r="1980" spans="1:14" x14ac:dyDescent="0.25">
      <c r="A1980" t="s">
        <v>2033</v>
      </c>
      <c r="B1980" t="s">
        <v>15</v>
      </c>
      <c r="C1980" t="s">
        <v>75</v>
      </c>
      <c r="D1980" t="s">
        <v>23</v>
      </c>
      <c r="E1980" t="s">
        <v>24</v>
      </c>
      <c r="F1980" t="s">
        <v>28</v>
      </c>
      <c r="G1980">
        <v>142.55000000000001</v>
      </c>
      <c r="H1980">
        <v>0</v>
      </c>
      <c r="I1980">
        <v>142.55000000000001</v>
      </c>
      <c r="J1980" s="1">
        <v>45875</v>
      </c>
      <c r="K1980">
        <v>21</v>
      </c>
      <c r="L1980">
        <v>4.5</v>
      </c>
      <c r="M1980" t="b">
        <v>0</v>
      </c>
    </row>
    <row r="1981" spans="1:14" x14ac:dyDescent="0.25">
      <c r="A1981" t="s">
        <v>2034</v>
      </c>
      <c r="B1981" t="s">
        <v>42</v>
      </c>
      <c r="C1981" t="s">
        <v>61</v>
      </c>
      <c r="D1981" t="s">
        <v>34</v>
      </c>
      <c r="E1981" t="s">
        <v>39</v>
      </c>
      <c r="F1981" t="s">
        <v>28</v>
      </c>
      <c r="G1981">
        <v>53.13</v>
      </c>
      <c r="H1981">
        <v>0</v>
      </c>
      <c r="I1981">
        <v>53.13</v>
      </c>
      <c r="J1981" s="1">
        <v>45875</v>
      </c>
      <c r="K1981">
        <v>5</v>
      </c>
      <c r="L1981">
        <v>4.5999999999999996</v>
      </c>
      <c r="M1981" t="b">
        <v>0</v>
      </c>
    </row>
    <row r="1982" spans="1:14" x14ac:dyDescent="0.25">
      <c r="A1982" t="s">
        <v>2035</v>
      </c>
      <c r="B1982" t="s">
        <v>38</v>
      </c>
      <c r="C1982" t="s">
        <v>75</v>
      </c>
      <c r="D1982" t="s">
        <v>62</v>
      </c>
      <c r="E1982" t="s">
        <v>24</v>
      </c>
      <c r="F1982" t="s">
        <v>64</v>
      </c>
      <c r="G1982">
        <v>80.81</v>
      </c>
      <c r="H1982">
        <v>0</v>
      </c>
      <c r="I1982">
        <v>80.81</v>
      </c>
      <c r="J1982" s="1">
        <v>45875</v>
      </c>
      <c r="K1982">
        <v>15</v>
      </c>
      <c r="L1982">
        <v>4.5999999999999996</v>
      </c>
      <c r="M1982" t="b">
        <v>0</v>
      </c>
    </row>
    <row r="1983" spans="1:14" x14ac:dyDescent="0.25">
      <c r="A1983" t="s">
        <v>2036</v>
      </c>
      <c r="B1983" t="s">
        <v>21</v>
      </c>
      <c r="C1983" t="s">
        <v>22</v>
      </c>
      <c r="D1983" t="s">
        <v>34</v>
      </c>
      <c r="E1983" t="s">
        <v>58</v>
      </c>
      <c r="F1983" t="s">
        <v>64</v>
      </c>
      <c r="G1983">
        <v>89.39</v>
      </c>
      <c r="H1983">
        <v>0</v>
      </c>
      <c r="I1983">
        <v>89.39</v>
      </c>
      <c r="J1983" s="1">
        <v>45875</v>
      </c>
      <c r="K1983">
        <v>33</v>
      </c>
      <c r="L1983">
        <v>4.2</v>
      </c>
      <c r="M1983" t="b">
        <v>0</v>
      </c>
    </row>
    <row r="1984" spans="1:14" x14ac:dyDescent="0.25">
      <c r="A1984" t="s">
        <v>2037</v>
      </c>
      <c r="B1984" t="s">
        <v>38</v>
      </c>
      <c r="C1984" t="s">
        <v>43</v>
      </c>
      <c r="D1984" t="s">
        <v>62</v>
      </c>
      <c r="E1984" t="s">
        <v>39</v>
      </c>
      <c r="F1984" t="s">
        <v>44</v>
      </c>
      <c r="G1984">
        <v>37.9</v>
      </c>
      <c r="H1984">
        <v>37.9</v>
      </c>
      <c r="I1984">
        <v>23.54</v>
      </c>
      <c r="J1984" s="1">
        <v>45875</v>
      </c>
      <c r="K1984">
        <v>34</v>
      </c>
      <c r="L1984">
        <v>1.3</v>
      </c>
      <c r="M1984" t="b">
        <v>0</v>
      </c>
    </row>
    <row r="1985" spans="1:14" x14ac:dyDescent="0.25">
      <c r="A1985" t="s">
        <v>2038</v>
      </c>
      <c r="B1985" t="s">
        <v>27</v>
      </c>
      <c r="C1985" t="s">
        <v>43</v>
      </c>
      <c r="D1985" t="s">
        <v>17</v>
      </c>
      <c r="F1985" t="s">
        <v>70</v>
      </c>
      <c r="G1985">
        <v>44.49</v>
      </c>
      <c r="H1985">
        <v>0</v>
      </c>
      <c r="I1985">
        <v>44.49</v>
      </c>
      <c r="J1985" s="1">
        <v>45835</v>
      </c>
      <c r="K1985">
        <v>34</v>
      </c>
      <c r="L1985">
        <v>2.1</v>
      </c>
      <c r="M1985" t="b">
        <v>0</v>
      </c>
    </row>
    <row r="1986" spans="1:14" x14ac:dyDescent="0.25">
      <c r="A1986" t="s">
        <v>2039</v>
      </c>
      <c r="B1986" t="s">
        <v>21</v>
      </c>
      <c r="C1986" t="s">
        <v>43</v>
      </c>
      <c r="D1986" t="s">
        <v>62</v>
      </c>
      <c r="E1986" t="s">
        <v>24</v>
      </c>
      <c r="F1986" t="s">
        <v>56</v>
      </c>
      <c r="G1986">
        <v>111.7</v>
      </c>
      <c r="H1986">
        <v>0</v>
      </c>
      <c r="I1986">
        <v>111.7</v>
      </c>
      <c r="J1986" s="1">
        <v>45875</v>
      </c>
      <c r="K1986">
        <v>2</v>
      </c>
      <c r="M1986" t="b">
        <v>1</v>
      </c>
      <c r="N1986" t="s">
        <v>73</v>
      </c>
    </row>
    <row r="1987" spans="1:14" x14ac:dyDescent="0.25">
      <c r="A1987" t="s">
        <v>2040</v>
      </c>
      <c r="B1987" t="s">
        <v>21</v>
      </c>
      <c r="C1987" t="s">
        <v>48</v>
      </c>
      <c r="D1987" t="s">
        <v>17</v>
      </c>
      <c r="E1987" t="s">
        <v>24</v>
      </c>
      <c r="F1987" t="s">
        <v>64</v>
      </c>
      <c r="G1987">
        <v>109.76</v>
      </c>
      <c r="H1987">
        <v>0</v>
      </c>
      <c r="I1987">
        <v>109.76</v>
      </c>
      <c r="J1987" s="1">
        <v>45669</v>
      </c>
      <c r="K1987">
        <v>23</v>
      </c>
      <c r="L1987">
        <v>2</v>
      </c>
      <c r="M1987" t="b">
        <v>1</v>
      </c>
      <c r="N1987" t="s">
        <v>83</v>
      </c>
    </row>
    <row r="1988" spans="1:14" x14ac:dyDescent="0.25">
      <c r="A1988" t="s">
        <v>2041</v>
      </c>
      <c r="B1988" t="s">
        <v>27</v>
      </c>
      <c r="C1988" t="s">
        <v>22</v>
      </c>
      <c r="D1988" t="s">
        <v>34</v>
      </c>
      <c r="F1988" t="s">
        <v>64</v>
      </c>
      <c r="G1988">
        <v>33</v>
      </c>
      <c r="H1988">
        <v>0</v>
      </c>
      <c r="I1988">
        <v>33</v>
      </c>
      <c r="J1988" s="1">
        <v>45875</v>
      </c>
      <c r="K1988">
        <v>50</v>
      </c>
      <c r="L1988">
        <v>4</v>
      </c>
      <c r="M1988" t="b">
        <v>0</v>
      </c>
    </row>
    <row r="1989" spans="1:14" x14ac:dyDescent="0.25">
      <c r="A1989" t="s">
        <v>2042</v>
      </c>
      <c r="B1989" t="s">
        <v>30</v>
      </c>
      <c r="C1989" t="s">
        <v>53</v>
      </c>
      <c r="D1989" t="s">
        <v>23</v>
      </c>
      <c r="E1989" t="s">
        <v>58</v>
      </c>
      <c r="F1989" t="s">
        <v>46</v>
      </c>
      <c r="G1989">
        <v>150.65</v>
      </c>
      <c r="H1989">
        <v>8.9</v>
      </c>
      <c r="I1989">
        <v>137.24</v>
      </c>
      <c r="J1989" s="1">
        <v>45875</v>
      </c>
      <c r="K1989">
        <v>43</v>
      </c>
      <c r="L1989">
        <v>3.4</v>
      </c>
      <c r="M1989" t="b">
        <v>0</v>
      </c>
    </row>
    <row r="1990" spans="1:14" x14ac:dyDescent="0.25">
      <c r="A1990" t="s">
        <v>2043</v>
      </c>
      <c r="B1990" t="s">
        <v>38</v>
      </c>
      <c r="C1990" t="s">
        <v>16</v>
      </c>
      <c r="D1990" t="s">
        <v>34</v>
      </c>
      <c r="E1990" t="s">
        <v>39</v>
      </c>
      <c r="F1990" t="s">
        <v>46</v>
      </c>
      <c r="G1990">
        <v>66.34</v>
      </c>
      <c r="H1990">
        <v>19</v>
      </c>
      <c r="I1990">
        <v>53.74</v>
      </c>
      <c r="J1990" s="1">
        <v>45875</v>
      </c>
      <c r="K1990">
        <v>42</v>
      </c>
      <c r="L1990">
        <v>1.9</v>
      </c>
      <c r="M1990" t="b">
        <v>0</v>
      </c>
    </row>
    <row r="1991" spans="1:14" x14ac:dyDescent="0.25">
      <c r="A1991" t="s">
        <v>2044</v>
      </c>
      <c r="B1991" t="s">
        <v>38</v>
      </c>
      <c r="C1991" t="s">
        <v>61</v>
      </c>
      <c r="D1991" t="s">
        <v>17</v>
      </c>
      <c r="E1991" t="s">
        <v>58</v>
      </c>
      <c r="F1991" t="s">
        <v>25</v>
      </c>
      <c r="G1991">
        <v>27.89</v>
      </c>
      <c r="H1991">
        <v>17.399999999999999</v>
      </c>
      <c r="I1991">
        <v>23.04</v>
      </c>
      <c r="J1991" s="1">
        <v>45541</v>
      </c>
      <c r="K1991">
        <v>43</v>
      </c>
      <c r="L1991">
        <v>2.1</v>
      </c>
      <c r="M1991" t="b">
        <v>0</v>
      </c>
    </row>
    <row r="1992" spans="1:14" x14ac:dyDescent="0.25">
      <c r="A1992" t="s">
        <v>2045</v>
      </c>
      <c r="B1992" t="s">
        <v>27</v>
      </c>
      <c r="C1992" t="s">
        <v>22</v>
      </c>
      <c r="D1992" t="s">
        <v>62</v>
      </c>
      <c r="F1992" t="s">
        <v>40</v>
      </c>
      <c r="G1992">
        <v>60.18</v>
      </c>
      <c r="H1992">
        <v>0</v>
      </c>
      <c r="I1992">
        <v>60.18</v>
      </c>
      <c r="J1992" s="1">
        <v>45875</v>
      </c>
      <c r="K1992">
        <v>36</v>
      </c>
      <c r="L1992">
        <v>1.4</v>
      </c>
      <c r="M1992" t="b">
        <v>0</v>
      </c>
    </row>
    <row r="1993" spans="1:14" x14ac:dyDescent="0.25">
      <c r="A1993" t="s">
        <v>2046</v>
      </c>
      <c r="B1993" t="s">
        <v>21</v>
      </c>
      <c r="C1993" t="s">
        <v>16</v>
      </c>
      <c r="D1993" t="s">
        <v>34</v>
      </c>
      <c r="E1993" t="s">
        <v>18</v>
      </c>
      <c r="F1993" t="s">
        <v>19</v>
      </c>
      <c r="G1993">
        <v>54.26</v>
      </c>
      <c r="H1993">
        <v>18.399999999999999</v>
      </c>
      <c r="I1993">
        <v>44.28</v>
      </c>
      <c r="J1993" s="1">
        <v>45875</v>
      </c>
      <c r="K1993">
        <v>29</v>
      </c>
      <c r="L1993">
        <v>2.6</v>
      </c>
      <c r="M1993" t="b">
        <v>0</v>
      </c>
    </row>
    <row r="1994" spans="1:14" x14ac:dyDescent="0.25">
      <c r="A1994" t="s">
        <v>2047</v>
      </c>
      <c r="B1994" t="s">
        <v>30</v>
      </c>
      <c r="C1994" t="s">
        <v>22</v>
      </c>
      <c r="D1994" t="s">
        <v>17</v>
      </c>
      <c r="E1994" t="s">
        <v>39</v>
      </c>
      <c r="F1994" t="s">
        <v>19</v>
      </c>
      <c r="G1994">
        <v>78.44</v>
      </c>
      <c r="H1994">
        <v>0</v>
      </c>
      <c r="I1994">
        <v>78.44</v>
      </c>
      <c r="J1994" s="1">
        <v>45555</v>
      </c>
      <c r="K1994">
        <v>42</v>
      </c>
      <c r="M1994" t="b">
        <v>1</v>
      </c>
      <c r="N1994" t="s">
        <v>83</v>
      </c>
    </row>
    <row r="1995" spans="1:14" x14ac:dyDescent="0.25">
      <c r="A1995" t="s">
        <v>2048</v>
      </c>
      <c r="B1995" t="s">
        <v>15</v>
      </c>
      <c r="C1995" t="s">
        <v>48</v>
      </c>
      <c r="D1995" t="s">
        <v>34</v>
      </c>
      <c r="E1995" t="s">
        <v>55</v>
      </c>
      <c r="F1995" t="s">
        <v>28</v>
      </c>
      <c r="G1995">
        <v>183.05</v>
      </c>
      <c r="H1995">
        <v>0</v>
      </c>
      <c r="I1995">
        <v>183.05</v>
      </c>
      <c r="J1995" s="1">
        <v>45875</v>
      </c>
      <c r="K1995">
        <v>4</v>
      </c>
      <c r="L1995">
        <v>4.5999999999999996</v>
      </c>
      <c r="M1995" t="b">
        <v>0</v>
      </c>
    </row>
    <row r="1996" spans="1:14" x14ac:dyDescent="0.25">
      <c r="A1996" t="s">
        <v>2049</v>
      </c>
      <c r="B1996" t="s">
        <v>30</v>
      </c>
      <c r="C1996" t="s">
        <v>22</v>
      </c>
      <c r="D1996" t="s">
        <v>17</v>
      </c>
      <c r="E1996" t="s">
        <v>58</v>
      </c>
      <c r="F1996" t="s">
        <v>40</v>
      </c>
      <c r="G1996">
        <v>76.3</v>
      </c>
      <c r="H1996">
        <v>0</v>
      </c>
      <c r="I1996">
        <v>76.3</v>
      </c>
      <c r="J1996" s="1">
        <v>45841</v>
      </c>
      <c r="K1996">
        <v>35</v>
      </c>
      <c r="L1996">
        <v>2.6</v>
      </c>
      <c r="M1996" t="b">
        <v>0</v>
      </c>
    </row>
    <row r="1997" spans="1:14" x14ac:dyDescent="0.25">
      <c r="A1997" t="s">
        <v>2050</v>
      </c>
      <c r="B1997" t="s">
        <v>21</v>
      </c>
      <c r="C1997" t="s">
        <v>16</v>
      </c>
      <c r="D1997" t="s">
        <v>17</v>
      </c>
      <c r="E1997" t="s">
        <v>55</v>
      </c>
      <c r="F1997" t="s">
        <v>66</v>
      </c>
      <c r="G1997">
        <v>84.21</v>
      </c>
      <c r="H1997">
        <v>0</v>
      </c>
      <c r="I1997">
        <v>84.21</v>
      </c>
      <c r="J1997" s="1">
        <v>45672</v>
      </c>
      <c r="K1997">
        <v>43</v>
      </c>
      <c r="L1997">
        <v>3.4</v>
      </c>
      <c r="M1997" t="b">
        <v>0</v>
      </c>
    </row>
    <row r="1998" spans="1:14" x14ac:dyDescent="0.25">
      <c r="A1998" t="s">
        <v>2051</v>
      </c>
      <c r="B1998" t="s">
        <v>27</v>
      </c>
      <c r="C1998" t="s">
        <v>53</v>
      </c>
      <c r="D1998" t="s">
        <v>17</v>
      </c>
      <c r="F1998" t="s">
        <v>40</v>
      </c>
      <c r="G1998">
        <v>77.34</v>
      </c>
      <c r="H1998">
        <v>0</v>
      </c>
      <c r="I1998">
        <v>77.34</v>
      </c>
      <c r="J1998" s="1">
        <v>45667</v>
      </c>
      <c r="K1998">
        <v>27</v>
      </c>
      <c r="M1998" t="b">
        <v>0</v>
      </c>
    </row>
    <row r="1999" spans="1:14" x14ac:dyDescent="0.25">
      <c r="A1999" t="s">
        <v>2052</v>
      </c>
      <c r="B1999" t="s">
        <v>42</v>
      </c>
      <c r="C1999" t="s">
        <v>16</v>
      </c>
      <c r="D1999" t="s">
        <v>17</v>
      </c>
      <c r="E1999" t="s">
        <v>39</v>
      </c>
      <c r="F1999" t="s">
        <v>64</v>
      </c>
      <c r="G1999">
        <v>122.82</v>
      </c>
      <c r="H1999">
        <v>45.4</v>
      </c>
      <c r="I1999">
        <v>67.06</v>
      </c>
      <c r="J1999" s="1">
        <v>45534</v>
      </c>
      <c r="K1999">
        <v>9</v>
      </c>
      <c r="L1999">
        <v>3.1</v>
      </c>
      <c r="M1999" t="b">
        <v>0</v>
      </c>
    </row>
    <row r="2000" spans="1:14" x14ac:dyDescent="0.25">
      <c r="A2000" t="s">
        <v>2053</v>
      </c>
      <c r="B2000" t="s">
        <v>42</v>
      </c>
      <c r="C2000" t="s">
        <v>43</v>
      </c>
      <c r="D2000" t="s">
        <v>23</v>
      </c>
      <c r="E2000" t="s">
        <v>49</v>
      </c>
      <c r="F2000" t="s">
        <v>44</v>
      </c>
      <c r="G2000">
        <v>103.85</v>
      </c>
      <c r="H2000">
        <v>0</v>
      </c>
      <c r="I2000">
        <v>103.85</v>
      </c>
      <c r="J2000" s="1">
        <v>45875</v>
      </c>
      <c r="K2000">
        <v>26</v>
      </c>
      <c r="L2000">
        <v>3.1</v>
      </c>
      <c r="M2000" t="b">
        <v>0</v>
      </c>
    </row>
    <row r="2001" spans="1:14" x14ac:dyDescent="0.25">
      <c r="A2001" t="s">
        <v>2054</v>
      </c>
      <c r="B2001" t="s">
        <v>38</v>
      </c>
      <c r="C2001" t="s">
        <v>48</v>
      </c>
      <c r="D2001" t="s">
        <v>34</v>
      </c>
      <c r="E2001" t="s">
        <v>49</v>
      </c>
      <c r="F2001" t="s">
        <v>19</v>
      </c>
      <c r="G2001">
        <v>117.73</v>
      </c>
      <c r="H2001">
        <v>41.3</v>
      </c>
      <c r="I2001">
        <v>69.11</v>
      </c>
      <c r="J2001" s="1">
        <v>45875</v>
      </c>
      <c r="K2001">
        <v>8</v>
      </c>
      <c r="M2001" t="b">
        <v>0</v>
      </c>
    </row>
    <row r="2002" spans="1:14" x14ac:dyDescent="0.25">
      <c r="A2002" t="s">
        <v>2055</v>
      </c>
      <c r="B2002" t="s">
        <v>42</v>
      </c>
      <c r="C2002" t="s">
        <v>75</v>
      </c>
      <c r="D2002" t="s">
        <v>34</v>
      </c>
      <c r="E2002" t="s">
        <v>18</v>
      </c>
      <c r="F2002" t="s">
        <v>46</v>
      </c>
      <c r="G2002">
        <v>115.98</v>
      </c>
      <c r="H2002">
        <v>0</v>
      </c>
      <c r="I2002">
        <v>115.98</v>
      </c>
      <c r="J2002" s="1">
        <v>45875</v>
      </c>
      <c r="K2002">
        <v>42</v>
      </c>
      <c r="L2002">
        <v>3.7</v>
      </c>
      <c r="M2002" t="b">
        <v>0</v>
      </c>
    </row>
    <row r="2003" spans="1:14" x14ac:dyDescent="0.25">
      <c r="A2003" t="s">
        <v>2056</v>
      </c>
      <c r="B2003" t="s">
        <v>42</v>
      </c>
      <c r="C2003" t="s">
        <v>16</v>
      </c>
      <c r="D2003" t="s">
        <v>34</v>
      </c>
      <c r="E2003" t="s">
        <v>24</v>
      </c>
      <c r="F2003" t="s">
        <v>64</v>
      </c>
      <c r="G2003">
        <v>175.43</v>
      </c>
      <c r="H2003">
        <v>0</v>
      </c>
      <c r="I2003">
        <v>175.43</v>
      </c>
      <c r="J2003" s="1">
        <v>45875</v>
      </c>
      <c r="K2003">
        <v>3</v>
      </c>
      <c r="L2003">
        <v>1.8</v>
      </c>
      <c r="M2003" t="b">
        <v>1</v>
      </c>
      <c r="N2003" t="s">
        <v>36</v>
      </c>
    </row>
    <row r="2004" spans="1:14" x14ac:dyDescent="0.25">
      <c r="A2004" t="s">
        <v>2057</v>
      </c>
      <c r="B2004" t="s">
        <v>15</v>
      </c>
      <c r="C2004" t="s">
        <v>61</v>
      </c>
      <c r="D2004" t="s">
        <v>17</v>
      </c>
      <c r="E2004" t="s">
        <v>39</v>
      </c>
      <c r="F2004" t="s">
        <v>46</v>
      </c>
      <c r="G2004">
        <v>162.81</v>
      </c>
      <c r="H2004">
        <v>0</v>
      </c>
      <c r="I2004">
        <v>162.81</v>
      </c>
      <c r="J2004" s="1">
        <v>45667</v>
      </c>
      <c r="K2004">
        <v>40</v>
      </c>
      <c r="L2004">
        <v>2.1</v>
      </c>
      <c r="M2004" t="b">
        <v>0</v>
      </c>
    </row>
    <row r="2005" spans="1:14" x14ac:dyDescent="0.25">
      <c r="A2005" t="s">
        <v>2058</v>
      </c>
      <c r="B2005" t="s">
        <v>42</v>
      </c>
      <c r="C2005" t="s">
        <v>22</v>
      </c>
      <c r="D2005" t="s">
        <v>17</v>
      </c>
      <c r="E2005" t="s">
        <v>24</v>
      </c>
      <c r="F2005" t="s">
        <v>66</v>
      </c>
      <c r="G2005">
        <v>146.68</v>
      </c>
      <c r="H2005">
        <v>0</v>
      </c>
      <c r="I2005">
        <v>146.68</v>
      </c>
      <c r="J2005" s="1">
        <v>45511</v>
      </c>
      <c r="K2005">
        <v>8</v>
      </c>
      <c r="M2005" t="b">
        <v>0</v>
      </c>
    </row>
    <row r="2006" spans="1:14" x14ac:dyDescent="0.25">
      <c r="A2006" t="s">
        <v>2059</v>
      </c>
      <c r="B2006" t="s">
        <v>42</v>
      </c>
      <c r="C2006" t="s">
        <v>48</v>
      </c>
      <c r="D2006" t="s">
        <v>34</v>
      </c>
      <c r="E2006" t="s">
        <v>24</v>
      </c>
      <c r="F2006" t="s">
        <v>25</v>
      </c>
      <c r="G2006">
        <v>82.9</v>
      </c>
      <c r="H2006">
        <v>42.2</v>
      </c>
      <c r="I2006">
        <v>47.92</v>
      </c>
      <c r="J2006" s="1">
        <v>45875</v>
      </c>
      <c r="K2006">
        <v>4</v>
      </c>
      <c r="L2006">
        <v>2.1</v>
      </c>
      <c r="M2006" t="b">
        <v>0</v>
      </c>
    </row>
    <row r="2007" spans="1:14" x14ac:dyDescent="0.25">
      <c r="A2007" t="s">
        <v>2060</v>
      </c>
      <c r="B2007" t="s">
        <v>21</v>
      </c>
      <c r="C2007" t="s">
        <v>16</v>
      </c>
      <c r="D2007" t="s">
        <v>34</v>
      </c>
      <c r="E2007" t="s">
        <v>55</v>
      </c>
      <c r="F2007" t="s">
        <v>35</v>
      </c>
      <c r="G2007">
        <v>92.9</v>
      </c>
      <c r="H2007">
        <v>0</v>
      </c>
      <c r="I2007">
        <v>92.9</v>
      </c>
      <c r="J2007" s="1">
        <v>45875</v>
      </c>
      <c r="K2007">
        <v>30</v>
      </c>
      <c r="M2007" t="b">
        <v>0</v>
      </c>
    </row>
    <row r="2008" spans="1:14" x14ac:dyDescent="0.25">
      <c r="A2008" t="s">
        <v>2061</v>
      </c>
      <c r="B2008" t="s">
        <v>42</v>
      </c>
      <c r="C2008" t="s">
        <v>32</v>
      </c>
      <c r="D2008" t="s">
        <v>23</v>
      </c>
      <c r="E2008" t="s">
        <v>49</v>
      </c>
      <c r="F2008" t="s">
        <v>44</v>
      </c>
      <c r="G2008">
        <v>133.88999999999999</v>
      </c>
      <c r="H2008">
        <v>5.7</v>
      </c>
      <c r="I2008">
        <v>126.26</v>
      </c>
      <c r="J2008" s="1">
        <v>45875</v>
      </c>
      <c r="K2008">
        <v>17</v>
      </c>
      <c r="L2008">
        <v>3.4</v>
      </c>
      <c r="M2008" t="b">
        <v>1</v>
      </c>
      <c r="N2008" t="s">
        <v>73</v>
      </c>
    </row>
    <row r="2009" spans="1:14" x14ac:dyDescent="0.25">
      <c r="A2009" t="s">
        <v>2062</v>
      </c>
      <c r="B2009" t="s">
        <v>42</v>
      </c>
      <c r="C2009" t="s">
        <v>53</v>
      </c>
      <c r="D2009" t="s">
        <v>23</v>
      </c>
      <c r="E2009" t="s">
        <v>49</v>
      </c>
      <c r="F2009" t="s">
        <v>56</v>
      </c>
      <c r="G2009">
        <v>89.1</v>
      </c>
      <c r="H2009">
        <v>0</v>
      </c>
      <c r="I2009">
        <v>89.1</v>
      </c>
      <c r="J2009" s="1">
        <v>45875</v>
      </c>
      <c r="K2009">
        <v>8</v>
      </c>
      <c r="L2009">
        <v>2.2000000000000002</v>
      </c>
      <c r="M2009" t="b">
        <v>0</v>
      </c>
    </row>
    <row r="2010" spans="1:14" x14ac:dyDescent="0.25">
      <c r="A2010" t="s">
        <v>2063</v>
      </c>
      <c r="B2010" t="s">
        <v>15</v>
      </c>
      <c r="C2010" t="s">
        <v>32</v>
      </c>
      <c r="D2010" t="s">
        <v>23</v>
      </c>
      <c r="E2010" t="s">
        <v>18</v>
      </c>
      <c r="F2010" t="s">
        <v>56</v>
      </c>
      <c r="G2010">
        <v>175.62</v>
      </c>
      <c r="H2010">
        <v>3.2</v>
      </c>
      <c r="I2010">
        <v>170</v>
      </c>
      <c r="J2010" s="1">
        <v>45875</v>
      </c>
      <c r="K2010">
        <v>46</v>
      </c>
      <c r="M2010" t="b">
        <v>0</v>
      </c>
    </row>
    <row r="2011" spans="1:14" x14ac:dyDescent="0.25">
      <c r="A2011" t="s">
        <v>2064</v>
      </c>
      <c r="B2011" t="s">
        <v>42</v>
      </c>
      <c r="C2011" t="s">
        <v>48</v>
      </c>
      <c r="D2011" t="s">
        <v>62</v>
      </c>
      <c r="E2011" t="s">
        <v>24</v>
      </c>
      <c r="F2011" t="s">
        <v>28</v>
      </c>
      <c r="G2011">
        <v>154.02000000000001</v>
      </c>
      <c r="H2011">
        <v>0</v>
      </c>
      <c r="I2011">
        <v>154.02000000000001</v>
      </c>
      <c r="J2011" s="1">
        <v>45875</v>
      </c>
      <c r="K2011">
        <v>21</v>
      </c>
      <c r="L2011">
        <v>3.3</v>
      </c>
      <c r="M2011" t="b">
        <v>0</v>
      </c>
    </row>
    <row r="2012" spans="1:14" x14ac:dyDescent="0.25">
      <c r="A2012" t="s">
        <v>2065</v>
      </c>
      <c r="B2012" t="s">
        <v>15</v>
      </c>
      <c r="C2012" t="s">
        <v>16</v>
      </c>
      <c r="D2012" t="s">
        <v>34</v>
      </c>
      <c r="E2012" t="s">
        <v>39</v>
      </c>
      <c r="F2012" t="s">
        <v>56</v>
      </c>
      <c r="G2012">
        <v>215.1</v>
      </c>
      <c r="H2012">
        <v>0</v>
      </c>
      <c r="I2012">
        <v>215.1</v>
      </c>
      <c r="J2012" s="1">
        <v>45875</v>
      </c>
      <c r="K2012">
        <v>16</v>
      </c>
      <c r="L2012">
        <v>2.5</v>
      </c>
      <c r="M2012" t="b">
        <v>0</v>
      </c>
    </row>
    <row r="2013" spans="1:14" x14ac:dyDescent="0.25">
      <c r="A2013" t="s">
        <v>2066</v>
      </c>
      <c r="B2013" t="s">
        <v>21</v>
      </c>
      <c r="C2013" t="s">
        <v>53</v>
      </c>
      <c r="D2013" t="s">
        <v>34</v>
      </c>
      <c r="E2013" t="s">
        <v>58</v>
      </c>
      <c r="F2013" t="s">
        <v>70</v>
      </c>
      <c r="G2013">
        <v>40.28</v>
      </c>
      <c r="H2013">
        <v>0</v>
      </c>
      <c r="I2013">
        <v>40.28</v>
      </c>
      <c r="J2013" s="1">
        <v>45875</v>
      </c>
      <c r="K2013">
        <v>35</v>
      </c>
      <c r="L2013">
        <v>3.8</v>
      </c>
      <c r="M2013" t="b">
        <v>0</v>
      </c>
    </row>
    <row r="2014" spans="1:14" x14ac:dyDescent="0.25">
      <c r="A2014" t="s">
        <v>2067</v>
      </c>
      <c r="B2014" t="s">
        <v>27</v>
      </c>
      <c r="C2014" t="s">
        <v>75</v>
      </c>
      <c r="D2014" t="s">
        <v>34</v>
      </c>
      <c r="F2014" t="s">
        <v>40</v>
      </c>
      <c r="G2014">
        <v>25.95</v>
      </c>
      <c r="H2014">
        <v>18.8</v>
      </c>
      <c r="I2014">
        <v>21.07</v>
      </c>
      <c r="J2014" s="1">
        <v>45875</v>
      </c>
      <c r="K2014">
        <v>1</v>
      </c>
      <c r="L2014">
        <v>4</v>
      </c>
      <c r="M2014" t="b">
        <v>0</v>
      </c>
    </row>
    <row r="2015" spans="1:14" x14ac:dyDescent="0.25">
      <c r="A2015" t="s">
        <v>2068</v>
      </c>
      <c r="B2015" t="s">
        <v>27</v>
      </c>
      <c r="C2015" t="s">
        <v>22</v>
      </c>
      <c r="D2015" t="s">
        <v>34</v>
      </c>
      <c r="F2015" t="s">
        <v>64</v>
      </c>
      <c r="G2015">
        <v>21.26</v>
      </c>
      <c r="H2015">
        <v>50.7</v>
      </c>
      <c r="I2015">
        <v>10.48</v>
      </c>
      <c r="J2015" s="1">
        <v>45875</v>
      </c>
      <c r="K2015">
        <v>39</v>
      </c>
      <c r="L2015">
        <v>4.3</v>
      </c>
      <c r="M2015" t="b">
        <v>0</v>
      </c>
    </row>
    <row r="2016" spans="1:14" x14ac:dyDescent="0.25">
      <c r="A2016" t="s">
        <v>2069</v>
      </c>
      <c r="B2016" t="s">
        <v>42</v>
      </c>
      <c r="C2016" t="s">
        <v>16</v>
      </c>
      <c r="D2016" t="s">
        <v>17</v>
      </c>
      <c r="E2016" t="s">
        <v>55</v>
      </c>
      <c r="F2016" t="s">
        <v>44</v>
      </c>
      <c r="G2016">
        <v>146.07</v>
      </c>
      <c r="H2016">
        <v>0</v>
      </c>
      <c r="I2016">
        <v>146.07</v>
      </c>
      <c r="J2016" s="1">
        <v>45847</v>
      </c>
      <c r="K2016">
        <v>33</v>
      </c>
      <c r="L2016">
        <v>3.7</v>
      </c>
      <c r="M2016" t="b">
        <v>0</v>
      </c>
    </row>
    <row r="2017" spans="1:14" x14ac:dyDescent="0.25">
      <c r="A2017" t="s">
        <v>2070</v>
      </c>
      <c r="B2017" t="s">
        <v>42</v>
      </c>
      <c r="C2017" t="s">
        <v>53</v>
      </c>
      <c r="D2017" t="s">
        <v>17</v>
      </c>
      <c r="E2017" t="s">
        <v>39</v>
      </c>
      <c r="F2017" t="s">
        <v>40</v>
      </c>
      <c r="G2017">
        <v>135.97</v>
      </c>
      <c r="H2017">
        <v>0</v>
      </c>
      <c r="I2017">
        <v>135.97</v>
      </c>
      <c r="J2017" s="1">
        <v>45545</v>
      </c>
      <c r="K2017">
        <v>30</v>
      </c>
      <c r="L2017">
        <v>1.1000000000000001</v>
      </c>
      <c r="M2017" t="b">
        <v>0</v>
      </c>
    </row>
    <row r="2018" spans="1:14" x14ac:dyDescent="0.25">
      <c r="A2018" t="s">
        <v>2071</v>
      </c>
      <c r="B2018" t="s">
        <v>30</v>
      </c>
      <c r="C2018" t="s">
        <v>16</v>
      </c>
      <c r="D2018" t="s">
        <v>17</v>
      </c>
      <c r="E2018" t="s">
        <v>24</v>
      </c>
      <c r="F2018" t="s">
        <v>46</v>
      </c>
      <c r="G2018">
        <v>84.88</v>
      </c>
      <c r="H2018">
        <v>7.4</v>
      </c>
      <c r="I2018">
        <v>78.599999999999994</v>
      </c>
      <c r="J2018" s="1">
        <v>45742</v>
      </c>
      <c r="K2018">
        <v>42</v>
      </c>
      <c r="L2018">
        <v>3.4</v>
      </c>
      <c r="M2018" t="b">
        <v>0</v>
      </c>
    </row>
    <row r="2019" spans="1:14" x14ac:dyDescent="0.25">
      <c r="A2019" t="s">
        <v>2072</v>
      </c>
      <c r="B2019" t="s">
        <v>30</v>
      </c>
      <c r="C2019" t="s">
        <v>48</v>
      </c>
      <c r="D2019" t="s">
        <v>23</v>
      </c>
      <c r="E2019" t="s">
        <v>55</v>
      </c>
      <c r="F2019" t="s">
        <v>56</v>
      </c>
      <c r="G2019">
        <v>159.25</v>
      </c>
      <c r="H2019">
        <v>5.5</v>
      </c>
      <c r="I2019">
        <v>150.49</v>
      </c>
      <c r="J2019" s="1">
        <v>45875</v>
      </c>
      <c r="K2019">
        <v>8</v>
      </c>
      <c r="M2019" t="b">
        <v>0</v>
      </c>
    </row>
    <row r="2020" spans="1:14" x14ac:dyDescent="0.25">
      <c r="A2020" t="s">
        <v>2073</v>
      </c>
      <c r="B2020" t="s">
        <v>38</v>
      </c>
      <c r="C2020" t="s">
        <v>53</v>
      </c>
      <c r="D2020" t="s">
        <v>23</v>
      </c>
      <c r="E2020" t="s">
        <v>58</v>
      </c>
      <c r="F2020" t="s">
        <v>70</v>
      </c>
      <c r="G2020">
        <v>84.29</v>
      </c>
      <c r="H2020">
        <v>0</v>
      </c>
      <c r="I2020">
        <v>84.29</v>
      </c>
      <c r="J2020" s="1">
        <v>45875</v>
      </c>
      <c r="K2020">
        <v>4</v>
      </c>
      <c r="L2020">
        <v>2.8</v>
      </c>
      <c r="M2020" t="b">
        <v>0</v>
      </c>
    </row>
    <row r="2021" spans="1:14" x14ac:dyDescent="0.25">
      <c r="A2021" t="s">
        <v>2074</v>
      </c>
      <c r="B2021" t="s">
        <v>27</v>
      </c>
      <c r="C2021" t="s">
        <v>75</v>
      </c>
      <c r="D2021" t="s">
        <v>23</v>
      </c>
      <c r="F2021" t="s">
        <v>19</v>
      </c>
      <c r="G2021">
        <v>38.86</v>
      </c>
      <c r="H2021">
        <v>0</v>
      </c>
      <c r="I2021">
        <v>38.86</v>
      </c>
      <c r="J2021" s="1">
        <v>45875</v>
      </c>
      <c r="K2021">
        <v>44</v>
      </c>
      <c r="M2021" t="b">
        <v>0</v>
      </c>
    </row>
    <row r="2022" spans="1:14" x14ac:dyDescent="0.25">
      <c r="A2022" t="s">
        <v>2075</v>
      </c>
      <c r="B2022" t="s">
        <v>21</v>
      </c>
      <c r="C2022" t="s">
        <v>32</v>
      </c>
      <c r="D2022" t="s">
        <v>62</v>
      </c>
      <c r="E2022" t="s">
        <v>58</v>
      </c>
      <c r="F2022" t="s">
        <v>44</v>
      </c>
      <c r="G2022">
        <v>38.72</v>
      </c>
      <c r="H2022">
        <v>0</v>
      </c>
      <c r="I2022">
        <v>38.72</v>
      </c>
      <c r="J2022" s="1">
        <v>45875</v>
      </c>
      <c r="K2022">
        <v>35</v>
      </c>
      <c r="L2022">
        <v>4</v>
      </c>
      <c r="M2022" t="b">
        <v>0</v>
      </c>
    </row>
    <row r="2023" spans="1:14" x14ac:dyDescent="0.25">
      <c r="A2023" t="s">
        <v>2076</v>
      </c>
      <c r="B2023" t="s">
        <v>42</v>
      </c>
      <c r="C2023" t="s">
        <v>16</v>
      </c>
      <c r="D2023" t="s">
        <v>23</v>
      </c>
      <c r="E2023" t="s">
        <v>55</v>
      </c>
      <c r="F2023" t="s">
        <v>28</v>
      </c>
      <c r="G2023">
        <v>177.1</v>
      </c>
      <c r="H2023">
        <v>0</v>
      </c>
      <c r="I2023">
        <v>177.1</v>
      </c>
      <c r="J2023" s="1">
        <v>45875</v>
      </c>
      <c r="K2023">
        <v>49</v>
      </c>
      <c r="L2023">
        <v>1.6</v>
      </c>
      <c r="M2023" t="b">
        <v>0</v>
      </c>
    </row>
    <row r="2024" spans="1:14" x14ac:dyDescent="0.25">
      <c r="A2024" t="s">
        <v>2077</v>
      </c>
      <c r="B2024" t="s">
        <v>38</v>
      </c>
      <c r="C2024" t="s">
        <v>75</v>
      </c>
      <c r="D2024" t="s">
        <v>17</v>
      </c>
      <c r="E2024" t="s">
        <v>55</v>
      </c>
      <c r="F2024" t="s">
        <v>40</v>
      </c>
      <c r="G2024">
        <v>31.49</v>
      </c>
      <c r="H2024">
        <v>0</v>
      </c>
      <c r="I2024">
        <v>31.49</v>
      </c>
      <c r="J2024" s="1">
        <v>45584</v>
      </c>
      <c r="K2024">
        <v>28</v>
      </c>
      <c r="M2024" t="b">
        <v>0</v>
      </c>
    </row>
    <row r="2025" spans="1:14" x14ac:dyDescent="0.25">
      <c r="A2025" t="s">
        <v>2078</v>
      </c>
      <c r="B2025" t="s">
        <v>21</v>
      </c>
      <c r="C2025" t="s">
        <v>22</v>
      </c>
      <c r="D2025" t="s">
        <v>62</v>
      </c>
      <c r="F2025" t="s">
        <v>25</v>
      </c>
      <c r="G2025">
        <v>118.14</v>
      </c>
      <c r="H2025">
        <v>0</v>
      </c>
      <c r="I2025">
        <v>118.14</v>
      </c>
      <c r="J2025" s="1">
        <v>45875</v>
      </c>
      <c r="K2025">
        <v>33</v>
      </c>
      <c r="L2025">
        <v>2.4</v>
      </c>
      <c r="M2025" t="b">
        <v>0</v>
      </c>
    </row>
    <row r="2026" spans="1:14" x14ac:dyDescent="0.25">
      <c r="A2026" t="s">
        <v>2079</v>
      </c>
      <c r="B2026" t="s">
        <v>21</v>
      </c>
      <c r="C2026" t="s">
        <v>61</v>
      </c>
      <c r="D2026" t="s">
        <v>17</v>
      </c>
      <c r="E2026" t="s">
        <v>39</v>
      </c>
      <c r="F2026" t="s">
        <v>46</v>
      </c>
      <c r="G2026">
        <v>26.51</v>
      </c>
      <c r="H2026">
        <v>24</v>
      </c>
      <c r="I2026">
        <v>20.149999999999999</v>
      </c>
      <c r="J2026" s="1">
        <v>45801</v>
      </c>
      <c r="K2026">
        <v>1</v>
      </c>
      <c r="L2026">
        <v>4.7</v>
      </c>
      <c r="M2026" t="b">
        <v>0</v>
      </c>
    </row>
    <row r="2027" spans="1:14" x14ac:dyDescent="0.25">
      <c r="A2027" t="s">
        <v>2080</v>
      </c>
      <c r="B2027" t="s">
        <v>21</v>
      </c>
      <c r="C2027" t="s">
        <v>75</v>
      </c>
      <c r="D2027" t="s">
        <v>34</v>
      </c>
      <c r="E2027" t="s">
        <v>24</v>
      </c>
      <c r="F2027" t="s">
        <v>44</v>
      </c>
      <c r="G2027">
        <v>29.61</v>
      </c>
      <c r="H2027">
        <v>0</v>
      </c>
      <c r="I2027">
        <v>29.61</v>
      </c>
      <c r="J2027" s="1">
        <v>45875</v>
      </c>
      <c r="K2027">
        <v>9</v>
      </c>
      <c r="L2027">
        <v>1</v>
      </c>
      <c r="M2027" t="b">
        <v>0</v>
      </c>
    </row>
    <row r="2028" spans="1:14" x14ac:dyDescent="0.25">
      <c r="A2028" t="s">
        <v>2081</v>
      </c>
      <c r="B2028" t="s">
        <v>15</v>
      </c>
      <c r="C2028" t="s">
        <v>53</v>
      </c>
      <c r="D2028" t="s">
        <v>62</v>
      </c>
      <c r="E2028" t="s">
        <v>39</v>
      </c>
      <c r="F2028" t="s">
        <v>40</v>
      </c>
      <c r="G2028">
        <v>244.13</v>
      </c>
      <c r="H2028">
        <v>0</v>
      </c>
      <c r="I2028">
        <v>244.13</v>
      </c>
      <c r="J2028" s="1">
        <v>45875</v>
      </c>
      <c r="K2028">
        <v>2</v>
      </c>
      <c r="L2028">
        <v>3.5</v>
      </c>
      <c r="M2028" t="b">
        <v>1</v>
      </c>
      <c r="N2028" t="s">
        <v>73</v>
      </c>
    </row>
    <row r="2029" spans="1:14" x14ac:dyDescent="0.25">
      <c r="A2029" t="s">
        <v>2082</v>
      </c>
      <c r="B2029" t="s">
        <v>27</v>
      </c>
      <c r="C2029" t="s">
        <v>61</v>
      </c>
      <c r="D2029" t="s">
        <v>17</v>
      </c>
      <c r="F2029" t="s">
        <v>35</v>
      </c>
      <c r="G2029">
        <v>16.54</v>
      </c>
      <c r="H2029">
        <v>0</v>
      </c>
      <c r="I2029">
        <v>16.54</v>
      </c>
      <c r="J2029" s="1">
        <v>45773</v>
      </c>
      <c r="K2029">
        <v>30</v>
      </c>
      <c r="M2029" t="b">
        <v>0</v>
      </c>
    </row>
    <row r="2030" spans="1:14" x14ac:dyDescent="0.25">
      <c r="A2030" t="s">
        <v>2083</v>
      </c>
      <c r="B2030" t="s">
        <v>21</v>
      </c>
      <c r="C2030" t="s">
        <v>16</v>
      </c>
      <c r="D2030" t="s">
        <v>34</v>
      </c>
      <c r="E2030" t="s">
        <v>39</v>
      </c>
      <c r="F2030" t="s">
        <v>35</v>
      </c>
      <c r="G2030">
        <v>100.98</v>
      </c>
      <c r="H2030">
        <v>0</v>
      </c>
      <c r="I2030">
        <v>100.98</v>
      </c>
      <c r="J2030" s="1">
        <v>45875</v>
      </c>
      <c r="K2030">
        <v>41</v>
      </c>
      <c r="M2030" t="b">
        <v>0</v>
      </c>
    </row>
    <row r="2031" spans="1:14" x14ac:dyDescent="0.25">
      <c r="A2031" t="s">
        <v>2084</v>
      </c>
      <c r="B2031" t="s">
        <v>15</v>
      </c>
      <c r="C2031" t="s">
        <v>22</v>
      </c>
      <c r="D2031" t="s">
        <v>23</v>
      </c>
      <c r="F2031" t="s">
        <v>40</v>
      </c>
      <c r="G2031">
        <v>175.42</v>
      </c>
      <c r="H2031">
        <v>0</v>
      </c>
      <c r="I2031">
        <v>175.42</v>
      </c>
      <c r="J2031" s="1">
        <v>45875</v>
      </c>
      <c r="K2031">
        <v>5</v>
      </c>
      <c r="L2031">
        <v>3.6</v>
      </c>
      <c r="M2031" t="b">
        <v>0</v>
      </c>
    </row>
    <row r="2032" spans="1:14" x14ac:dyDescent="0.25">
      <c r="A2032" t="s">
        <v>2085</v>
      </c>
      <c r="B2032" t="s">
        <v>42</v>
      </c>
      <c r="C2032" t="s">
        <v>53</v>
      </c>
      <c r="D2032" t="s">
        <v>17</v>
      </c>
      <c r="E2032" t="s">
        <v>49</v>
      </c>
      <c r="F2032" t="s">
        <v>25</v>
      </c>
      <c r="G2032">
        <v>133.15</v>
      </c>
      <c r="H2032">
        <v>20.3</v>
      </c>
      <c r="I2032">
        <v>106.12</v>
      </c>
      <c r="J2032" s="1">
        <v>45811</v>
      </c>
      <c r="K2032">
        <v>9</v>
      </c>
      <c r="L2032">
        <v>3.2</v>
      </c>
      <c r="M2032" t="b">
        <v>0</v>
      </c>
    </row>
    <row r="2033" spans="1:14" x14ac:dyDescent="0.25">
      <c r="A2033" t="s">
        <v>2086</v>
      </c>
      <c r="B2033" t="s">
        <v>42</v>
      </c>
      <c r="C2033" t="s">
        <v>22</v>
      </c>
      <c r="D2033" t="s">
        <v>34</v>
      </c>
      <c r="F2033" t="s">
        <v>25</v>
      </c>
      <c r="G2033">
        <v>94.21</v>
      </c>
      <c r="H2033">
        <v>44.7</v>
      </c>
      <c r="I2033">
        <v>52.1</v>
      </c>
      <c r="J2033" s="1">
        <v>45875</v>
      </c>
      <c r="K2033">
        <v>48</v>
      </c>
      <c r="L2033">
        <v>4.3</v>
      </c>
      <c r="M2033" t="b">
        <v>0</v>
      </c>
    </row>
    <row r="2034" spans="1:14" x14ac:dyDescent="0.25">
      <c r="A2034" t="s">
        <v>2087</v>
      </c>
      <c r="B2034" t="s">
        <v>21</v>
      </c>
      <c r="C2034" t="s">
        <v>75</v>
      </c>
      <c r="D2034" t="s">
        <v>23</v>
      </c>
      <c r="E2034" t="s">
        <v>58</v>
      </c>
      <c r="F2034" t="s">
        <v>25</v>
      </c>
      <c r="G2034">
        <v>115.44</v>
      </c>
      <c r="H2034">
        <v>0</v>
      </c>
      <c r="I2034">
        <v>115.44</v>
      </c>
      <c r="J2034" s="1">
        <v>45875</v>
      </c>
      <c r="K2034">
        <v>21</v>
      </c>
      <c r="L2034">
        <v>1.2</v>
      </c>
      <c r="M2034" t="b">
        <v>0</v>
      </c>
    </row>
    <row r="2035" spans="1:14" x14ac:dyDescent="0.25">
      <c r="A2035" t="s">
        <v>2088</v>
      </c>
      <c r="B2035" t="s">
        <v>15</v>
      </c>
      <c r="C2035" t="s">
        <v>16</v>
      </c>
      <c r="D2035" t="s">
        <v>17</v>
      </c>
      <c r="E2035" t="s">
        <v>39</v>
      </c>
      <c r="F2035" t="s">
        <v>35</v>
      </c>
      <c r="G2035">
        <v>194.39</v>
      </c>
      <c r="H2035">
        <v>26.5</v>
      </c>
      <c r="I2035">
        <v>142.88</v>
      </c>
      <c r="J2035" s="1">
        <v>45762</v>
      </c>
      <c r="K2035">
        <v>12</v>
      </c>
      <c r="L2035">
        <v>1.2</v>
      </c>
      <c r="M2035" t="b">
        <v>0</v>
      </c>
    </row>
    <row r="2036" spans="1:14" x14ac:dyDescent="0.25">
      <c r="A2036" t="s">
        <v>2089</v>
      </c>
      <c r="B2036" t="s">
        <v>30</v>
      </c>
      <c r="C2036" t="s">
        <v>32</v>
      </c>
      <c r="D2036" t="s">
        <v>17</v>
      </c>
      <c r="E2036" t="s">
        <v>24</v>
      </c>
      <c r="F2036" t="s">
        <v>35</v>
      </c>
      <c r="G2036">
        <v>132.38999999999999</v>
      </c>
      <c r="H2036">
        <v>27.6</v>
      </c>
      <c r="I2036">
        <v>95.85</v>
      </c>
      <c r="J2036" s="1">
        <v>45596</v>
      </c>
      <c r="K2036">
        <v>16</v>
      </c>
      <c r="M2036" t="b">
        <v>0</v>
      </c>
    </row>
    <row r="2037" spans="1:14" x14ac:dyDescent="0.25">
      <c r="A2037" t="s">
        <v>2090</v>
      </c>
      <c r="B2037" t="s">
        <v>27</v>
      </c>
      <c r="C2037" t="s">
        <v>22</v>
      </c>
      <c r="D2037" t="s">
        <v>17</v>
      </c>
      <c r="F2037" t="s">
        <v>19</v>
      </c>
      <c r="G2037">
        <v>52.54</v>
      </c>
      <c r="H2037">
        <v>14.6</v>
      </c>
      <c r="I2037">
        <v>44.87</v>
      </c>
      <c r="J2037" s="1">
        <v>45552</v>
      </c>
      <c r="K2037">
        <v>7</v>
      </c>
      <c r="L2037">
        <v>1.4</v>
      </c>
      <c r="M2037" t="b">
        <v>0</v>
      </c>
    </row>
    <row r="2038" spans="1:14" x14ac:dyDescent="0.25">
      <c r="A2038" t="s">
        <v>2091</v>
      </c>
      <c r="B2038" t="s">
        <v>42</v>
      </c>
      <c r="C2038" t="s">
        <v>22</v>
      </c>
      <c r="D2038" t="s">
        <v>17</v>
      </c>
      <c r="E2038" t="s">
        <v>18</v>
      </c>
      <c r="F2038" t="s">
        <v>28</v>
      </c>
      <c r="G2038">
        <v>165.01</v>
      </c>
      <c r="H2038">
        <v>41.2</v>
      </c>
      <c r="I2038">
        <v>97.03</v>
      </c>
      <c r="J2038" s="1">
        <v>45584</v>
      </c>
      <c r="K2038">
        <v>22</v>
      </c>
      <c r="M2038" t="b">
        <v>0</v>
      </c>
    </row>
    <row r="2039" spans="1:14" x14ac:dyDescent="0.25">
      <c r="A2039" t="s">
        <v>2092</v>
      </c>
      <c r="B2039" t="s">
        <v>27</v>
      </c>
      <c r="C2039" t="s">
        <v>53</v>
      </c>
      <c r="D2039" t="s">
        <v>17</v>
      </c>
      <c r="F2039" t="s">
        <v>66</v>
      </c>
      <c r="G2039">
        <v>42.94</v>
      </c>
      <c r="H2039">
        <v>34.299999999999997</v>
      </c>
      <c r="I2039">
        <v>28.21</v>
      </c>
      <c r="J2039" s="1">
        <v>45648</v>
      </c>
      <c r="K2039">
        <v>41</v>
      </c>
      <c r="M2039" t="b">
        <v>0</v>
      </c>
    </row>
    <row r="2040" spans="1:14" x14ac:dyDescent="0.25">
      <c r="A2040" t="s">
        <v>2093</v>
      </c>
      <c r="B2040" t="s">
        <v>21</v>
      </c>
      <c r="C2040" t="s">
        <v>22</v>
      </c>
      <c r="D2040" t="s">
        <v>34</v>
      </c>
      <c r="E2040" t="s">
        <v>18</v>
      </c>
      <c r="F2040" t="s">
        <v>56</v>
      </c>
      <c r="G2040">
        <v>72.78</v>
      </c>
      <c r="H2040">
        <v>0</v>
      </c>
      <c r="I2040">
        <v>72.78</v>
      </c>
      <c r="J2040" s="1">
        <v>45875</v>
      </c>
      <c r="K2040">
        <v>49</v>
      </c>
      <c r="L2040">
        <v>3.1</v>
      </c>
      <c r="M2040" t="b">
        <v>0</v>
      </c>
    </row>
    <row r="2041" spans="1:14" x14ac:dyDescent="0.25">
      <c r="A2041" t="s">
        <v>2094</v>
      </c>
      <c r="B2041" t="s">
        <v>30</v>
      </c>
      <c r="C2041" t="s">
        <v>22</v>
      </c>
      <c r="D2041" t="s">
        <v>34</v>
      </c>
      <c r="E2041" t="s">
        <v>39</v>
      </c>
      <c r="F2041" t="s">
        <v>19</v>
      </c>
      <c r="G2041">
        <v>189.32</v>
      </c>
      <c r="H2041">
        <v>0</v>
      </c>
      <c r="I2041">
        <v>189.32</v>
      </c>
      <c r="J2041" s="1">
        <v>45875</v>
      </c>
      <c r="K2041">
        <v>35</v>
      </c>
      <c r="L2041">
        <v>2.5</v>
      </c>
      <c r="M2041" t="b">
        <v>0</v>
      </c>
    </row>
    <row r="2042" spans="1:14" x14ac:dyDescent="0.25">
      <c r="A2042" t="s">
        <v>2095</v>
      </c>
      <c r="B2042" t="s">
        <v>42</v>
      </c>
      <c r="C2042" t="s">
        <v>53</v>
      </c>
      <c r="D2042" t="s">
        <v>62</v>
      </c>
      <c r="E2042" t="s">
        <v>18</v>
      </c>
      <c r="F2042" t="s">
        <v>35</v>
      </c>
      <c r="G2042">
        <v>157</v>
      </c>
      <c r="H2042">
        <v>55.7</v>
      </c>
      <c r="I2042">
        <v>69.55</v>
      </c>
      <c r="J2042" s="1">
        <v>45875</v>
      </c>
      <c r="K2042">
        <v>6</v>
      </c>
      <c r="L2042">
        <v>2.1</v>
      </c>
      <c r="M2042" t="b">
        <v>0</v>
      </c>
    </row>
    <row r="2043" spans="1:14" x14ac:dyDescent="0.25">
      <c r="A2043" t="s">
        <v>2096</v>
      </c>
      <c r="B2043" t="s">
        <v>21</v>
      </c>
      <c r="C2043" t="s">
        <v>61</v>
      </c>
      <c r="D2043" t="s">
        <v>17</v>
      </c>
      <c r="E2043" t="s">
        <v>39</v>
      </c>
      <c r="F2043" t="s">
        <v>66</v>
      </c>
      <c r="G2043">
        <v>28.73</v>
      </c>
      <c r="H2043">
        <v>26.4</v>
      </c>
      <c r="I2043">
        <v>21.15</v>
      </c>
      <c r="J2043" s="1">
        <v>45575</v>
      </c>
      <c r="K2043">
        <v>47</v>
      </c>
      <c r="L2043">
        <v>2.2999999999999998</v>
      </c>
      <c r="M2043" t="b">
        <v>1</v>
      </c>
      <c r="N2043" t="s">
        <v>73</v>
      </c>
    </row>
    <row r="2044" spans="1:14" x14ac:dyDescent="0.25">
      <c r="A2044" t="s">
        <v>2097</v>
      </c>
      <c r="B2044" t="s">
        <v>15</v>
      </c>
      <c r="C2044" t="s">
        <v>75</v>
      </c>
      <c r="D2044" t="s">
        <v>23</v>
      </c>
      <c r="E2044" t="s">
        <v>24</v>
      </c>
      <c r="F2044" t="s">
        <v>40</v>
      </c>
      <c r="G2044">
        <v>144.63999999999999</v>
      </c>
      <c r="H2044">
        <v>0</v>
      </c>
      <c r="I2044">
        <v>144.63999999999999</v>
      </c>
      <c r="J2044" s="1">
        <v>45875</v>
      </c>
      <c r="K2044">
        <v>0</v>
      </c>
      <c r="L2044">
        <v>4.5</v>
      </c>
      <c r="M2044" t="b">
        <v>0</v>
      </c>
    </row>
    <row r="2045" spans="1:14" x14ac:dyDescent="0.25">
      <c r="A2045" t="s">
        <v>2098</v>
      </c>
      <c r="B2045" t="s">
        <v>30</v>
      </c>
      <c r="C2045" t="s">
        <v>32</v>
      </c>
      <c r="D2045" t="s">
        <v>34</v>
      </c>
      <c r="E2045" t="s">
        <v>24</v>
      </c>
      <c r="F2045" t="s">
        <v>44</v>
      </c>
      <c r="G2045">
        <v>180.99</v>
      </c>
      <c r="H2045">
        <v>0</v>
      </c>
      <c r="I2045">
        <v>180.99</v>
      </c>
      <c r="J2045" s="1">
        <v>45875</v>
      </c>
      <c r="K2045">
        <v>0</v>
      </c>
      <c r="L2045">
        <v>4.5</v>
      </c>
      <c r="M2045" t="b">
        <v>0</v>
      </c>
    </row>
    <row r="2046" spans="1:14" x14ac:dyDescent="0.25">
      <c r="A2046" t="s">
        <v>2099</v>
      </c>
      <c r="B2046" t="s">
        <v>21</v>
      </c>
      <c r="C2046" t="s">
        <v>53</v>
      </c>
      <c r="D2046" t="s">
        <v>34</v>
      </c>
      <c r="E2046" t="s">
        <v>58</v>
      </c>
      <c r="F2046" t="s">
        <v>46</v>
      </c>
      <c r="G2046">
        <v>74.959999999999994</v>
      </c>
      <c r="H2046">
        <v>56.1</v>
      </c>
      <c r="I2046">
        <v>32.909999999999997</v>
      </c>
      <c r="J2046" s="1">
        <v>45875</v>
      </c>
      <c r="K2046">
        <v>16</v>
      </c>
      <c r="M2046" t="b">
        <v>1</v>
      </c>
      <c r="N2046" t="s">
        <v>125</v>
      </c>
    </row>
    <row r="2047" spans="1:14" x14ac:dyDescent="0.25">
      <c r="A2047" t="s">
        <v>2100</v>
      </c>
      <c r="B2047" t="s">
        <v>42</v>
      </c>
      <c r="C2047" t="s">
        <v>53</v>
      </c>
      <c r="D2047" t="s">
        <v>34</v>
      </c>
      <c r="E2047" t="s">
        <v>49</v>
      </c>
      <c r="F2047" t="s">
        <v>64</v>
      </c>
      <c r="G2047">
        <v>63.46</v>
      </c>
      <c r="H2047">
        <v>0</v>
      </c>
      <c r="I2047">
        <v>63.46</v>
      </c>
      <c r="J2047" s="1">
        <v>45875</v>
      </c>
      <c r="K2047">
        <v>36</v>
      </c>
      <c r="L2047">
        <v>1.2</v>
      </c>
      <c r="M2047" t="b">
        <v>0</v>
      </c>
    </row>
    <row r="2048" spans="1:14" x14ac:dyDescent="0.25">
      <c r="A2048" t="s">
        <v>2101</v>
      </c>
      <c r="B2048" t="s">
        <v>30</v>
      </c>
      <c r="C2048" t="s">
        <v>43</v>
      </c>
      <c r="D2048" t="s">
        <v>17</v>
      </c>
      <c r="E2048" t="s">
        <v>39</v>
      </c>
      <c r="F2048" t="s">
        <v>28</v>
      </c>
      <c r="G2048">
        <v>105.95</v>
      </c>
      <c r="H2048">
        <v>31.6</v>
      </c>
      <c r="I2048">
        <v>72.47</v>
      </c>
      <c r="J2048" s="1">
        <v>45748</v>
      </c>
      <c r="K2048">
        <v>38</v>
      </c>
      <c r="L2048">
        <v>3.5</v>
      </c>
      <c r="M2048" t="b">
        <v>0</v>
      </c>
    </row>
    <row r="2049" spans="1:14" x14ac:dyDescent="0.25">
      <c r="A2049" t="s">
        <v>2102</v>
      </c>
      <c r="B2049" t="s">
        <v>42</v>
      </c>
      <c r="C2049" t="s">
        <v>43</v>
      </c>
      <c r="D2049" t="s">
        <v>62</v>
      </c>
      <c r="E2049" t="s">
        <v>39</v>
      </c>
      <c r="F2049" t="s">
        <v>64</v>
      </c>
      <c r="G2049">
        <v>86.55</v>
      </c>
      <c r="H2049">
        <v>24.5</v>
      </c>
      <c r="I2049">
        <v>65.349999999999994</v>
      </c>
      <c r="J2049" s="1">
        <v>45875</v>
      </c>
      <c r="K2049">
        <v>40</v>
      </c>
      <c r="L2049">
        <v>3.5</v>
      </c>
      <c r="M2049" t="b">
        <v>0</v>
      </c>
    </row>
    <row r="2050" spans="1:14" x14ac:dyDescent="0.25">
      <c r="A2050" t="s">
        <v>2103</v>
      </c>
      <c r="B2050" t="s">
        <v>38</v>
      </c>
      <c r="C2050" t="s">
        <v>61</v>
      </c>
      <c r="D2050" t="s">
        <v>34</v>
      </c>
      <c r="E2050" t="s">
        <v>58</v>
      </c>
      <c r="F2050" t="s">
        <v>64</v>
      </c>
      <c r="G2050">
        <v>90.97</v>
      </c>
      <c r="H2050">
        <v>10.8</v>
      </c>
      <c r="I2050">
        <v>81.150000000000006</v>
      </c>
      <c r="J2050" s="1">
        <v>45875</v>
      </c>
      <c r="K2050">
        <v>33</v>
      </c>
      <c r="L2050">
        <v>2.2000000000000002</v>
      </c>
      <c r="M2050" t="b">
        <v>1</v>
      </c>
      <c r="N2050" t="s">
        <v>78</v>
      </c>
    </row>
    <row r="2051" spans="1:14" x14ac:dyDescent="0.25">
      <c r="A2051" t="s">
        <v>2104</v>
      </c>
      <c r="B2051" t="s">
        <v>42</v>
      </c>
      <c r="C2051" t="s">
        <v>43</v>
      </c>
      <c r="D2051" t="s">
        <v>23</v>
      </c>
      <c r="E2051" t="s">
        <v>24</v>
      </c>
      <c r="F2051" t="s">
        <v>56</v>
      </c>
      <c r="G2051">
        <v>122.41</v>
      </c>
      <c r="H2051">
        <v>48.2</v>
      </c>
      <c r="I2051">
        <v>63.41</v>
      </c>
      <c r="J2051" s="1">
        <v>45875</v>
      </c>
      <c r="K2051">
        <v>49</v>
      </c>
      <c r="L2051">
        <v>4.5</v>
      </c>
      <c r="M2051" t="b">
        <v>0</v>
      </c>
    </row>
    <row r="2052" spans="1:14" x14ac:dyDescent="0.25">
      <c r="A2052" t="s">
        <v>2105</v>
      </c>
      <c r="B2052" t="s">
        <v>30</v>
      </c>
      <c r="C2052" t="s">
        <v>32</v>
      </c>
      <c r="D2052" t="s">
        <v>23</v>
      </c>
      <c r="E2052" t="s">
        <v>49</v>
      </c>
      <c r="F2052" t="s">
        <v>40</v>
      </c>
      <c r="G2052">
        <v>198.22</v>
      </c>
      <c r="H2052">
        <v>0</v>
      </c>
      <c r="I2052">
        <v>198.22</v>
      </c>
      <c r="J2052" s="1">
        <v>45875</v>
      </c>
      <c r="K2052">
        <v>12</v>
      </c>
      <c r="M2052" t="b">
        <v>0</v>
      </c>
    </row>
    <row r="2053" spans="1:14" x14ac:dyDescent="0.25">
      <c r="A2053" t="s">
        <v>2106</v>
      </c>
      <c r="B2053" t="s">
        <v>30</v>
      </c>
      <c r="C2053" t="s">
        <v>16</v>
      </c>
      <c r="D2053" t="s">
        <v>23</v>
      </c>
      <c r="E2053" t="s">
        <v>58</v>
      </c>
      <c r="F2053" t="s">
        <v>56</v>
      </c>
      <c r="G2053">
        <v>129.56</v>
      </c>
      <c r="H2053">
        <v>20.8</v>
      </c>
      <c r="I2053">
        <v>102.61</v>
      </c>
      <c r="J2053" s="1">
        <v>45875</v>
      </c>
      <c r="K2053">
        <v>3</v>
      </c>
      <c r="L2053">
        <v>2.9</v>
      </c>
      <c r="M2053" t="b">
        <v>0</v>
      </c>
    </row>
    <row r="2054" spans="1:14" x14ac:dyDescent="0.25">
      <c r="A2054" t="s">
        <v>2107</v>
      </c>
      <c r="B2054" t="s">
        <v>27</v>
      </c>
      <c r="C2054" t="s">
        <v>16</v>
      </c>
      <c r="D2054" t="s">
        <v>62</v>
      </c>
      <c r="F2054" t="s">
        <v>25</v>
      </c>
      <c r="G2054">
        <v>49.31</v>
      </c>
      <c r="H2054">
        <v>0</v>
      </c>
      <c r="I2054">
        <v>49.31</v>
      </c>
      <c r="J2054" s="1">
        <v>45875</v>
      </c>
      <c r="K2054">
        <v>49</v>
      </c>
      <c r="L2054">
        <v>3.4</v>
      </c>
      <c r="M2054" t="b">
        <v>0</v>
      </c>
    </row>
    <row r="2055" spans="1:14" x14ac:dyDescent="0.25">
      <c r="A2055" t="s">
        <v>2108</v>
      </c>
      <c r="B2055" t="s">
        <v>15</v>
      </c>
      <c r="C2055" t="s">
        <v>22</v>
      </c>
      <c r="D2055" t="s">
        <v>62</v>
      </c>
      <c r="E2055" t="s">
        <v>39</v>
      </c>
      <c r="F2055" t="s">
        <v>25</v>
      </c>
      <c r="G2055">
        <v>206.94</v>
      </c>
      <c r="H2055">
        <v>0</v>
      </c>
      <c r="I2055">
        <v>206.94</v>
      </c>
      <c r="J2055" s="1">
        <v>45875</v>
      </c>
      <c r="K2055">
        <v>43</v>
      </c>
      <c r="L2055">
        <v>3.3</v>
      </c>
      <c r="M2055" t="b">
        <v>0</v>
      </c>
    </row>
    <row r="2056" spans="1:14" x14ac:dyDescent="0.25">
      <c r="A2056" t="s">
        <v>2109</v>
      </c>
      <c r="B2056" t="s">
        <v>27</v>
      </c>
      <c r="C2056" t="s">
        <v>32</v>
      </c>
      <c r="D2056" t="s">
        <v>62</v>
      </c>
      <c r="F2056" t="s">
        <v>28</v>
      </c>
      <c r="G2056">
        <v>36.93</v>
      </c>
      <c r="H2056">
        <v>0</v>
      </c>
      <c r="I2056">
        <v>36.93</v>
      </c>
      <c r="J2056" s="1">
        <v>45875</v>
      </c>
      <c r="K2056">
        <v>18</v>
      </c>
      <c r="M2056" t="b">
        <v>0</v>
      </c>
    </row>
    <row r="2057" spans="1:14" x14ac:dyDescent="0.25">
      <c r="A2057" t="s">
        <v>2110</v>
      </c>
      <c r="B2057" t="s">
        <v>27</v>
      </c>
      <c r="C2057" t="s">
        <v>22</v>
      </c>
      <c r="D2057" t="s">
        <v>62</v>
      </c>
      <c r="F2057" t="s">
        <v>46</v>
      </c>
      <c r="G2057">
        <v>21.85</v>
      </c>
      <c r="H2057">
        <v>12</v>
      </c>
      <c r="I2057">
        <v>19.23</v>
      </c>
      <c r="J2057" s="1">
        <v>45875</v>
      </c>
      <c r="K2057">
        <v>18</v>
      </c>
      <c r="L2057">
        <v>4.8</v>
      </c>
      <c r="M2057" t="b">
        <v>0</v>
      </c>
    </row>
    <row r="2058" spans="1:14" x14ac:dyDescent="0.25">
      <c r="A2058" t="s">
        <v>2111</v>
      </c>
      <c r="B2058" t="s">
        <v>30</v>
      </c>
      <c r="C2058" t="s">
        <v>32</v>
      </c>
      <c r="D2058" t="s">
        <v>23</v>
      </c>
      <c r="E2058" t="s">
        <v>39</v>
      </c>
      <c r="F2058" t="s">
        <v>70</v>
      </c>
      <c r="G2058">
        <v>174.65</v>
      </c>
      <c r="H2058">
        <v>43.8</v>
      </c>
      <c r="I2058">
        <v>98.15</v>
      </c>
      <c r="J2058" s="1">
        <v>45875</v>
      </c>
      <c r="K2058">
        <v>28</v>
      </c>
      <c r="L2058">
        <v>3.3</v>
      </c>
      <c r="M2058" t="b">
        <v>0</v>
      </c>
    </row>
    <row r="2059" spans="1:14" x14ac:dyDescent="0.25">
      <c r="A2059" t="s">
        <v>2112</v>
      </c>
      <c r="B2059" t="s">
        <v>27</v>
      </c>
      <c r="C2059" t="s">
        <v>43</v>
      </c>
      <c r="D2059" t="s">
        <v>17</v>
      </c>
      <c r="F2059" t="s">
        <v>25</v>
      </c>
      <c r="G2059">
        <v>19.96</v>
      </c>
      <c r="H2059">
        <v>0</v>
      </c>
      <c r="I2059">
        <v>19.96</v>
      </c>
      <c r="J2059" s="1">
        <v>45827</v>
      </c>
      <c r="K2059">
        <v>16</v>
      </c>
      <c r="L2059">
        <v>1.4</v>
      </c>
      <c r="M2059" t="b">
        <v>0</v>
      </c>
    </row>
    <row r="2060" spans="1:14" x14ac:dyDescent="0.25">
      <c r="A2060" t="s">
        <v>2113</v>
      </c>
      <c r="B2060" t="s">
        <v>21</v>
      </c>
      <c r="C2060" t="s">
        <v>48</v>
      </c>
      <c r="D2060" t="s">
        <v>34</v>
      </c>
      <c r="E2060" t="s">
        <v>58</v>
      </c>
      <c r="F2060" t="s">
        <v>46</v>
      </c>
      <c r="G2060">
        <v>90.46</v>
      </c>
      <c r="H2060">
        <v>54.1</v>
      </c>
      <c r="I2060">
        <v>41.52</v>
      </c>
      <c r="J2060" s="1">
        <v>45875</v>
      </c>
      <c r="K2060">
        <v>15</v>
      </c>
      <c r="L2060">
        <v>2.5</v>
      </c>
      <c r="M2060" t="b">
        <v>0</v>
      </c>
    </row>
    <row r="2061" spans="1:14" x14ac:dyDescent="0.25">
      <c r="A2061" t="s">
        <v>2114</v>
      </c>
      <c r="B2061" t="s">
        <v>30</v>
      </c>
      <c r="C2061" t="s">
        <v>48</v>
      </c>
      <c r="D2061" t="s">
        <v>34</v>
      </c>
      <c r="E2061" t="s">
        <v>24</v>
      </c>
      <c r="F2061" t="s">
        <v>44</v>
      </c>
      <c r="G2061">
        <v>189.24</v>
      </c>
      <c r="H2061">
        <v>0</v>
      </c>
      <c r="I2061">
        <v>189.24</v>
      </c>
      <c r="J2061" s="1">
        <v>45875</v>
      </c>
      <c r="K2061">
        <v>25</v>
      </c>
      <c r="L2061">
        <v>3.6</v>
      </c>
      <c r="M2061" t="b">
        <v>1</v>
      </c>
      <c r="N2061" t="s">
        <v>36</v>
      </c>
    </row>
    <row r="2062" spans="1:14" x14ac:dyDescent="0.25">
      <c r="A2062" t="s">
        <v>2115</v>
      </c>
      <c r="B2062" t="s">
        <v>15</v>
      </c>
      <c r="C2062" t="s">
        <v>32</v>
      </c>
      <c r="D2062" t="s">
        <v>62</v>
      </c>
      <c r="E2062" t="s">
        <v>49</v>
      </c>
      <c r="F2062" t="s">
        <v>28</v>
      </c>
      <c r="G2062">
        <v>231.24</v>
      </c>
      <c r="H2062">
        <v>44.6</v>
      </c>
      <c r="I2062">
        <v>128.11000000000001</v>
      </c>
      <c r="J2062" s="1">
        <v>45875</v>
      </c>
      <c r="K2062">
        <v>15</v>
      </c>
      <c r="L2062">
        <v>3.7</v>
      </c>
      <c r="M2062" t="b">
        <v>0</v>
      </c>
    </row>
    <row r="2063" spans="1:14" x14ac:dyDescent="0.25">
      <c r="A2063" t="s">
        <v>2116</v>
      </c>
      <c r="B2063" t="s">
        <v>27</v>
      </c>
      <c r="C2063" t="s">
        <v>43</v>
      </c>
      <c r="D2063" t="s">
        <v>34</v>
      </c>
      <c r="F2063" t="s">
        <v>56</v>
      </c>
      <c r="G2063">
        <v>66.48</v>
      </c>
      <c r="H2063">
        <v>0</v>
      </c>
      <c r="I2063">
        <v>66.48</v>
      </c>
      <c r="J2063" s="1">
        <v>45875</v>
      </c>
      <c r="K2063">
        <v>38</v>
      </c>
      <c r="L2063">
        <v>1.4</v>
      </c>
      <c r="M2063" t="b">
        <v>0</v>
      </c>
    </row>
    <row r="2064" spans="1:14" x14ac:dyDescent="0.25">
      <c r="A2064" t="s">
        <v>2117</v>
      </c>
      <c r="B2064" t="s">
        <v>27</v>
      </c>
      <c r="C2064" t="s">
        <v>48</v>
      </c>
      <c r="D2064" t="s">
        <v>34</v>
      </c>
      <c r="F2064" t="s">
        <v>56</v>
      </c>
      <c r="G2064">
        <v>37.270000000000003</v>
      </c>
      <c r="H2064">
        <v>0</v>
      </c>
      <c r="I2064">
        <v>37.270000000000003</v>
      </c>
      <c r="J2064" s="1">
        <v>45875</v>
      </c>
      <c r="K2064">
        <v>15</v>
      </c>
      <c r="L2064">
        <v>3.8</v>
      </c>
      <c r="M2064" t="b">
        <v>0</v>
      </c>
    </row>
    <row r="2065" spans="1:13" x14ac:dyDescent="0.25">
      <c r="A2065" t="s">
        <v>2118</v>
      </c>
      <c r="B2065" t="s">
        <v>30</v>
      </c>
      <c r="C2065" t="s">
        <v>22</v>
      </c>
      <c r="D2065" t="s">
        <v>17</v>
      </c>
      <c r="E2065" t="s">
        <v>24</v>
      </c>
      <c r="F2065" t="s">
        <v>70</v>
      </c>
      <c r="G2065">
        <v>178.05</v>
      </c>
      <c r="H2065">
        <v>0</v>
      </c>
      <c r="I2065">
        <v>178.05</v>
      </c>
      <c r="J2065" s="1">
        <v>45724</v>
      </c>
      <c r="K2065">
        <v>24</v>
      </c>
      <c r="M2065" t="b">
        <v>0</v>
      </c>
    </row>
    <row r="2066" spans="1:13" x14ac:dyDescent="0.25">
      <c r="A2066" t="s">
        <v>2119</v>
      </c>
      <c r="B2066" t="s">
        <v>21</v>
      </c>
      <c r="C2066" t="s">
        <v>75</v>
      </c>
      <c r="D2066" t="s">
        <v>17</v>
      </c>
      <c r="E2066" t="s">
        <v>55</v>
      </c>
      <c r="F2066" t="s">
        <v>25</v>
      </c>
      <c r="G2066">
        <v>73.760000000000005</v>
      </c>
      <c r="H2066">
        <v>0</v>
      </c>
      <c r="I2066">
        <v>73.760000000000005</v>
      </c>
      <c r="J2066" s="1">
        <v>45523</v>
      </c>
      <c r="K2066">
        <v>25</v>
      </c>
      <c r="L2066">
        <v>1.3</v>
      </c>
      <c r="M2066" t="b">
        <v>0</v>
      </c>
    </row>
    <row r="2067" spans="1:13" x14ac:dyDescent="0.25">
      <c r="A2067" t="s">
        <v>2120</v>
      </c>
      <c r="B2067" t="s">
        <v>38</v>
      </c>
      <c r="C2067" t="s">
        <v>16</v>
      </c>
      <c r="D2067" t="s">
        <v>23</v>
      </c>
      <c r="E2067" t="s">
        <v>18</v>
      </c>
      <c r="F2067" t="s">
        <v>25</v>
      </c>
      <c r="G2067">
        <v>36.229999999999997</v>
      </c>
      <c r="H2067">
        <v>0</v>
      </c>
      <c r="I2067">
        <v>36.229999999999997</v>
      </c>
      <c r="J2067" s="1">
        <v>45875</v>
      </c>
      <c r="K2067">
        <v>49</v>
      </c>
      <c r="M2067" t="b">
        <v>0</v>
      </c>
    </row>
    <row r="2068" spans="1:13" x14ac:dyDescent="0.25">
      <c r="A2068" t="s">
        <v>2121</v>
      </c>
      <c r="B2068" t="s">
        <v>38</v>
      </c>
      <c r="C2068" t="s">
        <v>48</v>
      </c>
      <c r="D2068" t="s">
        <v>17</v>
      </c>
      <c r="E2068" t="s">
        <v>39</v>
      </c>
      <c r="F2068" t="s">
        <v>66</v>
      </c>
      <c r="G2068">
        <v>48.89</v>
      </c>
      <c r="H2068">
        <v>0</v>
      </c>
      <c r="I2068">
        <v>48.89</v>
      </c>
      <c r="J2068" s="1">
        <v>45636</v>
      </c>
      <c r="K2068">
        <v>9</v>
      </c>
      <c r="L2068">
        <v>3.1</v>
      </c>
      <c r="M2068" t="b">
        <v>0</v>
      </c>
    </row>
    <row r="2069" spans="1:13" x14ac:dyDescent="0.25">
      <c r="A2069" t="s">
        <v>2122</v>
      </c>
      <c r="B2069" t="s">
        <v>21</v>
      </c>
      <c r="C2069" t="s">
        <v>48</v>
      </c>
      <c r="D2069" t="s">
        <v>23</v>
      </c>
      <c r="E2069" t="s">
        <v>18</v>
      </c>
      <c r="F2069" t="s">
        <v>25</v>
      </c>
      <c r="G2069">
        <v>94.15</v>
      </c>
      <c r="H2069">
        <v>31</v>
      </c>
      <c r="I2069">
        <v>64.959999999999994</v>
      </c>
      <c r="J2069" s="1">
        <v>45875</v>
      </c>
      <c r="K2069">
        <v>25</v>
      </c>
      <c r="M2069" t="b">
        <v>0</v>
      </c>
    </row>
    <row r="2070" spans="1:13" x14ac:dyDescent="0.25">
      <c r="A2070" t="s">
        <v>2123</v>
      </c>
      <c r="B2070" t="s">
        <v>27</v>
      </c>
      <c r="C2070" t="s">
        <v>75</v>
      </c>
      <c r="D2070" t="s">
        <v>62</v>
      </c>
      <c r="F2070" t="s">
        <v>70</v>
      </c>
      <c r="G2070">
        <v>27.7</v>
      </c>
      <c r="H2070">
        <v>0</v>
      </c>
      <c r="I2070">
        <v>27.7</v>
      </c>
      <c r="J2070" s="1">
        <v>45875</v>
      </c>
      <c r="K2070">
        <v>27</v>
      </c>
      <c r="L2070">
        <v>4.8</v>
      </c>
      <c r="M2070" t="b">
        <v>0</v>
      </c>
    </row>
    <row r="2071" spans="1:13" x14ac:dyDescent="0.25">
      <c r="A2071" t="s">
        <v>2124</v>
      </c>
      <c r="B2071" t="s">
        <v>30</v>
      </c>
      <c r="C2071" t="s">
        <v>48</v>
      </c>
      <c r="D2071" t="s">
        <v>17</v>
      </c>
      <c r="E2071" t="s">
        <v>49</v>
      </c>
      <c r="F2071" t="s">
        <v>40</v>
      </c>
      <c r="G2071">
        <v>122.55</v>
      </c>
      <c r="H2071">
        <v>11.2</v>
      </c>
      <c r="I2071">
        <v>108.82</v>
      </c>
      <c r="J2071" s="1">
        <v>45567</v>
      </c>
      <c r="K2071">
        <v>23</v>
      </c>
      <c r="M2071" t="b">
        <v>0</v>
      </c>
    </row>
    <row r="2072" spans="1:13" x14ac:dyDescent="0.25">
      <c r="A2072" t="s">
        <v>2125</v>
      </c>
      <c r="B2072" t="s">
        <v>42</v>
      </c>
      <c r="C2072" t="s">
        <v>43</v>
      </c>
      <c r="D2072" t="s">
        <v>17</v>
      </c>
      <c r="E2072" t="s">
        <v>18</v>
      </c>
      <c r="F2072" t="s">
        <v>25</v>
      </c>
      <c r="G2072">
        <v>173.77</v>
      </c>
      <c r="H2072">
        <v>17</v>
      </c>
      <c r="I2072">
        <v>144.22999999999999</v>
      </c>
      <c r="J2072" s="1">
        <v>45616</v>
      </c>
      <c r="K2072">
        <v>5</v>
      </c>
      <c r="L2072">
        <v>1.9</v>
      </c>
      <c r="M2072" t="b">
        <v>0</v>
      </c>
    </row>
    <row r="2073" spans="1:13" x14ac:dyDescent="0.25">
      <c r="A2073" t="s">
        <v>2126</v>
      </c>
      <c r="B2073" t="s">
        <v>27</v>
      </c>
      <c r="C2073" t="s">
        <v>22</v>
      </c>
      <c r="D2073" t="s">
        <v>62</v>
      </c>
      <c r="F2073" t="s">
        <v>25</v>
      </c>
      <c r="G2073">
        <v>77.45</v>
      </c>
      <c r="H2073">
        <v>0</v>
      </c>
      <c r="I2073">
        <v>77.45</v>
      </c>
      <c r="J2073" s="1">
        <v>45875</v>
      </c>
      <c r="K2073">
        <v>0</v>
      </c>
      <c r="L2073">
        <v>3.1</v>
      </c>
      <c r="M2073" t="b">
        <v>0</v>
      </c>
    </row>
    <row r="2074" spans="1:13" x14ac:dyDescent="0.25">
      <c r="A2074" t="s">
        <v>2127</v>
      </c>
      <c r="B2074" t="s">
        <v>38</v>
      </c>
      <c r="C2074" t="s">
        <v>22</v>
      </c>
      <c r="D2074" t="s">
        <v>23</v>
      </c>
      <c r="E2074" t="s">
        <v>58</v>
      </c>
      <c r="F2074" t="s">
        <v>28</v>
      </c>
      <c r="G2074">
        <v>34.159999999999997</v>
      </c>
      <c r="H2074">
        <v>0</v>
      </c>
      <c r="I2074">
        <v>34.159999999999997</v>
      </c>
      <c r="J2074" s="1">
        <v>45875</v>
      </c>
      <c r="K2074">
        <v>37</v>
      </c>
      <c r="L2074">
        <v>1.3</v>
      </c>
      <c r="M2074" t="b">
        <v>0</v>
      </c>
    </row>
    <row r="2075" spans="1:13" x14ac:dyDescent="0.25">
      <c r="A2075" t="s">
        <v>2128</v>
      </c>
      <c r="B2075" t="s">
        <v>27</v>
      </c>
      <c r="C2075" t="s">
        <v>75</v>
      </c>
      <c r="D2075" t="s">
        <v>62</v>
      </c>
      <c r="F2075" t="s">
        <v>35</v>
      </c>
      <c r="G2075">
        <v>71.3</v>
      </c>
      <c r="H2075">
        <v>0</v>
      </c>
      <c r="I2075">
        <v>71.3</v>
      </c>
      <c r="J2075" s="1">
        <v>45875</v>
      </c>
      <c r="K2075">
        <v>21</v>
      </c>
      <c r="L2075">
        <v>1.6</v>
      </c>
      <c r="M2075" t="b">
        <v>0</v>
      </c>
    </row>
    <row r="2076" spans="1:13" x14ac:dyDescent="0.25">
      <c r="A2076" t="s">
        <v>2129</v>
      </c>
      <c r="B2076" t="s">
        <v>21</v>
      </c>
      <c r="C2076" t="s">
        <v>48</v>
      </c>
      <c r="D2076" t="s">
        <v>62</v>
      </c>
      <c r="E2076" t="s">
        <v>58</v>
      </c>
      <c r="F2076" t="s">
        <v>70</v>
      </c>
      <c r="G2076">
        <v>63.67</v>
      </c>
      <c r="H2076">
        <v>0</v>
      </c>
      <c r="I2076">
        <v>63.67</v>
      </c>
      <c r="J2076" s="1">
        <v>45875</v>
      </c>
      <c r="K2076">
        <v>18</v>
      </c>
      <c r="L2076">
        <v>1.6</v>
      </c>
      <c r="M2076" t="b">
        <v>0</v>
      </c>
    </row>
    <row r="2077" spans="1:13" x14ac:dyDescent="0.25">
      <c r="A2077" t="s">
        <v>2130</v>
      </c>
      <c r="B2077" t="s">
        <v>15</v>
      </c>
      <c r="C2077" t="s">
        <v>75</v>
      </c>
      <c r="D2077" t="s">
        <v>34</v>
      </c>
      <c r="E2077" t="s">
        <v>39</v>
      </c>
      <c r="F2077" t="s">
        <v>40</v>
      </c>
      <c r="G2077">
        <v>249.98</v>
      </c>
      <c r="H2077">
        <v>0</v>
      </c>
      <c r="I2077">
        <v>249.98</v>
      </c>
      <c r="J2077" s="1">
        <v>45875</v>
      </c>
      <c r="K2077">
        <v>46</v>
      </c>
      <c r="L2077">
        <v>3.6</v>
      </c>
      <c r="M2077" t="b">
        <v>0</v>
      </c>
    </row>
    <row r="2078" spans="1:13" x14ac:dyDescent="0.25">
      <c r="A2078" t="s">
        <v>2131</v>
      </c>
      <c r="B2078" t="s">
        <v>15</v>
      </c>
      <c r="C2078" t="s">
        <v>53</v>
      </c>
      <c r="D2078" t="s">
        <v>17</v>
      </c>
      <c r="E2078" t="s">
        <v>18</v>
      </c>
      <c r="F2078" t="s">
        <v>46</v>
      </c>
      <c r="G2078">
        <v>103.92</v>
      </c>
      <c r="H2078">
        <v>0</v>
      </c>
      <c r="I2078">
        <v>103.92</v>
      </c>
      <c r="J2078" s="1">
        <v>45589</v>
      </c>
      <c r="K2078">
        <v>5</v>
      </c>
      <c r="M2078" t="b">
        <v>0</v>
      </c>
    </row>
    <row r="2079" spans="1:13" x14ac:dyDescent="0.25">
      <c r="A2079" t="s">
        <v>2132</v>
      </c>
      <c r="B2079" t="s">
        <v>30</v>
      </c>
      <c r="C2079" t="s">
        <v>22</v>
      </c>
      <c r="D2079" t="s">
        <v>62</v>
      </c>
      <c r="E2079" t="s">
        <v>18</v>
      </c>
      <c r="F2079" t="s">
        <v>28</v>
      </c>
      <c r="G2079">
        <v>116.76</v>
      </c>
      <c r="H2079">
        <v>0</v>
      </c>
      <c r="I2079">
        <v>116.76</v>
      </c>
      <c r="J2079" s="1">
        <v>45875</v>
      </c>
      <c r="K2079">
        <v>13</v>
      </c>
      <c r="M2079" t="b">
        <v>0</v>
      </c>
    </row>
    <row r="2080" spans="1:13" x14ac:dyDescent="0.25">
      <c r="A2080" t="s">
        <v>2133</v>
      </c>
      <c r="B2080" t="s">
        <v>30</v>
      </c>
      <c r="C2080" t="s">
        <v>61</v>
      </c>
      <c r="D2080" t="s">
        <v>23</v>
      </c>
      <c r="E2080" t="s">
        <v>49</v>
      </c>
      <c r="F2080" t="s">
        <v>35</v>
      </c>
      <c r="G2080">
        <v>102.61</v>
      </c>
      <c r="H2080">
        <v>0</v>
      </c>
      <c r="I2080">
        <v>102.61</v>
      </c>
      <c r="J2080" s="1">
        <v>45875</v>
      </c>
      <c r="K2080">
        <v>47</v>
      </c>
      <c r="L2080">
        <v>3.5</v>
      </c>
      <c r="M2080" t="b">
        <v>0</v>
      </c>
    </row>
    <row r="2081" spans="1:14" x14ac:dyDescent="0.25">
      <c r="A2081" t="s">
        <v>2134</v>
      </c>
      <c r="B2081" t="s">
        <v>27</v>
      </c>
      <c r="C2081" t="s">
        <v>53</v>
      </c>
      <c r="D2081" t="s">
        <v>17</v>
      </c>
      <c r="F2081" t="s">
        <v>25</v>
      </c>
      <c r="G2081">
        <v>43.48</v>
      </c>
      <c r="H2081">
        <v>0</v>
      </c>
      <c r="I2081">
        <v>43.48</v>
      </c>
      <c r="J2081" s="1">
        <v>45527</v>
      </c>
      <c r="K2081">
        <v>11</v>
      </c>
      <c r="L2081">
        <v>4.7</v>
      </c>
      <c r="M2081" t="b">
        <v>0</v>
      </c>
    </row>
    <row r="2082" spans="1:14" x14ac:dyDescent="0.25">
      <c r="A2082" t="s">
        <v>2135</v>
      </c>
      <c r="B2082" t="s">
        <v>27</v>
      </c>
      <c r="C2082" t="s">
        <v>75</v>
      </c>
      <c r="D2082" t="s">
        <v>23</v>
      </c>
      <c r="F2082" t="s">
        <v>25</v>
      </c>
      <c r="G2082">
        <v>39.9</v>
      </c>
      <c r="H2082">
        <v>0</v>
      </c>
      <c r="I2082">
        <v>39.9</v>
      </c>
      <c r="J2082" s="1">
        <v>45875</v>
      </c>
      <c r="K2082">
        <v>6</v>
      </c>
      <c r="L2082">
        <v>2.4</v>
      </c>
      <c r="M2082" t="b">
        <v>1</v>
      </c>
      <c r="N2082" t="s">
        <v>78</v>
      </c>
    </row>
    <row r="2083" spans="1:14" x14ac:dyDescent="0.25">
      <c r="A2083" t="s">
        <v>2136</v>
      </c>
      <c r="B2083" t="s">
        <v>38</v>
      </c>
      <c r="C2083" t="s">
        <v>16</v>
      </c>
      <c r="D2083" t="s">
        <v>17</v>
      </c>
      <c r="E2083" t="s">
        <v>39</v>
      </c>
      <c r="F2083" t="s">
        <v>25</v>
      </c>
      <c r="G2083">
        <v>86</v>
      </c>
      <c r="H2083">
        <v>36.700000000000003</v>
      </c>
      <c r="I2083">
        <v>54.44</v>
      </c>
      <c r="J2083" s="1">
        <v>45770</v>
      </c>
      <c r="K2083">
        <v>18</v>
      </c>
      <c r="L2083">
        <v>2.4</v>
      </c>
      <c r="M2083" t="b">
        <v>1</v>
      </c>
      <c r="N2083" t="s">
        <v>73</v>
      </c>
    </row>
    <row r="2084" spans="1:14" x14ac:dyDescent="0.25">
      <c r="A2084" t="s">
        <v>2137</v>
      </c>
      <c r="B2084" t="s">
        <v>30</v>
      </c>
      <c r="C2084" t="s">
        <v>61</v>
      </c>
      <c r="D2084" t="s">
        <v>62</v>
      </c>
      <c r="E2084" t="s">
        <v>49</v>
      </c>
      <c r="F2084" t="s">
        <v>44</v>
      </c>
      <c r="G2084">
        <v>154.47999999999999</v>
      </c>
      <c r="H2084">
        <v>58.5</v>
      </c>
      <c r="I2084">
        <v>64.11</v>
      </c>
      <c r="J2084" s="1">
        <v>45875</v>
      </c>
      <c r="K2084">
        <v>19</v>
      </c>
      <c r="L2084">
        <v>3.2</v>
      </c>
      <c r="M2084" t="b">
        <v>0</v>
      </c>
    </row>
    <row r="2085" spans="1:14" x14ac:dyDescent="0.25">
      <c r="A2085" t="s">
        <v>2138</v>
      </c>
      <c r="B2085" t="s">
        <v>42</v>
      </c>
      <c r="C2085" t="s">
        <v>61</v>
      </c>
      <c r="D2085" t="s">
        <v>62</v>
      </c>
      <c r="E2085" t="s">
        <v>39</v>
      </c>
      <c r="F2085" t="s">
        <v>19</v>
      </c>
      <c r="G2085">
        <v>141.97</v>
      </c>
      <c r="H2085">
        <v>35.299999999999997</v>
      </c>
      <c r="I2085">
        <v>91.85</v>
      </c>
      <c r="J2085" s="1">
        <v>45875</v>
      </c>
      <c r="K2085">
        <v>12</v>
      </c>
      <c r="L2085">
        <v>2.6</v>
      </c>
      <c r="M2085" t="b">
        <v>0</v>
      </c>
    </row>
    <row r="2086" spans="1:14" x14ac:dyDescent="0.25">
      <c r="A2086" t="s">
        <v>2139</v>
      </c>
      <c r="B2086" t="s">
        <v>15</v>
      </c>
      <c r="C2086" t="s">
        <v>61</v>
      </c>
      <c r="D2086" t="s">
        <v>17</v>
      </c>
      <c r="E2086" t="s">
        <v>55</v>
      </c>
      <c r="F2086" t="s">
        <v>19</v>
      </c>
      <c r="G2086">
        <v>119.36</v>
      </c>
      <c r="H2086">
        <v>0</v>
      </c>
      <c r="I2086">
        <v>119.36</v>
      </c>
      <c r="J2086" s="1">
        <v>45840</v>
      </c>
      <c r="K2086">
        <v>30</v>
      </c>
      <c r="L2086">
        <v>2.7</v>
      </c>
      <c r="M2086" t="b">
        <v>1</v>
      </c>
      <c r="N2086" t="s">
        <v>73</v>
      </c>
    </row>
    <row r="2087" spans="1:14" x14ac:dyDescent="0.25">
      <c r="A2087" t="s">
        <v>2140</v>
      </c>
      <c r="B2087" t="s">
        <v>27</v>
      </c>
      <c r="C2087" t="s">
        <v>75</v>
      </c>
      <c r="D2087" t="s">
        <v>62</v>
      </c>
      <c r="F2087" t="s">
        <v>64</v>
      </c>
      <c r="G2087">
        <v>15.71</v>
      </c>
      <c r="H2087">
        <v>47.6</v>
      </c>
      <c r="I2087">
        <v>8.23</v>
      </c>
      <c r="J2087" s="1">
        <v>45875</v>
      </c>
      <c r="K2087">
        <v>42</v>
      </c>
      <c r="L2087">
        <v>2</v>
      </c>
      <c r="M2087" t="b">
        <v>0</v>
      </c>
    </row>
    <row r="2088" spans="1:14" x14ac:dyDescent="0.25">
      <c r="A2088" t="s">
        <v>2141</v>
      </c>
      <c r="B2088" t="s">
        <v>30</v>
      </c>
      <c r="C2088" t="s">
        <v>43</v>
      </c>
      <c r="D2088" t="s">
        <v>23</v>
      </c>
      <c r="E2088" t="s">
        <v>58</v>
      </c>
      <c r="F2088" t="s">
        <v>28</v>
      </c>
      <c r="G2088">
        <v>89.12</v>
      </c>
      <c r="H2088">
        <v>0</v>
      </c>
      <c r="I2088">
        <v>89.12</v>
      </c>
      <c r="J2088" s="1">
        <v>45875</v>
      </c>
      <c r="K2088">
        <v>27</v>
      </c>
      <c r="M2088" t="b">
        <v>1</v>
      </c>
      <c r="N2088" t="s">
        <v>78</v>
      </c>
    </row>
    <row r="2089" spans="1:14" x14ac:dyDescent="0.25">
      <c r="A2089" t="s">
        <v>2142</v>
      </c>
      <c r="B2089" t="s">
        <v>38</v>
      </c>
      <c r="C2089" t="s">
        <v>48</v>
      </c>
      <c r="D2089" t="s">
        <v>34</v>
      </c>
      <c r="E2089" t="s">
        <v>39</v>
      </c>
      <c r="F2089" t="s">
        <v>44</v>
      </c>
      <c r="G2089">
        <v>30.43</v>
      </c>
      <c r="H2089">
        <v>0</v>
      </c>
      <c r="I2089">
        <v>30.43</v>
      </c>
      <c r="J2089" s="1">
        <v>45875</v>
      </c>
      <c r="K2089">
        <v>32</v>
      </c>
      <c r="L2089">
        <v>3.1</v>
      </c>
      <c r="M2089" t="b">
        <v>0</v>
      </c>
    </row>
    <row r="2090" spans="1:14" x14ac:dyDescent="0.25">
      <c r="A2090" t="s">
        <v>2143</v>
      </c>
      <c r="B2090" t="s">
        <v>42</v>
      </c>
      <c r="C2090" t="s">
        <v>75</v>
      </c>
      <c r="D2090" t="s">
        <v>23</v>
      </c>
      <c r="E2090" t="s">
        <v>55</v>
      </c>
      <c r="F2090" t="s">
        <v>25</v>
      </c>
      <c r="G2090">
        <v>115.4</v>
      </c>
      <c r="H2090">
        <v>0</v>
      </c>
      <c r="I2090">
        <v>115.4</v>
      </c>
      <c r="J2090" s="1">
        <v>45875</v>
      </c>
      <c r="K2090">
        <v>7</v>
      </c>
      <c r="L2090">
        <v>4.5</v>
      </c>
      <c r="M2090" t="b">
        <v>0</v>
      </c>
    </row>
    <row r="2091" spans="1:14" x14ac:dyDescent="0.25">
      <c r="A2091" t="s">
        <v>2144</v>
      </c>
      <c r="B2091" t="s">
        <v>15</v>
      </c>
      <c r="C2091" t="s">
        <v>61</v>
      </c>
      <c r="D2091" t="s">
        <v>23</v>
      </c>
      <c r="E2091" t="s">
        <v>39</v>
      </c>
      <c r="F2091" t="s">
        <v>19</v>
      </c>
      <c r="G2091">
        <v>155.19999999999999</v>
      </c>
      <c r="H2091">
        <v>0</v>
      </c>
      <c r="I2091">
        <v>155.19999999999999</v>
      </c>
      <c r="J2091" s="1">
        <v>45875</v>
      </c>
      <c r="K2091">
        <v>5</v>
      </c>
      <c r="L2091">
        <v>4.8</v>
      </c>
      <c r="M2091" t="b">
        <v>0</v>
      </c>
    </row>
    <row r="2092" spans="1:14" x14ac:dyDescent="0.25">
      <c r="A2092" t="s">
        <v>2145</v>
      </c>
      <c r="B2092" t="s">
        <v>38</v>
      </c>
      <c r="C2092" t="s">
        <v>75</v>
      </c>
      <c r="D2092" t="s">
        <v>34</v>
      </c>
      <c r="E2092" t="s">
        <v>24</v>
      </c>
      <c r="F2092" t="s">
        <v>40</v>
      </c>
      <c r="G2092">
        <v>104.83</v>
      </c>
      <c r="H2092">
        <v>0</v>
      </c>
      <c r="I2092">
        <v>104.83</v>
      </c>
      <c r="J2092" s="1">
        <v>45875</v>
      </c>
      <c r="K2092">
        <v>26</v>
      </c>
      <c r="L2092">
        <v>4</v>
      </c>
      <c r="M2092" t="b">
        <v>0</v>
      </c>
    </row>
    <row r="2093" spans="1:14" x14ac:dyDescent="0.25">
      <c r="A2093" t="s">
        <v>2146</v>
      </c>
      <c r="B2093" t="s">
        <v>27</v>
      </c>
      <c r="C2093" t="s">
        <v>61</v>
      </c>
      <c r="D2093" t="s">
        <v>62</v>
      </c>
      <c r="F2093" t="s">
        <v>40</v>
      </c>
      <c r="G2093">
        <v>41.62</v>
      </c>
      <c r="H2093">
        <v>0</v>
      </c>
      <c r="I2093">
        <v>41.62</v>
      </c>
      <c r="J2093" s="1">
        <v>45875</v>
      </c>
      <c r="K2093">
        <v>33</v>
      </c>
      <c r="M2093" t="b">
        <v>0</v>
      </c>
    </row>
    <row r="2094" spans="1:14" x14ac:dyDescent="0.25">
      <c r="A2094" t="s">
        <v>2147</v>
      </c>
      <c r="B2094" t="s">
        <v>38</v>
      </c>
      <c r="C2094" t="s">
        <v>53</v>
      </c>
      <c r="D2094" t="s">
        <v>17</v>
      </c>
      <c r="E2094" t="s">
        <v>58</v>
      </c>
      <c r="F2094" t="s">
        <v>56</v>
      </c>
      <c r="G2094">
        <v>94.92</v>
      </c>
      <c r="H2094">
        <v>0</v>
      </c>
      <c r="I2094">
        <v>94.92</v>
      </c>
      <c r="J2094" s="1">
        <v>45564</v>
      </c>
      <c r="K2094">
        <v>20</v>
      </c>
      <c r="L2094">
        <v>2.2999999999999998</v>
      </c>
      <c r="M2094" t="b">
        <v>0</v>
      </c>
    </row>
    <row r="2095" spans="1:14" x14ac:dyDescent="0.25">
      <c r="A2095" t="s">
        <v>2148</v>
      </c>
      <c r="B2095" t="s">
        <v>38</v>
      </c>
      <c r="C2095" t="s">
        <v>43</v>
      </c>
      <c r="D2095" t="s">
        <v>34</v>
      </c>
      <c r="E2095" t="s">
        <v>49</v>
      </c>
      <c r="F2095" t="s">
        <v>19</v>
      </c>
      <c r="G2095">
        <v>107.92</v>
      </c>
      <c r="H2095">
        <v>22.2</v>
      </c>
      <c r="I2095">
        <v>83.96</v>
      </c>
      <c r="J2095" s="1">
        <v>45875</v>
      </c>
      <c r="K2095">
        <v>35</v>
      </c>
      <c r="L2095">
        <v>3.7</v>
      </c>
      <c r="M2095" t="b">
        <v>0</v>
      </c>
    </row>
    <row r="2096" spans="1:14" x14ac:dyDescent="0.25">
      <c r="A2096" t="s">
        <v>2149</v>
      </c>
      <c r="B2096" t="s">
        <v>27</v>
      </c>
      <c r="C2096" t="s">
        <v>75</v>
      </c>
      <c r="D2096" t="s">
        <v>62</v>
      </c>
      <c r="F2096" t="s">
        <v>46</v>
      </c>
      <c r="G2096">
        <v>45.52</v>
      </c>
      <c r="H2096">
        <v>0</v>
      </c>
      <c r="I2096">
        <v>45.52</v>
      </c>
      <c r="J2096" s="1">
        <v>45875</v>
      </c>
      <c r="K2096">
        <v>41</v>
      </c>
      <c r="L2096">
        <v>1.6</v>
      </c>
      <c r="M2096" t="b">
        <v>0</v>
      </c>
    </row>
    <row r="2097" spans="1:14" x14ac:dyDescent="0.25">
      <c r="A2097" t="s">
        <v>2150</v>
      </c>
      <c r="B2097" t="s">
        <v>38</v>
      </c>
      <c r="C2097" t="s">
        <v>61</v>
      </c>
      <c r="D2097" t="s">
        <v>23</v>
      </c>
      <c r="E2097" t="s">
        <v>58</v>
      </c>
      <c r="F2097" t="s">
        <v>46</v>
      </c>
      <c r="G2097">
        <v>112.1</v>
      </c>
      <c r="H2097">
        <v>30.7</v>
      </c>
      <c r="I2097">
        <v>77.69</v>
      </c>
      <c r="J2097" s="1">
        <v>45875</v>
      </c>
      <c r="K2097">
        <v>10</v>
      </c>
      <c r="L2097">
        <v>1</v>
      </c>
      <c r="M2097" t="b">
        <v>0</v>
      </c>
    </row>
    <row r="2098" spans="1:14" x14ac:dyDescent="0.25">
      <c r="A2098" t="s">
        <v>2151</v>
      </c>
      <c r="B2098" t="s">
        <v>30</v>
      </c>
      <c r="C2098" t="s">
        <v>22</v>
      </c>
      <c r="D2098" t="s">
        <v>17</v>
      </c>
      <c r="E2098" t="s">
        <v>24</v>
      </c>
      <c r="F2098" t="s">
        <v>66</v>
      </c>
      <c r="G2098">
        <v>103.9</v>
      </c>
      <c r="H2098">
        <v>0</v>
      </c>
      <c r="I2098">
        <v>103.9</v>
      </c>
      <c r="J2098" s="1">
        <v>45861</v>
      </c>
      <c r="K2098">
        <v>27</v>
      </c>
      <c r="L2098">
        <v>2.1</v>
      </c>
      <c r="M2098" t="b">
        <v>0</v>
      </c>
    </row>
    <row r="2099" spans="1:14" x14ac:dyDescent="0.25">
      <c r="A2099" t="s">
        <v>2152</v>
      </c>
      <c r="B2099" t="s">
        <v>15</v>
      </c>
      <c r="C2099" t="s">
        <v>32</v>
      </c>
      <c r="D2099" t="s">
        <v>23</v>
      </c>
      <c r="E2099" t="s">
        <v>24</v>
      </c>
      <c r="F2099" t="s">
        <v>25</v>
      </c>
      <c r="G2099">
        <v>168.02</v>
      </c>
      <c r="H2099">
        <v>0</v>
      </c>
      <c r="I2099">
        <v>168.02</v>
      </c>
      <c r="J2099" s="1">
        <v>45875</v>
      </c>
      <c r="K2099">
        <v>30</v>
      </c>
      <c r="L2099">
        <v>1.6</v>
      </c>
      <c r="M2099" t="b">
        <v>1</v>
      </c>
      <c r="N2099" t="s">
        <v>73</v>
      </c>
    </row>
    <row r="2100" spans="1:14" x14ac:dyDescent="0.25">
      <c r="A2100" t="s">
        <v>2153</v>
      </c>
      <c r="B2100" t="s">
        <v>30</v>
      </c>
      <c r="C2100" t="s">
        <v>43</v>
      </c>
      <c r="D2100" t="s">
        <v>34</v>
      </c>
      <c r="E2100" t="s">
        <v>58</v>
      </c>
      <c r="F2100" t="s">
        <v>70</v>
      </c>
      <c r="G2100">
        <v>80.41</v>
      </c>
      <c r="H2100">
        <v>0</v>
      </c>
      <c r="I2100">
        <v>80.41</v>
      </c>
      <c r="J2100" s="1">
        <v>45875</v>
      </c>
      <c r="K2100">
        <v>46</v>
      </c>
      <c r="L2100">
        <v>2.8</v>
      </c>
      <c r="M2100" t="b">
        <v>0</v>
      </c>
    </row>
    <row r="2101" spans="1:14" x14ac:dyDescent="0.25">
      <c r="A2101" t="s">
        <v>2154</v>
      </c>
      <c r="B2101" t="s">
        <v>38</v>
      </c>
      <c r="C2101" t="s">
        <v>75</v>
      </c>
      <c r="D2101" t="s">
        <v>17</v>
      </c>
      <c r="E2101" t="s">
        <v>18</v>
      </c>
      <c r="F2101" t="s">
        <v>46</v>
      </c>
      <c r="G2101">
        <v>102.76</v>
      </c>
      <c r="H2101">
        <v>0</v>
      </c>
      <c r="I2101">
        <v>102.76</v>
      </c>
      <c r="J2101" s="1">
        <v>45612</v>
      </c>
      <c r="K2101">
        <v>35</v>
      </c>
      <c r="L2101">
        <v>2.2000000000000002</v>
      </c>
      <c r="M2101" t="b">
        <v>0</v>
      </c>
    </row>
    <row r="2102" spans="1:14" x14ac:dyDescent="0.25">
      <c r="A2102" t="s">
        <v>2155</v>
      </c>
      <c r="B2102" t="s">
        <v>21</v>
      </c>
      <c r="C2102" t="s">
        <v>75</v>
      </c>
      <c r="D2102" t="s">
        <v>34</v>
      </c>
      <c r="E2102" t="s">
        <v>49</v>
      </c>
      <c r="F2102" t="s">
        <v>28</v>
      </c>
      <c r="G2102">
        <v>81.2</v>
      </c>
      <c r="H2102">
        <v>0</v>
      </c>
      <c r="I2102">
        <v>81.2</v>
      </c>
      <c r="J2102" s="1">
        <v>45875</v>
      </c>
      <c r="K2102">
        <v>27</v>
      </c>
      <c r="L2102">
        <v>1.7</v>
      </c>
      <c r="M2102" t="b">
        <v>0</v>
      </c>
    </row>
    <row r="2103" spans="1:14" x14ac:dyDescent="0.25">
      <c r="A2103" t="s">
        <v>2156</v>
      </c>
      <c r="B2103" t="s">
        <v>27</v>
      </c>
      <c r="C2103" t="s">
        <v>22</v>
      </c>
      <c r="D2103" t="s">
        <v>34</v>
      </c>
      <c r="F2103" t="s">
        <v>40</v>
      </c>
      <c r="G2103">
        <v>68.95</v>
      </c>
      <c r="H2103">
        <v>0</v>
      </c>
      <c r="I2103">
        <v>68.95</v>
      </c>
      <c r="J2103" s="1">
        <v>45875</v>
      </c>
      <c r="K2103">
        <v>47</v>
      </c>
      <c r="L2103">
        <v>3.6</v>
      </c>
      <c r="M2103" t="b">
        <v>0</v>
      </c>
    </row>
    <row r="2104" spans="1:14" x14ac:dyDescent="0.25">
      <c r="A2104" t="s">
        <v>2157</v>
      </c>
      <c r="B2104" t="s">
        <v>38</v>
      </c>
      <c r="C2104" t="s">
        <v>16</v>
      </c>
      <c r="D2104" t="s">
        <v>62</v>
      </c>
      <c r="E2104" t="s">
        <v>55</v>
      </c>
      <c r="F2104" t="s">
        <v>66</v>
      </c>
      <c r="G2104">
        <v>43.04</v>
      </c>
      <c r="H2104">
        <v>0</v>
      </c>
      <c r="I2104">
        <v>43.04</v>
      </c>
      <c r="J2104" s="1">
        <v>45875</v>
      </c>
      <c r="K2104">
        <v>26</v>
      </c>
      <c r="L2104">
        <v>4.8</v>
      </c>
      <c r="M2104" t="b">
        <v>1</v>
      </c>
      <c r="N2104" t="s">
        <v>125</v>
      </c>
    </row>
    <row r="2105" spans="1:14" x14ac:dyDescent="0.25">
      <c r="A2105" t="s">
        <v>2158</v>
      </c>
      <c r="B2105" t="s">
        <v>21</v>
      </c>
      <c r="C2105" t="s">
        <v>16</v>
      </c>
      <c r="D2105" t="s">
        <v>17</v>
      </c>
      <c r="E2105" t="s">
        <v>55</v>
      </c>
      <c r="F2105" t="s">
        <v>56</v>
      </c>
      <c r="G2105">
        <v>81.819999999999993</v>
      </c>
      <c r="H2105">
        <v>0</v>
      </c>
      <c r="I2105">
        <v>81.819999999999993</v>
      </c>
      <c r="J2105" s="1">
        <v>45786</v>
      </c>
      <c r="K2105">
        <v>1</v>
      </c>
      <c r="L2105">
        <v>3.5</v>
      </c>
      <c r="M2105" t="b">
        <v>0</v>
      </c>
    </row>
    <row r="2106" spans="1:14" x14ac:dyDescent="0.25">
      <c r="A2106" t="s">
        <v>2159</v>
      </c>
      <c r="B2106" t="s">
        <v>27</v>
      </c>
      <c r="C2106" t="s">
        <v>43</v>
      </c>
      <c r="D2106" t="s">
        <v>62</v>
      </c>
      <c r="F2106" t="s">
        <v>44</v>
      </c>
      <c r="G2106">
        <v>53.7</v>
      </c>
      <c r="H2106">
        <v>0</v>
      </c>
      <c r="I2106">
        <v>53.7</v>
      </c>
      <c r="J2106" s="1">
        <v>45875</v>
      </c>
      <c r="K2106">
        <v>16</v>
      </c>
      <c r="L2106">
        <v>1.4</v>
      </c>
      <c r="M2106" t="b">
        <v>1</v>
      </c>
      <c r="N2106" t="s">
        <v>78</v>
      </c>
    </row>
    <row r="2107" spans="1:14" x14ac:dyDescent="0.25">
      <c r="A2107" t="s">
        <v>2160</v>
      </c>
      <c r="B2107" t="s">
        <v>21</v>
      </c>
      <c r="C2107" t="s">
        <v>43</v>
      </c>
      <c r="D2107" t="s">
        <v>62</v>
      </c>
      <c r="E2107" t="s">
        <v>24</v>
      </c>
      <c r="F2107" t="s">
        <v>19</v>
      </c>
      <c r="G2107">
        <v>100.11</v>
      </c>
      <c r="H2107">
        <v>0</v>
      </c>
      <c r="I2107">
        <v>100.11</v>
      </c>
      <c r="J2107" s="1">
        <v>45875</v>
      </c>
      <c r="K2107">
        <v>41</v>
      </c>
      <c r="L2107">
        <v>4.7</v>
      </c>
      <c r="M2107" t="b">
        <v>0</v>
      </c>
    </row>
    <row r="2108" spans="1:14" x14ac:dyDescent="0.25">
      <c r="A2108" t="s">
        <v>2161</v>
      </c>
      <c r="B2108" t="s">
        <v>27</v>
      </c>
      <c r="C2108" t="s">
        <v>53</v>
      </c>
      <c r="D2108" t="s">
        <v>23</v>
      </c>
      <c r="F2108" t="s">
        <v>40</v>
      </c>
      <c r="G2108">
        <v>24.08</v>
      </c>
      <c r="H2108">
        <v>38.5</v>
      </c>
      <c r="I2108">
        <v>14.81</v>
      </c>
      <c r="J2108" s="1">
        <v>45875</v>
      </c>
      <c r="K2108">
        <v>43</v>
      </c>
      <c r="L2108">
        <v>4.0999999999999996</v>
      </c>
      <c r="M2108" t="b">
        <v>0</v>
      </c>
    </row>
    <row r="2109" spans="1:14" x14ac:dyDescent="0.25">
      <c r="A2109" t="s">
        <v>2162</v>
      </c>
      <c r="B2109" t="s">
        <v>27</v>
      </c>
      <c r="C2109" t="s">
        <v>53</v>
      </c>
      <c r="D2109" t="s">
        <v>17</v>
      </c>
      <c r="F2109" t="s">
        <v>19</v>
      </c>
      <c r="G2109">
        <v>74.77</v>
      </c>
      <c r="H2109">
        <v>0</v>
      </c>
      <c r="I2109">
        <v>74.77</v>
      </c>
      <c r="J2109" s="1">
        <v>45734</v>
      </c>
      <c r="K2109">
        <v>26</v>
      </c>
      <c r="L2109">
        <v>2.9</v>
      </c>
      <c r="M2109" t="b">
        <v>0</v>
      </c>
    </row>
    <row r="2110" spans="1:14" x14ac:dyDescent="0.25">
      <c r="A2110" t="s">
        <v>2163</v>
      </c>
      <c r="B2110" t="s">
        <v>42</v>
      </c>
      <c r="C2110" t="s">
        <v>48</v>
      </c>
      <c r="D2110" t="s">
        <v>17</v>
      </c>
      <c r="E2110" t="s">
        <v>18</v>
      </c>
      <c r="F2110" t="s">
        <v>64</v>
      </c>
      <c r="G2110">
        <v>105.98</v>
      </c>
      <c r="H2110">
        <v>0</v>
      </c>
      <c r="I2110">
        <v>105.98</v>
      </c>
      <c r="J2110" s="1">
        <v>45567</v>
      </c>
      <c r="K2110">
        <v>32</v>
      </c>
      <c r="L2110">
        <v>2.5</v>
      </c>
      <c r="M2110" t="b">
        <v>1</v>
      </c>
      <c r="N2110" t="s">
        <v>73</v>
      </c>
    </row>
    <row r="2111" spans="1:14" x14ac:dyDescent="0.25">
      <c r="A2111" t="s">
        <v>2164</v>
      </c>
      <c r="B2111" t="s">
        <v>30</v>
      </c>
      <c r="C2111" t="s">
        <v>16</v>
      </c>
      <c r="D2111" t="s">
        <v>62</v>
      </c>
      <c r="E2111" t="s">
        <v>24</v>
      </c>
      <c r="F2111" t="s">
        <v>35</v>
      </c>
      <c r="G2111">
        <v>81.650000000000006</v>
      </c>
      <c r="H2111">
        <v>7.7</v>
      </c>
      <c r="I2111">
        <v>75.36</v>
      </c>
      <c r="J2111" s="1">
        <v>45875</v>
      </c>
      <c r="K2111">
        <v>23</v>
      </c>
      <c r="L2111">
        <v>2.6</v>
      </c>
      <c r="M2111" t="b">
        <v>0</v>
      </c>
    </row>
    <row r="2112" spans="1:14" x14ac:dyDescent="0.25">
      <c r="A2112" t="s">
        <v>2165</v>
      </c>
      <c r="B2112" t="s">
        <v>30</v>
      </c>
      <c r="C2112" t="s">
        <v>75</v>
      </c>
      <c r="D2112" t="s">
        <v>34</v>
      </c>
      <c r="E2112" t="s">
        <v>39</v>
      </c>
      <c r="F2112" t="s">
        <v>28</v>
      </c>
      <c r="G2112">
        <v>92.66</v>
      </c>
      <c r="H2112">
        <v>8.3000000000000007</v>
      </c>
      <c r="I2112">
        <v>84.97</v>
      </c>
      <c r="J2112" s="1">
        <v>45875</v>
      </c>
      <c r="K2112">
        <v>5</v>
      </c>
      <c r="L2112">
        <v>3.3</v>
      </c>
      <c r="M2112" t="b">
        <v>0</v>
      </c>
    </row>
    <row r="2113" spans="1:14" x14ac:dyDescent="0.25">
      <c r="A2113" t="s">
        <v>2166</v>
      </c>
      <c r="B2113" t="s">
        <v>27</v>
      </c>
      <c r="C2113" t="s">
        <v>43</v>
      </c>
      <c r="D2113" t="s">
        <v>62</v>
      </c>
      <c r="F2113" t="s">
        <v>70</v>
      </c>
      <c r="G2113">
        <v>41.04</v>
      </c>
      <c r="H2113">
        <v>0</v>
      </c>
      <c r="I2113">
        <v>41.04</v>
      </c>
      <c r="J2113" s="1">
        <v>45875</v>
      </c>
      <c r="K2113">
        <v>43</v>
      </c>
      <c r="M2113" t="b">
        <v>0</v>
      </c>
    </row>
    <row r="2114" spans="1:14" x14ac:dyDescent="0.25">
      <c r="A2114" t="s">
        <v>2167</v>
      </c>
      <c r="B2114" t="s">
        <v>15</v>
      </c>
      <c r="C2114" t="s">
        <v>75</v>
      </c>
      <c r="D2114" t="s">
        <v>34</v>
      </c>
      <c r="E2114" t="s">
        <v>58</v>
      </c>
      <c r="F2114" t="s">
        <v>25</v>
      </c>
      <c r="G2114">
        <v>169.98</v>
      </c>
      <c r="H2114">
        <v>5.8</v>
      </c>
      <c r="I2114">
        <v>160.12</v>
      </c>
      <c r="J2114" s="1">
        <v>45875</v>
      </c>
      <c r="K2114">
        <v>12</v>
      </c>
      <c r="L2114">
        <v>2.1</v>
      </c>
      <c r="M2114" t="b">
        <v>0</v>
      </c>
    </row>
    <row r="2115" spans="1:14" x14ac:dyDescent="0.25">
      <c r="A2115" t="s">
        <v>2168</v>
      </c>
      <c r="B2115" t="s">
        <v>27</v>
      </c>
      <c r="C2115" t="s">
        <v>43</v>
      </c>
      <c r="D2115" t="s">
        <v>23</v>
      </c>
      <c r="F2115" t="s">
        <v>19</v>
      </c>
      <c r="G2115">
        <v>66.12</v>
      </c>
      <c r="H2115">
        <v>51</v>
      </c>
      <c r="I2115">
        <v>32.4</v>
      </c>
      <c r="J2115" s="1">
        <v>45875</v>
      </c>
      <c r="K2115">
        <v>17</v>
      </c>
      <c r="L2115">
        <v>2.2000000000000002</v>
      </c>
      <c r="M2115" t="b">
        <v>0</v>
      </c>
    </row>
    <row r="2116" spans="1:14" x14ac:dyDescent="0.25">
      <c r="A2116" t="s">
        <v>2169</v>
      </c>
      <c r="B2116" t="s">
        <v>42</v>
      </c>
      <c r="C2116" t="s">
        <v>32</v>
      </c>
      <c r="D2116" t="s">
        <v>17</v>
      </c>
      <c r="E2116" t="s">
        <v>39</v>
      </c>
      <c r="F2116" t="s">
        <v>66</v>
      </c>
      <c r="G2116">
        <v>139.87</v>
      </c>
      <c r="H2116">
        <v>14.5</v>
      </c>
      <c r="I2116">
        <v>119.59</v>
      </c>
      <c r="J2116" s="1">
        <v>45548</v>
      </c>
      <c r="K2116">
        <v>13</v>
      </c>
      <c r="L2116">
        <v>1.3</v>
      </c>
      <c r="M2116" t="b">
        <v>0</v>
      </c>
    </row>
    <row r="2117" spans="1:14" x14ac:dyDescent="0.25">
      <c r="A2117" t="s">
        <v>2170</v>
      </c>
      <c r="B2117" t="s">
        <v>27</v>
      </c>
      <c r="C2117" t="s">
        <v>16</v>
      </c>
      <c r="D2117" t="s">
        <v>23</v>
      </c>
      <c r="F2117" t="s">
        <v>25</v>
      </c>
      <c r="G2117">
        <v>70.23</v>
      </c>
      <c r="H2117">
        <v>49.9</v>
      </c>
      <c r="I2117">
        <v>35.19</v>
      </c>
      <c r="J2117" s="1">
        <v>45875</v>
      </c>
      <c r="K2117">
        <v>0</v>
      </c>
      <c r="L2117">
        <v>4.5999999999999996</v>
      </c>
      <c r="M2117" t="b">
        <v>1</v>
      </c>
      <c r="N2117" t="s">
        <v>78</v>
      </c>
    </row>
    <row r="2118" spans="1:14" x14ac:dyDescent="0.25">
      <c r="A2118" t="s">
        <v>2171</v>
      </c>
      <c r="B2118" t="s">
        <v>30</v>
      </c>
      <c r="C2118" t="s">
        <v>16</v>
      </c>
      <c r="D2118" t="s">
        <v>23</v>
      </c>
      <c r="E2118" t="s">
        <v>18</v>
      </c>
      <c r="F2118" t="s">
        <v>44</v>
      </c>
      <c r="G2118">
        <v>129.9</v>
      </c>
      <c r="H2118">
        <v>39.9</v>
      </c>
      <c r="I2118">
        <v>78.069999999999993</v>
      </c>
      <c r="J2118" s="1">
        <v>45875</v>
      </c>
      <c r="K2118">
        <v>28</v>
      </c>
      <c r="L2118">
        <v>1.3</v>
      </c>
      <c r="M2118" t="b">
        <v>0</v>
      </c>
    </row>
    <row r="2119" spans="1:14" x14ac:dyDescent="0.25">
      <c r="A2119" t="s">
        <v>2172</v>
      </c>
      <c r="B2119" t="s">
        <v>38</v>
      </c>
      <c r="C2119" t="s">
        <v>16</v>
      </c>
      <c r="D2119" t="s">
        <v>17</v>
      </c>
      <c r="E2119" t="s">
        <v>24</v>
      </c>
      <c r="F2119" t="s">
        <v>56</v>
      </c>
      <c r="G2119">
        <v>75.78</v>
      </c>
      <c r="H2119">
        <v>0</v>
      </c>
      <c r="I2119">
        <v>75.78</v>
      </c>
      <c r="J2119" s="1">
        <v>45685</v>
      </c>
      <c r="K2119">
        <v>12</v>
      </c>
      <c r="L2119">
        <v>3.6</v>
      </c>
      <c r="M2119" t="b">
        <v>0</v>
      </c>
    </row>
    <row r="2120" spans="1:14" x14ac:dyDescent="0.25">
      <c r="A2120" t="s">
        <v>2173</v>
      </c>
      <c r="B2120" t="s">
        <v>38</v>
      </c>
      <c r="C2120" t="s">
        <v>48</v>
      </c>
      <c r="D2120" t="s">
        <v>23</v>
      </c>
      <c r="E2120" t="s">
        <v>58</v>
      </c>
      <c r="F2120" t="s">
        <v>56</v>
      </c>
      <c r="G2120">
        <v>93.41</v>
      </c>
      <c r="H2120">
        <v>0</v>
      </c>
      <c r="I2120">
        <v>93.41</v>
      </c>
      <c r="J2120" s="1">
        <v>45875</v>
      </c>
      <c r="K2120">
        <v>4</v>
      </c>
      <c r="L2120">
        <v>3.2</v>
      </c>
      <c r="M2120" t="b">
        <v>1</v>
      </c>
      <c r="N2120" t="s">
        <v>73</v>
      </c>
    </row>
    <row r="2121" spans="1:14" x14ac:dyDescent="0.25">
      <c r="A2121" t="s">
        <v>2174</v>
      </c>
      <c r="B2121" t="s">
        <v>21</v>
      </c>
      <c r="C2121" t="s">
        <v>32</v>
      </c>
      <c r="D2121" t="s">
        <v>17</v>
      </c>
      <c r="E2121" t="s">
        <v>24</v>
      </c>
      <c r="F2121" t="s">
        <v>19</v>
      </c>
      <c r="G2121">
        <v>66.900000000000006</v>
      </c>
      <c r="H2121">
        <v>0</v>
      </c>
      <c r="I2121">
        <v>66.900000000000006</v>
      </c>
      <c r="J2121" s="1">
        <v>45784</v>
      </c>
      <c r="K2121">
        <v>1</v>
      </c>
      <c r="L2121">
        <v>2.8</v>
      </c>
      <c r="M2121" t="b">
        <v>0</v>
      </c>
    </row>
    <row r="2122" spans="1:14" x14ac:dyDescent="0.25">
      <c r="A2122" t="s">
        <v>2175</v>
      </c>
      <c r="B2122" t="s">
        <v>21</v>
      </c>
      <c r="C2122" t="s">
        <v>43</v>
      </c>
      <c r="D2122" t="s">
        <v>34</v>
      </c>
      <c r="E2122" t="s">
        <v>24</v>
      </c>
      <c r="F2122" t="s">
        <v>46</v>
      </c>
      <c r="G2122">
        <v>110.45</v>
      </c>
      <c r="H2122">
        <v>6.6</v>
      </c>
      <c r="I2122">
        <v>103.16</v>
      </c>
      <c r="J2122" s="1">
        <v>45875</v>
      </c>
      <c r="K2122">
        <v>6</v>
      </c>
      <c r="M2122" t="b">
        <v>0</v>
      </c>
    </row>
    <row r="2123" spans="1:14" x14ac:dyDescent="0.25">
      <c r="A2123" t="s">
        <v>2176</v>
      </c>
      <c r="B2123" t="s">
        <v>38</v>
      </c>
      <c r="C2123" t="s">
        <v>16</v>
      </c>
      <c r="D2123" t="s">
        <v>34</v>
      </c>
      <c r="E2123" t="s">
        <v>24</v>
      </c>
      <c r="F2123" t="s">
        <v>40</v>
      </c>
      <c r="G2123">
        <v>52.73</v>
      </c>
      <c r="H2123">
        <v>0</v>
      </c>
      <c r="I2123">
        <v>52.73</v>
      </c>
      <c r="J2123" s="1">
        <v>45875</v>
      </c>
      <c r="K2123">
        <v>10</v>
      </c>
      <c r="L2123">
        <v>4.5</v>
      </c>
      <c r="M2123" t="b">
        <v>0</v>
      </c>
    </row>
    <row r="2124" spans="1:14" x14ac:dyDescent="0.25">
      <c r="A2124" t="s">
        <v>2177</v>
      </c>
      <c r="B2124" t="s">
        <v>15</v>
      </c>
      <c r="C2124" t="s">
        <v>53</v>
      </c>
      <c r="D2124" t="s">
        <v>34</v>
      </c>
      <c r="E2124" t="s">
        <v>24</v>
      </c>
      <c r="F2124" t="s">
        <v>44</v>
      </c>
      <c r="G2124">
        <v>89.13</v>
      </c>
      <c r="H2124">
        <v>0</v>
      </c>
      <c r="I2124">
        <v>89.13</v>
      </c>
      <c r="J2124" s="1">
        <v>45875</v>
      </c>
      <c r="K2124">
        <v>17</v>
      </c>
      <c r="L2124">
        <v>4.0999999999999996</v>
      </c>
      <c r="M2124" t="b">
        <v>0</v>
      </c>
    </row>
    <row r="2125" spans="1:14" x14ac:dyDescent="0.25">
      <c r="A2125" t="s">
        <v>2178</v>
      </c>
      <c r="B2125" t="s">
        <v>15</v>
      </c>
      <c r="C2125" t="s">
        <v>32</v>
      </c>
      <c r="D2125" t="s">
        <v>62</v>
      </c>
      <c r="E2125" t="s">
        <v>24</v>
      </c>
      <c r="F2125" t="s">
        <v>46</v>
      </c>
      <c r="G2125">
        <v>171.78</v>
      </c>
      <c r="H2125">
        <v>44.1</v>
      </c>
      <c r="I2125">
        <v>96.03</v>
      </c>
      <c r="J2125" s="1">
        <v>45875</v>
      </c>
      <c r="K2125">
        <v>25</v>
      </c>
      <c r="M2125" t="b">
        <v>1</v>
      </c>
      <c r="N2125" t="s">
        <v>36</v>
      </c>
    </row>
    <row r="2126" spans="1:14" x14ac:dyDescent="0.25">
      <c r="A2126" t="s">
        <v>2179</v>
      </c>
      <c r="B2126" t="s">
        <v>30</v>
      </c>
      <c r="C2126" t="s">
        <v>61</v>
      </c>
      <c r="D2126" t="s">
        <v>23</v>
      </c>
      <c r="E2126" t="s">
        <v>58</v>
      </c>
      <c r="F2126" t="s">
        <v>25</v>
      </c>
      <c r="G2126">
        <v>129</v>
      </c>
      <c r="H2126">
        <v>0</v>
      </c>
      <c r="I2126">
        <v>129</v>
      </c>
      <c r="J2126" s="1">
        <v>45875</v>
      </c>
      <c r="K2126">
        <v>13</v>
      </c>
      <c r="L2126">
        <v>3.8</v>
      </c>
      <c r="M2126" t="b">
        <v>1</v>
      </c>
      <c r="N2126" t="s">
        <v>115</v>
      </c>
    </row>
    <row r="2127" spans="1:14" x14ac:dyDescent="0.25">
      <c r="A2127" t="s">
        <v>2180</v>
      </c>
      <c r="B2127" t="s">
        <v>30</v>
      </c>
      <c r="C2127" t="s">
        <v>16</v>
      </c>
      <c r="D2127" t="s">
        <v>62</v>
      </c>
      <c r="E2127" t="s">
        <v>55</v>
      </c>
      <c r="F2127" t="s">
        <v>70</v>
      </c>
      <c r="G2127">
        <v>160.59</v>
      </c>
      <c r="H2127">
        <v>0</v>
      </c>
      <c r="I2127">
        <v>160.59</v>
      </c>
      <c r="J2127" s="1">
        <v>45875</v>
      </c>
      <c r="K2127">
        <v>8</v>
      </c>
      <c r="L2127">
        <v>2.9</v>
      </c>
      <c r="M2127" t="b">
        <v>0</v>
      </c>
    </row>
    <row r="2128" spans="1:14" x14ac:dyDescent="0.25">
      <c r="A2128" t="s">
        <v>2181</v>
      </c>
      <c r="B2128" t="s">
        <v>21</v>
      </c>
      <c r="C2128" t="s">
        <v>32</v>
      </c>
      <c r="D2128" t="s">
        <v>62</v>
      </c>
      <c r="E2128" t="s">
        <v>24</v>
      </c>
      <c r="F2128" t="s">
        <v>19</v>
      </c>
      <c r="G2128">
        <v>56.38</v>
      </c>
      <c r="H2128">
        <v>0</v>
      </c>
      <c r="I2128">
        <v>56.38</v>
      </c>
      <c r="J2128" s="1">
        <v>45875</v>
      </c>
      <c r="K2128">
        <v>9</v>
      </c>
      <c r="M2128" t="b">
        <v>0</v>
      </c>
    </row>
    <row r="2129" spans="1:14" x14ac:dyDescent="0.25">
      <c r="A2129" t="s">
        <v>2182</v>
      </c>
      <c r="B2129" t="s">
        <v>15</v>
      </c>
      <c r="C2129" t="s">
        <v>61</v>
      </c>
      <c r="D2129" t="s">
        <v>23</v>
      </c>
      <c r="E2129" t="s">
        <v>24</v>
      </c>
      <c r="F2129" t="s">
        <v>46</v>
      </c>
      <c r="G2129">
        <v>109.2</v>
      </c>
      <c r="H2129">
        <v>26.6</v>
      </c>
      <c r="I2129">
        <v>80.150000000000006</v>
      </c>
      <c r="J2129" s="1">
        <v>45875</v>
      </c>
      <c r="K2129">
        <v>21</v>
      </c>
      <c r="L2129">
        <v>3.9</v>
      </c>
      <c r="M2129" t="b">
        <v>1</v>
      </c>
      <c r="N2129" t="s">
        <v>83</v>
      </c>
    </row>
    <row r="2130" spans="1:14" x14ac:dyDescent="0.25">
      <c r="A2130" t="s">
        <v>2183</v>
      </c>
      <c r="B2130" t="s">
        <v>27</v>
      </c>
      <c r="C2130" t="s">
        <v>22</v>
      </c>
      <c r="D2130" t="s">
        <v>17</v>
      </c>
      <c r="F2130" t="s">
        <v>25</v>
      </c>
      <c r="G2130">
        <v>21.43</v>
      </c>
      <c r="H2130">
        <v>0</v>
      </c>
      <c r="I2130">
        <v>21.43</v>
      </c>
      <c r="J2130" s="1">
        <v>45691</v>
      </c>
      <c r="K2130">
        <v>38</v>
      </c>
      <c r="L2130">
        <v>1.9</v>
      </c>
      <c r="M2130" t="b">
        <v>0</v>
      </c>
    </row>
    <row r="2131" spans="1:14" x14ac:dyDescent="0.25">
      <c r="A2131" t="s">
        <v>2184</v>
      </c>
      <c r="B2131" t="s">
        <v>30</v>
      </c>
      <c r="C2131" t="s">
        <v>48</v>
      </c>
      <c r="D2131" t="s">
        <v>23</v>
      </c>
      <c r="E2131" t="s">
        <v>58</v>
      </c>
      <c r="F2131" t="s">
        <v>66</v>
      </c>
      <c r="G2131">
        <v>87.11</v>
      </c>
      <c r="H2131">
        <v>0</v>
      </c>
      <c r="I2131">
        <v>87.11</v>
      </c>
      <c r="J2131" s="1">
        <v>45875</v>
      </c>
      <c r="K2131">
        <v>36</v>
      </c>
      <c r="L2131">
        <v>2.2999999999999998</v>
      </c>
      <c r="M2131" t="b">
        <v>0</v>
      </c>
    </row>
    <row r="2132" spans="1:14" x14ac:dyDescent="0.25">
      <c r="A2132" t="s">
        <v>2185</v>
      </c>
      <c r="B2132" t="s">
        <v>27</v>
      </c>
      <c r="C2132" t="s">
        <v>75</v>
      </c>
      <c r="D2132" t="s">
        <v>34</v>
      </c>
      <c r="F2132" t="s">
        <v>64</v>
      </c>
      <c r="G2132">
        <v>36.29</v>
      </c>
      <c r="H2132">
        <v>0</v>
      </c>
      <c r="I2132">
        <v>36.29</v>
      </c>
      <c r="J2132" s="1">
        <v>45875</v>
      </c>
      <c r="K2132">
        <v>47</v>
      </c>
      <c r="L2132">
        <v>2.8</v>
      </c>
      <c r="M2132" t="b">
        <v>0</v>
      </c>
    </row>
    <row r="2133" spans="1:14" x14ac:dyDescent="0.25">
      <c r="A2133" t="s">
        <v>2186</v>
      </c>
      <c r="B2133" t="s">
        <v>42</v>
      </c>
      <c r="C2133" t="s">
        <v>48</v>
      </c>
      <c r="D2133" t="s">
        <v>17</v>
      </c>
      <c r="E2133" t="s">
        <v>58</v>
      </c>
      <c r="F2133" t="s">
        <v>46</v>
      </c>
      <c r="G2133">
        <v>105.59</v>
      </c>
      <c r="H2133">
        <v>0</v>
      </c>
      <c r="I2133">
        <v>105.59</v>
      </c>
      <c r="J2133" s="1">
        <v>45835</v>
      </c>
      <c r="K2133">
        <v>37</v>
      </c>
      <c r="L2133">
        <v>4.7</v>
      </c>
      <c r="M2133" t="b">
        <v>0</v>
      </c>
    </row>
    <row r="2134" spans="1:14" x14ac:dyDescent="0.25">
      <c r="A2134" t="s">
        <v>2187</v>
      </c>
      <c r="B2134" t="s">
        <v>42</v>
      </c>
      <c r="C2134" t="s">
        <v>16</v>
      </c>
      <c r="D2134" t="s">
        <v>34</v>
      </c>
      <c r="E2134" t="s">
        <v>39</v>
      </c>
      <c r="F2134" t="s">
        <v>28</v>
      </c>
      <c r="G2134">
        <v>93.5</v>
      </c>
      <c r="H2134">
        <v>0</v>
      </c>
      <c r="I2134">
        <v>93.5</v>
      </c>
      <c r="J2134" s="1">
        <v>45875</v>
      </c>
      <c r="K2134">
        <v>4</v>
      </c>
      <c r="L2134">
        <v>3.7</v>
      </c>
      <c r="M2134" t="b">
        <v>0</v>
      </c>
    </row>
    <row r="2135" spans="1:14" x14ac:dyDescent="0.25">
      <c r="A2135" t="s">
        <v>2188</v>
      </c>
      <c r="B2135" t="s">
        <v>27</v>
      </c>
      <c r="C2135" t="s">
        <v>53</v>
      </c>
      <c r="D2135" t="s">
        <v>23</v>
      </c>
      <c r="F2135" t="s">
        <v>28</v>
      </c>
      <c r="G2135">
        <v>41.72</v>
      </c>
      <c r="H2135">
        <v>9.5</v>
      </c>
      <c r="I2135">
        <v>37.76</v>
      </c>
      <c r="J2135" s="1">
        <v>45875</v>
      </c>
      <c r="K2135">
        <v>9</v>
      </c>
      <c r="L2135">
        <v>3.9</v>
      </c>
      <c r="M2135" t="b">
        <v>0</v>
      </c>
    </row>
    <row r="2136" spans="1:14" x14ac:dyDescent="0.25">
      <c r="A2136" t="s">
        <v>2189</v>
      </c>
      <c r="B2136" t="s">
        <v>27</v>
      </c>
      <c r="C2136" t="s">
        <v>43</v>
      </c>
      <c r="D2136" t="s">
        <v>62</v>
      </c>
      <c r="F2136" t="s">
        <v>19</v>
      </c>
      <c r="G2136">
        <v>74.540000000000006</v>
      </c>
      <c r="H2136">
        <v>58.1</v>
      </c>
      <c r="I2136">
        <v>31.23</v>
      </c>
      <c r="J2136" s="1">
        <v>45875</v>
      </c>
      <c r="K2136">
        <v>35</v>
      </c>
      <c r="L2136">
        <v>4.8</v>
      </c>
      <c r="M2136" t="b">
        <v>0</v>
      </c>
    </row>
    <row r="2137" spans="1:14" x14ac:dyDescent="0.25">
      <c r="A2137" t="s">
        <v>2190</v>
      </c>
      <c r="B2137" t="s">
        <v>42</v>
      </c>
      <c r="C2137" t="s">
        <v>22</v>
      </c>
      <c r="D2137" t="s">
        <v>17</v>
      </c>
      <c r="F2137" t="s">
        <v>44</v>
      </c>
      <c r="G2137">
        <v>85.49</v>
      </c>
      <c r="H2137">
        <v>0</v>
      </c>
      <c r="I2137">
        <v>85.49</v>
      </c>
      <c r="J2137" s="1">
        <v>45642</v>
      </c>
      <c r="K2137">
        <v>0</v>
      </c>
      <c r="L2137">
        <v>3.7</v>
      </c>
      <c r="M2137" t="b">
        <v>0</v>
      </c>
    </row>
    <row r="2138" spans="1:14" x14ac:dyDescent="0.25">
      <c r="A2138" t="s">
        <v>2191</v>
      </c>
      <c r="B2138" t="s">
        <v>42</v>
      </c>
      <c r="C2138" t="s">
        <v>16</v>
      </c>
      <c r="D2138" t="s">
        <v>62</v>
      </c>
      <c r="E2138" t="s">
        <v>58</v>
      </c>
      <c r="F2138" t="s">
        <v>46</v>
      </c>
      <c r="G2138">
        <v>131.05000000000001</v>
      </c>
      <c r="H2138">
        <v>0</v>
      </c>
      <c r="I2138">
        <v>131.05000000000001</v>
      </c>
      <c r="J2138" s="1">
        <v>45875</v>
      </c>
      <c r="K2138">
        <v>23</v>
      </c>
      <c r="L2138">
        <v>4.9000000000000004</v>
      </c>
      <c r="M2138" t="b">
        <v>0</v>
      </c>
    </row>
    <row r="2139" spans="1:14" x14ac:dyDescent="0.25">
      <c r="A2139" t="s">
        <v>2192</v>
      </c>
      <c r="B2139" t="s">
        <v>38</v>
      </c>
      <c r="C2139" t="s">
        <v>75</v>
      </c>
      <c r="D2139" t="s">
        <v>62</v>
      </c>
      <c r="E2139" t="s">
        <v>18</v>
      </c>
      <c r="F2139" t="s">
        <v>25</v>
      </c>
      <c r="G2139">
        <v>63.5</v>
      </c>
      <c r="H2139">
        <v>0</v>
      </c>
      <c r="I2139">
        <v>63.5</v>
      </c>
      <c r="J2139" s="1">
        <v>45875</v>
      </c>
      <c r="K2139">
        <v>17</v>
      </c>
      <c r="L2139">
        <v>2.6</v>
      </c>
      <c r="M2139" t="b">
        <v>0</v>
      </c>
    </row>
    <row r="2140" spans="1:14" x14ac:dyDescent="0.25">
      <c r="A2140" t="s">
        <v>2193</v>
      </c>
      <c r="B2140" t="s">
        <v>21</v>
      </c>
      <c r="C2140" t="s">
        <v>22</v>
      </c>
      <c r="D2140" t="s">
        <v>34</v>
      </c>
      <c r="E2140" t="s">
        <v>58</v>
      </c>
      <c r="F2140" t="s">
        <v>56</v>
      </c>
      <c r="G2140">
        <v>75.540000000000006</v>
      </c>
      <c r="H2140">
        <v>0</v>
      </c>
      <c r="I2140">
        <v>75.540000000000006</v>
      </c>
      <c r="J2140" s="1">
        <v>45875</v>
      </c>
      <c r="K2140">
        <v>7</v>
      </c>
      <c r="L2140">
        <v>3.3</v>
      </c>
      <c r="M2140" t="b">
        <v>0</v>
      </c>
    </row>
    <row r="2141" spans="1:14" x14ac:dyDescent="0.25">
      <c r="A2141" t="s">
        <v>2194</v>
      </c>
      <c r="B2141" t="s">
        <v>21</v>
      </c>
      <c r="C2141" t="s">
        <v>43</v>
      </c>
      <c r="D2141" t="s">
        <v>34</v>
      </c>
      <c r="E2141" t="s">
        <v>49</v>
      </c>
      <c r="F2141" t="s">
        <v>56</v>
      </c>
      <c r="G2141">
        <v>110.77</v>
      </c>
      <c r="H2141">
        <v>0</v>
      </c>
      <c r="I2141">
        <v>110.77</v>
      </c>
      <c r="J2141" s="1">
        <v>45875</v>
      </c>
      <c r="K2141">
        <v>48</v>
      </c>
      <c r="L2141">
        <v>2.6</v>
      </c>
      <c r="M2141" t="b">
        <v>0</v>
      </c>
    </row>
    <row r="2142" spans="1:14" x14ac:dyDescent="0.25">
      <c r="A2142" t="s">
        <v>2195</v>
      </c>
      <c r="B2142" t="s">
        <v>30</v>
      </c>
      <c r="C2142" t="s">
        <v>43</v>
      </c>
      <c r="D2142" t="s">
        <v>62</v>
      </c>
      <c r="E2142" t="s">
        <v>58</v>
      </c>
      <c r="F2142" t="s">
        <v>35</v>
      </c>
      <c r="G2142">
        <v>190.71</v>
      </c>
      <c r="H2142">
        <v>6.3</v>
      </c>
      <c r="I2142">
        <v>178.7</v>
      </c>
      <c r="J2142" s="1">
        <v>45875</v>
      </c>
      <c r="K2142">
        <v>1</v>
      </c>
      <c r="L2142">
        <v>2</v>
      </c>
      <c r="M2142" t="b">
        <v>0</v>
      </c>
    </row>
    <row r="2143" spans="1:14" x14ac:dyDescent="0.25">
      <c r="A2143" t="s">
        <v>2196</v>
      </c>
      <c r="B2143" t="s">
        <v>21</v>
      </c>
      <c r="C2143" t="s">
        <v>43</v>
      </c>
      <c r="D2143" t="s">
        <v>34</v>
      </c>
      <c r="E2143" t="s">
        <v>24</v>
      </c>
      <c r="F2143" t="s">
        <v>35</v>
      </c>
      <c r="G2143">
        <v>100.56</v>
      </c>
      <c r="H2143">
        <v>17.3</v>
      </c>
      <c r="I2143">
        <v>83.16</v>
      </c>
      <c r="J2143" s="1">
        <v>45875</v>
      </c>
      <c r="K2143">
        <v>21</v>
      </c>
      <c r="L2143">
        <v>3.6</v>
      </c>
      <c r="M2143" t="b">
        <v>0</v>
      </c>
    </row>
    <row r="2144" spans="1:14" x14ac:dyDescent="0.25">
      <c r="A2144" t="s">
        <v>2197</v>
      </c>
      <c r="B2144" t="s">
        <v>15</v>
      </c>
      <c r="C2144" t="s">
        <v>75</v>
      </c>
      <c r="D2144" t="s">
        <v>62</v>
      </c>
      <c r="E2144" t="s">
        <v>49</v>
      </c>
      <c r="F2144" t="s">
        <v>25</v>
      </c>
      <c r="G2144">
        <v>221.59</v>
      </c>
      <c r="H2144">
        <v>8.6</v>
      </c>
      <c r="I2144">
        <v>202.53</v>
      </c>
      <c r="J2144" s="1">
        <v>45875</v>
      </c>
      <c r="K2144">
        <v>5</v>
      </c>
      <c r="M2144" t="b">
        <v>0</v>
      </c>
    </row>
    <row r="2145" spans="1:14" x14ac:dyDescent="0.25">
      <c r="A2145" t="s">
        <v>2198</v>
      </c>
      <c r="B2145" t="s">
        <v>38</v>
      </c>
      <c r="C2145" t="s">
        <v>61</v>
      </c>
      <c r="D2145" t="s">
        <v>62</v>
      </c>
      <c r="E2145" t="s">
        <v>24</v>
      </c>
      <c r="F2145" t="s">
        <v>56</v>
      </c>
      <c r="G2145">
        <v>55.21</v>
      </c>
      <c r="H2145">
        <v>0</v>
      </c>
      <c r="I2145">
        <v>55.21</v>
      </c>
      <c r="J2145" s="1">
        <v>45875</v>
      </c>
      <c r="K2145">
        <v>21</v>
      </c>
      <c r="L2145">
        <v>1.8</v>
      </c>
      <c r="M2145" t="b">
        <v>1</v>
      </c>
      <c r="N2145" t="s">
        <v>125</v>
      </c>
    </row>
    <row r="2146" spans="1:14" x14ac:dyDescent="0.25">
      <c r="A2146" t="s">
        <v>2199</v>
      </c>
      <c r="B2146" t="s">
        <v>27</v>
      </c>
      <c r="C2146" t="s">
        <v>22</v>
      </c>
      <c r="D2146" t="s">
        <v>34</v>
      </c>
      <c r="F2146" t="s">
        <v>28</v>
      </c>
      <c r="G2146">
        <v>17.87</v>
      </c>
      <c r="H2146">
        <v>0</v>
      </c>
      <c r="I2146">
        <v>17.87</v>
      </c>
      <c r="J2146" s="1">
        <v>45875</v>
      </c>
      <c r="K2146">
        <v>47</v>
      </c>
      <c r="M2146" t="b">
        <v>0</v>
      </c>
    </row>
    <row r="2147" spans="1:14" x14ac:dyDescent="0.25">
      <c r="A2147" t="s">
        <v>2200</v>
      </c>
      <c r="B2147" t="s">
        <v>38</v>
      </c>
      <c r="C2147" t="s">
        <v>22</v>
      </c>
      <c r="D2147" t="s">
        <v>62</v>
      </c>
      <c r="E2147" t="s">
        <v>55</v>
      </c>
      <c r="F2147" t="s">
        <v>25</v>
      </c>
      <c r="G2147">
        <v>56.57</v>
      </c>
      <c r="H2147">
        <v>0</v>
      </c>
      <c r="I2147">
        <v>56.57</v>
      </c>
      <c r="J2147" s="1">
        <v>45875</v>
      </c>
      <c r="K2147">
        <v>43</v>
      </c>
      <c r="L2147">
        <v>4.4000000000000004</v>
      </c>
      <c r="M2147" t="b">
        <v>1</v>
      </c>
      <c r="N2147" t="s">
        <v>73</v>
      </c>
    </row>
    <row r="2148" spans="1:14" x14ac:dyDescent="0.25">
      <c r="A2148" t="s">
        <v>2201</v>
      </c>
      <c r="B2148" t="s">
        <v>27</v>
      </c>
      <c r="C2148" t="s">
        <v>61</v>
      </c>
      <c r="D2148" t="s">
        <v>17</v>
      </c>
      <c r="F2148" t="s">
        <v>66</v>
      </c>
      <c r="G2148">
        <v>47.74</v>
      </c>
      <c r="H2148">
        <v>0</v>
      </c>
      <c r="I2148">
        <v>47.74</v>
      </c>
      <c r="J2148" s="1">
        <v>45651</v>
      </c>
      <c r="K2148">
        <v>17</v>
      </c>
      <c r="L2148">
        <v>2.9</v>
      </c>
      <c r="M2148" t="b">
        <v>0</v>
      </c>
    </row>
    <row r="2149" spans="1:14" x14ac:dyDescent="0.25">
      <c r="A2149" t="s">
        <v>2202</v>
      </c>
      <c r="B2149" t="s">
        <v>42</v>
      </c>
      <c r="C2149" t="s">
        <v>32</v>
      </c>
      <c r="D2149" t="s">
        <v>34</v>
      </c>
      <c r="E2149" t="s">
        <v>58</v>
      </c>
      <c r="F2149" t="s">
        <v>64</v>
      </c>
      <c r="G2149">
        <v>152.88</v>
      </c>
      <c r="H2149">
        <v>8.9</v>
      </c>
      <c r="I2149">
        <v>139.27000000000001</v>
      </c>
      <c r="J2149" s="1">
        <v>45875</v>
      </c>
      <c r="K2149">
        <v>19</v>
      </c>
      <c r="L2149">
        <v>2.2000000000000002</v>
      </c>
      <c r="M2149" t="b">
        <v>0</v>
      </c>
    </row>
    <row r="2150" spans="1:14" x14ac:dyDescent="0.25">
      <c r="A2150" t="s">
        <v>2203</v>
      </c>
      <c r="B2150" t="s">
        <v>15</v>
      </c>
      <c r="C2150" t="s">
        <v>32</v>
      </c>
      <c r="D2150" t="s">
        <v>23</v>
      </c>
      <c r="E2150" t="s">
        <v>58</v>
      </c>
      <c r="F2150" t="s">
        <v>56</v>
      </c>
      <c r="G2150">
        <v>199.61</v>
      </c>
      <c r="H2150">
        <v>37.700000000000003</v>
      </c>
      <c r="I2150">
        <v>124.36</v>
      </c>
      <c r="J2150" s="1">
        <v>45875</v>
      </c>
      <c r="K2150">
        <v>6</v>
      </c>
      <c r="M2150" t="b">
        <v>0</v>
      </c>
    </row>
    <row r="2151" spans="1:14" x14ac:dyDescent="0.25">
      <c r="A2151" t="s">
        <v>2204</v>
      </c>
      <c r="B2151" t="s">
        <v>27</v>
      </c>
      <c r="C2151" t="s">
        <v>61</v>
      </c>
      <c r="D2151" t="s">
        <v>62</v>
      </c>
      <c r="F2151" t="s">
        <v>40</v>
      </c>
      <c r="G2151">
        <v>57.25</v>
      </c>
      <c r="H2151">
        <v>0</v>
      </c>
      <c r="I2151">
        <v>57.25</v>
      </c>
      <c r="J2151" s="1">
        <v>45875</v>
      </c>
      <c r="K2151">
        <v>22</v>
      </c>
      <c r="L2151">
        <v>5</v>
      </c>
      <c r="M2151" t="b">
        <v>0</v>
      </c>
    </row>
    <row r="2152" spans="1:14" x14ac:dyDescent="0.25">
      <c r="A2152" t="s">
        <v>2205</v>
      </c>
      <c r="B2152" t="s">
        <v>42</v>
      </c>
      <c r="C2152" t="s">
        <v>48</v>
      </c>
      <c r="D2152" t="s">
        <v>34</v>
      </c>
      <c r="E2152" t="s">
        <v>18</v>
      </c>
      <c r="F2152" t="s">
        <v>44</v>
      </c>
      <c r="G2152">
        <v>134.41</v>
      </c>
      <c r="H2152">
        <v>55.3</v>
      </c>
      <c r="I2152">
        <v>60.08</v>
      </c>
      <c r="J2152" s="1">
        <v>45875</v>
      </c>
      <c r="K2152">
        <v>12</v>
      </c>
      <c r="L2152">
        <v>3.2</v>
      </c>
      <c r="M2152" t="b">
        <v>0</v>
      </c>
    </row>
    <row r="2153" spans="1:14" x14ac:dyDescent="0.25">
      <c r="A2153" t="s">
        <v>2206</v>
      </c>
      <c r="B2153" t="s">
        <v>38</v>
      </c>
      <c r="C2153" t="s">
        <v>53</v>
      </c>
      <c r="D2153" t="s">
        <v>34</v>
      </c>
      <c r="E2153" t="s">
        <v>39</v>
      </c>
      <c r="F2153" t="s">
        <v>70</v>
      </c>
      <c r="G2153">
        <v>111.43</v>
      </c>
      <c r="H2153">
        <v>43.5</v>
      </c>
      <c r="I2153">
        <v>62.96</v>
      </c>
      <c r="J2153" s="1">
        <v>45875</v>
      </c>
      <c r="K2153">
        <v>22</v>
      </c>
      <c r="L2153">
        <v>4.8</v>
      </c>
      <c r="M2153" t="b">
        <v>0</v>
      </c>
    </row>
    <row r="2154" spans="1:14" x14ac:dyDescent="0.25">
      <c r="A2154" t="s">
        <v>2207</v>
      </c>
      <c r="B2154" t="s">
        <v>27</v>
      </c>
      <c r="C2154" t="s">
        <v>22</v>
      </c>
      <c r="D2154" t="s">
        <v>17</v>
      </c>
      <c r="F2154" t="s">
        <v>70</v>
      </c>
      <c r="G2154">
        <v>15.36</v>
      </c>
      <c r="H2154">
        <v>36.799999999999997</v>
      </c>
      <c r="I2154">
        <v>9.7100000000000009</v>
      </c>
      <c r="J2154" s="1">
        <v>45776</v>
      </c>
      <c r="K2154">
        <v>46</v>
      </c>
      <c r="L2154">
        <v>2.2999999999999998</v>
      </c>
      <c r="M2154" t="b">
        <v>0</v>
      </c>
    </row>
    <row r="2155" spans="1:14" x14ac:dyDescent="0.25">
      <c r="A2155" t="s">
        <v>2208</v>
      </c>
      <c r="B2155" t="s">
        <v>21</v>
      </c>
      <c r="C2155" t="s">
        <v>61</v>
      </c>
      <c r="D2155" t="s">
        <v>34</v>
      </c>
      <c r="E2155" t="s">
        <v>18</v>
      </c>
      <c r="F2155" t="s">
        <v>28</v>
      </c>
      <c r="G2155">
        <v>100.03</v>
      </c>
      <c r="H2155">
        <v>51.8</v>
      </c>
      <c r="I2155">
        <v>48.21</v>
      </c>
      <c r="J2155" s="1">
        <v>45875</v>
      </c>
      <c r="K2155">
        <v>43</v>
      </c>
      <c r="L2155">
        <v>5</v>
      </c>
      <c r="M2155" t="b">
        <v>0</v>
      </c>
    </row>
    <row r="2156" spans="1:14" x14ac:dyDescent="0.25">
      <c r="A2156" t="s">
        <v>2209</v>
      </c>
      <c r="B2156" t="s">
        <v>30</v>
      </c>
      <c r="C2156" t="s">
        <v>22</v>
      </c>
      <c r="D2156" t="s">
        <v>62</v>
      </c>
      <c r="E2156" t="s">
        <v>39</v>
      </c>
      <c r="F2156" t="s">
        <v>28</v>
      </c>
      <c r="G2156">
        <v>173.75</v>
      </c>
      <c r="H2156">
        <v>19.2</v>
      </c>
      <c r="I2156">
        <v>140.38999999999999</v>
      </c>
      <c r="J2156" s="1">
        <v>45875</v>
      </c>
      <c r="K2156">
        <v>38</v>
      </c>
      <c r="M2156" t="b">
        <v>0</v>
      </c>
    </row>
    <row r="2157" spans="1:14" x14ac:dyDescent="0.25">
      <c r="A2157" t="s">
        <v>2210</v>
      </c>
      <c r="B2157" t="s">
        <v>38</v>
      </c>
      <c r="C2157" t="s">
        <v>61</v>
      </c>
      <c r="D2157" t="s">
        <v>23</v>
      </c>
      <c r="E2157" t="s">
        <v>18</v>
      </c>
      <c r="F2157" t="s">
        <v>46</v>
      </c>
      <c r="G2157">
        <v>37.979999999999997</v>
      </c>
      <c r="H2157">
        <v>15.2</v>
      </c>
      <c r="I2157">
        <v>32.21</v>
      </c>
      <c r="J2157" s="1">
        <v>45875</v>
      </c>
      <c r="K2157">
        <v>25</v>
      </c>
      <c r="L2157">
        <v>3.6</v>
      </c>
      <c r="M2157" t="b">
        <v>0</v>
      </c>
    </row>
    <row r="2158" spans="1:14" x14ac:dyDescent="0.25">
      <c r="A2158" t="s">
        <v>2211</v>
      </c>
      <c r="B2158" t="s">
        <v>42</v>
      </c>
      <c r="C2158" t="s">
        <v>75</v>
      </c>
      <c r="D2158" t="s">
        <v>62</v>
      </c>
      <c r="E2158" t="s">
        <v>58</v>
      </c>
      <c r="F2158" t="s">
        <v>28</v>
      </c>
      <c r="G2158">
        <v>154.11000000000001</v>
      </c>
      <c r="H2158">
        <v>0</v>
      </c>
      <c r="I2158">
        <v>154.11000000000001</v>
      </c>
      <c r="J2158" s="1">
        <v>45875</v>
      </c>
      <c r="K2158">
        <v>50</v>
      </c>
      <c r="L2158">
        <v>3.1</v>
      </c>
      <c r="M2158" t="b">
        <v>0</v>
      </c>
    </row>
    <row r="2159" spans="1:14" x14ac:dyDescent="0.25">
      <c r="A2159" t="s">
        <v>2212</v>
      </c>
      <c r="B2159" t="s">
        <v>27</v>
      </c>
      <c r="C2159" t="s">
        <v>53</v>
      </c>
      <c r="D2159" t="s">
        <v>17</v>
      </c>
      <c r="F2159" t="s">
        <v>66</v>
      </c>
      <c r="G2159">
        <v>69.8</v>
      </c>
      <c r="H2159">
        <v>46.9</v>
      </c>
      <c r="I2159">
        <v>37.06</v>
      </c>
      <c r="J2159" s="1">
        <v>45586</v>
      </c>
      <c r="K2159">
        <v>26</v>
      </c>
      <c r="L2159">
        <v>3.8</v>
      </c>
      <c r="M2159" t="b">
        <v>0</v>
      </c>
    </row>
    <row r="2160" spans="1:14" x14ac:dyDescent="0.25">
      <c r="A2160" t="s">
        <v>2213</v>
      </c>
      <c r="B2160" t="s">
        <v>42</v>
      </c>
      <c r="C2160" t="s">
        <v>61</v>
      </c>
      <c r="D2160" t="s">
        <v>23</v>
      </c>
      <c r="E2160" t="s">
        <v>49</v>
      </c>
      <c r="F2160" t="s">
        <v>40</v>
      </c>
      <c r="G2160">
        <v>171.16</v>
      </c>
      <c r="H2160">
        <v>0</v>
      </c>
      <c r="I2160">
        <v>171.16</v>
      </c>
      <c r="J2160" s="1">
        <v>45875</v>
      </c>
      <c r="K2160">
        <v>26</v>
      </c>
      <c r="L2160">
        <v>4.3</v>
      </c>
      <c r="M2160" t="b">
        <v>0</v>
      </c>
    </row>
    <row r="2161" spans="1:14" x14ac:dyDescent="0.25">
      <c r="A2161" t="s">
        <v>2214</v>
      </c>
      <c r="B2161" t="s">
        <v>15</v>
      </c>
      <c r="C2161" t="s">
        <v>16</v>
      </c>
      <c r="D2161" t="s">
        <v>62</v>
      </c>
      <c r="E2161" t="s">
        <v>49</v>
      </c>
      <c r="F2161" t="s">
        <v>35</v>
      </c>
      <c r="G2161">
        <v>118.57</v>
      </c>
      <c r="H2161">
        <v>0</v>
      </c>
      <c r="I2161">
        <v>118.57</v>
      </c>
      <c r="J2161" s="1">
        <v>45875</v>
      </c>
      <c r="K2161">
        <v>6</v>
      </c>
      <c r="L2161">
        <v>1.4</v>
      </c>
      <c r="M2161" t="b">
        <v>1</v>
      </c>
      <c r="N2161" t="s">
        <v>83</v>
      </c>
    </row>
    <row r="2162" spans="1:14" x14ac:dyDescent="0.25">
      <c r="A2162" t="s">
        <v>2215</v>
      </c>
      <c r="B2162" t="s">
        <v>42</v>
      </c>
      <c r="C2162" t="s">
        <v>43</v>
      </c>
      <c r="D2162" t="s">
        <v>23</v>
      </c>
      <c r="E2162" t="s">
        <v>49</v>
      </c>
      <c r="F2162" t="s">
        <v>25</v>
      </c>
      <c r="G2162">
        <v>118.46</v>
      </c>
      <c r="H2162">
        <v>0</v>
      </c>
      <c r="I2162">
        <v>118.46</v>
      </c>
      <c r="J2162" s="1">
        <v>45875</v>
      </c>
      <c r="K2162">
        <v>40</v>
      </c>
      <c r="L2162">
        <v>2.2999999999999998</v>
      </c>
      <c r="M2162" t="b">
        <v>0</v>
      </c>
    </row>
    <row r="2163" spans="1:14" x14ac:dyDescent="0.25">
      <c r="A2163" t="s">
        <v>2216</v>
      </c>
      <c r="B2163" t="s">
        <v>30</v>
      </c>
      <c r="C2163" t="s">
        <v>16</v>
      </c>
      <c r="D2163" t="s">
        <v>62</v>
      </c>
      <c r="E2163" t="s">
        <v>24</v>
      </c>
      <c r="F2163" t="s">
        <v>46</v>
      </c>
      <c r="G2163">
        <v>122.7</v>
      </c>
      <c r="H2163">
        <v>0</v>
      </c>
      <c r="I2163">
        <v>122.7</v>
      </c>
      <c r="J2163" s="1">
        <v>45875</v>
      </c>
      <c r="K2163">
        <v>9</v>
      </c>
      <c r="M2163" t="b">
        <v>0</v>
      </c>
    </row>
    <row r="2164" spans="1:14" x14ac:dyDescent="0.25">
      <c r="A2164" t="s">
        <v>2217</v>
      </c>
      <c r="B2164" t="s">
        <v>27</v>
      </c>
      <c r="C2164" t="s">
        <v>61</v>
      </c>
      <c r="D2164" t="s">
        <v>17</v>
      </c>
      <c r="F2164" t="s">
        <v>28</v>
      </c>
      <c r="G2164">
        <v>68.2</v>
      </c>
      <c r="H2164">
        <v>0</v>
      </c>
      <c r="I2164">
        <v>68.2</v>
      </c>
      <c r="J2164" s="1">
        <v>45752</v>
      </c>
      <c r="K2164">
        <v>2</v>
      </c>
      <c r="L2164">
        <v>3.8</v>
      </c>
      <c r="M2164" t="b">
        <v>0</v>
      </c>
    </row>
    <row r="2165" spans="1:14" x14ac:dyDescent="0.25">
      <c r="A2165" t="s">
        <v>2218</v>
      </c>
      <c r="B2165" t="s">
        <v>30</v>
      </c>
      <c r="C2165" t="s">
        <v>48</v>
      </c>
      <c r="D2165" t="s">
        <v>17</v>
      </c>
      <c r="E2165" t="s">
        <v>18</v>
      </c>
      <c r="F2165" t="s">
        <v>35</v>
      </c>
      <c r="G2165">
        <v>178.56</v>
      </c>
      <c r="H2165">
        <v>0</v>
      </c>
      <c r="I2165">
        <v>178.56</v>
      </c>
      <c r="J2165" s="1">
        <v>45732</v>
      </c>
      <c r="K2165">
        <v>46</v>
      </c>
      <c r="L2165">
        <v>2.6</v>
      </c>
      <c r="M2165" t="b">
        <v>0</v>
      </c>
    </row>
    <row r="2166" spans="1:14" x14ac:dyDescent="0.25">
      <c r="A2166" t="s">
        <v>2219</v>
      </c>
      <c r="B2166" t="s">
        <v>27</v>
      </c>
      <c r="C2166" t="s">
        <v>22</v>
      </c>
      <c r="D2166" t="s">
        <v>62</v>
      </c>
      <c r="F2166" t="s">
        <v>46</v>
      </c>
      <c r="G2166">
        <v>30.46</v>
      </c>
      <c r="H2166">
        <v>31.4</v>
      </c>
      <c r="I2166">
        <v>20.9</v>
      </c>
      <c r="J2166" s="1">
        <v>45875</v>
      </c>
      <c r="K2166">
        <v>40</v>
      </c>
      <c r="L2166">
        <v>2.4</v>
      </c>
      <c r="M2166" t="b">
        <v>0</v>
      </c>
    </row>
    <row r="2167" spans="1:14" x14ac:dyDescent="0.25">
      <c r="A2167" t="s">
        <v>2220</v>
      </c>
      <c r="B2167" t="s">
        <v>27</v>
      </c>
      <c r="C2167" t="s">
        <v>32</v>
      </c>
      <c r="D2167" t="s">
        <v>62</v>
      </c>
      <c r="F2167" t="s">
        <v>28</v>
      </c>
      <c r="G2167">
        <v>76.08</v>
      </c>
      <c r="H2167">
        <v>0</v>
      </c>
      <c r="I2167">
        <v>76.08</v>
      </c>
      <c r="J2167" s="1">
        <v>45875</v>
      </c>
      <c r="K2167">
        <v>6</v>
      </c>
      <c r="L2167">
        <v>4.9000000000000004</v>
      </c>
      <c r="M2167" t="b">
        <v>0</v>
      </c>
    </row>
    <row r="2168" spans="1:14" x14ac:dyDescent="0.25">
      <c r="A2168" t="s">
        <v>2221</v>
      </c>
      <c r="B2168" t="s">
        <v>30</v>
      </c>
      <c r="C2168" t="s">
        <v>32</v>
      </c>
      <c r="D2168" t="s">
        <v>23</v>
      </c>
      <c r="E2168" t="s">
        <v>58</v>
      </c>
      <c r="F2168" t="s">
        <v>70</v>
      </c>
      <c r="G2168">
        <v>116.15</v>
      </c>
      <c r="H2168">
        <v>16.5</v>
      </c>
      <c r="I2168">
        <v>96.99</v>
      </c>
      <c r="J2168" s="1">
        <v>45875</v>
      </c>
      <c r="K2168">
        <v>11</v>
      </c>
      <c r="L2168">
        <v>3</v>
      </c>
      <c r="M2168" t="b">
        <v>0</v>
      </c>
    </row>
    <row r="2169" spans="1:14" x14ac:dyDescent="0.25">
      <c r="A2169" t="s">
        <v>2222</v>
      </c>
      <c r="B2169" t="s">
        <v>30</v>
      </c>
      <c r="C2169" t="s">
        <v>48</v>
      </c>
      <c r="D2169" t="s">
        <v>23</v>
      </c>
      <c r="E2169" t="s">
        <v>55</v>
      </c>
      <c r="F2169" t="s">
        <v>35</v>
      </c>
      <c r="G2169">
        <v>98.22</v>
      </c>
      <c r="H2169">
        <v>0</v>
      </c>
      <c r="I2169">
        <v>98.22</v>
      </c>
      <c r="J2169" s="1">
        <v>45875</v>
      </c>
      <c r="K2169">
        <v>27</v>
      </c>
      <c r="L2169">
        <v>3.3</v>
      </c>
      <c r="M2169" t="b">
        <v>0</v>
      </c>
    </row>
    <row r="2170" spans="1:14" x14ac:dyDescent="0.25">
      <c r="A2170" t="s">
        <v>2223</v>
      </c>
      <c r="B2170" t="s">
        <v>30</v>
      </c>
      <c r="C2170" t="s">
        <v>53</v>
      </c>
      <c r="D2170" t="s">
        <v>23</v>
      </c>
      <c r="F2170" t="s">
        <v>56</v>
      </c>
      <c r="G2170">
        <v>66.58</v>
      </c>
      <c r="H2170">
        <v>0</v>
      </c>
      <c r="I2170">
        <v>66.58</v>
      </c>
      <c r="J2170" s="1">
        <v>45875</v>
      </c>
      <c r="K2170">
        <v>45</v>
      </c>
      <c r="L2170">
        <v>3.4</v>
      </c>
      <c r="M2170" t="b">
        <v>0</v>
      </c>
    </row>
    <row r="2171" spans="1:14" x14ac:dyDescent="0.25">
      <c r="A2171" t="s">
        <v>2224</v>
      </c>
      <c r="B2171" t="s">
        <v>27</v>
      </c>
      <c r="C2171" t="s">
        <v>22</v>
      </c>
      <c r="D2171" t="s">
        <v>17</v>
      </c>
      <c r="F2171" t="s">
        <v>56</v>
      </c>
      <c r="G2171">
        <v>69.22</v>
      </c>
      <c r="H2171">
        <v>0</v>
      </c>
      <c r="I2171">
        <v>69.22</v>
      </c>
      <c r="J2171" s="1">
        <v>45540</v>
      </c>
      <c r="K2171">
        <v>42</v>
      </c>
      <c r="L2171">
        <v>3.8</v>
      </c>
      <c r="M2171" t="b">
        <v>0</v>
      </c>
    </row>
    <row r="2172" spans="1:14" x14ac:dyDescent="0.25">
      <c r="A2172" t="s">
        <v>2225</v>
      </c>
      <c r="B2172" t="s">
        <v>21</v>
      </c>
      <c r="C2172" t="s">
        <v>22</v>
      </c>
      <c r="D2172" t="s">
        <v>23</v>
      </c>
      <c r="E2172" t="s">
        <v>18</v>
      </c>
      <c r="F2172" t="s">
        <v>28</v>
      </c>
      <c r="G2172">
        <v>85.01</v>
      </c>
      <c r="H2172">
        <v>0</v>
      </c>
      <c r="I2172">
        <v>85.01</v>
      </c>
      <c r="J2172" s="1">
        <v>45875</v>
      </c>
      <c r="K2172">
        <v>39</v>
      </c>
      <c r="L2172">
        <v>4.3</v>
      </c>
      <c r="M2172" t="b">
        <v>0</v>
      </c>
    </row>
    <row r="2173" spans="1:14" x14ac:dyDescent="0.25">
      <c r="A2173" t="s">
        <v>2226</v>
      </c>
      <c r="B2173" t="s">
        <v>21</v>
      </c>
      <c r="C2173" t="s">
        <v>43</v>
      </c>
      <c r="D2173" t="s">
        <v>62</v>
      </c>
      <c r="E2173" t="s">
        <v>18</v>
      </c>
      <c r="F2173" t="s">
        <v>28</v>
      </c>
      <c r="G2173">
        <v>31.41</v>
      </c>
      <c r="H2173">
        <v>0</v>
      </c>
      <c r="I2173">
        <v>31.41</v>
      </c>
      <c r="J2173" s="1">
        <v>45875</v>
      </c>
      <c r="K2173">
        <v>10</v>
      </c>
      <c r="L2173">
        <v>2.1</v>
      </c>
      <c r="M2173" t="b">
        <v>0</v>
      </c>
    </row>
    <row r="2174" spans="1:14" x14ac:dyDescent="0.25">
      <c r="A2174" t="s">
        <v>2227</v>
      </c>
      <c r="B2174" t="s">
        <v>42</v>
      </c>
      <c r="C2174" t="s">
        <v>32</v>
      </c>
      <c r="D2174" t="s">
        <v>23</v>
      </c>
      <c r="E2174" t="s">
        <v>24</v>
      </c>
      <c r="F2174" t="s">
        <v>70</v>
      </c>
      <c r="G2174">
        <v>50.58</v>
      </c>
      <c r="H2174">
        <v>0</v>
      </c>
      <c r="I2174">
        <v>50.58</v>
      </c>
      <c r="J2174" s="1">
        <v>45875</v>
      </c>
      <c r="K2174">
        <v>1</v>
      </c>
      <c r="L2174">
        <v>3.1</v>
      </c>
      <c r="M2174" t="b">
        <v>1</v>
      </c>
      <c r="N2174" t="s">
        <v>115</v>
      </c>
    </row>
    <row r="2175" spans="1:14" x14ac:dyDescent="0.25">
      <c r="A2175" t="s">
        <v>2228</v>
      </c>
      <c r="B2175" t="s">
        <v>27</v>
      </c>
      <c r="C2175" t="s">
        <v>32</v>
      </c>
      <c r="D2175" t="s">
        <v>23</v>
      </c>
      <c r="F2175" t="s">
        <v>56</v>
      </c>
      <c r="G2175">
        <v>79.37</v>
      </c>
      <c r="H2175">
        <v>54.8</v>
      </c>
      <c r="I2175">
        <v>35.880000000000003</v>
      </c>
      <c r="J2175" s="1">
        <v>45875</v>
      </c>
      <c r="K2175">
        <v>40</v>
      </c>
      <c r="L2175">
        <v>2.6</v>
      </c>
      <c r="M2175" t="b">
        <v>0</v>
      </c>
    </row>
    <row r="2176" spans="1:14" x14ac:dyDescent="0.25">
      <c r="A2176" t="s">
        <v>2229</v>
      </c>
      <c r="B2176" t="s">
        <v>38</v>
      </c>
      <c r="C2176" t="s">
        <v>53</v>
      </c>
      <c r="D2176" t="s">
        <v>62</v>
      </c>
      <c r="E2176" t="s">
        <v>18</v>
      </c>
      <c r="F2176" t="s">
        <v>25</v>
      </c>
      <c r="G2176">
        <v>105.52</v>
      </c>
      <c r="H2176">
        <v>0</v>
      </c>
      <c r="I2176">
        <v>105.52</v>
      </c>
      <c r="J2176" s="1">
        <v>45875</v>
      </c>
      <c r="K2176">
        <v>20</v>
      </c>
      <c r="L2176">
        <v>4.9000000000000004</v>
      </c>
      <c r="M2176" t="b">
        <v>1</v>
      </c>
      <c r="N2176" t="s">
        <v>73</v>
      </c>
    </row>
    <row r="2177" spans="1:13" x14ac:dyDescent="0.25">
      <c r="A2177" t="s">
        <v>2230</v>
      </c>
      <c r="B2177" t="s">
        <v>30</v>
      </c>
      <c r="C2177" t="s">
        <v>53</v>
      </c>
      <c r="D2177" t="s">
        <v>62</v>
      </c>
      <c r="E2177" t="s">
        <v>49</v>
      </c>
      <c r="F2177" t="s">
        <v>35</v>
      </c>
      <c r="G2177">
        <v>154.02000000000001</v>
      </c>
      <c r="H2177">
        <v>0</v>
      </c>
      <c r="I2177">
        <v>154.02000000000001</v>
      </c>
      <c r="J2177" s="1">
        <v>45875</v>
      </c>
      <c r="K2177">
        <v>23</v>
      </c>
      <c r="L2177">
        <v>1.3</v>
      </c>
      <c r="M2177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87251-743E-4312-B01A-1BBC56F16CAC}">
  <dimension ref="A1:R2177"/>
  <sheetViews>
    <sheetView tabSelected="1" workbookViewId="0">
      <selection activeCell="G7" sqref="G7"/>
    </sheetView>
  </sheetViews>
  <sheetFormatPr defaultRowHeight="15" x14ac:dyDescent="0.25"/>
  <cols>
    <col min="1" max="1" width="12.85546875" bestFit="1" customWidth="1"/>
    <col min="2" max="2" width="11.5703125" bestFit="1" customWidth="1"/>
    <col min="3" max="3" width="16.140625" bestFit="1" customWidth="1"/>
    <col min="4" max="4" width="9.7109375" bestFit="1" customWidth="1"/>
    <col min="5" max="5" width="6.85546875" bestFit="1" customWidth="1"/>
    <col min="6" max="6" width="7.85546875" bestFit="1" customWidth="1"/>
    <col min="7" max="7" width="16.7109375" style="9" bestFit="1" customWidth="1"/>
    <col min="8" max="8" width="23.42578125" style="12" customWidth="1"/>
    <col min="9" max="9" width="16.5703125" style="9" bestFit="1" customWidth="1"/>
    <col min="10" max="10" width="16.28515625" style="1" customWidth="1"/>
    <col min="11" max="11" width="16.5703125" style="15" bestFit="1" customWidth="1"/>
    <col min="12" max="12" width="18" style="18" bestFit="1" customWidth="1"/>
    <col min="13" max="13" width="13.5703125" bestFit="1" customWidth="1"/>
    <col min="14" max="14" width="15.7109375" customWidth="1"/>
    <col min="15" max="15" width="21.7109375" bestFit="1" customWidth="1"/>
    <col min="16" max="16" width="21.7109375" customWidth="1"/>
    <col min="17" max="17" width="14" bestFit="1" customWidth="1"/>
    <col min="18" max="18" width="11.5703125" style="25" bestFit="1" customWidth="1"/>
  </cols>
  <sheetData>
    <row r="1" spans="1:18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7" t="s">
        <v>6</v>
      </c>
      <c r="H1" s="10" t="s">
        <v>7</v>
      </c>
      <c r="I1" s="7" t="s">
        <v>8</v>
      </c>
      <c r="J1" s="19" t="s">
        <v>9</v>
      </c>
      <c r="K1" s="13" t="s">
        <v>10</v>
      </c>
      <c r="L1" s="16" t="s">
        <v>11</v>
      </c>
      <c r="M1" s="5" t="s">
        <v>12</v>
      </c>
      <c r="N1" s="6" t="s">
        <v>13</v>
      </c>
      <c r="O1" s="5" t="s">
        <v>2231</v>
      </c>
      <c r="P1" s="5" t="s">
        <v>2233</v>
      </c>
      <c r="Q1" s="5" t="s">
        <v>2232</v>
      </c>
      <c r="R1" s="24" t="s">
        <v>2252</v>
      </c>
    </row>
    <row r="2" spans="1:18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8">
        <v>196.01</v>
      </c>
      <c r="H2" s="11">
        <v>0</v>
      </c>
      <c r="I2" s="8">
        <v>196.01</v>
      </c>
      <c r="J2" s="3">
        <v>45843</v>
      </c>
      <c r="K2" s="14">
        <v>37</v>
      </c>
      <c r="L2" s="17">
        <v>3</v>
      </c>
      <c r="M2" s="2" t="b">
        <v>0</v>
      </c>
      <c r="N2" s="2"/>
      <c r="O2" s="2" t="str">
        <f>IF(Table1[[#This Row],[is_returned]]=TRUE,IF(Table1[[#This Row],[return_reason]]="","Error","OK"),"OK")</f>
        <v>OK</v>
      </c>
      <c r="P2" s="8">
        <f>Table1[[#This Row],[original_price]]*Table1[[#This Row],[markdown_percentage]]/100</f>
        <v>0</v>
      </c>
      <c r="Q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" s="25">
        <f>Table1[[#This Row],[current_price]]*Table1[[#This Row],[stock_quantity]]</f>
        <v>7252.37</v>
      </c>
    </row>
    <row r="3" spans="1:18" x14ac:dyDescent="0.25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8">
        <v>119.64</v>
      </c>
      <c r="H3" s="11">
        <v>0</v>
      </c>
      <c r="I3" s="8">
        <v>119.64</v>
      </c>
      <c r="J3" s="3">
        <v>45875</v>
      </c>
      <c r="K3" s="14">
        <v>2</v>
      </c>
      <c r="L3" s="17">
        <v>2.5</v>
      </c>
      <c r="M3" s="2" t="b">
        <v>0</v>
      </c>
      <c r="N3" s="2"/>
      <c r="O3" s="2" t="str">
        <f>IF(Table1[[#This Row],[is_returned]]=TRUE,IF(Table1[[#This Row],[return_reason]]="","Error","OK"),"OK")</f>
        <v>OK</v>
      </c>
      <c r="P3" s="8">
        <f>Table1[[#This Row],[original_price]]*Table1[[#This Row],[markdown_percentage]]/100</f>
        <v>0</v>
      </c>
      <c r="Q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3" s="25">
        <f>Table1[[#This Row],[current_price]]*Table1[[#This Row],[stock_quantity]]</f>
        <v>239.28</v>
      </c>
    </row>
    <row r="4" spans="1:18" x14ac:dyDescent="0.25">
      <c r="A4" s="2" t="s">
        <v>26</v>
      </c>
      <c r="B4" s="2" t="s">
        <v>27</v>
      </c>
      <c r="C4" s="2" t="s">
        <v>22</v>
      </c>
      <c r="D4" s="2" t="s">
        <v>23</v>
      </c>
      <c r="E4" s="2"/>
      <c r="F4" s="2" t="s">
        <v>28</v>
      </c>
      <c r="G4" s="8">
        <v>33.799999999999997</v>
      </c>
      <c r="H4" s="11">
        <v>0</v>
      </c>
      <c r="I4" s="8">
        <v>33.799999999999997</v>
      </c>
      <c r="J4" s="3">
        <v>45875</v>
      </c>
      <c r="K4" s="14">
        <v>22</v>
      </c>
      <c r="L4" s="17">
        <v>4.3</v>
      </c>
      <c r="M4" s="2" t="b">
        <v>0</v>
      </c>
      <c r="N4" s="2"/>
      <c r="O4" s="2" t="str">
        <f>IF(Table1[[#This Row],[is_returned]]=TRUE,IF(Table1[[#This Row],[return_reason]]="","Error","OK"),"OK")</f>
        <v>OK</v>
      </c>
      <c r="P4" s="8">
        <f>Table1[[#This Row],[original_price]]*Table1[[#This Row],[markdown_percentage]]/100</f>
        <v>0</v>
      </c>
      <c r="Q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4" s="25">
        <f>Table1[[#This Row],[current_price]]*Table1[[#This Row],[stock_quantity]]</f>
        <v>743.59999999999991</v>
      </c>
    </row>
    <row r="5" spans="1:18" x14ac:dyDescent="0.25">
      <c r="A5" s="2" t="s">
        <v>29</v>
      </c>
      <c r="B5" s="2" t="s">
        <v>30</v>
      </c>
      <c r="C5" s="2" t="s">
        <v>22</v>
      </c>
      <c r="D5" s="2" t="s">
        <v>17</v>
      </c>
      <c r="E5" s="2" t="s">
        <v>18</v>
      </c>
      <c r="F5" s="2" t="s">
        <v>28</v>
      </c>
      <c r="G5" s="8">
        <v>75.36</v>
      </c>
      <c r="H5" s="11">
        <v>0</v>
      </c>
      <c r="I5" s="8">
        <v>75.36</v>
      </c>
      <c r="J5" s="3">
        <v>45845</v>
      </c>
      <c r="K5" s="14">
        <v>48</v>
      </c>
      <c r="L5" s="17">
        <v>2.6</v>
      </c>
      <c r="M5" s="2" t="b">
        <v>0</v>
      </c>
      <c r="N5" s="2"/>
      <c r="O5" s="2" t="str">
        <f>IF(Table1[[#This Row],[is_returned]]=TRUE,IF(Table1[[#This Row],[return_reason]]="","Error","OK"),"OK")</f>
        <v>OK</v>
      </c>
      <c r="P5" s="8">
        <f>Table1[[#This Row],[original_price]]*Table1[[#This Row],[markdown_percentage]]/100</f>
        <v>0</v>
      </c>
      <c r="Q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5" s="25">
        <f>Table1[[#This Row],[current_price]]*Table1[[#This Row],[stock_quantity]]</f>
        <v>3617.2799999999997</v>
      </c>
    </row>
    <row r="6" spans="1:18" x14ac:dyDescent="0.25">
      <c r="A6" s="2" t="s">
        <v>31</v>
      </c>
      <c r="B6" s="2" t="s">
        <v>21</v>
      </c>
      <c r="C6" s="2" t="s">
        <v>32</v>
      </c>
      <c r="D6" s="2" t="s">
        <v>23</v>
      </c>
      <c r="E6" s="2" t="s">
        <v>18</v>
      </c>
      <c r="F6" s="2" t="s">
        <v>28</v>
      </c>
      <c r="G6" s="8">
        <v>105.02</v>
      </c>
      <c r="H6" s="11">
        <v>0</v>
      </c>
      <c r="I6" s="8">
        <v>105.02</v>
      </c>
      <c r="J6" s="3">
        <v>45875</v>
      </c>
      <c r="K6" s="14">
        <v>10</v>
      </c>
      <c r="L6" s="17"/>
      <c r="M6" s="2" t="b">
        <v>0</v>
      </c>
      <c r="N6" s="2"/>
      <c r="O6" s="2" t="str">
        <f>IF(Table1[[#This Row],[is_returned]]=TRUE,IF(Table1[[#This Row],[return_reason]]="","Error","OK"),"OK")</f>
        <v>OK</v>
      </c>
      <c r="P6" s="8">
        <f>Table1[[#This Row],[original_price]]*Table1[[#This Row],[markdown_percentage]]/100</f>
        <v>0</v>
      </c>
      <c r="Q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6" s="25">
        <f>Table1[[#This Row],[current_price]]*Table1[[#This Row],[stock_quantity]]</f>
        <v>1050.2</v>
      </c>
    </row>
    <row r="7" spans="1:18" x14ac:dyDescent="0.25">
      <c r="A7" s="2" t="s">
        <v>33</v>
      </c>
      <c r="B7" s="2" t="s">
        <v>27</v>
      </c>
      <c r="C7" s="2" t="s">
        <v>16</v>
      </c>
      <c r="D7" s="2" t="s">
        <v>34</v>
      </c>
      <c r="E7" s="2"/>
      <c r="F7" s="2" t="s">
        <v>35</v>
      </c>
      <c r="G7" s="8">
        <v>35.03</v>
      </c>
      <c r="H7" s="11">
        <v>35.4</v>
      </c>
      <c r="I7" s="8">
        <v>22.63</v>
      </c>
      <c r="J7" s="3">
        <v>45875</v>
      </c>
      <c r="K7" s="14">
        <v>38</v>
      </c>
      <c r="L7" s="17">
        <v>2.9</v>
      </c>
      <c r="M7" s="2" t="b">
        <v>1</v>
      </c>
      <c r="N7" s="2" t="s">
        <v>36</v>
      </c>
      <c r="O7" s="2" t="str">
        <f>IF(Table1[[#This Row],[is_returned]]=TRUE,IF(Table1[[#This Row],[return_reason]]="","Error","OK"),"OK")</f>
        <v>OK</v>
      </c>
      <c r="P7" s="8">
        <f>Table1[[#This Row],[original_price]]*Table1[[#This Row],[markdown_percentage]]/100</f>
        <v>12.400619999999998</v>
      </c>
      <c r="Q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7" s="25">
        <f>Table1[[#This Row],[current_price]]*Table1[[#This Row],[stock_quantity]]</f>
        <v>859.93999999999994</v>
      </c>
    </row>
    <row r="8" spans="1:18" x14ac:dyDescent="0.25">
      <c r="A8" s="2" t="s">
        <v>37</v>
      </c>
      <c r="B8" s="2" t="s">
        <v>38</v>
      </c>
      <c r="C8" s="2" t="s">
        <v>16</v>
      </c>
      <c r="D8" s="2" t="s">
        <v>17</v>
      </c>
      <c r="E8" s="2" t="s">
        <v>39</v>
      </c>
      <c r="F8" s="2" t="s">
        <v>40</v>
      </c>
      <c r="G8" s="8">
        <v>53.83</v>
      </c>
      <c r="H8" s="11">
        <v>54.5</v>
      </c>
      <c r="I8" s="8">
        <v>24.49</v>
      </c>
      <c r="J8" s="3">
        <v>45594</v>
      </c>
      <c r="K8" s="14">
        <v>38</v>
      </c>
      <c r="L8" s="17">
        <v>2.6</v>
      </c>
      <c r="M8" s="2" t="b">
        <v>0</v>
      </c>
      <c r="N8" s="2"/>
      <c r="O8" s="2" t="str">
        <f>IF(Table1[[#This Row],[is_returned]]=TRUE,IF(Table1[[#This Row],[return_reason]]="","Error","OK"),"OK")</f>
        <v>OK</v>
      </c>
      <c r="P8" s="8">
        <f>Table1[[#This Row],[original_price]]*Table1[[#This Row],[markdown_percentage]]/100</f>
        <v>29.337350000000001</v>
      </c>
      <c r="Q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8" s="25">
        <f>Table1[[#This Row],[current_price]]*Table1[[#This Row],[stock_quantity]]</f>
        <v>930.61999999999989</v>
      </c>
    </row>
    <row r="9" spans="1:18" x14ac:dyDescent="0.25">
      <c r="A9" s="2" t="s">
        <v>41</v>
      </c>
      <c r="B9" s="2" t="s">
        <v>42</v>
      </c>
      <c r="C9" s="2" t="s">
        <v>43</v>
      </c>
      <c r="D9" s="2" t="s">
        <v>23</v>
      </c>
      <c r="E9" s="2" t="s">
        <v>18</v>
      </c>
      <c r="F9" s="2" t="s">
        <v>44</v>
      </c>
      <c r="G9" s="8">
        <v>91.55</v>
      </c>
      <c r="H9" s="11">
        <v>22.1</v>
      </c>
      <c r="I9" s="8">
        <v>71.319999999999993</v>
      </c>
      <c r="J9" s="3">
        <v>45875</v>
      </c>
      <c r="K9" s="14">
        <v>47</v>
      </c>
      <c r="L9" s="17">
        <v>1.6</v>
      </c>
      <c r="M9" s="2" t="b">
        <v>0</v>
      </c>
      <c r="N9" s="2"/>
      <c r="O9" s="2" t="str">
        <f>IF(Table1[[#This Row],[is_returned]]=TRUE,IF(Table1[[#This Row],[return_reason]]="","Error","OK"),"OK")</f>
        <v>OK</v>
      </c>
      <c r="P9" s="8">
        <f>Table1[[#This Row],[original_price]]*Table1[[#This Row],[markdown_percentage]]/100</f>
        <v>20.23255</v>
      </c>
      <c r="Q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9" s="25">
        <f>Table1[[#This Row],[current_price]]*Table1[[#This Row],[stock_quantity]]</f>
        <v>3352.0399999999995</v>
      </c>
    </row>
    <row r="10" spans="1:18" x14ac:dyDescent="0.25">
      <c r="A10" s="2" t="s">
        <v>45</v>
      </c>
      <c r="B10" s="2" t="s">
        <v>15</v>
      </c>
      <c r="C10" s="2" t="s">
        <v>22</v>
      </c>
      <c r="D10" s="2" t="s">
        <v>17</v>
      </c>
      <c r="E10" s="2" t="s">
        <v>18</v>
      </c>
      <c r="F10" s="2" t="s">
        <v>46</v>
      </c>
      <c r="G10" s="8">
        <v>227.73</v>
      </c>
      <c r="H10" s="11">
        <v>12.8</v>
      </c>
      <c r="I10" s="8">
        <v>198.58</v>
      </c>
      <c r="J10" s="3">
        <v>45740</v>
      </c>
      <c r="K10" s="14">
        <v>14</v>
      </c>
      <c r="L10" s="17"/>
      <c r="M10" s="2" t="b">
        <v>0</v>
      </c>
      <c r="N10" s="2"/>
      <c r="O10" s="2" t="str">
        <f>IF(Table1[[#This Row],[is_returned]]=TRUE,IF(Table1[[#This Row],[return_reason]]="","Error","OK"),"OK")</f>
        <v>OK</v>
      </c>
      <c r="P10" s="8">
        <f>Table1[[#This Row],[original_price]]*Table1[[#This Row],[markdown_percentage]]/100</f>
        <v>29.149439999999998</v>
      </c>
      <c r="Q1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0" s="25">
        <f>Table1[[#This Row],[current_price]]*Table1[[#This Row],[stock_quantity]]</f>
        <v>2780.1200000000003</v>
      </c>
    </row>
    <row r="11" spans="1:18" x14ac:dyDescent="0.25">
      <c r="A11" s="2" t="s">
        <v>47</v>
      </c>
      <c r="B11" s="2" t="s">
        <v>15</v>
      </c>
      <c r="C11" s="2" t="s">
        <v>48</v>
      </c>
      <c r="D11" s="2" t="s">
        <v>34</v>
      </c>
      <c r="E11" s="2" t="s">
        <v>49</v>
      </c>
      <c r="F11" s="2" t="s">
        <v>25</v>
      </c>
      <c r="G11" s="8">
        <v>248.41</v>
      </c>
      <c r="H11" s="11">
        <v>10.9</v>
      </c>
      <c r="I11" s="8">
        <v>221.33</v>
      </c>
      <c r="J11" s="3">
        <v>45875</v>
      </c>
      <c r="K11" s="14">
        <v>37</v>
      </c>
      <c r="L11" s="17"/>
      <c r="M11" s="2" t="b">
        <v>0</v>
      </c>
      <c r="N11" s="2"/>
      <c r="O11" s="2" t="str">
        <f>IF(Table1[[#This Row],[is_returned]]=TRUE,IF(Table1[[#This Row],[return_reason]]="","Error","OK"),"OK")</f>
        <v>OK</v>
      </c>
      <c r="P11" s="8">
        <f>Table1[[#This Row],[original_price]]*Table1[[#This Row],[markdown_percentage]]/100</f>
        <v>27.076689999999999</v>
      </c>
      <c r="Q1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1" s="25">
        <f>Table1[[#This Row],[current_price]]*Table1[[#This Row],[stock_quantity]]</f>
        <v>8189.21</v>
      </c>
    </row>
    <row r="12" spans="1:18" x14ac:dyDescent="0.25">
      <c r="A12" s="2" t="s">
        <v>50</v>
      </c>
      <c r="B12" s="2" t="s">
        <v>21</v>
      </c>
      <c r="C12" s="2" t="s">
        <v>43</v>
      </c>
      <c r="D12" s="2" t="s">
        <v>17</v>
      </c>
      <c r="E12" s="2" t="s">
        <v>24</v>
      </c>
      <c r="F12" s="2" t="s">
        <v>28</v>
      </c>
      <c r="G12" s="8">
        <v>116.84</v>
      </c>
      <c r="H12" s="11">
        <v>0</v>
      </c>
      <c r="I12" s="8">
        <v>116.84</v>
      </c>
      <c r="J12" s="3">
        <v>45772</v>
      </c>
      <c r="K12" s="14">
        <v>3</v>
      </c>
      <c r="L12" s="17">
        <v>4.4000000000000004</v>
      </c>
      <c r="M12" s="2" t="b">
        <v>0</v>
      </c>
      <c r="N12" s="2"/>
      <c r="O12" s="2" t="str">
        <f>IF(Table1[[#This Row],[is_returned]]=TRUE,IF(Table1[[#This Row],[return_reason]]="","Error","OK"),"OK")</f>
        <v>OK</v>
      </c>
      <c r="P12" s="8">
        <f>Table1[[#This Row],[original_price]]*Table1[[#This Row],[markdown_percentage]]/100</f>
        <v>0</v>
      </c>
      <c r="Q1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2" s="25">
        <f>Table1[[#This Row],[current_price]]*Table1[[#This Row],[stock_quantity]]</f>
        <v>350.52</v>
      </c>
    </row>
    <row r="13" spans="1:18" x14ac:dyDescent="0.25">
      <c r="A13" s="2" t="s">
        <v>51</v>
      </c>
      <c r="B13" s="2" t="s">
        <v>30</v>
      </c>
      <c r="C13" s="2" t="s">
        <v>22</v>
      </c>
      <c r="D13" s="2" t="s">
        <v>23</v>
      </c>
      <c r="E13" s="2" t="s">
        <v>39</v>
      </c>
      <c r="F13" s="2" t="s">
        <v>44</v>
      </c>
      <c r="G13" s="8">
        <v>146.97999999999999</v>
      </c>
      <c r="H13" s="11">
        <v>0</v>
      </c>
      <c r="I13" s="8">
        <v>146.97999999999999</v>
      </c>
      <c r="J13" s="3">
        <v>45875</v>
      </c>
      <c r="K13" s="14">
        <v>2</v>
      </c>
      <c r="L13" s="17">
        <v>3.4</v>
      </c>
      <c r="M13" s="2" t="b">
        <v>0</v>
      </c>
      <c r="N13" s="2"/>
      <c r="O13" s="2" t="str">
        <f>IF(Table1[[#This Row],[is_returned]]=TRUE,IF(Table1[[#This Row],[return_reason]]="","Error","OK"),"OK")</f>
        <v>OK</v>
      </c>
      <c r="P13" s="8">
        <f>Table1[[#This Row],[original_price]]*Table1[[#This Row],[markdown_percentage]]/100</f>
        <v>0</v>
      </c>
      <c r="Q1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3" s="25">
        <f>Table1[[#This Row],[current_price]]*Table1[[#This Row],[stock_quantity]]</f>
        <v>293.95999999999998</v>
      </c>
    </row>
    <row r="14" spans="1:18" x14ac:dyDescent="0.25">
      <c r="A14" s="2" t="s">
        <v>52</v>
      </c>
      <c r="B14" s="2" t="s">
        <v>38</v>
      </c>
      <c r="C14" s="2" t="s">
        <v>53</v>
      </c>
      <c r="D14" s="2" t="s">
        <v>17</v>
      </c>
      <c r="E14" s="2" t="s">
        <v>39</v>
      </c>
      <c r="F14" s="2" t="s">
        <v>35</v>
      </c>
      <c r="G14" s="8">
        <v>37.51</v>
      </c>
      <c r="H14" s="11">
        <v>0</v>
      </c>
      <c r="I14" s="8">
        <v>37.51</v>
      </c>
      <c r="J14" s="3">
        <v>45661</v>
      </c>
      <c r="K14" s="14">
        <v>43</v>
      </c>
      <c r="L14" s="17"/>
      <c r="M14" s="2" t="b">
        <v>0</v>
      </c>
      <c r="N14" s="2"/>
      <c r="O14" s="2" t="str">
        <f>IF(Table1[[#This Row],[is_returned]]=TRUE,IF(Table1[[#This Row],[return_reason]]="","Error","OK"),"OK")</f>
        <v>OK</v>
      </c>
      <c r="P14" s="8">
        <f>Table1[[#This Row],[original_price]]*Table1[[#This Row],[markdown_percentage]]/100</f>
        <v>0</v>
      </c>
      <c r="Q1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4" s="25">
        <f>Table1[[#This Row],[current_price]]*Table1[[#This Row],[stock_quantity]]</f>
        <v>1612.9299999999998</v>
      </c>
    </row>
    <row r="15" spans="1:18" x14ac:dyDescent="0.25">
      <c r="A15" s="2" t="s">
        <v>54</v>
      </c>
      <c r="B15" s="2" t="s">
        <v>42</v>
      </c>
      <c r="C15" s="2" t="s">
        <v>22</v>
      </c>
      <c r="D15" s="2" t="s">
        <v>34</v>
      </c>
      <c r="E15" s="2" t="s">
        <v>55</v>
      </c>
      <c r="F15" s="2" t="s">
        <v>56</v>
      </c>
      <c r="G15" s="8">
        <v>48.15</v>
      </c>
      <c r="H15" s="11">
        <v>0</v>
      </c>
      <c r="I15" s="8">
        <v>48.15</v>
      </c>
      <c r="J15" s="3">
        <v>45875</v>
      </c>
      <c r="K15" s="14">
        <v>39</v>
      </c>
      <c r="L15" s="17">
        <v>1.6</v>
      </c>
      <c r="M15" s="2" t="b">
        <v>0</v>
      </c>
      <c r="N15" s="2"/>
      <c r="O15" s="2" t="str">
        <f>IF(Table1[[#This Row],[is_returned]]=TRUE,IF(Table1[[#This Row],[return_reason]]="","Error","OK"),"OK")</f>
        <v>OK</v>
      </c>
      <c r="P15" s="8">
        <f>Table1[[#This Row],[original_price]]*Table1[[#This Row],[markdown_percentage]]/100</f>
        <v>0</v>
      </c>
      <c r="Q1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5" s="25">
        <f>Table1[[#This Row],[current_price]]*Table1[[#This Row],[stock_quantity]]</f>
        <v>1877.85</v>
      </c>
    </row>
    <row r="16" spans="1:18" x14ac:dyDescent="0.25">
      <c r="A16" s="2" t="s">
        <v>57</v>
      </c>
      <c r="B16" s="2" t="s">
        <v>21</v>
      </c>
      <c r="C16" s="2" t="s">
        <v>43</v>
      </c>
      <c r="D16" s="2" t="s">
        <v>23</v>
      </c>
      <c r="E16" s="2" t="s">
        <v>58</v>
      </c>
      <c r="F16" s="2" t="s">
        <v>56</v>
      </c>
      <c r="G16" s="8">
        <v>79.66</v>
      </c>
      <c r="H16" s="11">
        <v>0</v>
      </c>
      <c r="I16" s="8">
        <v>79.66</v>
      </c>
      <c r="J16" s="3">
        <v>45875</v>
      </c>
      <c r="K16" s="14">
        <v>7</v>
      </c>
      <c r="L16" s="17">
        <v>1.7</v>
      </c>
      <c r="M16" s="2" t="b">
        <v>0</v>
      </c>
      <c r="N16" s="2"/>
      <c r="O16" s="2" t="str">
        <f>IF(Table1[[#This Row],[is_returned]]=TRUE,IF(Table1[[#This Row],[return_reason]]="","Error","OK"),"OK")</f>
        <v>OK</v>
      </c>
      <c r="P16" s="8">
        <f>Table1[[#This Row],[original_price]]*Table1[[#This Row],[markdown_percentage]]/100</f>
        <v>0</v>
      </c>
      <c r="Q1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6" s="25">
        <f>Table1[[#This Row],[current_price]]*Table1[[#This Row],[stock_quantity]]</f>
        <v>557.62</v>
      </c>
    </row>
    <row r="17" spans="1:18" x14ac:dyDescent="0.25">
      <c r="A17" s="2" t="s">
        <v>59</v>
      </c>
      <c r="B17" s="2" t="s">
        <v>27</v>
      </c>
      <c r="C17" s="2" t="s">
        <v>43</v>
      </c>
      <c r="D17" s="2" t="s">
        <v>23</v>
      </c>
      <c r="E17" s="2"/>
      <c r="F17" s="2" t="s">
        <v>46</v>
      </c>
      <c r="G17" s="8">
        <v>67.569999999999993</v>
      </c>
      <c r="H17" s="11">
        <v>0</v>
      </c>
      <c r="I17" s="8">
        <v>67.569999999999993</v>
      </c>
      <c r="J17" s="3">
        <v>45875</v>
      </c>
      <c r="K17" s="14">
        <v>17</v>
      </c>
      <c r="L17" s="17">
        <v>2.4</v>
      </c>
      <c r="M17" s="2" t="b">
        <v>0</v>
      </c>
      <c r="N17" s="2"/>
      <c r="O17" s="2" t="str">
        <f>IF(Table1[[#This Row],[is_returned]]=TRUE,IF(Table1[[#This Row],[return_reason]]="","Error","OK"),"OK")</f>
        <v>OK</v>
      </c>
      <c r="P17" s="8">
        <f>Table1[[#This Row],[original_price]]*Table1[[#This Row],[markdown_percentage]]/100</f>
        <v>0</v>
      </c>
      <c r="Q1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7" s="25">
        <f>Table1[[#This Row],[current_price]]*Table1[[#This Row],[stock_quantity]]</f>
        <v>1148.6899999999998</v>
      </c>
    </row>
    <row r="18" spans="1:18" x14ac:dyDescent="0.25">
      <c r="A18" s="2" t="s">
        <v>60</v>
      </c>
      <c r="B18" s="2" t="s">
        <v>30</v>
      </c>
      <c r="C18" s="2" t="s">
        <v>61</v>
      </c>
      <c r="D18" s="2" t="s">
        <v>62</v>
      </c>
      <c r="E18" s="2" t="s">
        <v>39</v>
      </c>
      <c r="F18" s="2" t="s">
        <v>56</v>
      </c>
      <c r="G18" s="8">
        <v>123.53</v>
      </c>
      <c r="H18" s="11">
        <v>0</v>
      </c>
      <c r="I18" s="8">
        <v>123.53</v>
      </c>
      <c r="J18" s="3">
        <v>45875</v>
      </c>
      <c r="K18" s="14">
        <v>14</v>
      </c>
      <c r="L18" s="17">
        <v>4.5999999999999996</v>
      </c>
      <c r="M18" s="2" t="b">
        <v>0</v>
      </c>
      <c r="N18" s="2"/>
      <c r="O18" s="2" t="str">
        <f>IF(Table1[[#This Row],[is_returned]]=TRUE,IF(Table1[[#This Row],[return_reason]]="","Error","OK"),"OK")</f>
        <v>OK</v>
      </c>
      <c r="P18" s="8">
        <f>Table1[[#This Row],[original_price]]*Table1[[#This Row],[markdown_percentage]]/100</f>
        <v>0</v>
      </c>
      <c r="Q1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8" s="25">
        <f>Table1[[#This Row],[current_price]]*Table1[[#This Row],[stock_quantity]]</f>
        <v>1729.42</v>
      </c>
    </row>
    <row r="19" spans="1:18" x14ac:dyDescent="0.25">
      <c r="A19" s="2" t="s">
        <v>63</v>
      </c>
      <c r="B19" s="2" t="s">
        <v>21</v>
      </c>
      <c r="C19" s="2" t="s">
        <v>53</v>
      </c>
      <c r="D19" s="2" t="s">
        <v>23</v>
      </c>
      <c r="E19" s="2" t="s">
        <v>24</v>
      </c>
      <c r="F19" s="2" t="s">
        <v>64</v>
      </c>
      <c r="G19" s="8">
        <v>102.35</v>
      </c>
      <c r="H19" s="11">
        <v>0</v>
      </c>
      <c r="I19" s="8">
        <v>102.35</v>
      </c>
      <c r="J19" s="3">
        <v>45875</v>
      </c>
      <c r="K19" s="14">
        <v>14</v>
      </c>
      <c r="L19" s="17">
        <v>3.5</v>
      </c>
      <c r="M19" s="2" t="b">
        <v>0</v>
      </c>
      <c r="N19" s="2"/>
      <c r="O19" s="2" t="str">
        <f>IF(Table1[[#This Row],[is_returned]]=TRUE,IF(Table1[[#This Row],[return_reason]]="","Error","OK"),"OK")</f>
        <v>OK</v>
      </c>
      <c r="P19" s="8">
        <f>Table1[[#This Row],[original_price]]*Table1[[#This Row],[markdown_percentage]]/100</f>
        <v>0</v>
      </c>
      <c r="Q1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9" s="25">
        <f>Table1[[#This Row],[current_price]]*Table1[[#This Row],[stock_quantity]]</f>
        <v>1432.8999999999999</v>
      </c>
    </row>
    <row r="20" spans="1:18" x14ac:dyDescent="0.25">
      <c r="A20" s="2" t="s">
        <v>65</v>
      </c>
      <c r="B20" s="2" t="s">
        <v>15</v>
      </c>
      <c r="C20" s="2" t="s">
        <v>43</v>
      </c>
      <c r="D20" s="2" t="s">
        <v>62</v>
      </c>
      <c r="E20" s="2" t="s">
        <v>58</v>
      </c>
      <c r="F20" s="2" t="s">
        <v>66</v>
      </c>
      <c r="G20" s="8">
        <v>137.94999999999999</v>
      </c>
      <c r="H20" s="11">
        <v>58.5</v>
      </c>
      <c r="I20" s="8">
        <v>57.25</v>
      </c>
      <c r="J20" s="3">
        <v>45875</v>
      </c>
      <c r="K20" s="14">
        <v>16</v>
      </c>
      <c r="L20" s="17">
        <v>4.0999999999999996</v>
      </c>
      <c r="M20" s="2" t="b">
        <v>0</v>
      </c>
      <c r="N20" s="2"/>
      <c r="O20" s="2" t="str">
        <f>IF(Table1[[#This Row],[is_returned]]=TRUE,IF(Table1[[#This Row],[return_reason]]="","Error","OK"),"OK")</f>
        <v>OK</v>
      </c>
      <c r="P20" s="8">
        <f>Table1[[#This Row],[original_price]]*Table1[[#This Row],[markdown_percentage]]/100</f>
        <v>80.700749999999985</v>
      </c>
      <c r="Q2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0" s="25">
        <f>Table1[[#This Row],[current_price]]*Table1[[#This Row],[stock_quantity]]</f>
        <v>916</v>
      </c>
    </row>
    <row r="21" spans="1:18" x14ac:dyDescent="0.25">
      <c r="A21" s="2" t="s">
        <v>67</v>
      </c>
      <c r="B21" s="2" t="s">
        <v>15</v>
      </c>
      <c r="C21" s="2" t="s">
        <v>32</v>
      </c>
      <c r="D21" s="2" t="s">
        <v>62</v>
      </c>
      <c r="E21" s="2" t="s">
        <v>49</v>
      </c>
      <c r="F21" s="2" t="s">
        <v>40</v>
      </c>
      <c r="G21" s="8">
        <v>142.59</v>
      </c>
      <c r="H21" s="11">
        <v>0</v>
      </c>
      <c r="I21" s="8">
        <v>142.59</v>
      </c>
      <c r="J21" s="3">
        <v>45875</v>
      </c>
      <c r="K21" s="14">
        <v>1</v>
      </c>
      <c r="L21" s="17">
        <v>3.7</v>
      </c>
      <c r="M21" s="2" t="b">
        <v>0</v>
      </c>
      <c r="N21" s="2"/>
      <c r="O21" s="2" t="str">
        <f>IF(Table1[[#This Row],[is_returned]]=TRUE,IF(Table1[[#This Row],[return_reason]]="","Error","OK"),"OK")</f>
        <v>OK</v>
      </c>
      <c r="P21" s="8">
        <f>Table1[[#This Row],[original_price]]*Table1[[#This Row],[markdown_percentage]]/100</f>
        <v>0</v>
      </c>
      <c r="Q2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1" s="25">
        <f>Table1[[#This Row],[current_price]]*Table1[[#This Row],[stock_quantity]]</f>
        <v>142.59</v>
      </c>
    </row>
    <row r="22" spans="1:18" x14ac:dyDescent="0.25">
      <c r="A22" s="2" t="s">
        <v>68</v>
      </c>
      <c r="B22" s="2" t="s">
        <v>38</v>
      </c>
      <c r="C22" s="2" t="s">
        <v>43</v>
      </c>
      <c r="D22" s="2" t="s">
        <v>34</v>
      </c>
      <c r="E22" s="2" t="s">
        <v>24</v>
      </c>
      <c r="F22" s="2" t="s">
        <v>56</v>
      </c>
      <c r="G22" s="8">
        <v>33.33</v>
      </c>
      <c r="H22" s="11">
        <v>21.8</v>
      </c>
      <c r="I22" s="8">
        <v>26.06</v>
      </c>
      <c r="J22" s="3">
        <v>45875</v>
      </c>
      <c r="K22" s="14">
        <v>42</v>
      </c>
      <c r="L22" s="17"/>
      <c r="M22" s="2" t="b">
        <v>0</v>
      </c>
      <c r="N22" s="2"/>
      <c r="O22" s="2" t="str">
        <f>IF(Table1[[#This Row],[is_returned]]=TRUE,IF(Table1[[#This Row],[return_reason]]="","Error","OK"),"OK")</f>
        <v>OK</v>
      </c>
      <c r="P22" s="8">
        <f>Table1[[#This Row],[original_price]]*Table1[[#This Row],[markdown_percentage]]/100</f>
        <v>7.2659399999999996</v>
      </c>
      <c r="Q2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2" s="25">
        <f>Table1[[#This Row],[current_price]]*Table1[[#This Row],[stock_quantity]]</f>
        <v>1094.52</v>
      </c>
    </row>
    <row r="23" spans="1:18" x14ac:dyDescent="0.25">
      <c r="A23" s="2" t="s">
        <v>69</v>
      </c>
      <c r="B23" s="2" t="s">
        <v>27</v>
      </c>
      <c r="C23" s="2" t="s">
        <v>16</v>
      </c>
      <c r="D23" s="2" t="s">
        <v>17</v>
      </c>
      <c r="E23" s="2"/>
      <c r="F23" s="2" t="s">
        <v>70</v>
      </c>
      <c r="G23" s="8">
        <v>62.3</v>
      </c>
      <c r="H23" s="11">
        <v>0</v>
      </c>
      <c r="I23" s="8">
        <v>62.3</v>
      </c>
      <c r="J23" s="3">
        <v>45559</v>
      </c>
      <c r="K23" s="14">
        <v>10</v>
      </c>
      <c r="L23" s="17">
        <v>2.5</v>
      </c>
      <c r="M23" s="2" t="b">
        <v>0</v>
      </c>
      <c r="N23" s="2"/>
      <c r="O23" s="2" t="str">
        <f>IF(Table1[[#This Row],[is_returned]]=TRUE,IF(Table1[[#This Row],[return_reason]]="","Error","OK"),"OK")</f>
        <v>OK</v>
      </c>
      <c r="P23" s="8">
        <f>Table1[[#This Row],[original_price]]*Table1[[#This Row],[markdown_percentage]]/100</f>
        <v>0</v>
      </c>
      <c r="Q2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3" s="25">
        <f>Table1[[#This Row],[current_price]]*Table1[[#This Row],[stock_quantity]]</f>
        <v>623</v>
      </c>
    </row>
    <row r="24" spans="1:18" x14ac:dyDescent="0.25">
      <c r="A24" s="2" t="s">
        <v>71</v>
      </c>
      <c r="B24" s="2" t="s">
        <v>27</v>
      </c>
      <c r="C24" s="2" t="s">
        <v>16</v>
      </c>
      <c r="D24" s="2" t="s">
        <v>23</v>
      </c>
      <c r="E24" s="2"/>
      <c r="F24" s="2" t="s">
        <v>25</v>
      </c>
      <c r="G24" s="8">
        <v>38.479999999999997</v>
      </c>
      <c r="H24" s="11">
        <v>0</v>
      </c>
      <c r="I24" s="8">
        <v>38.479999999999997</v>
      </c>
      <c r="J24" s="3">
        <v>45875</v>
      </c>
      <c r="K24" s="14">
        <v>46</v>
      </c>
      <c r="L24" s="17">
        <v>1.2</v>
      </c>
      <c r="M24" s="2" t="b">
        <v>0</v>
      </c>
      <c r="N24" s="2"/>
      <c r="O24" s="2" t="str">
        <f>IF(Table1[[#This Row],[is_returned]]=TRUE,IF(Table1[[#This Row],[return_reason]]="","Error","OK"),"OK")</f>
        <v>OK</v>
      </c>
      <c r="P24" s="8">
        <f>Table1[[#This Row],[original_price]]*Table1[[#This Row],[markdown_percentage]]/100</f>
        <v>0</v>
      </c>
      <c r="Q2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4" s="25">
        <f>Table1[[#This Row],[current_price]]*Table1[[#This Row],[stock_quantity]]</f>
        <v>1770.08</v>
      </c>
    </row>
    <row r="25" spans="1:18" x14ac:dyDescent="0.25">
      <c r="A25" s="2" t="s">
        <v>72</v>
      </c>
      <c r="B25" s="2" t="s">
        <v>42</v>
      </c>
      <c r="C25" s="2" t="s">
        <v>32</v>
      </c>
      <c r="D25" s="2" t="s">
        <v>62</v>
      </c>
      <c r="E25" s="2" t="s">
        <v>18</v>
      </c>
      <c r="F25" s="2" t="s">
        <v>46</v>
      </c>
      <c r="G25" s="8">
        <v>91.36</v>
      </c>
      <c r="H25" s="11">
        <v>0</v>
      </c>
      <c r="I25" s="8">
        <v>91.36</v>
      </c>
      <c r="J25" s="3">
        <v>45875</v>
      </c>
      <c r="K25" s="14">
        <v>37</v>
      </c>
      <c r="L25" s="17">
        <v>1.2</v>
      </c>
      <c r="M25" s="2" t="b">
        <v>1</v>
      </c>
      <c r="N25" s="2" t="s">
        <v>73</v>
      </c>
      <c r="O25" s="2" t="str">
        <f>IF(Table1[[#This Row],[is_returned]]=TRUE,IF(Table1[[#This Row],[return_reason]]="","Error","OK"),"OK")</f>
        <v>OK</v>
      </c>
      <c r="P25" s="8">
        <f>Table1[[#This Row],[original_price]]*Table1[[#This Row],[markdown_percentage]]/100</f>
        <v>0</v>
      </c>
      <c r="Q2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5" s="25">
        <f>Table1[[#This Row],[current_price]]*Table1[[#This Row],[stock_quantity]]</f>
        <v>3380.32</v>
      </c>
    </row>
    <row r="26" spans="1:18" x14ac:dyDescent="0.25">
      <c r="A26" s="2" t="s">
        <v>74</v>
      </c>
      <c r="B26" s="2" t="s">
        <v>21</v>
      </c>
      <c r="C26" s="2" t="s">
        <v>75</v>
      </c>
      <c r="D26" s="2" t="s">
        <v>34</v>
      </c>
      <c r="E26" s="2" t="s">
        <v>55</v>
      </c>
      <c r="F26" s="2" t="s">
        <v>44</v>
      </c>
      <c r="G26" s="8">
        <v>80.47</v>
      </c>
      <c r="H26" s="11">
        <v>29.1</v>
      </c>
      <c r="I26" s="8">
        <v>57.05</v>
      </c>
      <c r="J26" s="3">
        <v>45875</v>
      </c>
      <c r="K26" s="14">
        <v>38</v>
      </c>
      <c r="L26" s="17">
        <v>3.6</v>
      </c>
      <c r="M26" s="2" t="b">
        <v>0</v>
      </c>
      <c r="N26" s="2"/>
      <c r="O26" s="2" t="str">
        <f>IF(Table1[[#This Row],[is_returned]]=TRUE,IF(Table1[[#This Row],[return_reason]]="","Error","OK"),"OK")</f>
        <v>OK</v>
      </c>
      <c r="P26" s="8">
        <f>Table1[[#This Row],[original_price]]*Table1[[#This Row],[markdown_percentage]]/100</f>
        <v>23.41677</v>
      </c>
      <c r="Q2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6" s="25">
        <f>Table1[[#This Row],[current_price]]*Table1[[#This Row],[stock_quantity]]</f>
        <v>2167.9</v>
      </c>
    </row>
    <row r="27" spans="1:18" x14ac:dyDescent="0.25">
      <c r="A27" s="2" t="s">
        <v>76</v>
      </c>
      <c r="B27" s="2" t="s">
        <v>38</v>
      </c>
      <c r="C27" s="2" t="s">
        <v>22</v>
      </c>
      <c r="D27" s="2" t="s">
        <v>17</v>
      </c>
      <c r="E27" s="2" t="s">
        <v>58</v>
      </c>
      <c r="F27" s="2" t="s">
        <v>19</v>
      </c>
      <c r="G27" s="8">
        <v>40.89</v>
      </c>
      <c r="H27" s="11">
        <v>34</v>
      </c>
      <c r="I27" s="8">
        <v>26.99</v>
      </c>
      <c r="J27" s="3">
        <v>45819</v>
      </c>
      <c r="K27" s="14">
        <v>16</v>
      </c>
      <c r="L27" s="17">
        <v>3.7</v>
      </c>
      <c r="M27" s="2" t="b">
        <v>0</v>
      </c>
      <c r="N27" s="2"/>
      <c r="O27" s="2" t="str">
        <f>IF(Table1[[#This Row],[is_returned]]=TRUE,IF(Table1[[#This Row],[return_reason]]="","Error","OK"),"OK")</f>
        <v>OK</v>
      </c>
      <c r="P27" s="8">
        <f>Table1[[#This Row],[original_price]]*Table1[[#This Row],[markdown_percentage]]/100</f>
        <v>13.9026</v>
      </c>
      <c r="Q2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7" s="25">
        <f>Table1[[#This Row],[current_price]]*Table1[[#This Row],[stock_quantity]]</f>
        <v>431.84</v>
      </c>
    </row>
    <row r="28" spans="1:18" x14ac:dyDescent="0.25">
      <c r="A28" s="2" t="s">
        <v>77</v>
      </c>
      <c r="B28" s="2" t="s">
        <v>38</v>
      </c>
      <c r="C28" s="2" t="s">
        <v>32</v>
      </c>
      <c r="D28" s="2" t="s">
        <v>62</v>
      </c>
      <c r="E28" s="2" t="s">
        <v>24</v>
      </c>
      <c r="F28" s="2" t="s">
        <v>19</v>
      </c>
      <c r="G28" s="8">
        <v>47.04</v>
      </c>
      <c r="H28" s="11">
        <v>36</v>
      </c>
      <c r="I28" s="8">
        <v>30.11</v>
      </c>
      <c r="J28" s="3">
        <v>45875</v>
      </c>
      <c r="K28" s="14">
        <v>25</v>
      </c>
      <c r="L28" s="17">
        <v>1.1000000000000001</v>
      </c>
      <c r="M28" s="2" t="b">
        <v>1</v>
      </c>
      <c r="N28" s="2" t="s">
        <v>78</v>
      </c>
      <c r="O28" s="2" t="str">
        <f>IF(Table1[[#This Row],[is_returned]]=TRUE,IF(Table1[[#This Row],[return_reason]]="","Error","OK"),"OK")</f>
        <v>OK</v>
      </c>
      <c r="P28" s="8">
        <f>Table1[[#This Row],[original_price]]*Table1[[#This Row],[markdown_percentage]]/100</f>
        <v>16.9344</v>
      </c>
      <c r="Q2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8" s="25">
        <f>Table1[[#This Row],[current_price]]*Table1[[#This Row],[stock_quantity]]</f>
        <v>752.75</v>
      </c>
    </row>
    <row r="29" spans="1:18" x14ac:dyDescent="0.25">
      <c r="A29" s="2" t="s">
        <v>79</v>
      </c>
      <c r="B29" s="2" t="s">
        <v>38</v>
      </c>
      <c r="C29" s="2" t="s">
        <v>61</v>
      </c>
      <c r="D29" s="2" t="s">
        <v>62</v>
      </c>
      <c r="E29" s="2" t="s">
        <v>58</v>
      </c>
      <c r="F29" s="2" t="s">
        <v>44</v>
      </c>
      <c r="G29" s="8">
        <v>53.37</v>
      </c>
      <c r="H29" s="11">
        <v>0</v>
      </c>
      <c r="I29" s="8">
        <v>53.37</v>
      </c>
      <c r="J29" s="3">
        <v>45875</v>
      </c>
      <c r="K29" s="14">
        <v>28</v>
      </c>
      <c r="L29" s="17">
        <v>3.8</v>
      </c>
      <c r="M29" s="2" t="b">
        <v>0</v>
      </c>
      <c r="N29" s="2"/>
      <c r="O29" s="2" t="str">
        <f>IF(Table1[[#This Row],[is_returned]]=TRUE,IF(Table1[[#This Row],[return_reason]]="","Error","OK"),"OK")</f>
        <v>OK</v>
      </c>
      <c r="P29" s="8">
        <f>Table1[[#This Row],[original_price]]*Table1[[#This Row],[markdown_percentage]]/100</f>
        <v>0</v>
      </c>
      <c r="Q2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9" s="25">
        <f>Table1[[#This Row],[current_price]]*Table1[[#This Row],[stock_quantity]]</f>
        <v>1494.36</v>
      </c>
    </row>
    <row r="30" spans="1:18" x14ac:dyDescent="0.25">
      <c r="A30" s="2" t="s">
        <v>80</v>
      </c>
      <c r="B30" s="2" t="s">
        <v>42</v>
      </c>
      <c r="C30" s="2" t="s">
        <v>53</v>
      </c>
      <c r="D30" s="2" t="s">
        <v>62</v>
      </c>
      <c r="E30" s="2" t="s">
        <v>24</v>
      </c>
      <c r="F30" s="2" t="s">
        <v>35</v>
      </c>
      <c r="G30" s="8">
        <v>114.35</v>
      </c>
      <c r="H30" s="11">
        <v>0</v>
      </c>
      <c r="I30" s="8">
        <v>114.35</v>
      </c>
      <c r="J30" s="3">
        <v>45875</v>
      </c>
      <c r="K30" s="14">
        <v>6</v>
      </c>
      <c r="L30" s="17">
        <v>1.2</v>
      </c>
      <c r="M30" s="2" t="b">
        <v>0</v>
      </c>
      <c r="N30" s="2"/>
      <c r="O30" s="2" t="str">
        <f>IF(Table1[[#This Row],[is_returned]]=TRUE,IF(Table1[[#This Row],[return_reason]]="","Error","OK"),"OK")</f>
        <v>OK</v>
      </c>
      <c r="P30" s="8">
        <f>Table1[[#This Row],[original_price]]*Table1[[#This Row],[markdown_percentage]]/100</f>
        <v>0</v>
      </c>
      <c r="Q3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30" s="25">
        <f>Table1[[#This Row],[current_price]]*Table1[[#This Row],[stock_quantity]]</f>
        <v>686.09999999999991</v>
      </c>
    </row>
    <row r="31" spans="1:18" x14ac:dyDescent="0.25">
      <c r="A31" s="2" t="s">
        <v>81</v>
      </c>
      <c r="B31" s="2" t="s">
        <v>30</v>
      </c>
      <c r="C31" s="2" t="s">
        <v>61</v>
      </c>
      <c r="D31" s="2" t="s">
        <v>17</v>
      </c>
      <c r="E31" s="2" t="s">
        <v>18</v>
      </c>
      <c r="F31" s="2" t="s">
        <v>19</v>
      </c>
      <c r="G31" s="8">
        <v>77.63</v>
      </c>
      <c r="H31" s="11">
        <v>0</v>
      </c>
      <c r="I31" s="8">
        <v>77.63</v>
      </c>
      <c r="J31" s="3">
        <v>45589</v>
      </c>
      <c r="K31" s="14">
        <v>1</v>
      </c>
      <c r="L31" s="17"/>
      <c r="M31" s="2" t="b">
        <v>0</v>
      </c>
      <c r="N31" s="2"/>
      <c r="O31" s="2" t="str">
        <f>IF(Table1[[#This Row],[is_returned]]=TRUE,IF(Table1[[#This Row],[return_reason]]="","Error","OK"),"OK")</f>
        <v>OK</v>
      </c>
      <c r="P31" s="8">
        <f>Table1[[#This Row],[original_price]]*Table1[[#This Row],[markdown_percentage]]/100</f>
        <v>0</v>
      </c>
      <c r="Q3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31" s="25">
        <f>Table1[[#This Row],[current_price]]*Table1[[#This Row],[stock_quantity]]</f>
        <v>77.63</v>
      </c>
    </row>
    <row r="32" spans="1:18" x14ac:dyDescent="0.25">
      <c r="A32" s="2" t="s">
        <v>82</v>
      </c>
      <c r="B32" s="2" t="s">
        <v>30</v>
      </c>
      <c r="C32" s="2" t="s">
        <v>22</v>
      </c>
      <c r="D32" s="2" t="s">
        <v>62</v>
      </c>
      <c r="E32" s="2" t="s">
        <v>39</v>
      </c>
      <c r="F32" s="2" t="s">
        <v>19</v>
      </c>
      <c r="G32" s="8">
        <v>71.290000000000006</v>
      </c>
      <c r="H32" s="11">
        <v>0</v>
      </c>
      <c r="I32" s="8">
        <v>71.290000000000006</v>
      </c>
      <c r="J32" s="3">
        <v>45875</v>
      </c>
      <c r="K32" s="14">
        <v>37</v>
      </c>
      <c r="L32" s="17">
        <v>4.0999999999999996</v>
      </c>
      <c r="M32" s="2" t="b">
        <v>1</v>
      </c>
      <c r="N32" s="2" t="s">
        <v>83</v>
      </c>
      <c r="O32" s="2" t="str">
        <f>IF(Table1[[#This Row],[is_returned]]=TRUE,IF(Table1[[#This Row],[return_reason]]="","Error","OK"),"OK")</f>
        <v>OK</v>
      </c>
      <c r="P32" s="8">
        <f>Table1[[#This Row],[original_price]]*Table1[[#This Row],[markdown_percentage]]/100</f>
        <v>0</v>
      </c>
      <c r="Q3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32" s="25">
        <f>Table1[[#This Row],[current_price]]*Table1[[#This Row],[stock_quantity]]</f>
        <v>2637.73</v>
      </c>
    </row>
    <row r="33" spans="1:18" x14ac:dyDescent="0.25">
      <c r="A33" s="2" t="s">
        <v>84</v>
      </c>
      <c r="B33" s="2" t="s">
        <v>21</v>
      </c>
      <c r="C33" s="2" t="s">
        <v>61</v>
      </c>
      <c r="D33" s="2" t="s">
        <v>17</v>
      </c>
      <c r="E33" s="2" t="s">
        <v>24</v>
      </c>
      <c r="F33" s="2" t="s">
        <v>66</v>
      </c>
      <c r="G33" s="8">
        <v>37.43</v>
      </c>
      <c r="H33" s="11">
        <v>24.4</v>
      </c>
      <c r="I33" s="8">
        <v>28.3</v>
      </c>
      <c r="J33" s="3">
        <v>45763</v>
      </c>
      <c r="K33" s="14">
        <v>5</v>
      </c>
      <c r="L33" s="17"/>
      <c r="M33" s="2" t="b">
        <v>0</v>
      </c>
      <c r="N33" s="2"/>
      <c r="O33" s="2" t="str">
        <f>IF(Table1[[#This Row],[is_returned]]=TRUE,IF(Table1[[#This Row],[return_reason]]="","Error","OK"),"OK")</f>
        <v>OK</v>
      </c>
      <c r="P33" s="8">
        <f>Table1[[#This Row],[original_price]]*Table1[[#This Row],[markdown_percentage]]/100</f>
        <v>9.1329199999999986</v>
      </c>
      <c r="Q3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33" s="25">
        <f>Table1[[#This Row],[current_price]]*Table1[[#This Row],[stock_quantity]]</f>
        <v>141.5</v>
      </c>
    </row>
    <row r="34" spans="1:18" x14ac:dyDescent="0.25">
      <c r="A34" s="2" t="s">
        <v>85</v>
      </c>
      <c r="B34" s="2" t="s">
        <v>30</v>
      </c>
      <c r="C34" s="2" t="s">
        <v>16</v>
      </c>
      <c r="D34" s="2" t="s">
        <v>17</v>
      </c>
      <c r="E34" s="2" t="s">
        <v>18</v>
      </c>
      <c r="F34" s="2" t="s">
        <v>66</v>
      </c>
      <c r="G34" s="8">
        <v>143.78</v>
      </c>
      <c r="H34" s="11">
        <v>0</v>
      </c>
      <c r="I34" s="8">
        <v>143.78</v>
      </c>
      <c r="J34" s="3">
        <v>45581</v>
      </c>
      <c r="K34" s="14">
        <v>43</v>
      </c>
      <c r="L34" s="17">
        <v>1.1000000000000001</v>
      </c>
      <c r="M34" s="2" t="b">
        <v>0</v>
      </c>
      <c r="N34" s="2"/>
      <c r="O34" s="2" t="str">
        <f>IF(Table1[[#This Row],[is_returned]]=TRUE,IF(Table1[[#This Row],[return_reason]]="","Error","OK"),"OK")</f>
        <v>OK</v>
      </c>
      <c r="P34" s="8">
        <f>Table1[[#This Row],[original_price]]*Table1[[#This Row],[markdown_percentage]]/100</f>
        <v>0</v>
      </c>
      <c r="Q3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34" s="25">
        <f>Table1[[#This Row],[current_price]]*Table1[[#This Row],[stock_quantity]]</f>
        <v>6182.54</v>
      </c>
    </row>
    <row r="35" spans="1:18" x14ac:dyDescent="0.25">
      <c r="A35" s="2" t="s">
        <v>86</v>
      </c>
      <c r="B35" s="2" t="s">
        <v>21</v>
      </c>
      <c r="C35" s="2" t="s">
        <v>32</v>
      </c>
      <c r="D35" s="2" t="s">
        <v>62</v>
      </c>
      <c r="E35" s="2" t="s">
        <v>18</v>
      </c>
      <c r="F35" s="2" t="s">
        <v>40</v>
      </c>
      <c r="G35" s="8">
        <v>88.23</v>
      </c>
      <c r="H35" s="11">
        <v>0</v>
      </c>
      <c r="I35" s="8">
        <v>88.23</v>
      </c>
      <c r="J35" s="3">
        <v>45875</v>
      </c>
      <c r="K35" s="14">
        <v>44</v>
      </c>
      <c r="L35" s="17">
        <v>1.6</v>
      </c>
      <c r="M35" s="2" t="b">
        <v>0</v>
      </c>
      <c r="N35" s="2"/>
      <c r="O35" s="2" t="str">
        <f>IF(Table1[[#This Row],[is_returned]]=TRUE,IF(Table1[[#This Row],[return_reason]]="","Error","OK"),"OK")</f>
        <v>OK</v>
      </c>
      <c r="P35" s="8">
        <f>Table1[[#This Row],[original_price]]*Table1[[#This Row],[markdown_percentage]]/100</f>
        <v>0</v>
      </c>
      <c r="Q3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35" s="25">
        <f>Table1[[#This Row],[current_price]]*Table1[[#This Row],[stock_quantity]]</f>
        <v>3882.1200000000003</v>
      </c>
    </row>
    <row r="36" spans="1:18" x14ac:dyDescent="0.25">
      <c r="A36" s="2" t="s">
        <v>87</v>
      </c>
      <c r="B36" s="2" t="s">
        <v>27</v>
      </c>
      <c r="C36" s="2" t="s">
        <v>75</v>
      </c>
      <c r="D36" s="2" t="s">
        <v>34</v>
      </c>
      <c r="E36" s="2"/>
      <c r="F36" s="2" t="s">
        <v>64</v>
      </c>
      <c r="G36" s="8">
        <v>58.57</v>
      </c>
      <c r="H36" s="11">
        <v>0</v>
      </c>
      <c r="I36" s="8">
        <v>58.57</v>
      </c>
      <c r="J36" s="3">
        <v>45875</v>
      </c>
      <c r="K36" s="14">
        <v>38</v>
      </c>
      <c r="L36" s="17">
        <v>1.5</v>
      </c>
      <c r="M36" s="2" t="b">
        <v>0</v>
      </c>
      <c r="N36" s="2"/>
      <c r="O36" s="2" t="str">
        <f>IF(Table1[[#This Row],[is_returned]]=TRUE,IF(Table1[[#This Row],[return_reason]]="","Error","OK"),"OK")</f>
        <v>OK</v>
      </c>
      <c r="P36" s="8">
        <f>Table1[[#This Row],[original_price]]*Table1[[#This Row],[markdown_percentage]]/100</f>
        <v>0</v>
      </c>
      <c r="Q3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36" s="25">
        <f>Table1[[#This Row],[current_price]]*Table1[[#This Row],[stock_quantity]]</f>
        <v>2225.66</v>
      </c>
    </row>
    <row r="37" spans="1:18" x14ac:dyDescent="0.25">
      <c r="A37" s="2" t="s">
        <v>88</v>
      </c>
      <c r="B37" s="2" t="s">
        <v>21</v>
      </c>
      <c r="C37" s="2" t="s">
        <v>22</v>
      </c>
      <c r="D37" s="2" t="s">
        <v>23</v>
      </c>
      <c r="E37" s="2" t="s">
        <v>49</v>
      </c>
      <c r="F37" s="2" t="s">
        <v>35</v>
      </c>
      <c r="G37" s="8">
        <v>119.7</v>
      </c>
      <c r="H37" s="11">
        <v>5.7</v>
      </c>
      <c r="I37" s="8">
        <v>112.88</v>
      </c>
      <c r="J37" s="3">
        <v>45875</v>
      </c>
      <c r="K37" s="14">
        <v>37</v>
      </c>
      <c r="L37" s="17">
        <v>4.9000000000000004</v>
      </c>
      <c r="M37" s="2" t="b">
        <v>0</v>
      </c>
      <c r="N37" s="2"/>
      <c r="O37" s="2" t="str">
        <f>IF(Table1[[#This Row],[is_returned]]=TRUE,IF(Table1[[#This Row],[return_reason]]="","Error","OK"),"OK")</f>
        <v>OK</v>
      </c>
      <c r="P37" s="8">
        <f>Table1[[#This Row],[original_price]]*Table1[[#This Row],[markdown_percentage]]/100</f>
        <v>6.8229000000000006</v>
      </c>
      <c r="Q3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37" s="25">
        <f>Table1[[#This Row],[current_price]]*Table1[[#This Row],[stock_quantity]]</f>
        <v>4176.5599999999995</v>
      </c>
    </row>
    <row r="38" spans="1:18" x14ac:dyDescent="0.25">
      <c r="A38" s="2" t="s">
        <v>89</v>
      </c>
      <c r="B38" s="2" t="s">
        <v>38</v>
      </c>
      <c r="C38" s="2" t="s">
        <v>32</v>
      </c>
      <c r="D38" s="2" t="s">
        <v>34</v>
      </c>
      <c r="E38" s="2" t="s">
        <v>49</v>
      </c>
      <c r="F38" s="2" t="s">
        <v>46</v>
      </c>
      <c r="G38" s="8">
        <v>97.06</v>
      </c>
      <c r="H38" s="11">
        <v>47.8</v>
      </c>
      <c r="I38" s="8">
        <v>50.67</v>
      </c>
      <c r="J38" s="3">
        <v>45875</v>
      </c>
      <c r="K38" s="14">
        <v>31</v>
      </c>
      <c r="L38" s="17">
        <v>4.0999999999999996</v>
      </c>
      <c r="M38" s="2" t="b">
        <v>0</v>
      </c>
      <c r="N38" s="2"/>
      <c r="O38" s="2" t="str">
        <f>IF(Table1[[#This Row],[is_returned]]=TRUE,IF(Table1[[#This Row],[return_reason]]="","Error","OK"),"OK")</f>
        <v>OK</v>
      </c>
      <c r="P38" s="8">
        <f>Table1[[#This Row],[original_price]]*Table1[[#This Row],[markdown_percentage]]/100</f>
        <v>46.394680000000001</v>
      </c>
      <c r="Q3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38" s="25">
        <f>Table1[[#This Row],[current_price]]*Table1[[#This Row],[stock_quantity]]</f>
        <v>1570.77</v>
      </c>
    </row>
    <row r="39" spans="1:18" x14ac:dyDescent="0.25">
      <c r="A39" s="2" t="s">
        <v>90</v>
      </c>
      <c r="B39" s="2" t="s">
        <v>42</v>
      </c>
      <c r="C39" s="2" t="s">
        <v>32</v>
      </c>
      <c r="D39" s="2" t="s">
        <v>62</v>
      </c>
      <c r="E39" s="2" t="s">
        <v>24</v>
      </c>
      <c r="F39" s="2" t="s">
        <v>35</v>
      </c>
      <c r="G39" s="8">
        <v>110.09</v>
      </c>
      <c r="H39" s="11">
        <v>0</v>
      </c>
      <c r="I39" s="8">
        <v>110.09</v>
      </c>
      <c r="J39" s="3">
        <v>45875</v>
      </c>
      <c r="K39" s="14">
        <v>32</v>
      </c>
      <c r="L39" s="17">
        <v>3.4</v>
      </c>
      <c r="M39" s="2" t="b">
        <v>0</v>
      </c>
      <c r="N39" s="2"/>
      <c r="O39" s="2" t="str">
        <f>IF(Table1[[#This Row],[is_returned]]=TRUE,IF(Table1[[#This Row],[return_reason]]="","Error","OK"),"OK")</f>
        <v>OK</v>
      </c>
      <c r="P39" s="8">
        <f>Table1[[#This Row],[original_price]]*Table1[[#This Row],[markdown_percentage]]/100</f>
        <v>0</v>
      </c>
      <c r="Q3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39" s="25">
        <f>Table1[[#This Row],[current_price]]*Table1[[#This Row],[stock_quantity]]</f>
        <v>3522.88</v>
      </c>
    </row>
    <row r="40" spans="1:18" x14ac:dyDescent="0.25">
      <c r="A40" s="2" t="s">
        <v>91</v>
      </c>
      <c r="B40" s="2" t="s">
        <v>30</v>
      </c>
      <c r="C40" s="2" t="s">
        <v>16</v>
      </c>
      <c r="D40" s="2" t="s">
        <v>23</v>
      </c>
      <c r="E40" s="2" t="s">
        <v>55</v>
      </c>
      <c r="F40" s="2" t="s">
        <v>46</v>
      </c>
      <c r="G40" s="8">
        <v>198.42</v>
      </c>
      <c r="H40" s="11">
        <v>14.2</v>
      </c>
      <c r="I40" s="8">
        <v>170.24</v>
      </c>
      <c r="J40" s="3">
        <v>45875</v>
      </c>
      <c r="K40" s="14">
        <v>10</v>
      </c>
      <c r="L40" s="17"/>
      <c r="M40" s="2" t="b">
        <v>0</v>
      </c>
      <c r="N40" s="2"/>
      <c r="O40" s="2" t="str">
        <f>IF(Table1[[#This Row],[is_returned]]=TRUE,IF(Table1[[#This Row],[return_reason]]="","Error","OK"),"OK")</f>
        <v>OK</v>
      </c>
      <c r="P40" s="8">
        <f>Table1[[#This Row],[original_price]]*Table1[[#This Row],[markdown_percentage]]/100</f>
        <v>28.175639999999998</v>
      </c>
      <c r="Q4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40" s="25">
        <f>Table1[[#This Row],[current_price]]*Table1[[#This Row],[stock_quantity]]</f>
        <v>1702.4</v>
      </c>
    </row>
    <row r="41" spans="1:18" x14ac:dyDescent="0.25">
      <c r="A41" s="2" t="s">
        <v>92</v>
      </c>
      <c r="B41" s="2" t="s">
        <v>38</v>
      </c>
      <c r="C41" s="2" t="s">
        <v>32</v>
      </c>
      <c r="D41" s="2" t="s">
        <v>23</v>
      </c>
      <c r="E41" s="2"/>
      <c r="F41" s="2" t="s">
        <v>66</v>
      </c>
      <c r="G41" s="8">
        <v>101.72</v>
      </c>
      <c r="H41" s="11">
        <v>0</v>
      </c>
      <c r="I41" s="8">
        <v>101.72</v>
      </c>
      <c r="J41" s="3">
        <v>45875</v>
      </c>
      <c r="K41" s="14">
        <v>40</v>
      </c>
      <c r="L41" s="17"/>
      <c r="M41" s="2" t="b">
        <v>0</v>
      </c>
      <c r="N41" s="2"/>
      <c r="O41" s="2" t="str">
        <f>IF(Table1[[#This Row],[is_returned]]=TRUE,IF(Table1[[#This Row],[return_reason]]="","Error","OK"),"OK")</f>
        <v>OK</v>
      </c>
      <c r="P41" s="8">
        <f>Table1[[#This Row],[original_price]]*Table1[[#This Row],[markdown_percentage]]/100</f>
        <v>0</v>
      </c>
      <c r="Q4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41" s="25">
        <f>Table1[[#This Row],[current_price]]*Table1[[#This Row],[stock_quantity]]</f>
        <v>4068.8</v>
      </c>
    </row>
    <row r="42" spans="1:18" x14ac:dyDescent="0.25">
      <c r="A42" s="2" t="s">
        <v>93</v>
      </c>
      <c r="B42" s="2" t="s">
        <v>21</v>
      </c>
      <c r="C42" s="2" t="s">
        <v>22</v>
      </c>
      <c r="D42" s="2" t="s">
        <v>62</v>
      </c>
      <c r="E42" s="2" t="s">
        <v>39</v>
      </c>
      <c r="F42" s="2" t="s">
        <v>35</v>
      </c>
      <c r="G42" s="8">
        <v>117.86</v>
      </c>
      <c r="H42" s="11">
        <v>0</v>
      </c>
      <c r="I42" s="8">
        <v>117.86</v>
      </c>
      <c r="J42" s="3">
        <v>45875</v>
      </c>
      <c r="K42" s="14">
        <v>6</v>
      </c>
      <c r="L42" s="17"/>
      <c r="M42" s="2" t="b">
        <v>0</v>
      </c>
      <c r="N42" s="2"/>
      <c r="O42" s="2" t="str">
        <f>IF(Table1[[#This Row],[is_returned]]=TRUE,IF(Table1[[#This Row],[return_reason]]="","Error","OK"),"OK")</f>
        <v>OK</v>
      </c>
      <c r="P42" s="8">
        <f>Table1[[#This Row],[original_price]]*Table1[[#This Row],[markdown_percentage]]/100</f>
        <v>0</v>
      </c>
      <c r="Q4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42" s="25">
        <f>Table1[[#This Row],[current_price]]*Table1[[#This Row],[stock_quantity]]</f>
        <v>707.16</v>
      </c>
    </row>
    <row r="43" spans="1:18" x14ac:dyDescent="0.25">
      <c r="A43" s="2" t="s">
        <v>94</v>
      </c>
      <c r="B43" s="2" t="s">
        <v>21</v>
      </c>
      <c r="C43" s="2" t="s">
        <v>53</v>
      </c>
      <c r="D43" s="2" t="s">
        <v>62</v>
      </c>
      <c r="E43" s="2" t="s">
        <v>58</v>
      </c>
      <c r="F43" s="2" t="s">
        <v>46</v>
      </c>
      <c r="G43" s="8">
        <v>78.86</v>
      </c>
      <c r="H43" s="11">
        <v>0</v>
      </c>
      <c r="I43" s="8">
        <v>78.86</v>
      </c>
      <c r="J43" s="3">
        <v>45875</v>
      </c>
      <c r="K43" s="14">
        <v>22</v>
      </c>
      <c r="L43" s="17">
        <v>4.3</v>
      </c>
      <c r="M43" s="2" t="b">
        <v>0</v>
      </c>
      <c r="N43" s="2"/>
      <c r="O43" s="2" t="str">
        <f>IF(Table1[[#This Row],[is_returned]]=TRUE,IF(Table1[[#This Row],[return_reason]]="","Error","OK"),"OK")</f>
        <v>OK</v>
      </c>
      <c r="P43" s="8">
        <f>Table1[[#This Row],[original_price]]*Table1[[#This Row],[markdown_percentage]]/100</f>
        <v>0</v>
      </c>
      <c r="Q4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43" s="25">
        <f>Table1[[#This Row],[current_price]]*Table1[[#This Row],[stock_quantity]]</f>
        <v>1734.92</v>
      </c>
    </row>
    <row r="44" spans="1:18" x14ac:dyDescent="0.25">
      <c r="A44" s="2" t="s">
        <v>95</v>
      </c>
      <c r="B44" s="2" t="s">
        <v>15</v>
      </c>
      <c r="C44" s="2" t="s">
        <v>16</v>
      </c>
      <c r="D44" s="2" t="s">
        <v>23</v>
      </c>
      <c r="E44" s="2" t="s">
        <v>55</v>
      </c>
      <c r="F44" s="2" t="s">
        <v>64</v>
      </c>
      <c r="G44" s="8">
        <v>216.16</v>
      </c>
      <c r="H44" s="11">
        <v>51.4</v>
      </c>
      <c r="I44" s="8">
        <v>105.05</v>
      </c>
      <c r="J44" s="3">
        <v>45875</v>
      </c>
      <c r="K44" s="14">
        <v>36</v>
      </c>
      <c r="L44" s="17">
        <v>4</v>
      </c>
      <c r="M44" s="2" t="b">
        <v>0</v>
      </c>
      <c r="N44" s="2"/>
      <c r="O44" s="2" t="str">
        <f>IF(Table1[[#This Row],[is_returned]]=TRUE,IF(Table1[[#This Row],[return_reason]]="","Error","OK"),"OK")</f>
        <v>OK</v>
      </c>
      <c r="P44" s="8">
        <f>Table1[[#This Row],[original_price]]*Table1[[#This Row],[markdown_percentage]]/100</f>
        <v>111.10624</v>
      </c>
      <c r="Q4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44" s="25">
        <f>Table1[[#This Row],[current_price]]*Table1[[#This Row],[stock_quantity]]</f>
        <v>3781.7999999999997</v>
      </c>
    </row>
    <row r="45" spans="1:18" x14ac:dyDescent="0.25">
      <c r="A45" s="2" t="s">
        <v>96</v>
      </c>
      <c r="B45" s="2" t="s">
        <v>30</v>
      </c>
      <c r="C45" s="2" t="s">
        <v>16</v>
      </c>
      <c r="D45" s="2" t="s">
        <v>17</v>
      </c>
      <c r="E45" s="2" t="s">
        <v>18</v>
      </c>
      <c r="F45" s="2" t="s">
        <v>25</v>
      </c>
      <c r="G45" s="8">
        <v>129.85</v>
      </c>
      <c r="H45" s="11">
        <v>0</v>
      </c>
      <c r="I45" s="8">
        <v>129.85</v>
      </c>
      <c r="J45" s="3">
        <v>45772</v>
      </c>
      <c r="K45" s="14">
        <v>36</v>
      </c>
      <c r="L45" s="17">
        <v>3.3</v>
      </c>
      <c r="M45" s="2" t="b">
        <v>0</v>
      </c>
      <c r="N45" s="2"/>
      <c r="O45" s="2" t="str">
        <f>IF(Table1[[#This Row],[is_returned]]=TRUE,IF(Table1[[#This Row],[return_reason]]="","Error","OK"),"OK")</f>
        <v>OK</v>
      </c>
      <c r="P45" s="8">
        <f>Table1[[#This Row],[original_price]]*Table1[[#This Row],[markdown_percentage]]/100</f>
        <v>0</v>
      </c>
      <c r="Q4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45" s="25">
        <f>Table1[[#This Row],[current_price]]*Table1[[#This Row],[stock_quantity]]</f>
        <v>4674.5999999999995</v>
      </c>
    </row>
    <row r="46" spans="1:18" x14ac:dyDescent="0.25">
      <c r="A46" s="2" t="s">
        <v>97</v>
      </c>
      <c r="B46" s="2" t="s">
        <v>21</v>
      </c>
      <c r="C46" s="2" t="s">
        <v>32</v>
      </c>
      <c r="D46" s="2" t="s">
        <v>23</v>
      </c>
      <c r="E46" s="2" t="s">
        <v>49</v>
      </c>
      <c r="F46" s="2" t="s">
        <v>46</v>
      </c>
      <c r="G46" s="8">
        <v>111.3</v>
      </c>
      <c r="H46" s="11">
        <v>0</v>
      </c>
      <c r="I46" s="8">
        <v>111.3</v>
      </c>
      <c r="J46" s="3">
        <v>45875</v>
      </c>
      <c r="K46" s="14">
        <v>11</v>
      </c>
      <c r="L46" s="17">
        <v>1.7</v>
      </c>
      <c r="M46" s="2" t="b">
        <v>0</v>
      </c>
      <c r="N46" s="2"/>
      <c r="O46" s="2" t="str">
        <f>IF(Table1[[#This Row],[is_returned]]=TRUE,IF(Table1[[#This Row],[return_reason]]="","Error","OK"),"OK")</f>
        <v>OK</v>
      </c>
      <c r="P46" s="8">
        <f>Table1[[#This Row],[original_price]]*Table1[[#This Row],[markdown_percentage]]/100</f>
        <v>0</v>
      </c>
      <c r="Q4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46" s="25">
        <f>Table1[[#This Row],[current_price]]*Table1[[#This Row],[stock_quantity]]</f>
        <v>1224.3</v>
      </c>
    </row>
    <row r="47" spans="1:18" x14ac:dyDescent="0.25">
      <c r="A47" s="2" t="s">
        <v>98</v>
      </c>
      <c r="B47" s="2" t="s">
        <v>42</v>
      </c>
      <c r="C47" s="2" t="s">
        <v>22</v>
      </c>
      <c r="D47" s="2" t="s">
        <v>62</v>
      </c>
      <c r="E47" s="2" t="s">
        <v>18</v>
      </c>
      <c r="F47" s="2" t="s">
        <v>70</v>
      </c>
      <c r="G47" s="8">
        <v>73.650000000000006</v>
      </c>
      <c r="H47" s="11">
        <v>0</v>
      </c>
      <c r="I47" s="8">
        <v>73.650000000000006</v>
      </c>
      <c r="J47" s="3">
        <v>45875</v>
      </c>
      <c r="K47" s="14">
        <v>33</v>
      </c>
      <c r="L47" s="17">
        <v>3.6</v>
      </c>
      <c r="M47" s="2" t="b">
        <v>0</v>
      </c>
      <c r="N47" s="2"/>
      <c r="O47" s="2" t="str">
        <f>IF(Table1[[#This Row],[is_returned]]=TRUE,IF(Table1[[#This Row],[return_reason]]="","Error","OK"),"OK")</f>
        <v>OK</v>
      </c>
      <c r="P47" s="8">
        <f>Table1[[#This Row],[original_price]]*Table1[[#This Row],[markdown_percentage]]/100</f>
        <v>0</v>
      </c>
      <c r="Q4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47" s="25">
        <f>Table1[[#This Row],[current_price]]*Table1[[#This Row],[stock_quantity]]</f>
        <v>2430.4500000000003</v>
      </c>
    </row>
    <row r="48" spans="1:18" x14ac:dyDescent="0.25">
      <c r="A48" s="2" t="s">
        <v>99</v>
      </c>
      <c r="B48" s="2" t="s">
        <v>30</v>
      </c>
      <c r="C48" s="2" t="s">
        <v>43</v>
      </c>
      <c r="D48" s="2" t="s">
        <v>62</v>
      </c>
      <c r="E48" s="2" t="s">
        <v>24</v>
      </c>
      <c r="F48" s="2" t="s">
        <v>25</v>
      </c>
      <c r="G48" s="8">
        <v>147.13</v>
      </c>
      <c r="H48" s="11">
        <v>30.3</v>
      </c>
      <c r="I48" s="8">
        <v>102.55</v>
      </c>
      <c r="J48" s="3">
        <v>45875</v>
      </c>
      <c r="K48" s="14">
        <v>13</v>
      </c>
      <c r="L48" s="17">
        <v>4.4000000000000004</v>
      </c>
      <c r="M48" s="2" t="b">
        <v>0</v>
      </c>
      <c r="N48" s="2"/>
      <c r="O48" s="2" t="str">
        <f>IF(Table1[[#This Row],[is_returned]]=TRUE,IF(Table1[[#This Row],[return_reason]]="","Error","OK"),"OK")</f>
        <v>OK</v>
      </c>
      <c r="P48" s="8">
        <f>Table1[[#This Row],[original_price]]*Table1[[#This Row],[markdown_percentage]]/100</f>
        <v>44.580389999999994</v>
      </c>
      <c r="Q4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48" s="25">
        <f>Table1[[#This Row],[current_price]]*Table1[[#This Row],[stock_quantity]]</f>
        <v>1333.1499999999999</v>
      </c>
    </row>
    <row r="49" spans="1:18" x14ac:dyDescent="0.25">
      <c r="A49" s="2" t="s">
        <v>100</v>
      </c>
      <c r="B49" s="2" t="s">
        <v>27</v>
      </c>
      <c r="C49" s="2" t="s">
        <v>53</v>
      </c>
      <c r="D49" s="2" t="s">
        <v>23</v>
      </c>
      <c r="E49" s="2"/>
      <c r="F49" s="2" t="s">
        <v>46</v>
      </c>
      <c r="G49" s="8">
        <v>44.6</v>
      </c>
      <c r="H49" s="11">
        <v>53.9</v>
      </c>
      <c r="I49" s="8">
        <v>20.56</v>
      </c>
      <c r="J49" s="3">
        <v>45875</v>
      </c>
      <c r="K49" s="14">
        <v>42</v>
      </c>
      <c r="L49" s="17">
        <v>2.4</v>
      </c>
      <c r="M49" s="2" t="b">
        <v>0</v>
      </c>
      <c r="N49" s="2"/>
      <c r="O49" s="2" t="str">
        <f>IF(Table1[[#This Row],[is_returned]]=TRUE,IF(Table1[[#This Row],[return_reason]]="","Error","OK"),"OK")</f>
        <v>OK</v>
      </c>
      <c r="P49" s="8">
        <f>Table1[[#This Row],[original_price]]*Table1[[#This Row],[markdown_percentage]]/100</f>
        <v>24.039400000000001</v>
      </c>
      <c r="Q4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49" s="25">
        <f>Table1[[#This Row],[current_price]]*Table1[[#This Row],[stock_quantity]]</f>
        <v>863.52</v>
      </c>
    </row>
    <row r="50" spans="1:18" x14ac:dyDescent="0.25">
      <c r="A50" s="2" t="s">
        <v>101</v>
      </c>
      <c r="B50" s="2" t="s">
        <v>38</v>
      </c>
      <c r="C50" s="2" t="s">
        <v>75</v>
      </c>
      <c r="D50" s="2" t="s">
        <v>62</v>
      </c>
      <c r="E50" s="2" t="s">
        <v>18</v>
      </c>
      <c r="F50" s="2" t="s">
        <v>35</v>
      </c>
      <c r="G50" s="8">
        <v>101.8</v>
      </c>
      <c r="H50" s="11">
        <v>0</v>
      </c>
      <c r="I50" s="8">
        <v>101.8</v>
      </c>
      <c r="J50" s="3">
        <v>45875</v>
      </c>
      <c r="K50" s="14">
        <v>7</v>
      </c>
      <c r="L50" s="17">
        <v>2.8</v>
      </c>
      <c r="M50" s="2" t="b">
        <v>0</v>
      </c>
      <c r="N50" s="2"/>
      <c r="O50" s="2" t="str">
        <f>IF(Table1[[#This Row],[is_returned]]=TRUE,IF(Table1[[#This Row],[return_reason]]="","Error","OK"),"OK")</f>
        <v>OK</v>
      </c>
      <c r="P50" s="8">
        <f>Table1[[#This Row],[original_price]]*Table1[[#This Row],[markdown_percentage]]/100</f>
        <v>0</v>
      </c>
      <c r="Q5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50" s="25">
        <f>Table1[[#This Row],[current_price]]*Table1[[#This Row],[stock_quantity]]</f>
        <v>712.6</v>
      </c>
    </row>
    <row r="51" spans="1:18" x14ac:dyDescent="0.25">
      <c r="A51" s="2" t="s">
        <v>102</v>
      </c>
      <c r="B51" s="2" t="s">
        <v>27</v>
      </c>
      <c r="C51" s="2" t="s">
        <v>32</v>
      </c>
      <c r="D51" s="2" t="s">
        <v>62</v>
      </c>
      <c r="E51" s="2"/>
      <c r="F51" s="2" t="s">
        <v>70</v>
      </c>
      <c r="G51" s="8">
        <v>16.52</v>
      </c>
      <c r="H51" s="11">
        <v>55.9</v>
      </c>
      <c r="I51" s="8">
        <v>7.29</v>
      </c>
      <c r="J51" s="3">
        <v>45875</v>
      </c>
      <c r="K51" s="14">
        <v>43</v>
      </c>
      <c r="L51" s="17"/>
      <c r="M51" s="2" t="b">
        <v>0</v>
      </c>
      <c r="N51" s="2"/>
      <c r="O51" s="2" t="str">
        <f>IF(Table1[[#This Row],[is_returned]]=TRUE,IF(Table1[[#This Row],[return_reason]]="","Error","OK"),"OK")</f>
        <v>OK</v>
      </c>
      <c r="P51" s="8">
        <f>Table1[[#This Row],[original_price]]*Table1[[#This Row],[markdown_percentage]]/100</f>
        <v>9.2346799999999991</v>
      </c>
      <c r="Q5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51" s="25">
        <f>Table1[[#This Row],[current_price]]*Table1[[#This Row],[stock_quantity]]</f>
        <v>313.47000000000003</v>
      </c>
    </row>
    <row r="52" spans="1:18" x14ac:dyDescent="0.25">
      <c r="A52" s="2" t="s">
        <v>103</v>
      </c>
      <c r="B52" s="2" t="s">
        <v>38</v>
      </c>
      <c r="C52" s="2" t="s">
        <v>48</v>
      </c>
      <c r="D52" s="2" t="s">
        <v>34</v>
      </c>
      <c r="E52" s="2" t="s">
        <v>58</v>
      </c>
      <c r="F52" s="2" t="s">
        <v>56</v>
      </c>
      <c r="G52" s="8">
        <v>50.91</v>
      </c>
      <c r="H52" s="11">
        <v>0</v>
      </c>
      <c r="I52" s="8">
        <v>50.91</v>
      </c>
      <c r="J52" s="3">
        <v>45875</v>
      </c>
      <c r="K52" s="14">
        <v>3</v>
      </c>
      <c r="L52" s="17">
        <v>1.8</v>
      </c>
      <c r="M52" s="2" t="b">
        <v>0</v>
      </c>
      <c r="N52" s="2"/>
      <c r="O52" s="2" t="str">
        <f>IF(Table1[[#This Row],[is_returned]]=TRUE,IF(Table1[[#This Row],[return_reason]]="","Error","OK"),"OK")</f>
        <v>OK</v>
      </c>
      <c r="P52" s="8">
        <f>Table1[[#This Row],[original_price]]*Table1[[#This Row],[markdown_percentage]]/100</f>
        <v>0</v>
      </c>
      <c r="Q5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52" s="25">
        <f>Table1[[#This Row],[current_price]]*Table1[[#This Row],[stock_quantity]]</f>
        <v>152.72999999999999</v>
      </c>
    </row>
    <row r="53" spans="1:18" x14ac:dyDescent="0.25">
      <c r="A53" s="2" t="s">
        <v>104</v>
      </c>
      <c r="B53" s="2" t="s">
        <v>15</v>
      </c>
      <c r="C53" s="2" t="s">
        <v>75</v>
      </c>
      <c r="D53" s="2" t="s">
        <v>17</v>
      </c>
      <c r="E53" s="2" t="s">
        <v>39</v>
      </c>
      <c r="F53" s="2" t="s">
        <v>35</v>
      </c>
      <c r="G53" s="8">
        <v>222.26</v>
      </c>
      <c r="H53" s="11">
        <v>0</v>
      </c>
      <c r="I53" s="8">
        <v>222.26</v>
      </c>
      <c r="J53" s="3">
        <v>45780</v>
      </c>
      <c r="K53" s="14">
        <v>50</v>
      </c>
      <c r="L53" s="17">
        <v>4.5</v>
      </c>
      <c r="M53" s="2" t="b">
        <v>0</v>
      </c>
      <c r="N53" s="2"/>
      <c r="O53" s="2" t="str">
        <f>IF(Table1[[#This Row],[is_returned]]=TRUE,IF(Table1[[#This Row],[return_reason]]="","Error","OK"),"OK")</f>
        <v>OK</v>
      </c>
      <c r="P53" s="8">
        <f>Table1[[#This Row],[original_price]]*Table1[[#This Row],[markdown_percentage]]/100</f>
        <v>0</v>
      </c>
      <c r="Q5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53" s="25">
        <f>Table1[[#This Row],[current_price]]*Table1[[#This Row],[stock_quantity]]</f>
        <v>11113</v>
      </c>
    </row>
    <row r="54" spans="1:18" x14ac:dyDescent="0.25">
      <c r="A54" s="2" t="s">
        <v>105</v>
      </c>
      <c r="B54" s="2" t="s">
        <v>30</v>
      </c>
      <c r="C54" s="2" t="s">
        <v>61</v>
      </c>
      <c r="D54" s="2" t="s">
        <v>62</v>
      </c>
      <c r="E54" s="2" t="s">
        <v>39</v>
      </c>
      <c r="F54" s="2" t="s">
        <v>64</v>
      </c>
      <c r="G54" s="8">
        <v>104.14</v>
      </c>
      <c r="H54" s="11">
        <v>57.1</v>
      </c>
      <c r="I54" s="8">
        <v>44.68</v>
      </c>
      <c r="J54" s="3">
        <v>45875</v>
      </c>
      <c r="K54" s="14">
        <v>14</v>
      </c>
      <c r="L54" s="17">
        <v>1.8</v>
      </c>
      <c r="M54" s="2" t="b">
        <v>0</v>
      </c>
      <c r="N54" s="2"/>
      <c r="O54" s="2" t="str">
        <f>IF(Table1[[#This Row],[is_returned]]=TRUE,IF(Table1[[#This Row],[return_reason]]="","Error","OK"),"OK")</f>
        <v>OK</v>
      </c>
      <c r="P54" s="8">
        <f>Table1[[#This Row],[original_price]]*Table1[[#This Row],[markdown_percentage]]/100</f>
        <v>59.463940000000001</v>
      </c>
      <c r="Q5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54" s="25">
        <f>Table1[[#This Row],[current_price]]*Table1[[#This Row],[stock_quantity]]</f>
        <v>625.52</v>
      </c>
    </row>
    <row r="55" spans="1:18" x14ac:dyDescent="0.25">
      <c r="A55" s="2" t="s">
        <v>106</v>
      </c>
      <c r="B55" s="2" t="s">
        <v>15</v>
      </c>
      <c r="C55" s="2" t="s">
        <v>16</v>
      </c>
      <c r="D55" s="2" t="s">
        <v>17</v>
      </c>
      <c r="E55" s="2" t="s">
        <v>39</v>
      </c>
      <c r="F55" s="2" t="s">
        <v>35</v>
      </c>
      <c r="G55" s="8">
        <v>166.76</v>
      </c>
      <c r="H55" s="11">
        <v>0</v>
      </c>
      <c r="I55" s="8">
        <v>166.76</v>
      </c>
      <c r="J55" s="3">
        <v>45820</v>
      </c>
      <c r="K55" s="14">
        <v>21</v>
      </c>
      <c r="L55" s="17">
        <v>4.2</v>
      </c>
      <c r="M55" s="2" t="b">
        <v>0</v>
      </c>
      <c r="N55" s="2"/>
      <c r="O55" s="2" t="str">
        <f>IF(Table1[[#This Row],[is_returned]]=TRUE,IF(Table1[[#This Row],[return_reason]]="","Error","OK"),"OK")</f>
        <v>OK</v>
      </c>
      <c r="P55" s="8">
        <f>Table1[[#This Row],[original_price]]*Table1[[#This Row],[markdown_percentage]]/100</f>
        <v>0</v>
      </c>
      <c r="Q5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55" s="25">
        <f>Table1[[#This Row],[current_price]]*Table1[[#This Row],[stock_quantity]]</f>
        <v>3501.96</v>
      </c>
    </row>
    <row r="56" spans="1:18" x14ac:dyDescent="0.25">
      <c r="A56" s="2" t="s">
        <v>107</v>
      </c>
      <c r="B56" s="2" t="s">
        <v>27</v>
      </c>
      <c r="C56" s="2" t="s">
        <v>32</v>
      </c>
      <c r="D56" s="2" t="s">
        <v>34</v>
      </c>
      <c r="E56" s="2"/>
      <c r="F56" s="2" t="s">
        <v>28</v>
      </c>
      <c r="G56" s="8">
        <v>44.13</v>
      </c>
      <c r="H56" s="11">
        <v>50.9</v>
      </c>
      <c r="I56" s="8">
        <v>21.67</v>
      </c>
      <c r="J56" s="3">
        <v>45875</v>
      </c>
      <c r="K56" s="14">
        <v>21</v>
      </c>
      <c r="L56" s="17">
        <v>3</v>
      </c>
      <c r="M56" s="2" t="b">
        <v>0</v>
      </c>
      <c r="N56" s="2"/>
      <c r="O56" s="2" t="str">
        <f>IF(Table1[[#This Row],[is_returned]]=TRUE,IF(Table1[[#This Row],[return_reason]]="","Error","OK"),"OK")</f>
        <v>OK</v>
      </c>
      <c r="P56" s="8">
        <f>Table1[[#This Row],[original_price]]*Table1[[#This Row],[markdown_percentage]]/100</f>
        <v>22.46217</v>
      </c>
      <c r="Q5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56" s="25">
        <f>Table1[[#This Row],[current_price]]*Table1[[#This Row],[stock_quantity]]</f>
        <v>455.07000000000005</v>
      </c>
    </row>
    <row r="57" spans="1:18" x14ac:dyDescent="0.25">
      <c r="A57" s="2" t="s">
        <v>108</v>
      </c>
      <c r="B57" s="2" t="s">
        <v>15</v>
      </c>
      <c r="C57" s="2" t="s">
        <v>61</v>
      </c>
      <c r="D57" s="2" t="s">
        <v>62</v>
      </c>
      <c r="E57" s="2" t="s">
        <v>39</v>
      </c>
      <c r="F57" s="2" t="s">
        <v>46</v>
      </c>
      <c r="G57" s="8">
        <v>121.29</v>
      </c>
      <c r="H57" s="11">
        <v>15.2</v>
      </c>
      <c r="I57" s="8">
        <v>102.85</v>
      </c>
      <c r="J57" s="3">
        <v>45875</v>
      </c>
      <c r="K57" s="14">
        <v>42</v>
      </c>
      <c r="L57" s="17"/>
      <c r="M57" s="2" t="b">
        <v>0</v>
      </c>
      <c r="N57" s="2"/>
      <c r="O57" s="2" t="str">
        <f>IF(Table1[[#This Row],[is_returned]]=TRUE,IF(Table1[[#This Row],[return_reason]]="","Error","OK"),"OK")</f>
        <v>OK</v>
      </c>
      <c r="P57" s="8">
        <f>Table1[[#This Row],[original_price]]*Table1[[#This Row],[markdown_percentage]]/100</f>
        <v>18.43608</v>
      </c>
      <c r="Q5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57" s="25">
        <f>Table1[[#This Row],[current_price]]*Table1[[#This Row],[stock_quantity]]</f>
        <v>4319.7</v>
      </c>
    </row>
    <row r="58" spans="1:18" x14ac:dyDescent="0.25">
      <c r="A58" s="2" t="s">
        <v>109</v>
      </c>
      <c r="B58" s="2" t="s">
        <v>21</v>
      </c>
      <c r="C58" s="2" t="s">
        <v>48</v>
      </c>
      <c r="D58" s="2" t="s">
        <v>17</v>
      </c>
      <c r="E58" s="2" t="s">
        <v>39</v>
      </c>
      <c r="F58" s="2" t="s">
        <v>56</v>
      </c>
      <c r="G58" s="8">
        <v>73.709999999999994</v>
      </c>
      <c r="H58" s="11">
        <v>0</v>
      </c>
      <c r="I58" s="8">
        <v>73.709999999999994</v>
      </c>
      <c r="J58" s="3">
        <v>45848</v>
      </c>
      <c r="K58" s="14">
        <v>35</v>
      </c>
      <c r="L58" s="17">
        <v>3.9</v>
      </c>
      <c r="M58" s="2" t="b">
        <v>1</v>
      </c>
      <c r="N58" s="2" t="s">
        <v>83</v>
      </c>
      <c r="O58" s="2" t="str">
        <f>IF(Table1[[#This Row],[is_returned]]=TRUE,IF(Table1[[#This Row],[return_reason]]="","Error","OK"),"OK")</f>
        <v>OK</v>
      </c>
      <c r="P58" s="8">
        <f>Table1[[#This Row],[original_price]]*Table1[[#This Row],[markdown_percentage]]/100</f>
        <v>0</v>
      </c>
      <c r="Q5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58" s="25">
        <f>Table1[[#This Row],[current_price]]*Table1[[#This Row],[stock_quantity]]</f>
        <v>2579.85</v>
      </c>
    </row>
    <row r="59" spans="1:18" x14ac:dyDescent="0.25">
      <c r="A59" s="2" t="s">
        <v>110</v>
      </c>
      <c r="B59" s="2" t="s">
        <v>38</v>
      </c>
      <c r="C59" s="2" t="s">
        <v>16</v>
      </c>
      <c r="D59" s="2" t="s">
        <v>17</v>
      </c>
      <c r="E59" s="2" t="s">
        <v>18</v>
      </c>
      <c r="F59" s="2" t="s">
        <v>70</v>
      </c>
      <c r="G59" s="8">
        <v>84.07</v>
      </c>
      <c r="H59" s="11">
        <v>26.3</v>
      </c>
      <c r="I59" s="8">
        <v>61.96</v>
      </c>
      <c r="J59" s="3">
        <v>45590</v>
      </c>
      <c r="K59" s="14">
        <v>19</v>
      </c>
      <c r="L59" s="17">
        <v>2.2999999999999998</v>
      </c>
      <c r="M59" s="2" t="b">
        <v>1</v>
      </c>
      <c r="N59" s="2" t="s">
        <v>73</v>
      </c>
      <c r="O59" s="2" t="str">
        <f>IF(Table1[[#This Row],[is_returned]]=TRUE,IF(Table1[[#This Row],[return_reason]]="","Error","OK"),"OK")</f>
        <v>OK</v>
      </c>
      <c r="P59" s="8">
        <f>Table1[[#This Row],[original_price]]*Table1[[#This Row],[markdown_percentage]]/100</f>
        <v>22.110409999999998</v>
      </c>
      <c r="Q5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59" s="25">
        <f>Table1[[#This Row],[current_price]]*Table1[[#This Row],[stock_quantity]]</f>
        <v>1177.24</v>
      </c>
    </row>
    <row r="60" spans="1:18" x14ac:dyDescent="0.25">
      <c r="A60" s="2" t="s">
        <v>111</v>
      </c>
      <c r="B60" s="2" t="s">
        <v>21</v>
      </c>
      <c r="C60" s="2" t="s">
        <v>43</v>
      </c>
      <c r="D60" s="2" t="s">
        <v>62</v>
      </c>
      <c r="E60" s="2" t="s">
        <v>55</v>
      </c>
      <c r="F60" s="2" t="s">
        <v>28</v>
      </c>
      <c r="G60" s="8">
        <v>28.59</v>
      </c>
      <c r="H60" s="11">
        <v>0</v>
      </c>
      <c r="I60" s="8">
        <v>28.59</v>
      </c>
      <c r="J60" s="3">
        <v>45875</v>
      </c>
      <c r="K60" s="14">
        <v>39</v>
      </c>
      <c r="L60" s="17">
        <v>1.4</v>
      </c>
      <c r="M60" s="2" t="b">
        <v>0</v>
      </c>
      <c r="N60" s="2"/>
      <c r="O60" s="2" t="str">
        <f>IF(Table1[[#This Row],[is_returned]]=TRUE,IF(Table1[[#This Row],[return_reason]]="","Error","OK"),"OK")</f>
        <v>OK</v>
      </c>
      <c r="P60" s="8">
        <f>Table1[[#This Row],[original_price]]*Table1[[#This Row],[markdown_percentage]]/100</f>
        <v>0</v>
      </c>
      <c r="Q6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60" s="25">
        <f>Table1[[#This Row],[current_price]]*Table1[[#This Row],[stock_quantity]]</f>
        <v>1115.01</v>
      </c>
    </row>
    <row r="61" spans="1:18" x14ac:dyDescent="0.25">
      <c r="A61" s="2" t="s">
        <v>112</v>
      </c>
      <c r="B61" s="2" t="s">
        <v>30</v>
      </c>
      <c r="C61" s="2" t="s">
        <v>43</v>
      </c>
      <c r="D61" s="2" t="s">
        <v>23</v>
      </c>
      <c r="E61" s="2" t="s">
        <v>49</v>
      </c>
      <c r="F61" s="2" t="s">
        <v>44</v>
      </c>
      <c r="G61" s="8">
        <v>166.49</v>
      </c>
      <c r="H61" s="11">
        <v>2.6</v>
      </c>
      <c r="I61" s="8">
        <v>162.16</v>
      </c>
      <c r="J61" s="3">
        <v>45875</v>
      </c>
      <c r="K61" s="14">
        <v>27</v>
      </c>
      <c r="L61" s="17"/>
      <c r="M61" s="2" t="b">
        <v>0</v>
      </c>
      <c r="N61" s="2"/>
      <c r="O61" s="2" t="str">
        <f>IF(Table1[[#This Row],[is_returned]]=TRUE,IF(Table1[[#This Row],[return_reason]]="","Error","OK"),"OK")</f>
        <v>OK</v>
      </c>
      <c r="P61" s="8">
        <f>Table1[[#This Row],[original_price]]*Table1[[#This Row],[markdown_percentage]]/100</f>
        <v>4.3287399999999998</v>
      </c>
      <c r="Q6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61" s="25">
        <f>Table1[[#This Row],[current_price]]*Table1[[#This Row],[stock_quantity]]</f>
        <v>4378.32</v>
      </c>
    </row>
    <row r="62" spans="1:18" x14ac:dyDescent="0.25">
      <c r="A62" s="2" t="s">
        <v>113</v>
      </c>
      <c r="B62" s="2" t="s">
        <v>30</v>
      </c>
      <c r="C62" s="2" t="s">
        <v>53</v>
      </c>
      <c r="D62" s="2" t="s">
        <v>62</v>
      </c>
      <c r="E62" s="2" t="s">
        <v>58</v>
      </c>
      <c r="F62" s="2" t="s">
        <v>35</v>
      </c>
      <c r="G62" s="8">
        <v>145.94999999999999</v>
      </c>
      <c r="H62" s="11">
        <v>6.6</v>
      </c>
      <c r="I62" s="8">
        <v>136.32</v>
      </c>
      <c r="J62" s="3">
        <v>45875</v>
      </c>
      <c r="K62" s="14">
        <v>15</v>
      </c>
      <c r="L62" s="17">
        <v>4</v>
      </c>
      <c r="M62" s="2" t="b">
        <v>0</v>
      </c>
      <c r="N62" s="2"/>
      <c r="O62" s="2" t="str">
        <f>IF(Table1[[#This Row],[is_returned]]=TRUE,IF(Table1[[#This Row],[return_reason]]="","Error","OK"),"OK")</f>
        <v>OK</v>
      </c>
      <c r="P62" s="8">
        <f>Table1[[#This Row],[original_price]]*Table1[[#This Row],[markdown_percentage]]/100</f>
        <v>9.632699999999998</v>
      </c>
      <c r="Q6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62" s="25">
        <f>Table1[[#This Row],[current_price]]*Table1[[#This Row],[stock_quantity]]</f>
        <v>2044.8</v>
      </c>
    </row>
    <row r="63" spans="1:18" x14ac:dyDescent="0.25">
      <c r="A63" s="2" t="s">
        <v>114</v>
      </c>
      <c r="B63" s="2" t="s">
        <v>15</v>
      </c>
      <c r="C63" s="2" t="s">
        <v>61</v>
      </c>
      <c r="D63" s="2" t="s">
        <v>34</v>
      </c>
      <c r="E63" s="2" t="s">
        <v>58</v>
      </c>
      <c r="F63" s="2" t="s">
        <v>66</v>
      </c>
      <c r="G63" s="8">
        <v>218.42</v>
      </c>
      <c r="H63" s="11">
        <v>0</v>
      </c>
      <c r="I63" s="8">
        <v>218.42</v>
      </c>
      <c r="J63" s="3">
        <v>45875</v>
      </c>
      <c r="K63" s="14">
        <v>33</v>
      </c>
      <c r="L63" s="17">
        <v>4.4000000000000004</v>
      </c>
      <c r="M63" s="2" t="b">
        <v>1</v>
      </c>
      <c r="N63" s="2" t="s">
        <v>115</v>
      </c>
      <c r="O63" s="2" t="str">
        <f>IF(Table1[[#This Row],[is_returned]]=TRUE,IF(Table1[[#This Row],[return_reason]]="","Error","OK"),"OK")</f>
        <v>OK</v>
      </c>
      <c r="P63" s="8">
        <f>Table1[[#This Row],[original_price]]*Table1[[#This Row],[markdown_percentage]]/100</f>
        <v>0</v>
      </c>
      <c r="Q6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63" s="25">
        <f>Table1[[#This Row],[current_price]]*Table1[[#This Row],[stock_quantity]]</f>
        <v>7207.86</v>
      </c>
    </row>
    <row r="64" spans="1:18" x14ac:dyDescent="0.25">
      <c r="A64" s="2" t="s">
        <v>116</v>
      </c>
      <c r="B64" s="2" t="s">
        <v>27</v>
      </c>
      <c r="C64" s="2" t="s">
        <v>75</v>
      </c>
      <c r="D64" s="2" t="s">
        <v>23</v>
      </c>
      <c r="E64" s="2"/>
      <c r="F64" s="2" t="s">
        <v>35</v>
      </c>
      <c r="G64" s="8">
        <v>46.17</v>
      </c>
      <c r="H64" s="11">
        <v>1.1000000000000001</v>
      </c>
      <c r="I64" s="8">
        <v>45.66</v>
      </c>
      <c r="J64" s="3">
        <v>45875</v>
      </c>
      <c r="K64" s="14">
        <v>30</v>
      </c>
      <c r="L64" s="17">
        <v>1.9</v>
      </c>
      <c r="M64" s="2" t="b">
        <v>0</v>
      </c>
      <c r="N64" s="2"/>
      <c r="O64" s="2" t="str">
        <f>IF(Table1[[#This Row],[is_returned]]=TRUE,IF(Table1[[#This Row],[return_reason]]="","Error","OK"),"OK")</f>
        <v>OK</v>
      </c>
      <c r="P64" s="8">
        <f>Table1[[#This Row],[original_price]]*Table1[[#This Row],[markdown_percentage]]/100</f>
        <v>0.50787000000000004</v>
      </c>
      <c r="Q6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64" s="25">
        <f>Table1[[#This Row],[current_price]]*Table1[[#This Row],[stock_quantity]]</f>
        <v>1369.8</v>
      </c>
    </row>
    <row r="65" spans="1:18" x14ac:dyDescent="0.25">
      <c r="A65" s="2" t="s">
        <v>117</v>
      </c>
      <c r="B65" s="2" t="s">
        <v>30</v>
      </c>
      <c r="C65" s="2" t="s">
        <v>48</v>
      </c>
      <c r="D65" s="2" t="s">
        <v>62</v>
      </c>
      <c r="E65" s="2"/>
      <c r="F65" s="2" t="s">
        <v>46</v>
      </c>
      <c r="G65" s="8">
        <v>106.18</v>
      </c>
      <c r="H65" s="11">
        <v>18</v>
      </c>
      <c r="I65" s="8">
        <v>87.07</v>
      </c>
      <c r="J65" s="3">
        <v>45875</v>
      </c>
      <c r="K65" s="14">
        <v>11</v>
      </c>
      <c r="L65" s="17">
        <v>4.5</v>
      </c>
      <c r="M65" s="2" t="b">
        <v>0</v>
      </c>
      <c r="N65" s="2"/>
      <c r="O65" s="2" t="str">
        <f>IF(Table1[[#This Row],[is_returned]]=TRUE,IF(Table1[[#This Row],[return_reason]]="","Error","OK"),"OK")</f>
        <v>OK</v>
      </c>
      <c r="P65" s="8">
        <f>Table1[[#This Row],[original_price]]*Table1[[#This Row],[markdown_percentage]]/100</f>
        <v>19.112400000000001</v>
      </c>
      <c r="Q6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65" s="25">
        <f>Table1[[#This Row],[current_price]]*Table1[[#This Row],[stock_quantity]]</f>
        <v>957.77</v>
      </c>
    </row>
    <row r="66" spans="1:18" x14ac:dyDescent="0.25">
      <c r="A66" s="2" t="s">
        <v>118</v>
      </c>
      <c r="B66" s="2" t="s">
        <v>21</v>
      </c>
      <c r="C66" s="2" t="s">
        <v>16</v>
      </c>
      <c r="D66" s="2" t="s">
        <v>23</v>
      </c>
      <c r="E66" s="2" t="s">
        <v>55</v>
      </c>
      <c r="F66" s="2" t="s">
        <v>40</v>
      </c>
      <c r="G66" s="8">
        <v>93.33</v>
      </c>
      <c r="H66" s="11">
        <v>2.4</v>
      </c>
      <c r="I66" s="8">
        <v>91.09</v>
      </c>
      <c r="J66" s="3">
        <v>45875</v>
      </c>
      <c r="K66" s="14">
        <v>20</v>
      </c>
      <c r="L66" s="17">
        <v>4.2</v>
      </c>
      <c r="M66" s="2" t="b">
        <v>0</v>
      </c>
      <c r="N66" s="2"/>
      <c r="O66" s="2" t="str">
        <f>IF(Table1[[#This Row],[is_returned]]=TRUE,IF(Table1[[#This Row],[return_reason]]="","Error","OK"),"OK")</f>
        <v>OK</v>
      </c>
      <c r="P66" s="8">
        <f>Table1[[#This Row],[original_price]]*Table1[[#This Row],[markdown_percentage]]/100</f>
        <v>2.2399199999999997</v>
      </c>
      <c r="Q6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66" s="25">
        <f>Table1[[#This Row],[current_price]]*Table1[[#This Row],[stock_quantity]]</f>
        <v>1821.8000000000002</v>
      </c>
    </row>
    <row r="67" spans="1:18" x14ac:dyDescent="0.25">
      <c r="A67" s="2" t="s">
        <v>119</v>
      </c>
      <c r="B67" s="2" t="s">
        <v>38</v>
      </c>
      <c r="C67" s="2" t="s">
        <v>43</v>
      </c>
      <c r="D67" s="2" t="s">
        <v>17</v>
      </c>
      <c r="E67" s="2" t="s">
        <v>55</v>
      </c>
      <c r="F67" s="2" t="s">
        <v>35</v>
      </c>
      <c r="G67" s="8">
        <v>86.54</v>
      </c>
      <c r="H67" s="11">
        <v>21.7</v>
      </c>
      <c r="I67" s="8">
        <v>67.760000000000005</v>
      </c>
      <c r="J67" s="3">
        <v>45809</v>
      </c>
      <c r="K67" s="14">
        <v>21</v>
      </c>
      <c r="L67" s="17">
        <v>3.6</v>
      </c>
      <c r="M67" s="2" t="b">
        <v>1</v>
      </c>
      <c r="N67" s="2" t="s">
        <v>115</v>
      </c>
      <c r="O67" s="2" t="str">
        <f>IF(Table1[[#This Row],[is_returned]]=TRUE,IF(Table1[[#This Row],[return_reason]]="","Error","OK"),"OK")</f>
        <v>OK</v>
      </c>
      <c r="P67" s="8">
        <f>Table1[[#This Row],[original_price]]*Table1[[#This Row],[markdown_percentage]]/100</f>
        <v>18.77918</v>
      </c>
      <c r="Q6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67" s="25">
        <f>Table1[[#This Row],[current_price]]*Table1[[#This Row],[stock_quantity]]</f>
        <v>1422.96</v>
      </c>
    </row>
    <row r="68" spans="1:18" x14ac:dyDescent="0.25">
      <c r="A68" s="2" t="s">
        <v>120</v>
      </c>
      <c r="B68" s="2" t="s">
        <v>27</v>
      </c>
      <c r="C68" s="2" t="s">
        <v>53</v>
      </c>
      <c r="D68" s="2" t="s">
        <v>62</v>
      </c>
      <c r="E68" s="2"/>
      <c r="F68" s="2" t="s">
        <v>46</v>
      </c>
      <c r="G68" s="8">
        <v>55.57</v>
      </c>
      <c r="H68" s="11">
        <v>0</v>
      </c>
      <c r="I68" s="8">
        <v>55.57</v>
      </c>
      <c r="J68" s="3">
        <v>45875</v>
      </c>
      <c r="K68" s="14">
        <v>44</v>
      </c>
      <c r="L68" s="17">
        <v>3.8</v>
      </c>
      <c r="M68" s="2" t="b">
        <v>0</v>
      </c>
      <c r="N68" s="2"/>
      <c r="O68" s="2" t="str">
        <f>IF(Table1[[#This Row],[is_returned]]=TRUE,IF(Table1[[#This Row],[return_reason]]="","Error","OK"),"OK")</f>
        <v>OK</v>
      </c>
      <c r="P68" s="8">
        <f>Table1[[#This Row],[original_price]]*Table1[[#This Row],[markdown_percentage]]/100</f>
        <v>0</v>
      </c>
      <c r="Q6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68" s="25">
        <f>Table1[[#This Row],[current_price]]*Table1[[#This Row],[stock_quantity]]</f>
        <v>2445.08</v>
      </c>
    </row>
    <row r="69" spans="1:18" x14ac:dyDescent="0.25">
      <c r="A69" s="2" t="s">
        <v>121</v>
      </c>
      <c r="B69" s="2" t="s">
        <v>21</v>
      </c>
      <c r="C69" s="2" t="s">
        <v>75</v>
      </c>
      <c r="D69" s="2" t="s">
        <v>17</v>
      </c>
      <c r="E69" s="2" t="s">
        <v>18</v>
      </c>
      <c r="F69" s="2" t="s">
        <v>28</v>
      </c>
      <c r="G69" s="8">
        <v>76.5</v>
      </c>
      <c r="H69" s="11">
        <v>0</v>
      </c>
      <c r="I69" s="8">
        <v>76.5</v>
      </c>
      <c r="J69" s="3">
        <v>45683</v>
      </c>
      <c r="K69" s="14">
        <v>17</v>
      </c>
      <c r="L69" s="17">
        <v>4.5999999999999996</v>
      </c>
      <c r="M69" s="2" t="b">
        <v>0</v>
      </c>
      <c r="N69" s="2"/>
      <c r="O69" s="2" t="str">
        <f>IF(Table1[[#This Row],[is_returned]]=TRUE,IF(Table1[[#This Row],[return_reason]]="","Error","OK"),"OK")</f>
        <v>OK</v>
      </c>
      <c r="P69" s="8">
        <f>Table1[[#This Row],[original_price]]*Table1[[#This Row],[markdown_percentage]]/100</f>
        <v>0</v>
      </c>
      <c r="Q6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69" s="25">
        <f>Table1[[#This Row],[current_price]]*Table1[[#This Row],[stock_quantity]]</f>
        <v>1300.5</v>
      </c>
    </row>
    <row r="70" spans="1:18" x14ac:dyDescent="0.25">
      <c r="A70" s="2" t="s">
        <v>122</v>
      </c>
      <c r="B70" s="2" t="s">
        <v>42</v>
      </c>
      <c r="C70" s="2" t="s">
        <v>75</v>
      </c>
      <c r="D70" s="2" t="s">
        <v>17</v>
      </c>
      <c r="E70" s="2" t="s">
        <v>55</v>
      </c>
      <c r="F70" s="2" t="s">
        <v>46</v>
      </c>
      <c r="G70" s="8">
        <v>137.19</v>
      </c>
      <c r="H70" s="11">
        <v>9.5</v>
      </c>
      <c r="I70" s="8">
        <v>124.16</v>
      </c>
      <c r="J70" s="3">
        <v>45748</v>
      </c>
      <c r="K70" s="14">
        <v>17</v>
      </c>
      <c r="L70" s="17"/>
      <c r="M70" s="2" t="b">
        <v>0</v>
      </c>
      <c r="N70" s="2"/>
      <c r="O70" s="2" t="str">
        <f>IF(Table1[[#This Row],[is_returned]]=TRUE,IF(Table1[[#This Row],[return_reason]]="","Error","OK"),"OK")</f>
        <v>OK</v>
      </c>
      <c r="P70" s="8">
        <f>Table1[[#This Row],[original_price]]*Table1[[#This Row],[markdown_percentage]]/100</f>
        <v>13.033050000000001</v>
      </c>
      <c r="Q7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70" s="25">
        <f>Table1[[#This Row],[current_price]]*Table1[[#This Row],[stock_quantity]]</f>
        <v>2110.7199999999998</v>
      </c>
    </row>
    <row r="71" spans="1:18" x14ac:dyDescent="0.25">
      <c r="A71" s="2" t="s">
        <v>123</v>
      </c>
      <c r="B71" s="2" t="s">
        <v>21</v>
      </c>
      <c r="C71" s="2" t="s">
        <v>16</v>
      </c>
      <c r="D71" s="2" t="s">
        <v>62</v>
      </c>
      <c r="E71" s="2" t="s">
        <v>18</v>
      </c>
      <c r="F71" s="2" t="s">
        <v>66</v>
      </c>
      <c r="G71" s="8">
        <v>48.92</v>
      </c>
      <c r="H71" s="11">
        <v>19.8</v>
      </c>
      <c r="I71" s="8">
        <v>39.229999999999997</v>
      </c>
      <c r="J71" s="3">
        <v>45875</v>
      </c>
      <c r="K71" s="14">
        <v>17</v>
      </c>
      <c r="L71" s="17">
        <v>2.6</v>
      </c>
      <c r="M71" s="2" t="b">
        <v>0</v>
      </c>
      <c r="N71" s="2"/>
      <c r="O71" s="2" t="str">
        <f>IF(Table1[[#This Row],[is_returned]]=TRUE,IF(Table1[[#This Row],[return_reason]]="","Error","OK"),"OK")</f>
        <v>OK</v>
      </c>
      <c r="P71" s="8">
        <f>Table1[[#This Row],[original_price]]*Table1[[#This Row],[markdown_percentage]]/100</f>
        <v>9.686160000000001</v>
      </c>
      <c r="Q7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71" s="25">
        <f>Table1[[#This Row],[current_price]]*Table1[[#This Row],[stock_quantity]]</f>
        <v>666.91</v>
      </c>
    </row>
    <row r="72" spans="1:18" x14ac:dyDescent="0.25">
      <c r="A72" s="2" t="s">
        <v>124</v>
      </c>
      <c r="B72" s="2" t="s">
        <v>30</v>
      </c>
      <c r="C72" s="2" t="s">
        <v>53</v>
      </c>
      <c r="D72" s="2" t="s">
        <v>23</v>
      </c>
      <c r="E72" s="2" t="s">
        <v>18</v>
      </c>
      <c r="F72" s="2" t="s">
        <v>35</v>
      </c>
      <c r="G72" s="8">
        <v>69.819999999999993</v>
      </c>
      <c r="H72" s="11">
        <v>0</v>
      </c>
      <c r="I72" s="8">
        <v>69.819999999999993</v>
      </c>
      <c r="J72" s="3">
        <v>45875</v>
      </c>
      <c r="K72" s="14">
        <v>46</v>
      </c>
      <c r="L72" s="17"/>
      <c r="M72" s="2" t="b">
        <v>1</v>
      </c>
      <c r="N72" s="2" t="s">
        <v>125</v>
      </c>
      <c r="O72" s="2" t="str">
        <f>IF(Table1[[#This Row],[is_returned]]=TRUE,IF(Table1[[#This Row],[return_reason]]="","Error","OK"),"OK")</f>
        <v>OK</v>
      </c>
      <c r="P72" s="8">
        <f>Table1[[#This Row],[original_price]]*Table1[[#This Row],[markdown_percentage]]/100</f>
        <v>0</v>
      </c>
      <c r="Q7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72" s="25">
        <f>Table1[[#This Row],[current_price]]*Table1[[#This Row],[stock_quantity]]</f>
        <v>3211.72</v>
      </c>
    </row>
    <row r="73" spans="1:18" x14ac:dyDescent="0.25">
      <c r="A73" s="2" t="s">
        <v>126</v>
      </c>
      <c r="B73" s="2" t="s">
        <v>15</v>
      </c>
      <c r="C73" s="2" t="s">
        <v>43</v>
      </c>
      <c r="D73" s="2" t="s">
        <v>62</v>
      </c>
      <c r="E73" s="2" t="s">
        <v>49</v>
      </c>
      <c r="F73" s="2" t="s">
        <v>19</v>
      </c>
      <c r="G73" s="8">
        <v>199.39</v>
      </c>
      <c r="H73" s="11">
        <v>7.4</v>
      </c>
      <c r="I73" s="8">
        <v>184.64</v>
      </c>
      <c r="J73" s="3">
        <v>45875</v>
      </c>
      <c r="K73" s="14">
        <v>49</v>
      </c>
      <c r="L73" s="17"/>
      <c r="M73" s="2" t="b">
        <v>0</v>
      </c>
      <c r="N73" s="2"/>
      <c r="O73" s="2" t="str">
        <f>IF(Table1[[#This Row],[is_returned]]=TRUE,IF(Table1[[#This Row],[return_reason]]="","Error","OK"),"OK")</f>
        <v>OK</v>
      </c>
      <c r="P73" s="8">
        <f>Table1[[#This Row],[original_price]]*Table1[[#This Row],[markdown_percentage]]/100</f>
        <v>14.754859999999999</v>
      </c>
      <c r="Q7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73" s="25">
        <f>Table1[[#This Row],[current_price]]*Table1[[#This Row],[stock_quantity]]</f>
        <v>9047.3599999999988</v>
      </c>
    </row>
    <row r="74" spans="1:18" x14ac:dyDescent="0.25">
      <c r="A74" s="2" t="s">
        <v>127</v>
      </c>
      <c r="B74" s="2" t="s">
        <v>15</v>
      </c>
      <c r="C74" s="2" t="s">
        <v>32</v>
      </c>
      <c r="D74" s="2" t="s">
        <v>62</v>
      </c>
      <c r="E74" s="2" t="s">
        <v>58</v>
      </c>
      <c r="F74" s="2" t="s">
        <v>35</v>
      </c>
      <c r="G74" s="8">
        <v>222.09</v>
      </c>
      <c r="H74" s="11">
        <v>55.2</v>
      </c>
      <c r="I74" s="8">
        <v>99.5</v>
      </c>
      <c r="J74" s="3">
        <v>45875</v>
      </c>
      <c r="K74" s="14">
        <v>21</v>
      </c>
      <c r="L74" s="17">
        <v>4.5</v>
      </c>
      <c r="M74" s="2" t="b">
        <v>0</v>
      </c>
      <c r="N74" s="2"/>
      <c r="O74" s="2" t="str">
        <f>IF(Table1[[#This Row],[is_returned]]=TRUE,IF(Table1[[#This Row],[return_reason]]="","Error","OK"),"OK")</f>
        <v>OK</v>
      </c>
      <c r="P74" s="8">
        <f>Table1[[#This Row],[original_price]]*Table1[[#This Row],[markdown_percentage]]/100</f>
        <v>122.59368000000001</v>
      </c>
      <c r="Q7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74" s="25">
        <f>Table1[[#This Row],[current_price]]*Table1[[#This Row],[stock_quantity]]</f>
        <v>2089.5</v>
      </c>
    </row>
    <row r="75" spans="1:18" x14ac:dyDescent="0.25">
      <c r="A75" s="2" t="s">
        <v>128</v>
      </c>
      <c r="B75" s="2" t="s">
        <v>21</v>
      </c>
      <c r="C75" s="2" t="s">
        <v>43</v>
      </c>
      <c r="D75" s="2" t="s">
        <v>34</v>
      </c>
      <c r="E75" s="2" t="s">
        <v>55</v>
      </c>
      <c r="F75" s="2" t="s">
        <v>19</v>
      </c>
      <c r="G75" s="8">
        <v>112.86</v>
      </c>
      <c r="H75" s="11">
        <v>0</v>
      </c>
      <c r="I75" s="8">
        <v>112.86</v>
      </c>
      <c r="J75" s="3">
        <v>45875</v>
      </c>
      <c r="K75" s="14">
        <v>8</v>
      </c>
      <c r="L75" s="17">
        <v>2.9</v>
      </c>
      <c r="M75" s="2" t="b">
        <v>0</v>
      </c>
      <c r="N75" s="2"/>
      <c r="O75" s="2" t="str">
        <f>IF(Table1[[#This Row],[is_returned]]=TRUE,IF(Table1[[#This Row],[return_reason]]="","Error","OK"),"OK")</f>
        <v>OK</v>
      </c>
      <c r="P75" s="8">
        <f>Table1[[#This Row],[original_price]]*Table1[[#This Row],[markdown_percentage]]/100</f>
        <v>0</v>
      </c>
      <c r="Q7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75" s="25">
        <f>Table1[[#This Row],[current_price]]*Table1[[#This Row],[stock_quantity]]</f>
        <v>902.88</v>
      </c>
    </row>
    <row r="76" spans="1:18" x14ac:dyDescent="0.25">
      <c r="A76" s="2" t="s">
        <v>129</v>
      </c>
      <c r="B76" s="2" t="s">
        <v>42</v>
      </c>
      <c r="C76" s="2" t="s">
        <v>43</v>
      </c>
      <c r="D76" s="2" t="s">
        <v>17</v>
      </c>
      <c r="E76" s="2" t="s">
        <v>55</v>
      </c>
      <c r="F76" s="2" t="s">
        <v>46</v>
      </c>
      <c r="G76" s="8">
        <v>100.96</v>
      </c>
      <c r="H76" s="11">
        <v>0</v>
      </c>
      <c r="I76" s="8">
        <v>100.96</v>
      </c>
      <c r="J76" s="3">
        <v>45787</v>
      </c>
      <c r="K76" s="14">
        <v>32</v>
      </c>
      <c r="L76" s="17">
        <v>3.3</v>
      </c>
      <c r="M76" s="2" t="b">
        <v>0</v>
      </c>
      <c r="N76" s="2"/>
      <c r="O76" s="2" t="str">
        <f>IF(Table1[[#This Row],[is_returned]]=TRUE,IF(Table1[[#This Row],[return_reason]]="","Error","OK"),"OK")</f>
        <v>OK</v>
      </c>
      <c r="P76" s="8">
        <f>Table1[[#This Row],[original_price]]*Table1[[#This Row],[markdown_percentage]]/100</f>
        <v>0</v>
      </c>
      <c r="Q7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76" s="25">
        <f>Table1[[#This Row],[current_price]]*Table1[[#This Row],[stock_quantity]]</f>
        <v>3230.72</v>
      </c>
    </row>
    <row r="77" spans="1:18" x14ac:dyDescent="0.25">
      <c r="A77" s="2" t="s">
        <v>130</v>
      </c>
      <c r="B77" s="2" t="s">
        <v>15</v>
      </c>
      <c r="C77" s="2" t="s">
        <v>61</v>
      </c>
      <c r="D77" s="2" t="s">
        <v>17</v>
      </c>
      <c r="E77" s="2" t="s">
        <v>18</v>
      </c>
      <c r="F77" s="2" t="s">
        <v>46</v>
      </c>
      <c r="G77" s="8">
        <v>243.56</v>
      </c>
      <c r="H77" s="11">
        <v>48</v>
      </c>
      <c r="I77" s="8">
        <v>126.65</v>
      </c>
      <c r="J77" s="3">
        <v>45579</v>
      </c>
      <c r="K77" s="14">
        <v>22</v>
      </c>
      <c r="L77" s="17">
        <v>4.4000000000000004</v>
      </c>
      <c r="M77" s="2" t="b">
        <v>1</v>
      </c>
      <c r="N77" s="2" t="s">
        <v>115</v>
      </c>
      <c r="O77" s="2" t="str">
        <f>IF(Table1[[#This Row],[is_returned]]=TRUE,IF(Table1[[#This Row],[return_reason]]="","Error","OK"),"OK")</f>
        <v>OK</v>
      </c>
      <c r="P77" s="8">
        <f>Table1[[#This Row],[original_price]]*Table1[[#This Row],[markdown_percentage]]/100</f>
        <v>116.90880000000001</v>
      </c>
      <c r="Q7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77" s="25">
        <f>Table1[[#This Row],[current_price]]*Table1[[#This Row],[stock_quantity]]</f>
        <v>2786.3</v>
      </c>
    </row>
    <row r="78" spans="1:18" x14ac:dyDescent="0.25">
      <c r="A78" s="2" t="s">
        <v>131</v>
      </c>
      <c r="B78" s="2" t="s">
        <v>42</v>
      </c>
      <c r="C78" s="2" t="s">
        <v>43</v>
      </c>
      <c r="D78" s="2" t="s">
        <v>17</v>
      </c>
      <c r="E78" s="2" t="s">
        <v>49</v>
      </c>
      <c r="F78" s="2" t="s">
        <v>19</v>
      </c>
      <c r="G78" s="8">
        <v>153.32</v>
      </c>
      <c r="H78" s="11">
        <v>0</v>
      </c>
      <c r="I78" s="8">
        <v>153.32</v>
      </c>
      <c r="J78" s="3">
        <v>45548</v>
      </c>
      <c r="K78" s="14">
        <v>43</v>
      </c>
      <c r="L78" s="17">
        <v>2.9</v>
      </c>
      <c r="M78" s="2" t="b">
        <v>0</v>
      </c>
      <c r="N78" s="2"/>
      <c r="O78" s="2" t="str">
        <f>IF(Table1[[#This Row],[is_returned]]=TRUE,IF(Table1[[#This Row],[return_reason]]="","Error","OK"),"OK")</f>
        <v>OK</v>
      </c>
      <c r="P78" s="8">
        <f>Table1[[#This Row],[original_price]]*Table1[[#This Row],[markdown_percentage]]/100</f>
        <v>0</v>
      </c>
      <c r="Q7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78" s="25">
        <f>Table1[[#This Row],[current_price]]*Table1[[#This Row],[stock_quantity]]</f>
        <v>6592.7599999999993</v>
      </c>
    </row>
    <row r="79" spans="1:18" x14ac:dyDescent="0.25">
      <c r="A79" s="2" t="s">
        <v>132</v>
      </c>
      <c r="B79" s="2" t="s">
        <v>27</v>
      </c>
      <c r="C79" s="2" t="s">
        <v>22</v>
      </c>
      <c r="D79" s="2" t="s">
        <v>34</v>
      </c>
      <c r="E79" s="2"/>
      <c r="F79" s="2" t="s">
        <v>66</v>
      </c>
      <c r="G79" s="8">
        <v>42.95</v>
      </c>
      <c r="H79" s="11">
        <v>22.5</v>
      </c>
      <c r="I79" s="8">
        <v>33.29</v>
      </c>
      <c r="J79" s="3">
        <v>45875</v>
      </c>
      <c r="K79" s="14">
        <v>7</v>
      </c>
      <c r="L79" s="17">
        <v>1.9</v>
      </c>
      <c r="M79" s="2" t="b">
        <v>1</v>
      </c>
      <c r="N79" s="2" t="s">
        <v>73</v>
      </c>
      <c r="O79" s="2" t="str">
        <f>IF(Table1[[#This Row],[is_returned]]=TRUE,IF(Table1[[#This Row],[return_reason]]="","Error","OK"),"OK")</f>
        <v>OK</v>
      </c>
      <c r="P79" s="8">
        <f>Table1[[#This Row],[original_price]]*Table1[[#This Row],[markdown_percentage]]/100</f>
        <v>9.6637500000000003</v>
      </c>
      <c r="Q7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79" s="25">
        <f>Table1[[#This Row],[current_price]]*Table1[[#This Row],[stock_quantity]]</f>
        <v>233.03</v>
      </c>
    </row>
    <row r="80" spans="1:18" x14ac:dyDescent="0.25">
      <c r="A80" s="2" t="s">
        <v>133</v>
      </c>
      <c r="B80" s="2" t="s">
        <v>21</v>
      </c>
      <c r="C80" s="2" t="s">
        <v>48</v>
      </c>
      <c r="D80" s="2" t="s">
        <v>62</v>
      </c>
      <c r="E80" s="2" t="s">
        <v>39</v>
      </c>
      <c r="F80" s="2" t="s">
        <v>46</v>
      </c>
      <c r="G80" s="8">
        <v>30.79</v>
      </c>
      <c r="H80" s="11">
        <v>0</v>
      </c>
      <c r="I80" s="8">
        <v>30.79</v>
      </c>
      <c r="J80" s="3">
        <v>45875</v>
      </c>
      <c r="K80" s="14">
        <v>36</v>
      </c>
      <c r="L80" s="17">
        <v>3.4</v>
      </c>
      <c r="M80" s="2" t="b">
        <v>0</v>
      </c>
      <c r="N80" s="2"/>
      <c r="O80" s="2" t="str">
        <f>IF(Table1[[#This Row],[is_returned]]=TRUE,IF(Table1[[#This Row],[return_reason]]="","Error","OK"),"OK")</f>
        <v>OK</v>
      </c>
      <c r="P80" s="8">
        <f>Table1[[#This Row],[original_price]]*Table1[[#This Row],[markdown_percentage]]/100</f>
        <v>0</v>
      </c>
      <c r="Q8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80" s="25">
        <f>Table1[[#This Row],[current_price]]*Table1[[#This Row],[stock_quantity]]</f>
        <v>1108.44</v>
      </c>
    </row>
    <row r="81" spans="1:18" x14ac:dyDescent="0.25">
      <c r="A81" s="2" t="s">
        <v>134</v>
      </c>
      <c r="B81" s="2" t="s">
        <v>27</v>
      </c>
      <c r="C81" s="2" t="s">
        <v>22</v>
      </c>
      <c r="D81" s="2" t="s">
        <v>34</v>
      </c>
      <c r="E81" s="2"/>
      <c r="F81" s="2" t="s">
        <v>70</v>
      </c>
      <c r="G81" s="8">
        <v>59.85</v>
      </c>
      <c r="H81" s="11">
        <v>0</v>
      </c>
      <c r="I81" s="8">
        <v>59.85</v>
      </c>
      <c r="J81" s="3">
        <v>45875</v>
      </c>
      <c r="K81" s="14">
        <v>38</v>
      </c>
      <c r="L81" s="17">
        <v>4</v>
      </c>
      <c r="M81" s="2" t="b">
        <v>0</v>
      </c>
      <c r="N81" s="2"/>
      <c r="O81" s="2" t="str">
        <f>IF(Table1[[#This Row],[is_returned]]=TRUE,IF(Table1[[#This Row],[return_reason]]="","Error","OK"),"OK")</f>
        <v>OK</v>
      </c>
      <c r="P81" s="8">
        <f>Table1[[#This Row],[original_price]]*Table1[[#This Row],[markdown_percentage]]/100</f>
        <v>0</v>
      </c>
      <c r="Q8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81" s="25">
        <f>Table1[[#This Row],[current_price]]*Table1[[#This Row],[stock_quantity]]</f>
        <v>2274.3000000000002</v>
      </c>
    </row>
    <row r="82" spans="1:18" x14ac:dyDescent="0.25">
      <c r="A82" s="2" t="s">
        <v>135</v>
      </c>
      <c r="B82" s="2" t="s">
        <v>21</v>
      </c>
      <c r="C82" s="2" t="s">
        <v>32</v>
      </c>
      <c r="D82" s="2" t="s">
        <v>17</v>
      </c>
      <c r="E82" s="2" t="s">
        <v>39</v>
      </c>
      <c r="F82" s="2" t="s">
        <v>64</v>
      </c>
      <c r="G82" s="8">
        <v>78.16</v>
      </c>
      <c r="H82" s="11">
        <v>19.100000000000001</v>
      </c>
      <c r="I82" s="8">
        <v>63.23</v>
      </c>
      <c r="J82" s="3">
        <v>45863</v>
      </c>
      <c r="K82" s="14">
        <v>23</v>
      </c>
      <c r="L82" s="17"/>
      <c r="M82" s="2" t="b">
        <v>0</v>
      </c>
      <c r="N82" s="2"/>
      <c r="O82" s="2" t="str">
        <f>IF(Table1[[#This Row],[is_returned]]=TRUE,IF(Table1[[#This Row],[return_reason]]="","Error","OK"),"OK")</f>
        <v>OK</v>
      </c>
      <c r="P82" s="8">
        <f>Table1[[#This Row],[original_price]]*Table1[[#This Row],[markdown_percentage]]/100</f>
        <v>14.928559999999999</v>
      </c>
      <c r="Q8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82" s="25">
        <f>Table1[[#This Row],[current_price]]*Table1[[#This Row],[stock_quantity]]</f>
        <v>1454.29</v>
      </c>
    </row>
    <row r="83" spans="1:18" x14ac:dyDescent="0.25">
      <c r="A83" s="2" t="s">
        <v>136</v>
      </c>
      <c r="B83" s="2" t="s">
        <v>21</v>
      </c>
      <c r="C83" s="2" t="s">
        <v>53</v>
      </c>
      <c r="D83" s="2" t="s">
        <v>34</v>
      </c>
      <c r="E83" s="2" t="s">
        <v>58</v>
      </c>
      <c r="F83" s="2" t="s">
        <v>35</v>
      </c>
      <c r="G83" s="8">
        <v>113.17</v>
      </c>
      <c r="H83" s="11">
        <v>19.100000000000001</v>
      </c>
      <c r="I83" s="8">
        <v>91.55</v>
      </c>
      <c r="J83" s="3">
        <v>45875</v>
      </c>
      <c r="K83" s="14">
        <v>15</v>
      </c>
      <c r="L83" s="17">
        <v>4.9000000000000004</v>
      </c>
      <c r="M83" s="2" t="b">
        <v>0</v>
      </c>
      <c r="N83" s="2"/>
      <c r="O83" s="2" t="str">
        <f>IF(Table1[[#This Row],[is_returned]]=TRUE,IF(Table1[[#This Row],[return_reason]]="","Error","OK"),"OK")</f>
        <v>OK</v>
      </c>
      <c r="P83" s="8">
        <f>Table1[[#This Row],[original_price]]*Table1[[#This Row],[markdown_percentage]]/100</f>
        <v>21.615470000000002</v>
      </c>
      <c r="Q8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83" s="25">
        <f>Table1[[#This Row],[current_price]]*Table1[[#This Row],[stock_quantity]]</f>
        <v>1373.25</v>
      </c>
    </row>
    <row r="84" spans="1:18" x14ac:dyDescent="0.25">
      <c r="A84" s="2" t="s">
        <v>137</v>
      </c>
      <c r="B84" s="2" t="s">
        <v>42</v>
      </c>
      <c r="C84" s="2" t="s">
        <v>53</v>
      </c>
      <c r="D84" s="2" t="s">
        <v>23</v>
      </c>
      <c r="E84" s="2" t="s">
        <v>39</v>
      </c>
      <c r="F84" s="2" t="s">
        <v>44</v>
      </c>
      <c r="G84" s="8">
        <v>174.13</v>
      </c>
      <c r="H84" s="11">
        <v>0</v>
      </c>
      <c r="I84" s="8">
        <v>174.13</v>
      </c>
      <c r="J84" s="3">
        <v>45875</v>
      </c>
      <c r="K84" s="14">
        <v>34</v>
      </c>
      <c r="L84" s="17">
        <v>3.7</v>
      </c>
      <c r="M84" s="2" t="b">
        <v>0</v>
      </c>
      <c r="N84" s="2"/>
      <c r="O84" s="2" t="str">
        <f>IF(Table1[[#This Row],[is_returned]]=TRUE,IF(Table1[[#This Row],[return_reason]]="","Error","OK"),"OK")</f>
        <v>OK</v>
      </c>
      <c r="P84" s="8">
        <f>Table1[[#This Row],[original_price]]*Table1[[#This Row],[markdown_percentage]]/100</f>
        <v>0</v>
      </c>
      <c r="Q8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84" s="25">
        <f>Table1[[#This Row],[current_price]]*Table1[[#This Row],[stock_quantity]]</f>
        <v>5920.42</v>
      </c>
    </row>
    <row r="85" spans="1:18" x14ac:dyDescent="0.25">
      <c r="A85" s="2" t="s">
        <v>138</v>
      </c>
      <c r="B85" s="2" t="s">
        <v>30</v>
      </c>
      <c r="C85" s="2" t="s">
        <v>16</v>
      </c>
      <c r="D85" s="2" t="s">
        <v>62</v>
      </c>
      <c r="E85" s="2" t="s">
        <v>55</v>
      </c>
      <c r="F85" s="2" t="s">
        <v>66</v>
      </c>
      <c r="G85" s="8">
        <v>191.96</v>
      </c>
      <c r="H85" s="11">
        <v>0</v>
      </c>
      <c r="I85" s="8">
        <v>191.96</v>
      </c>
      <c r="J85" s="3">
        <v>45875</v>
      </c>
      <c r="K85" s="14">
        <v>50</v>
      </c>
      <c r="L85" s="17"/>
      <c r="M85" s="2" t="b">
        <v>0</v>
      </c>
      <c r="N85" s="2"/>
      <c r="O85" s="2" t="str">
        <f>IF(Table1[[#This Row],[is_returned]]=TRUE,IF(Table1[[#This Row],[return_reason]]="","Error","OK"),"OK")</f>
        <v>OK</v>
      </c>
      <c r="P85" s="8">
        <f>Table1[[#This Row],[original_price]]*Table1[[#This Row],[markdown_percentage]]/100</f>
        <v>0</v>
      </c>
      <c r="Q8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85" s="25">
        <f>Table1[[#This Row],[current_price]]*Table1[[#This Row],[stock_quantity]]</f>
        <v>9598</v>
      </c>
    </row>
    <row r="86" spans="1:18" x14ac:dyDescent="0.25">
      <c r="A86" s="2" t="s">
        <v>139</v>
      </c>
      <c r="B86" s="2" t="s">
        <v>15</v>
      </c>
      <c r="C86" s="2" t="s">
        <v>53</v>
      </c>
      <c r="D86" s="2" t="s">
        <v>17</v>
      </c>
      <c r="E86" s="2" t="s">
        <v>18</v>
      </c>
      <c r="F86" s="2" t="s">
        <v>56</v>
      </c>
      <c r="G86" s="8">
        <v>222.55</v>
      </c>
      <c r="H86" s="11">
        <v>22.6</v>
      </c>
      <c r="I86" s="8">
        <v>172.25</v>
      </c>
      <c r="J86" s="3">
        <v>45698</v>
      </c>
      <c r="K86" s="14">
        <v>50</v>
      </c>
      <c r="L86" s="17"/>
      <c r="M86" s="2" t="b">
        <v>0</v>
      </c>
      <c r="N86" s="2"/>
      <c r="O86" s="2" t="str">
        <f>IF(Table1[[#This Row],[is_returned]]=TRUE,IF(Table1[[#This Row],[return_reason]]="","Error","OK"),"OK")</f>
        <v>OK</v>
      </c>
      <c r="P86" s="8">
        <f>Table1[[#This Row],[original_price]]*Table1[[#This Row],[markdown_percentage]]/100</f>
        <v>50.296300000000009</v>
      </c>
      <c r="Q8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86" s="25">
        <f>Table1[[#This Row],[current_price]]*Table1[[#This Row],[stock_quantity]]</f>
        <v>8612.5</v>
      </c>
    </row>
    <row r="87" spans="1:18" x14ac:dyDescent="0.25">
      <c r="A87" s="2" t="s">
        <v>140</v>
      </c>
      <c r="B87" s="2" t="s">
        <v>38</v>
      </c>
      <c r="C87" s="2" t="s">
        <v>75</v>
      </c>
      <c r="D87" s="2" t="s">
        <v>23</v>
      </c>
      <c r="E87" s="2" t="s">
        <v>55</v>
      </c>
      <c r="F87" s="2" t="s">
        <v>28</v>
      </c>
      <c r="G87" s="8">
        <v>37.85</v>
      </c>
      <c r="H87" s="11">
        <v>11.9</v>
      </c>
      <c r="I87" s="8">
        <v>33.35</v>
      </c>
      <c r="J87" s="3">
        <v>45875</v>
      </c>
      <c r="K87" s="14">
        <v>45</v>
      </c>
      <c r="L87" s="17">
        <v>3.4</v>
      </c>
      <c r="M87" s="2" t="b">
        <v>1</v>
      </c>
      <c r="N87" s="2" t="s">
        <v>115</v>
      </c>
      <c r="O87" s="2" t="str">
        <f>IF(Table1[[#This Row],[is_returned]]=TRUE,IF(Table1[[#This Row],[return_reason]]="","Error","OK"),"OK")</f>
        <v>OK</v>
      </c>
      <c r="P87" s="8">
        <f>Table1[[#This Row],[original_price]]*Table1[[#This Row],[markdown_percentage]]/100</f>
        <v>4.5041500000000001</v>
      </c>
      <c r="Q8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87" s="25">
        <f>Table1[[#This Row],[current_price]]*Table1[[#This Row],[stock_quantity]]</f>
        <v>1500.75</v>
      </c>
    </row>
    <row r="88" spans="1:18" x14ac:dyDescent="0.25">
      <c r="A88" s="2" t="s">
        <v>141</v>
      </c>
      <c r="B88" s="2" t="s">
        <v>15</v>
      </c>
      <c r="C88" s="2" t="s">
        <v>22</v>
      </c>
      <c r="D88" s="2" t="s">
        <v>62</v>
      </c>
      <c r="E88" s="2" t="s">
        <v>58</v>
      </c>
      <c r="F88" s="2" t="s">
        <v>40</v>
      </c>
      <c r="G88" s="8">
        <v>241.09</v>
      </c>
      <c r="H88" s="11">
        <v>0</v>
      </c>
      <c r="I88" s="8">
        <v>241.09</v>
      </c>
      <c r="J88" s="3">
        <v>45875</v>
      </c>
      <c r="K88" s="14">
        <v>26</v>
      </c>
      <c r="L88" s="17"/>
      <c r="M88" s="2" t="b">
        <v>0</v>
      </c>
      <c r="N88" s="2"/>
      <c r="O88" s="2" t="str">
        <f>IF(Table1[[#This Row],[is_returned]]=TRUE,IF(Table1[[#This Row],[return_reason]]="","Error","OK"),"OK")</f>
        <v>OK</v>
      </c>
      <c r="P88" s="8">
        <f>Table1[[#This Row],[original_price]]*Table1[[#This Row],[markdown_percentage]]/100</f>
        <v>0</v>
      </c>
      <c r="Q8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88" s="25">
        <f>Table1[[#This Row],[current_price]]*Table1[[#This Row],[stock_quantity]]</f>
        <v>6268.34</v>
      </c>
    </row>
    <row r="89" spans="1:18" x14ac:dyDescent="0.25">
      <c r="A89" s="2" t="s">
        <v>142</v>
      </c>
      <c r="B89" s="2" t="s">
        <v>42</v>
      </c>
      <c r="C89" s="2" t="s">
        <v>32</v>
      </c>
      <c r="D89" s="2" t="s">
        <v>17</v>
      </c>
      <c r="E89" s="2" t="s">
        <v>39</v>
      </c>
      <c r="F89" s="2" t="s">
        <v>64</v>
      </c>
      <c r="G89" s="8">
        <v>136.97</v>
      </c>
      <c r="H89" s="11">
        <v>0</v>
      </c>
      <c r="I89" s="8">
        <v>136.97</v>
      </c>
      <c r="J89" s="3">
        <v>45590</v>
      </c>
      <c r="K89" s="14">
        <v>17</v>
      </c>
      <c r="L89" s="17">
        <v>4.4000000000000004</v>
      </c>
      <c r="M89" s="2" t="b">
        <v>1</v>
      </c>
      <c r="N89" s="2" t="s">
        <v>83</v>
      </c>
      <c r="O89" s="2" t="str">
        <f>IF(Table1[[#This Row],[is_returned]]=TRUE,IF(Table1[[#This Row],[return_reason]]="","Error","OK"),"OK")</f>
        <v>OK</v>
      </c>
      <c r="P89" s="8">
        <f>Table1[[#This Row],[original_price]]*Table1[[#This Row],[markdown_percentage]]/100</f>
        <v>0</v>
      </c>
      <c r="Q8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89" s="25">
        <f>Table1[[#This Row],[current_price]]*Table1[[#This Row],[stock_quantity]]</f>
        <v>2328.4899999999998</v>
      </c>
    </row>
    <row r="90" spans="1:18" x14ac:dyDescent="0.25">
      <c r="A90" s="2" t="s">
        <v>143</v>
      </c>
      <c r="B90" s="2" t="s">
        <v>30</v>
      </c>
      <c r="C90" s="2" t="s">
        <v>48</v>
      </c>
      <c r="D90" s="2" t="s">
        <v>17</v>
      </c>
      <c r="E90" s="2" t="s">
        <v>58</v>
      </c>
      <c r="F90" s="2" t="s">
        <v>44</v>
      </c>
      <c r="G90" s="8">
        <v>113.79</v>
      </c>
      <c r="H90" s="11">
        <v>55.3</v>
      </c>
      <c r="I90" s="8">
        <v>50.86</v>
      </c>
      <c r="J90" s="3">
        <v>45655</v>
      </c>
      <c r="K90" s="14">
        <v>47</v>
      </c>
      <c r="L90" s="17">
        <v>4.0999999999999996</v>
      </c>
      <c r="M90" s="2" t="b">
        <v>0</v>
      </c>
      <c r="N90" s="2"/>
      <c r="O90" s="2" t="str">
        <f>IF(Table1[[#This Row],[is_returned]]=TRUE,IF(Table1[[#This Row],[return_reason]]="","Error","OK"),"OK")</f>
        <v>OK</v>
      </c>
      <c r="P90" s="8">
        <f>Table1[[#This Row],[original_price]]*Table1[[#This Row],[markdown_percentage]]/100</f>
        <v>62.925870000000003</v>
      </c>
      <c r="Q9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90" s="25">
        <f>Table1[[#This Row],[current_price]]*Table1[[#This Row],[stock_quantity]]</f>
        <v>2390.42</v>
      </c>
    </row>
    <row r="91" spans="1:18" x14ac:dyDescent="0.25">
      <c r="A91" s="2" t="s">
        <v>144</v>
      </c>
      <c r="B91" s="2" t="s">
        <v>38</v>
      </c>
      <c r="C91" s="2" t="s">
        <v>48</v>
      </c>
      <c r="D91" s="2" t="s">
        <v>62</v>
      </c>
      <c r="E91" s="2" t="s">
        <v>49</v>
      </c>
      <c r="F91" s="2" t="s">
        <v>35</v>
      </c>
      <c r="G91" s="8">
        <v>93.23</v>
      </c>
      <c r="H91" s="11">
        <v>40</v>
      </c>
      <c r="I91" s="8">
        <v>55.94</v>
      </c>
      <c r="J91" s="3">
        <v>45875</v>
      </c>
      <c r="K91" s="14">
        <v>46</v>
      </c>
      <c r="L91" s="17">
        <v>1.9</v>
      </c>
      <c r="M91" s="2" t="b">
        <v>0</v>
      </c>
      <c r="N91" s="2"/>
      <c r="O91" s="2" t="str">
        <f>IF(Table1[[#This Row],[is_returned]]=TRUE,IF(Table1[[#This Row],[return_reason]]="","Error","OK"),"OK")</f>
        <v>OK</v>
      </c>
      <c r="P91" s="8">
        <f>Table1[[#This Row],[original_price]]*Table1[[#This Row],[markdown_percentage]]/100</f>
        <v>37.292000000000002</v>
      </c>
      <c r="Q9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91" s="25">
        <f>Table1[[#This Row],[current_price]]*Table1[[#This Row],[stock_quantity]]</f>
        <v>2573.2399999999998</v>
      </c>
    </row>
    <row r="92" spans="1:18" x14ac:dyDescent="0.25">
      <c r="A92" s="2" t="s">
        <v>145</v>
      </c>
      <c r="B92" s="2" t="s">
        <v>30</v>
      </c>
      <c r="C92" s="2" t="s">
        <v>22</v>
      </c>
      <c r="D92" s="2" t="s">
        <v>17</v>
      </c>
      <c r="E92" s="2" t="s">
        <v>39</v>
      </c>
      <c r="F92" s="2" t="s">
        <v>64</v>
      </c>
      <c r="G92" s="8">
        <v>106.24</v>
      </c>
      <c r="H92" s="11">
        <v>6.4</v>
      </c>
      <c r="I92" s="8">
        <v>99.44</v>
      </c>
      <c r="J92" s="3">
        <v>45544</v>
      </c>
      <c r="K92" s="14">
        <v>50</v>
      </c>
      <c r="L92" s="17">
        <v>1.5</v>
      </c>
      <c r="M92" s="2" t="b">
        <v>0</v>
      </c>
      <c r="N92" s="2"/>
      <c r="O92" s="2" t="str">
        <f>IF(Table1[[#This Row],[is_returned]]=TRUE,IF(Table1[[#This Row],[return_reason]]="","Error","OK"),"OK")</f>
        <v>OK</v>
      </c>
      <c r="P92" s="8">
        <f>Table1[[#This Row],[original_price]]*Table1[[#This Row],[markdown_percentage]]/100</f>
        <v>6.7993600000000001</v>
      </c>
      <c r="Q9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92" s="25">
        <f>Table1[[#This Row],[current_price]]*Table1[[#This Row],[stock_quantity]]</f>
        <v>4972</v>
      </c>
    </row>
    <row r="93" spans="1:18" x14ac:dyDescent="0.25">
      <c r="A93" s="2" t="s">
        <v>146</v>
      </c>
      <c r="B93" s="2" t="s">
        <v>27</v>
      </c>
      <c r="C93" s="2" t="s">
        <v>16</v>
      </c>
      <c r="D93" s="2" t="s">
        <v>23</v>
      </c>
      <c r="E93" s="2"/>
      <c r="F93" s="2" t="s">
        <v>70</v>
      </c>
      <c r="G93" s="8">
        <v>30.95</v>
      </c>
      <c r="H93" s="11">
        <v>0</v>
      </c>
      <c r="I93" s="8">
        <v>30.95</v>
      </c>
      <c r="J93" s="3">
        <v>45875</v>
      </c>
      <c r="K93" s="14">
        <v>27</v>
      </c>
      <c r="L93" s="17">
        <v>3.1</v>
      </c>
      <c r="M93" s="2" t="b">
        <v>1</v>
      </c>
      <c r="N93" s="2" t="s">
        <v>115</v>
      </c>
      <c r="O93" s="2" t="str">
        <f>IF(Table1[[#This Row],[is_returned]]=TRUE,IF(Table1[[#This Row],[return_reason]]="","Error","OK"),"OK")</f>
        <v>OK</v>
      </c>
      <c r="P93" s="8">
        <f>Table1[[#This Row],[original_price]]*Table1[[#This Row],[markdown_percentage]]/100</f>
        <v>0</v>
      </c>
      <c r="Q9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93" s="25">
        <f>Table1[[#This Row],[current_price]]*Table1[[#This Row],[stock_quantity]]</f>
        <v>835.65</v>
      </c>
    </row>
    <row r="94" spans="1:18" x14ac:dyDescent="0.25">
      <c r="A94" s="2" t="s">
        <v>147</v>
      </c>
      <c r="B94" s="2" t="s">
        <v>30</v>
      </c>
      <c r="C94" s="2" t="s">
        <v>16</v>
      </c>
      <c r="D94" s="2" t="s">
        <v>62</v>
      </c>
      <c r="E94" s="2" t="s">
        <v>39</v>
      </c>
      <c r="F94" s="2" t="s">
        <v>28</v>
      </c>
      <c r="G94" s="8">
        <v>76.92</v>
      </c>
      <c r="H94" s="11">
        <v>49.5</v>
      </c>
      <c r="I94" s="8">
        <v>38.840000000000003</v>
      </c>
      <c r="J94" s="3">
        <v>45875</v>
      </c>
      <c r="K94" s="14">
        <v>7</v>
      </c>
      <c r="L94" s="17">
        <v>1.1000000000000001</v>
      </c>
      <c r="M94" s="2" t="b">
        <v>0</v>
      </c>
      <c r="N94" s="2"/>
      <c r="O94" s="2" t="str">
        <f>IF(Table1[[#This Row],[is_returned]]=TRUE,IF(Table1[[#This Row],[return_reason]]="","Error","OK"),"OK")</f>
        <v>OK</v>
      </c>
      <c r="P94" s="8">
        <f>Table1[[#This Row],[original_price]]*Table1[[#This Row],[markdown_percentage]]/100</f>
        <v>38.075400000000002</v>
      </c>
      <c r="Q9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94" s="25">
        <f>Table1[[#This Row],[current_price]]*Table1[[#This Row],[stock_quantity]]</f>
        <v>271.88</v>
      </c>
    </row>
    <row r="95" spans="1:18" x14ac:dyDescent="0.25">
      <c r="A95" s="2" t="s">
        <v>148</v>
      </c>
      <c r="B95" s="2" t="s">
        <v>38</v>
      </c>
      <c r="C95" s="2" t="s">
        <v>48</v>
      </c>
      <c r="D95" s="2" t="s">
        <v>34</v>
      </c>
      <c r="E95" s="2" t="s">
        <v>55</v>
      </c>
      <c r="F95" s="2" t="s">
        <v>56</v>
      </c>
      <c r="G95" s="8">
        <v>80.64</v>
      </c>
      <c r="H95" s="11">
        <v>0</v>
      </c>
      <c r="I95" s="8">
        <v>80.64</v>
      </c>
      <c r="J95" s="3">
        <v>45875</v>
      </c>
      <c r="K95" s="14">
        <v>26</v>
      </c>
      <c r="L95" s="17"/>
      <c r="M95" s="2" t="b">
        <v>0</v>
      </c>
      <c r="N95" s="2"/>
      <c r="O95" s="2" t="str">
        <f>IF(Table1[[#This Row],[is_returned]]=TRUE,IF(Table1[[#This Row],[return_reason]]="","Error","OK"),"OK")</f>
        <v>OK</v>
      </c>
      <c r="P95" s="8">
        <f>Table1[[#This Row],[original_price]]*Table1[[#This Row],[markdown_percentage]]/100</f>
        <v>0</v>
      </c>
      <c r="Q9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95" s="25">
        <f>Table1[[#This Row],[current_price]]*Table1[[#This Row],[stock_quantity]]</f>
        <v>2096.64</v>
      </c>
    </row>
    <row r="96" spans="1:18" x14ac:dyDescent="0.25">
      <c r="A96" s="2" t="s">
        <v>149</v>
      </c>
      <c r="B96" s="2" t="s">
        <v>38</v>
      </c>
      <c r="C96" s="2" t="s">
        <v>16</v>
      </c>
      <c r="D96" s="2" t="s">
        <v>34</v>
      </c>
      <c r="E96" s="2" t="s">
        <v>55</v>
      </c>
      <c r="F96" s="2" t="s">
        <v>56</v>
      </c>
      <c r="G96" s="8">
        <v>32.46</v>
      </c>
      <c r="H96" s="11">
        <v>52.4</v>
      </c>
      <c r="I96" s="8">
        <v>15.45</v>
      </c>
      <c r="J96" s="3">
        <v>45875</v>
      </c>
      <c r="K96" s="14">
        <v>14</v>
      </c>
      <c r="L96" s="17">
        <v>3.9</v>
      </c>
      <c r="M96" s="2" t="b">
        <v>0</v>
      </c>
      <c r="N96" s="2"/>
      <c r="O96" s="2" t="str">
        <f>IF(Table1[[#This Row],[is_returned]]=TRUE,IF(Table1[[#This Row],[return_reason]]="","Error","OK"),"OK")</f>
        <v>OK</v>
      </c>
      <c r="P96" s="8">
        <f>Table1[[#This Row],[original_price]]*Table1[[#This Row],[markdown_percentage]]/100</f>
        <v>17.009039999999999</v>
      </c>
      <c r="Q9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96" s="25">
        <f>Table1[[#This Row],[current_price]]*Table1[[#This Row],[stock_quantity]]</f>
        <v>216.29999999999998</v>
      </c>
    </row>
    <row r="97" spans="1:18" x14ac:dyDescent="0.25">
      <c r="A97" s="2" t="s">
        <v>150</v>
      </c>
      <c r="B97" s="2" t="s">
        <v>27</v>
      </c>
      <c r="C97" s="2" t="s">
        <v>61</v>
      </c>
      <c r="D97" s="2" t="s">
        <v>62</v>
      </c>
      <c r="E97" s="2"/>
      <c r="F97" s="2" t="s">
        <v>28</v>
      </c>
      <c r="G97" s="8">
        <v>54.79</v>
      </c>
      <c r="H97" s="11">
        <v>0</v>
      </c>
      <c r="I97" s="8">
        <v>54.79</v>
      </c>
      <c r="J97" s="3">
        <v>45875</v>
      </c>
      <c r="K97" s="14">
        <v>12</v>
      </c>
      <c r="L97" s="17">
        <v>4.5</v>
      </c>
      <c r="M97" s="2" t="b">
        <v>0</v>
      </c>
      <c r="N97" s="2"/>
      <c r="O97" s="2" t="str">
        <f>IF(Table1[[#This Row],[is_returned]]=TRUE,IF(Table1[[#This Row],[return_reason]]="","Error","OK"),"OK")</f>
        <v>OK</v>
      </c>
      <c r="P97" s="8">
        <f>Table1[[#This Row],[original_price]]*Table1[[#This Row],[markdown_percentage]]/100</f>
        <v>0</v>
      </c>
      <c r="Q9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97" s="25">
        <f>Table1[[#This Row],[current_price]]*Table1[[#This Row],[stock_quantity]]</f>
        <v>657.48</v>
      </c>
    </row>
    <row r="98" spans="1:18" x14ac:dyDescent="0.25">
      <c r="A98" s="2" t="s">
        <v>151</v>
      </c>
      <c r="B98" s="2" t="s">
        <v>38</v>
      </c>
      <c r="C98" s="2" t="s">
        <v>48</v>
      </c>
      <c r="D98" s="2" t="s">
        <v>23</v>
      </c>
      <c r="E98" s="2" t="s">
        <v>58</v>
      </c>
      <c r="F98" s="2" t="s">
        <v>25</v>
      </c>
      <c r="G98" s="8">
        <v>71.14</v>
      </c>
      <c r="H98" s="11">
        <v>56.4</v>
      </c>
      <c r="I98" s="8">
        <v>31.02</v>
      </c>
      <c r="J98" s="3">
        <v>45875</v>
      </c>
      <c r="K98" s="14">
        <v>12</v>
      </c>
      <c r="L98" s="17">
        <v>3.4</v>
      </c>
      <c r="M98" s="2" t="b">
        <v>0</v>
      </c>
      <c r="N98" s="2"/>
      <c r="O98" s="2" t="str">
        <f>IF(Table1[[#This Row],[is_returned]]=TRUE,IF(Table1[[#This Row],[return_reason]]="","Error","OK"),"OK")</f>
        <v>OK</v>
      </c>
      <c r="P98" s="8">
        <f>Table1[[#This Row],[original_price]]*Table1[[#This Row],[markdown_percentage]]/100</f>
        <v>40.122959999999999</v>
      </c>
      <c r="Q9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98" s="25">
        <f>Table1[[#This Row],[current_price]]*Table1[[#This Row],[stock_quantity]]</f>
        <v>372.24</v>
      </c>
    </row>
    <row r="99" spans="1:18" x14ac:dyDescent="0.25">
      <c r="A99" s="2" t="s">
        <v>152</v>
      </c>
      <c r="B99" s="2" t="s">
        <v>38</v>
      </c>
      <c r="C99" s="2" t="s">
        <v>53</v>
      </c>
      <c r="D99" s="2" t="s">
        <v>62</v>
      </c>
      <c r="E99" s="2" t="s">
        <v>49</v>
      </c>
      <c r="F99" s="2" t="s">
        <v>64</v>
      </c>
      <c r="G99" s="8">
        <v>57.85</v>
      </c>
      <c r="H99" s="11">
        <v>0</v>
      </c>
      <c r="I99" s="8">
        <v>57.85</v>
      </c>
      <c r="J99" s="3">
        <v>45875</v>
      </c>
      <c r="K99" s="14">
        <v>36</v>
      </c>
      <c r="L99" s="17">
        <v>3.5</v>
      </c>
      <c r="M99" s="2" t="b">
        <v>0</v>
      </c>
      <c r="N99" s="2"/>
      <c r="O99" s="2" t="str">
        <f>IF(Table1[[#This Row],[is_returned]]=TRUE,IF(Table1[[#This Row],[return_reason]]="","Error","OK"),"OK")</f>
        <v>OK</v>
      </c>
      <c r="P99" s="8">
        <f>Table1[[#This Row],[original_price]]*Table1[[#This Row],[markdown_percentage]]/100</f>
        <v>0</v>
      </c>
      <c r="Q9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99" s="25">
        <f>Table1[[#This Row],[current_price]]*Table1[[#This Row],[stock_quantity]]</f>
        <v>2082.6</v>
      </c>
    </row>
    <row r="100" spans="1:18" x14ac:dyDescent="0.25">
      <c r="A100" s="2" t="s">
        <v>153</v>
      </c>
      <c r="B100" s="2" t="s">
        <v>38</v>
      </c>
      <c r="C100" s="2" t="s">
        <v>16</v>
      </c>
      <c r="D100" s="2" t="s">
        <v>62</v>
      </c>
      <c r="E100" s="2" t="s">
        <v>55</v>
      </c>
      <c r="F100" s="2" t="s">
        <v>46</v>
      </c>
      <c r="G100" s="8">
        <v>33.369999999999997</v>
      </c>
      <c r="H100" s="11">
        <v>3</v>
      </c>
      <c r="I100" s="8">
        <v>32.369999999999997</v>
      </c>
      <c r="J100" s="3">
        <v>45875</v>
      </c>
      <c r="K100" s="14">
        <v>40</v>
      </c>
      <c r="L100" s="17">
        <v>1.3</v>
      </c>
      <c r="M100" s="2" t="b">
        <v>0</v>
      </c>
      <c r="N100" s="2"/>
      <c r="O100" s="2" t="str">
        <f>IF(Table1[[#This Row],[is_returned]]=TRUE,IF(Table1[[#This Row],[return_reason]]="","Error","OK"),"OK")</f>
        <v>OK</v>
      </c>
      <c r="P100" s="8">
        <f>Table1[[#This Row],[original_price]]*Table1[[#This Row],[markdown_percentage]]/100</f>
        <v>1.0010999999999999</v>
      </c>
      <c r="Q10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00" s="25">
        <f>Table1[[#This Row],[current_price]]*Table1[[#This Row],[stock_quantity]]</f>
        <v>1294.8</v>
      </c>
    </row>
    <row r="101" spans="1:18" x14ac:dyDescent="0.25">
      <c r="A101" s="2" t="s">
        <v>154</v>
      </c>
      <c r="B101" s="2" t="s">
        <v>21</v>
      </c>
      <c r="C101" s="2" t="s">
        <v>61</v>
      </c>
      <c r="D101" s="2" t="s">
        <v>62</v>
      </c>
      <c r="E101" s="2" t="s">
        <v>24</v>
      </c>
      <c r="F101" s="2" t="s">
        <v>28</v>
      </c>
      <c r="G101" s="8">
        <v>91.83</v>
      </c>
      <c r="H101" s="11">
        <v>0</v>
      </c>
      <c r="I101" s="8">
        <v>91.83</v>
      </c>
      <c r="J101" s="3">
        <v>45875</v>
      </c>
      <c r="K101" s="14">
        <v>39</v>
      </c>
      <c r="L101" s="17">
        <v>4.9000000000000004</v>
      </c>
      <c r="M101" s="2" t="b">
        <v>0</v>
      </c>
      <c r="N101" s="2"/>
      <c r="O101" s="2" t="str">
        <f>IF(Table1[[#This Row],[is_returned]]=TRUE,IF(Table1[[#This Row],[return_reason]]="","Error","OK"),"OK")</f>
        <v>OK</v>
      </c>
      <c r="P101" s="8">
        <f>Table1[[#This Row],[original_price]]*Table1[[#This Row],[markdown_percentage]]/100</f>
        <v>0</v>
      </c>
      <c r="Q10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01" s="25">
        <f>Table1[[#This Row],[current_price]]*Table1[[#This Row],[stock_quantity]]</f>
        <v>3581.37</v>
      </c>
    </row>
    <row r="102" spans="1:18" x14ac:dyDescent="0.25">
      <c r="A102" s="2" t="s">
        <v>155</v>
      </c>
      <c r="B102" s="2" t="s">
        <v>38</v>
      </c>
      <c r="C102" s="2" t="s">
        <v>16</v>
      </c>
      <c r="D102" s="2" t="s">
        <v>34</v>
      </c>
      <c r="E102" s="2" t="s">
        <v>24</v>
      </c>
      <c r="F102" s="2" t="s">
        <v>35</v>
      </c>
      <c r="G102" s="8">
        <v>60.12</v>
      </c>
      <c r="H102" s="11">
        <v>19.5</v>
      </c>
      <c r="I102" s="8">
        <v>48.4</v>
      </c>
      <c r="J102" s="3">
        <v>45875</v>
      </c>
      <c r="K102" s="14">
        <v>42</v>
      </c>
      <c r="L102" s="17">
        <v>1</v>
      </c>
      <c r="M102" s="2" t="b">
        <v>0</v>
      </c>
      <c r="N102" s="2"/>
      <c r="O102" s="2" t="str">
        <f>IF(Table1[[#This Row],[is_returned]]=TRUE,IF(Table1[[#This Row],[return_reason]]="","Error","OK"),"OK")</f>
        <v>OK</v>
      </c>
      <c r="P102" s="8">
        <f>Table1[[#This Row],[original_price]]*Table1[[#This Row],[markdown_percentage]]/100</f>
        <v>11.7234</v>
      </c>
      <c r="Q10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02" s="25">
        <f>Table1[[#This Row],[current_price]]*Table1[[#This Row],[stock_quantity]]</f>
        <v>2032.8</v>
      </c>
    </row>
    <row r="103" spans="1:18" x14ac:dyDescent="0.25">
      <c r="A103" s="2" t="s">
        <v>156</v>
      </c>
      <c r="B103" s="2" t="s">
        <v>42</v>
      </c>
      <c r="C103" s="2" t="s">
        <v>32</v>
      </c>
      <c r="D103" s="2" t="s">
        <v>23</v>
      </c>
      <c r="E103" s="2" t="s">
        <v>39</v>
      </c>
      <c r="F103" s="2" t="s">
        <v>35</v>
      </c>
      <c r="G103" s="8">
        <v>163.5</v>
      </c>
      <c r="H103" s="11">
        <v>0</v>
      </c>
      <c r="I103" s="8">
        <v>163.5</v>
      </c>
      <c r="J103" s="3">
        <v>45875</v>
      </c>
      <c r="K103" s="14">
        <v>34</v>
      </c>
      <c r="L103" s="17">
        <v>4.9000000000000004</v>
      </c>
      <c r="M103" s="2" t="b">
        <v>0</v>
      </c>
      <c r="N103" s="2"/>
      <c r="O103" s="2" t="str">
        <f>IF(Table1[[#This Row],[is_returned]]=TRUE,IF(Table1[[#This Row],[return_reason]]="","Error","OK"),"OK")</f>
        <v>OK</v>
      </c>
      <c r="P103" s="8">
        <f>Table1[[#This Row],[original_price]]*Table1[[#This Row],[markdown_percentage]]/100</f>
        <v>0</v>
      </c>
      <c r="Q10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03" s="25">
        <f>Table1[[#This Row],[current_price]]*Table1[[#This Row],[stock_quantity]]</f>
        <v>5559</v>
      </c>
    </row>
    <row r="104" spans="1:18" x14ac:dyDescent="0.25">
      <c r="A104" s="2" t="s">
        <v>157</v>
      </c>
      <c r="B104" s="2" t="s">
        <v>42</v>
      </c>
      <c r="C104" s="2" t="s">
        <v>22</v>
      </c>
      <c r="D104" s="2" t="s">
        <v>17</v>
      </c>
      <c r="E104" s="2" t="s">
        <v>39</v>
      </c>
      <c r="F104" s="2" t="s">
        <v>56</v>
      </c>
      <c r="G104" s="8">
        <v>126.37</v>
      </c>
      <c r="H104" s="11">
        <v>0</v>
      </c>
      <c r="I104" s="8">
        <v>126.37</v>
      </c>
      <c r="J104" s="3">
        <v>45604</v>
      </c>
      <c r="K104" s="14">
        <v>25</v>
      </c>
      <c r="L104" s="17">
        <v>1.8</v>
      </c>
      <c r="M104" s="2" t="b">
        <v>0</v>
      </c>
      <c r="N104" s="2"/>
      <c r="O104" s="2" t="str">
        <f>IF(Table1[[#This Row],[is_returned]]=TRUE,IF(Table1[[#This Row],[return_reason]]="","Error","OK"),"OK")</f>
        <v>OK</v>
      </c>
      <c r="P104" s="8">
        <f>Table1[[#This Row],[original_price]]*Table1[[#This Row],[markdown_percentage]]/100</f>
        <v>0</v>
      </c>
      <c r="Q10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04" s="25">
        <f>Table1[[#This Row],[current_price]]*Table1[[#This Row],[stock_quantity]]</f>
        <v>3159.25</v>
      </c>
    </row>
    <row r="105" spans="1:18" x14ac:dyDescent="0.25">
      <c r="A105" s="2" t="s">
        <v>158</v>
      </c>
      <c r="B105" s="2" t="s">
        <v>38</v>
      </c>
      <c r="C105" s="2" t="s">
        <v>22</v>
      </c>
      <c r="D105" s="2" t="s">
        <v>23</v>
      </c>
      <c r="E105" s="2" t="s">
        <v>24</v>
      </c>
      <c r="F105" s="2" t="s">
        <v>64</v>
      </c>
      <c r="G105" s="8">
        <v>50.01</v>
      </c>
      <c r="H105" s="11">
        <v>58.2</v>
      </c>
      <c r="I105" s="8">
        <v>20.9</v>
      </c>
      <c r="J105" s="3">
        <v>45875</v>
      </c>
      <c r="K105" s="14">
        <v>32</v>
      </c>
      <c r="L105" s="17">
        <v>4.8</v>
      </c>
      <c r="M105" s="2" t="b">
        <v>0</v>
      </c>
      <c r="N105" s="2"/>
      <c r="O105" s="2" t="str">
        <f>IF(Table1[[#This Row],[is_returned]]=TRUE,IF(Table1[[#This Row],[return_reason]]="","Error","OK"),"OK")</f>
        <v>OK</v>
      </c>
      <c r="P105" s="8">
        <f>Table1[[#This Row],[original_price]]*Table1[[#This Row],[markdown_percentage]]/100</f>
        <v>29.105819999999998</v>
      </c>
      <c r="Q10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05" s="25">
        <f>Table1[[#This Row],[current_price]]*Table1[[#This Row],[stock_quantity]]</f>
        <v>668.8</v>
      </c>
    </row>
    <row r="106" spans="1:18" x14ac:dyDescent="0.25">
      <c r="A106" s="2" t="s">
        <v>159</v>
      </c>
      <c r="B106" s="2" t="s">
        <v>30</v>
      </c>
      <c r="C106" s="2" t="s">
        <v>48</v>
      </c>
      <c r="D106" s="2" t="s">
        <v>23</v>
      </c>
      <c r="E106" s="2" t="s">
        <v>39</v>
      </c>
      <c r="F106" s="2" t="s">
        <v>19</v>
      </c>
      <c r="G106" s="8">
        <v>84.31</v>
      </c>
      <c r="H106" s="11">
        <v>0</v>
      </c>
      <c r="I106" s="8">
        <v>84.31</v>
      </c>
      <c r="J106" s="3">
        <v>45875</v>
      </c>
      <c r="K106" s="14">
        <v>10</v>
      </c>
      <c r="L106" s="17">
        <v>3.9</v>
      </c>
      <c r="M106" s="2" t="b">
        <v>0</v>
      </c>
      <c r="N106" s="2"/>
      <c r="O106" s="2" t="str">
        <f>IF(Table1[[#This Row],[is_returned]]=TRUE,IF(Table1[[#This Row],[return_reason]]="","Error","OK"),"OK")</f>
        <v>OK</v>
      </c>
      <c r="P106" s="8">
        <f>Table1[[#This Row],[original_price]]*Table1[[#This Row],[markdown_percentage]]/100</f>
        <v>0</v>
      </c>
      <c r="Q10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06" s="25">
        <f>Table1[[#This Row],[current_price]]*Table1[[#This Row],[stock_quantity]]</f>
        <v>843.1</v>
      </c>
    </row>
    <row r="107" spans="1:18" x14ac:dyDescent="0.25">
      <c r="A107" s="2" t="s">
        <v>160</v>
      </c>
      <c r="B107" s="2" t="s">
        <v>38</v>
      </c>
      <c r="C107" s="2" t="s">
        <v>32</v>
      </c>
      <c r="D107" s="2" t="s">
        <v>17</v>
      </c>
      <c r="E107" s="2" t="s">
        <v>18</v>
      </c>
      <c r="F107" s="2" t="s">
        <v>56</v>
      </c>
      <c r="G107" s="8">
        <v>100.98</v>
      </c>
      <c r="H107" s="11">
        <v>0</v>
      </c>
      <c r="I107" s="8">
        <v>100.98</v>
      </c>
      <c r="J107" s="3">
        <v>45825</v>
      </c>
      <c r="K107" s="14">
        <v>21</v>
      </c>
      <c r="L107" s="17">
        <v>2.8</v>
      </c>
      <c r="M107" s="2" t="b">
        <v>0</v>
      </c>
      <c r="N107" s="2"/>
      <c r="O107" s="2" t="str">
        <f>IF(Table1[[#This Row],[is_returned]]=TRUE,IF(Table1[[#This Row],[return_reason]]="","Error","OK"),"OK")</f>
        <v>OK</v>
      </c>
      <c r="P107" s="8">
        <f>Table1[[#This Row],[original_price]]*Table1[[#This Row],[markdown_percentage]]/100</f>
        <v>0</v>
      </c>
      <c r="Q10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07" s="25">
        <f>Table1[[#This Row],[current_price]]*Table1[[#This Row],[stock_quantity]]</f>
        <v>2120.58</v>
      </c>
    </row>
    <row r="108" spans="1:18" x14ac:dyDescent="0.25">
      <c r="A108" s="2" t="s">
        <v>161</v>
      </c>
      <c r="B108" s="2" t="s">
        <v>38</v>
      </c>
      <c r="C108" s="2" t="s">
        <v>32</v>
      </c>
      <c r="D108" s="2" t="s">
        <v>62</v>
      </c>
      <c r="E108" s="2" t="s">
        <v>58</v>
      </c>
      <c r="F108" s="2" t="s">
        <v>56</v>
      </c>
      <c r="G108" s="8">
        <v>38.020000000000003</v>
      </c>
      <c r="H108" s="11">
        <v>0</v>
      </c>
      <c r="I108" s="8">
        <v>38.020000000000003</v>
      </c>
      <c r="J108" s="3">
        <v>45875</v>
      </c>
      <c r="K108" s="14">
        <v>44</v>
      </c>
      <c r="L108" s="17">
        <v>4.7</v>
      </c>
      <c r="M108" s="2" t="b">
        <v>0</v>
      </c>
      <c r="N108" s="2"/>
      <c r="O108" s="2" t="str">
        <f>IF(Table1[[#This Row],[is_returned]]=TRUE,IF(Table1[[#This Row],[return_reason]]="","Error","OK"),"OK")</f>
        <v>OK</v>
      </c>
      <c r="P108" s="8">
        <f>Table1[[#This Row],[original_price]]*Table1[[#This Row],[markdown_percentage]]/100</f>
        <v>0</v>
      </c>
      <c r="Q10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08" s="25">
        <f>Table1[[#This Row],[current_price]]*Table1[[#This Row],[stock_quantity]]</f>
        <v>1672.88</v>
      </c>
    </row>
    <row r="109" spans="1:18" x14ac:dyDescent="0.25">
      <c r="A109" s="2" t="s">
        <v>162</v>
      </c>
      <c r="B109" s="2" t="s">
        <v>38</v>
      </c>
      <c r="C109" s="2" t="s">
        <v>48</v>
      </c>
      <c r="D109" s="2" t="s">
        <v>34</v>
      </c>
      <c r="E109" s="2" t="s">
        <v>18</v>
      </c>
      <c r="F109" s="2" t="s">
        <v>44</v>
      </c>
      <c r="G109" s="8">
        <v>63.85</v>
      </c>
      <c r="H109" s="11">
        <v>0</v>
      </c>
      <c r="I109" s="8">
        <v>63.85</v>
      </c>
      <c r="J109" s="3">
        <v>45875</v>
      </c>
      <c r="K109" s="14">
        <v>41</v>
      </c>
      <c r="L109" s="17"/>
      <c r="M109" s="2" t="b">
        <v>0</v>
      </c>
      <c r="N109" s="2"/>
      <c r="O109" s="2" t="str">
        <f>IF(Table1[[#This Row],[is_returned]]=TRUE,IF(Table1[[#This Row],[return_reason]]="","Error","OK"),"OK")</f>
        <v>OK</v>
      </c>
      <c r="P109" s="8">
        <f>Table1[[#This Row],[original_price]]*Table1[[#This Row],[markdown_percentage]]/100</f>
        <v>0</v>
      </c>
      <c r="Q10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09" s="25">
        <f>Table1[[#This Row],[current_price]]*Table1[[#This Row],[stock_quantity]]</f>
        <v>2617.85</v>
      </c>
    </row>
    <row r="110" spans="1:18" x14ac:dyDescent="0.25">
      <c r="A110" s="2" t="s">
        <v>163</v>
      </c>
      <c r="B110" s="2" t="s">
        <v>30</v>
      </c>
      <c r="C110" s="2" t="s">
        <v>48</v>
      </c>
      <c r="D110" s="2" t="s">
        <v>34</v>
      </c>
      <c r="E110" s="2" t="s">
        <v>55</v>
      </c>
      <c r="F110" s="2" t="s">
        <v>64</v>
      </c>
      <c r="G110" s="8">
        <v>183.15</v>
      </c>
      <c r="H110" s="11">
        <v>0</v>
      </c>
      <c r="I110" s="8">
        <v>183.15</v>
      </c>
      <c r="J110" s="3">
        <v>45875</v>
      </c>
      <c r="K110" s="14">
        <v>23</v>
      </c>
      <c r="L110" s="17">
        <v>4.0999999999999996</v>
      </c>
      <c r="M110" s="2" t="b">
        <v>0</v>
      </c>
      <c r="N110" s="2"/>
      <c r="O110" s="2" t="str">
        <f>IF(Table1[[#This Row],[is_returned]]=TRUE,IF(Table1[[#This Row],[return_reason]]="","Error","OK"),"OK")</f>
        <v>OK</v>
      </c>
      <c r="P110" s="8">
        <f>Table1[[#This Row],[original_price]]*Table1[[#This Row],[markdown_percentage]]/100</f>
        <v>0</v>
      </c>
      <c r="Q11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10" s="25">
        <f>Table1[[#This Row],[current_price]]*Table1[[#This Row],[stock_quantity]]</f>
        <v>4212.45</v>
      </c>
    </row>
    <row r="111" spans="1:18" x14ac:dyDescent="0.25">
      <c r="A111" s="2" t="s">
        <v>164</v>
      </c>
      <c r="B111" s="2" t="s">
        <v>42</v>
      </c>
      <c r="C111" s="2" t="s">
        <v>16</v>
      </c>
      <c r="D111" s="2" t="s">
        <v>23</v>
      </c>
      <c r="E111" s="2" t="s">
        <v>39</v>
      </c>
      <c r="F111" s="2" t="s">
        <v>40</v>
      </c>
      <c r="G111" s="8">
        <v>91</v>
      </c>
      <c r="H111" s="11">
        <v>59.5</v>
      </c>
      <c r="I111" s="8">
        <v>36.86</v>
      </c>
      <c r="J111" s="3">
        <v>45875</v>
      </c>
      <c r="K111" s="14">
        <v>5</v>
      </c>
      <c r="L111" s="17">
        <v>3.9</v>
      </c>
      <c r="M111" s="2" t="b">
        <v>0</v>
      </c>
      <c r="N111" s="2"/>
      <c r="O111" s="2" t="str">
        <f>IF(Table1[[#This Row],[is_returned]]=TRUE,IF(Table1[[#This Row],[return_reason]]="","Error","OK"),"OK")</f>
        <v>OK</v>
      </c>
      <c r="P111" s="8">
        <f>Table1[[#This Row],[original_price]]*Table1[[#This Row],[markdown_percentage]]/100</f>
        <v>54.145000000000003</v>
      </c>
      <c r="Q11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11" s="25">
        <f>Table1[[#This Row],[current_price]]*Table1[[#This Row],[stock_quantity]]</f>
        <v>184.3</v>
      </c>
    </row>
    <row r="112" spans="1:18" x14ac:dyDescent="0.25">
      <c r="A112" s="2" t="s">
        <v>165</v>
      </c>
      <c r="B112" s="2" t="s">
        <v>15</v>
      </c>
      <c r="C112" s="2" t="s">
        <v>22</v>
      </c>
      <c r="D112" s="2" t="s">
        <v>17</v>
      </c>
      <c r="E112" s="2" t="s">
        <v>24</v>
      </c>
      <c r="F112" s="2" t="s">
        <v>28</v>
      </c>
      <c r="G112" s="8">
        <v>92.83</v>
      </c>
      <c r="H112" s="11">
        <v>0</v>
      </c>
      <c r="I112" s="8">
        <v>92.83</v>
      </c>
      <c r="J112" s="3">
        <v>45858</v>
      </c>
      <c r="K112" s="14">
        <v>9</v>
      </c>
      <c r="L112" s="17">
        <v>1.2</v>
      </c>
      <c r="M112" s="2" t="b">
        <v>0</v>
      </c>
      <c r="N112" s="2"/>
      <c r="O112" s="2" t="str">
        <f>IF(Table1[[#This Row],[is_returned]]=TRUE,IF(Table1[[#This Row],[return_reason]]="","Error","OK"),"OK")</f>
        <v>OK</v>
      </c>
      <c r="P112" s="8">
        <f>Table1[[#This Row],[original_price]]*Table1[[#This Row],[markdown_percentage]]/100</f>
        <v>0</v>
      </c>
      <c r="Q11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12" s="25">
        <f>Table1[[#This Row],[current_price]]*Table1[[#This Row],[stock_quantity]]</f>
        <v>835.47</v>
      </c>
    </row>
    <row r="113" spans="1:18" x14ac:dyDescent="0.25">
      <c r="A113" s="2" t="s">
        <v>166</v>
      </c>
      <c r="B113" s="2" t="s">
        <v>27</v>
      </c>
      <c r="C113" s="2" t="s">
        <v>32</v>
      </c>
      <c r="D113" s="2" t="s">
        <v>23</v>
      </c>
      <c r="E113" s="2"/>
      <c r="F113" s="2" t="s">
        <v>70</v>
      </c>
      <c r="G113" s="8">
        <v>34.450000000000003</v>
      </c>
      <c r="H113" s="11">
        <v>0</v>
      </c>
      <c r="I113" s="8">
        <v>34.450000000000003</v>
      </c>
      <c r="J113" s="3">
        <v>45875</v>
      </c>
      <c r="K113" s="14">
        <v>4</v>
      </c>
      <c r="L113" s="17">
        <v>4.5</v>
      </c>
      <c r="M113" s="2" t="b">
        <v>0</v>
      </c>
      <c r="N113" s="2"/>
      <c r="O113" s="2" t="str">
        <f>IF(Table1[[#This Row],[is_returned]]=TRUE,IF(Table1[[#This Row],[return_reason]]="","Error","OK"),"OK")</f>
        <v>OK</v>
      </c>
      <c r="P113" s="8">
        <f>Table1[[#This Row],[original_price]]*Table1[[#This Row],[markdown_percentage]]/100</f>
        <v>0</v>
      </c>
      <c r="Q11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13" s="25">
        <f>Table1[[#This Row],[current_price]]*Table1[[#This Row],[stock_quantity]]</f>
        <v>137.80000000000001</v>
      </c>
    </row>
    <row r="114" spans="1:18" x14ac:dyDescent="0.25">
      <c r="A114" s="2" t="s">
        <v>167</v>
      </c>
      <c r="B114" s="2" t="s">
        <v>42</v>
      </c>
      <c r="C114" s="2" t="s">
        <v>48</v>
      </c>
      <c r="D114" s="2" t="s">
        <v>34</v>
      </c>
      <c r="E114" s="2" t="s">
        <v>39</v>
      </c>
      <c r="F114" s="2" t="s">
        <v>66</v>
      </c>
      <c r="G114" s="8">
        <v>128.15</v>
      </c>
      <c r="H114" s="11">
        <v>50</v>
      </c>
      <c r="I114" s="8">
        <v>64.08</v>
      </c>
      <c r="J114" s="3">
        <v>45875</v>
      </c>
      <c r="K114" s="14">
        <v>28</v>
      </c>
      <c r="L114" s="17">
        <v>3.2</v>
      </c>
      <c r="M114" s="2" t="b">
        <v>0</v>
      </c>
      <c r="N114" s="2"/>
      <c r="O114" s="2" t="str">
        <f>IF(Table1[[#This Row],[is_returned]]=TRUE,IF(Table1[[#This Row],[return_reason]]="","Error","OK"),"OK")</f>
        <v>OK</v>
      </c>
      <c r="P114" s="8">
        <f>Table1[[#This Row],[original_price]]*Table1[[#This Row],[markdown_percentage]]/100</f>
        <v>64.075000000000003</v>
      </c>
      <c r="Q11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14" s="25">
        <f>Table1[[#This Row],[current_price]]*Table1[[#This Row],[stock_quantity]]</f>
        <v>1794.24</v>
      </c>
    </row>
    <row r="115" spans="1:18" x14ac:dyDescent="0.25">
      <c r="A115" s="2" t="s">
        <v>168</v>
      </c>
      <c r="B115" s="2" t="s">
        <v>21</v>
      </c>
      <c r="C115" s="2" t="s">
        <v>43</v>
      </c>
      <c r="D115" s="2" t="s">
        <v>62</v>
      </c>
      <c r="E115" s="2" t="s">
        <v>49</v>
      </c>
      <c r="F115" s="2" t="s">
        <v>19</v>
      </c>
      <c r="G115" s="8">
        <v>99.62</v>
      </c>
      <c r="H115" s="11">
        <v>33.799999999999997</v>
      </c>
      <c r="I115" s="8">
        <v>65.95</v>
      </c>
      <c r="J115" s="3">
        <v>45875</v>
      </c>
      <c r="K115" s="14">
        <v>27</v>
      </c>
      <c r="L115" s="17">
        <v>2.1</v>
      </c>
      <c r="M115" s="2" t="b">
        <v>0</v>
      </c>
      <c r="N115" s="2"/>
      <c r="O115" s="2" t="str">
        <f>IF(Table1[[#This Row],[is_returned]]=TRUE,IF(Table1[[#This Row],[return_reason]]="","Error","OK"),"OK")</f>
        <v>OK</v>
      </c>
      <c r="P115" s="8">
        <f>Table1[[#This Row],[original_price]]*Table1[[#This Row],[markdown_percentage]]/100</f>
        <v>33.671559999999999</v>
      </c>
      <c r="Q11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15" s="25">
        <f>Table1[[#This Row],[current_price]]*Table1[[#This Row],[stock_quantity]]</f>
        <v>1780.65</v>
      </c>
    </row>
    <row r="116" spans="1:18" x14ac:dyDescent="0.25">
      <c r="A116" s="2" t="s">
        <v>169</v>
      </c>
      <c r="B116" s="2" t="s">
        <v>38</v>
      </c>
      <c r="C116" s="2" t="s">
        <v>75</v>
      </c>
      <c r="D116" s="2" t="s">
        <v>23</v>
      </c>
      <c r="E116" s="2" t="s">
        <v>39</v>
      </c>
      <c r="F116" s="2" t="s">
        <v>25</v>
      </c>
      <c r="G116" s="8">
        <v>87.39</v>
      </c>
      <c r="H116" s="11">
        <v>25.5</v>
      </c>
      <c r="I116" s="8">
        <v>65.11</v>
      </c>
      <c r="J116" s="3">
        <v>45875</v>
      </c>
      <c r="K116" s="14">
        <v>8</v>
      </c>
      <c r="L116" s="17">
        <v>2.2999999999999998</v>
      </c>
      <c r="M116" s="2" t="b">
        <v>0</v>
      </c>
      <c r="N116" s="2"/>
      <c r="O116" s="2" t="str">
        <f>IF(Table1[[#This Row],[is_returned]]=TRUE,IF(Table1[[#This Row],[return_reason]]="","Error","OK"),"OK")</f>
        <v>OK</v>
      </c>
      <c r="P116" s="8">
        <f>Table1[[#This Row],[original_price]]*Table1[[#This Row],[markdown_percentage]]/100</f>
        <v>22.284450000000003</v>
      </c>
      <c r="Q11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16" s="25">
        <f>Table1[[#This Row],[current_price]]*Table1[[#This Row],[stock_quantity]]</f>
        <v>520.88</v>
      </c>
    </row>
    <row r="117" spans="1:18" x14ac:dyDescent="0.25">
      <c r="A117" s="2" t="s">
        <v>170</v>
      </c>
      <c r="B117" s="2" t="s">
        <v>21</v>
      </c>
      <c r="C117" s="2" t="s">
        <v>16</v>
      </c>
      <c r="D117" s="2" t="s">
        <v>17</v>
      </c>
      <c r="E117" s="2" t="s">
        <v>49</v>
      </c>
      <c r="F117" s="2" t="s">
        <v>70</v>
      </c>
      <c r="G117" s="8">
        <v>49.67</v>
      </c>
      <c r="H117" s="11">
        <v>0</v>
      </c>
      <c r="I117" s="8">
        <v>49.67</v>
      </c>
      <c r="J117" s="3">
        <v>45541</v>
      </c>
      <c r="K117" s="14">
        <v>37</v>
      </c>
      <c r="L117" s="17">
        <v>2.2999999999999998</v>
      </c>
      <c r="M117" s="2" t="b">
        <v>0</v>
      </c>
      <c r="N117" s="2"/>
      <c r="O117" s="2" t="str">
        <f>IF(Table1[[#This Row],[is_returned]]=TRUE,IF(Table1[[#This Row],[return_reason]]="","Error","OK"),"OK")</f>
        <v>OK</v>
      </c>
      <c r="P117" s="8">
        <f>Table1[[#This Row],[original_price]]*Table1[[#This Row],[markdown_percentage]]/100</f>
        <v>0</v>
      </c>
      <c r="Q11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17" s="25">
        <f>Table1[[#This Row],[current_price]]*Table1[[#This Row],[stock_quantity]]</f>
        <v>1837.79</v>
      </c>
    </row>
    <row r="118" spans="1:18" x14ac:dyDescent="0.25">
      <c r="A118" s="2" t="s">
        <v>171</v>
      </c>
      <c r="B118" s="2" t="s">
        <v>27</v>
      </c>
      <c r="C118" s="2" t="s">
        <v>22</v>
      </c>
      <c r="D118" s="2" t="s">
        <v>34</v>
      </c>
      <c r="E118" s="2"/>
      <c r="F118" s="2" t="s">
        <v>70</v>
      </c>
      <c r="G118" s="8">
        <v>72.040000000000006</v>
      </c>
      <c r="H118" s="11">
        <v>0</v>
      </c>
      <c r="I118" s="8">
        <v>72.040000000000006</v>
      </c>
      <c r="J118" s="3">
        <v>45875</v>
      </c>
      <c r="K118" s="14">
        <v>48</v>
      </c>
      <c r="L118" s="17"/>
      <c r="M118" s="2" t="b">
        <v>1</v>
      </c>
      <c r="N118" s="2" t="s">
        <v>125</v>
      </c>
      <c r="O118" s="2" t="str">
        <f>IF(Table1[[#This Row],[is_returned]]=TRUE,IF(Table1[[#This Row],[return_reason]]="","Error","OK"),"OK")</f>
        <v>OK</v>
      </c>
      <c r="P118" s="8">
        <f>Table1[[#This Row],[original_price]]*Table1[[#This Row],[markdown_percentage]]/100</f>
        <v>0</v>
      </c>
      <c r="Q11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18" s="25">
        <f>Table1[[#This Row],[current_price]]*Table1[[#This Row],[stock_quantity]]</f>
        <v>3457.92</v>
      </c>
    </row>
    <row r="119" spans="1:18" x14ac:dyDescent="0.25">
      <c r="A119" s="2" t="s">
        <v>172</v>
      </c>
      <c r="B119" s="2" t="s">
        <v>42</v>
      </c>
      <c r="C119" s="2" t="s">
        <v>16</v>
      </c>
      <c r="D119" s="2" t="s">
        <v>17</v>
      </c>
      <c r="E119" s="2" t="s">
        <v>58</v>
      </c>
      <c r="F119" s="2" t="s">
        <v>64</v>
      </c>
      <c r="G119" s="8">
        <v>133.82</v>
      </c>
      <c r="H119" s="11">
        <v>0</v>
      </c>
      <c r="I119" s="8">
        <v>133.82</v>
      </c>
      <c r="J119" s="3">
        <v>45621</v>
      </c>
      <c r="K119" s="14">
        <v>12</v>
      </c>
      <c r="L119" s="17">
        <v>1.7</v>
      </c>
      <c r="M119" s="2" t="b">
        <v>0</v>
      </c>
      <c r="N119" s="2"/>
      <c r="O119" s="2" t="str">
        <f>IF(Table1[[#This Row],[is_returned]]=TRUE,IF(Table1[[#This Row],[return_reason]]="","Error","OK"),"OK")</f>
        <v>OK</v>
      </c>
      <c r="P119" s="8">
        <f>Table1[[#This Row],[original_price]]*Table1[[#This Row],[markdown_percentage]]/100</f>
        <v>0</v>
      </c>
      <c r="Q11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19" s="25">
        <f>Table1[[#This Row],[current_price]]*Table1[[#This Row],[stock_quantity]]</f>
        <v>1605.84</v>
      </c>
    </row>
    <row r="120" spans="1:18" x14ac:dyDescent="0.25">
      <c r="A120" s="2" t="s">
        <v>173</v>
      </c>
      <c r="B120" s="2" t="s">
        <v>38</v>
      </c>
      <c r="C120" s="2" t="s">
        <v>22</v>
      </c>
      <c r="D120" s="2" t="s">
        <v>23</v>
      </c>
      <c r="E120" s="2" t="s">
        <v>39</v>
      </c>
      <c r="F120" s="2" t="s">
        <v>28</v>
      </c>
      <c r="G120" s="8">
        <v>62.93</v>
      </c>
      <c r="H120" s="11">
        <v>0</v>
      </c>
      <c r="I120" s="8">
        <v>62.93</v>
      </c>
      <c r="J120" s="3">
        <v>45875</v>
      </c>
      <c r="K120" s="14">
        <v>49</v>
      </c>
      <c r="L120" s="17"/>
      <c r="M120" s="2" t="b">
        <v>0</v>
      </c>
      <c r="N120" s="2"/>
      <c r="O120" s="2" t="str">
        <f>IF(Table1[[#This Row],[is_returned]]=TRUE,IF(Table1[[#This Row],[return_reason]]="","Error","OK"),"OK")</f>
        <v>OK</v>
      </c>
      <c r="P120" s="8">
        <f>Table1[[#This Row],[original_price]]*Table1[[#This Row],[markdown_percentage]]/100</f>
        <v>0</v>
      </c>
      <c r="Q12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20" s="25">
        <f>Table1[[#This Row],[current_price]]*Table1[[#This Row],[stock_quantity]]</f>
        <v>3083.57</v>
      </c>
    </row>
    <row r="121" spans="1:18" x14ac:dyDescent="0.25">
      <c r="A121" s="2" t="s">
        <v>174</v>
      </c>
      <c r="B121" s="2" t="s">
        <v>15</v>
      </c>
      <c r="C121" s="2" t="s">
        <v>16</v>
      </c>
      <c r="D121" s="2" t="s">
        <v>17</v>
      </c>
      <c r="E121" s="2" t="s">
        <v>24</v>
      </c>
      <c r="F121" s="2" t="s">
        <v>19</v>
      </c>
      <c r="G121" s="8">
        <v>248.58</v>
      </c>
      <c r="H121" s="11">
        <v>0</v>
      </c>
      <c r="I121" s="8">
        <v>248.58</v>
      </c>
      <c r="J121" s="3">
        <v>45842</v>
      </c>
      <c r="K121" s="14">
        <v>27</v>
      </c>
      <c r="L121" s="17">
        <v>1.5</v>
      </c>
      <c r="M121" s="2" t="b">
        <v>0</v>
      </c>
      <c r="N121" s="2"/>
      <c r="O121" s="2" t="str">
        <f>IF(Table1[[#This Row],[is_returned]]=TRUE,IF(Table1[[#This Row],[return_reason]]="","Error","OK"),"OK")</f>
        <v>OK</v>
      </c>
      <c r="P121" s="8">
        <f>Table1[[#This Row],[original_price]]*Table1[[#This Row],[markdown_percentage]]/100</f>
        <v>0</v>
      </c>
      <c r="Q12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21" s="25">
        <f>Table1[[#This Row],[current_price]]*Table1[[#This Row],[stock_quantity]]</f>
        <v>6711.6600000000008</v>
      </c>
    </row>
    <row r="122" spans="1:18" x14ac:dyDescent="0.25">
      <c r="A122" s="2" t="s">
        <v>175</v>
      </c>
      <c r="B122" s="2" t="s">
        <v>30</v>
      </c>
      <c r="C122" s="2" t="s">
        <v>22</v>
      </c>
      <c r="D122" s="2" t="s">
        <v>34</v>
      </c>
      <c r="E122" s="2" t="s">
        <v>49</v>
      </c>
      <c r="F122" s="2" t="s">
        <v>64</v>
      </c>
      <c r="G122" s="8">
        <v>61.08</v>
      </c>
      <c r="H122" s="11">
        <v>0</v>
      </c>
      <c r="I122" s="8">
        <v>61.08</v>
      </c>
      <c r="J122" s="3">
        <v>45875</v>
      </c>
      <c r="K122" s="14">
        <v>27</v>
      </c>
      <c r="L122" s="17"/>
      <c r="M122" s="2" t="b">
        <v>1</v>
      </c>
      <c r="N122" s="2" t="s">
        <v>115</v>
      </c>
      <c r="O122" s="2" t="str">
        <f>IF(Table1[[#This Row],[is_returned]]=TRUE,IF(Table1[[#This Row],[return_reason]]="","Error","OK"),"OK")</f>
        <v>OK</v>
      </c>
      <c r="P122" s="8">
        <f>Table1[[#This Row],[original_price]]*Table1[[#This Row],[markdown_percentage]]/100</f>
        <v>0</v>
      </c>
      <c r="Q12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22" s="25">
        <f>Table1[[#This Row],[current_price]]*Table1[[#This Row],[stock_quantity]]</f>
        <v>1649.1599999999999</v>
      </c>
    </row>
    <row r="123" spans="1:18" x14ac:dyDescent="0.25">
      <c r="A123" s="2" t="s">
        <v>176</v>
      </c>
      <c r="B123" s="2" t="s">
        <v>38</v>
      </c>
      <c r="C123" s="2" t="s">
        <v>61</v>
      </c>
      <c r="D123" s="2" t="s">
        <v>23</v>
      </c>
      <c r="E123" s="2" t="s">
        <v>39</v>
      </c>
      <c r="F123" s="2" t="s">
        <v>19</v>
      </c>
      <c r="G123" s="8">
        <v>109.12</v>
      </c>
      <c r="H123" s="11">
        <v>0</v>
      </c>
      <c r="I123" s="8">
        <v>109.12</v>
      </c>
      <c r="J123" s="3">
        <v>45875</v>
      </c>
      <c r="K123" s="14">
        <v>34</v>
      </c>
      <c r="L123" s="17"/>
      <c r="M123" s="2" t="b">
        <v>0</v>
      </c>
      <c r="N123" s="2"/>
      <c r="O123" s="2" t="str">
        <f>IF(Table1[[#This Row],[is_returned]]=TRUE,IF(Table1[[#This Row],[return_reason]]="","Error","OK"),"OK")</f>
        <v>OK</v>
      </c>
      <c r="P123" s="8">
        <f>Table1[[#This Row],[original_price]]*Table1[[#This Row],[markdown_percentage]]/100</f>
        <v>0</v>
      </c>
      <c r="Q12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23" s="25">
        <f>Table1[[#This Row],[current_price]]*Table1[[#This Row],[stock_quantity]]</f>
        <v>3710.08</v>
      </c>
    </row>
    <row r="124" spans="1:18" x14ac:dyDescent="0.25">
      <c r="A124" s="2" t="s">
        <v>177</v>
      </c>
      <c r="B124" s="2" t="s">
        <v>15</v>
      </c>
      <c r="C124" s="2" t="s">
        <v>16</v>
      </c>
      <c r="D124" s="2" t="s">
        <v>23</v>
      </c>
      <c r="E124" s="2" t="s">
        <v>49</v>
      </c>
      <c r="F124" s="2" t="s">
        <v>66</v>
      </c>
      <c r="G124" s="8">
        <v>82.91</v>
      </c>
      <c r="H124" s="11">
        <v>45.9</v>
      </c>
      <c r="I124" s="8">
        <v>44.85</v>
      </c>
      <c r="J124" s="3">
        <v>45875</v>
      </c>
      <c r="K124" s="14">
        <v>24</v>
      </c>
      <c r="L124" s="17"/>
      <c r="M124" s="2" t="b">
        <v>1</v>
      </c>
      <c r="N124" s="2" t="s">
        <v>83</v>
      </c>
      <c r="O124" s="2" t="str">
        <f>IF(Table1[[#This Row],[is_returned]]=TRUE,IF(Table1[[#This Row],[return_reason]]="","Error","OK"),"OK")</f>
        <v>OK</v>
      </c>
      <c r="P124" s="8">
        <f>Table1[[#This Row],[original_price]]*Table1[[#This Row],[markdown_percentage]]/100</f>
        <v>38.055689999999998</v>
      </c>
      <c r="Q12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24" s="25">
        <f>Table1[[#This Row],[current_price]]*Table1[[#This Row],[stock_quantity]]</f>
        <v>1076.4000000000001</v>
      </c>
    </row>
    <row r="125" spans="1:18" x14ac:dyDescent="0.25">
      <c r="A125" s="2" t="s">
        <v>178</v>
      </c>
      <c r="B125" s="2" t="s">
        <v>30</v>
      </c>
      <c r="C125" s="2" t="s">
        <v>48</v>
      </c>
      <c r="D125" s="2" t="s">
        <v>62</v>
      </c>
      <c r="E125" s="2" t="s">
        <v>55</v>
      </c>
      <c r="F125" s="2" t="s">
        <v>66</v>
      </c>
      <c r="G125" s="8">
        <v>113.53</v>
      </c>
      <c r="H125" s="11">
        <v>10.9</v>
      </c>
      <c r="I125" s="8">
        <v>101.16</v>
      </c>
      <c r="J125" s="3">
        <v>45875</v>
      </c>
      <c r="K125" s="14">
        <v>40</v>
      </c>
      <c r="L125" s="17">
        <v>2.8</v>
      </c>
      <c r="M125" s="2" t="b">
        <v>0</v>
      </c>
      <c r="N125" s="2"/>
      <c r="O125" s="2" t="str">
        <f>IF(Table1[[#This Row],[is_returned]]=TRUE,IF(Table1[[#This Row],[return_reason]]="","Error","OK"),"OK")</f>
        <v>OK</v>
      </c>
      <c r="P125" s="8">
        <f>Table1[[#This Row],[original_price]]*Table1[[#This Row],[markdown_percentage]]/100</f>
        <v>12.374770000000002</v>
      </c>
      <c r="Q12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25" s="25">
        <f>Table1[[#This Row],[current_price]]*Table1[[#This Row],[stock_quantity]]</f>
        <v>4046.3999999999996</v>
      </c>
    </row>
    <row r="126" spans="1:18" x14ac:dyDescent="0.25">
      <c r="A126" s="2" t="s">
        <v>179</v>
      </c>
      <c r="B126" s="2" t="s">
        <v>27</v>
      </c>
      <c r="C126" s="2" t="s">
        <v>22</v>
      </c>
      <c r="D126" s="2" t="s">
        <v>23</v>
      </c>
      <c r="E126" s="2"/>
      <c r="F126" s="2" t="s">
        <v>70</v>
      </c>
      <c r="G126" s="8">
        <v>38.89</v>
      </c>
      <c r="H126" s="11">
        <v>51.5</v>
      </c>
      <c r="I126" s="8">
        <v>18.86</v>
      </c>
      <c r="J126" s="3">
        <v>45875</v>
      </c>
      <c r="K126" s="14">
        <v>28</v>
      </c>
      <c r="L126" s="17">
        <v>4.3</v>
      </c>
      <c r="M126" s="2" t="b">
        <v>0</v>
      </c>
      <c r="N126" s="2"/>
      <c r="O126" s="2" t="str">
        <f>IF(Table1[[#This Row],[is_returned]]=TRUE,IF(Table1[[#This Row],[return_reason]]="","Error","OK"),"OK")</f>
        <v>OK</v>
      </c>
      <c r="P126" s="8">
        <f>Table1[[#This Row],[original_price]]*Table1[[#This Row],[markdown_percentage]]/100</f>
        <v>20.02835</v>
      </c>
      <c r="Q12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26" s="25">
        <f>Table1[[#This Row],[current_price]]*Table1[[#This Row],[stock_quantity]]</f>
        <v>528.07999999999993</v>
      </c>
    </row>
    <row r="127" spans="1:18" x14ac:dyDescent="0.25">
      <c r="A127" s="2" t="s">
        <v>180</v>
      </c>
      <c r="B127" s="2" t="s">
        <v>42</v>
      </c>
      <c r="C127" s="2" t="s">
        <v>61</v>
      </c>
      <c r="D127" s="2" t="s">
        <v>17</v>
      </c>
      <c r="E127" s="2" t="s">
        <v>49</v>
      </c>
      <c r="F127" s="2" t="s">
        <v>28</v>
      </c>
      <c r="G127" s="8">
        <v>53.01</v>
      </c>
      <c r="H127" s="11">
        <v>45.9</v>
      </c>
      <c r="I127" s="8">
        <v>28.68</v>
      </c>
      <c r="J127" s="3">
        <v>45671</v>
      </c>
      <c r="K127" s="14">
        <v>37</v>
      </c>
      <c r="L127" s="17">
        <v>3.7</v>
      </c>
      <c r="M127" s="2" t="b">
        <v>0</v>
      </c>
      <c r="N127" s="2"/>
      <c r="O127" s="2" t="str">
        <f>IF(Table1[[#This Row],[is_returned]]=TRUE,IF(Table1[[#This Row],[return_reason]]="","Error","OK"),"OK")</f>
        <v>OK</v>
      </c>
      <c r="P127" s="8">
        <f>Table1[[#This Row],[original_price]]*Table1[[#This Row],[markdown_percentage]]/100</f>
        <v>24.331589999999995</v>
      </c>
      <c r="Q12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27" s="25">
        <f>Table1[[#This Row],[current_price]]*Table1[[#This Row],[stock_quantity]]</f>
        <v>1061.1600000000001</v>
      </c>
    </row>
    <row r="128" spans="1:18" x14ac:dyDescent="0.25">
      <c r="A128" s="2" t="s">
        <v>181</v>
      </c>
      <c r="B128" s="2" t="s">
        <v>30</v>
      </c>
      <c r="C128" s="2" t="s">
        <v>53</v>
      </c>
      <c r="D128" s="2" t="s">
        <v>17</v>
      </c>
      <c r="E128" s="2" t="s">
        <v>49</v>
      </c>
      <c r="F128" s="2" t="s">
        <v>44</v>
      </c>
      <c r="G128" s="8">
        <v>81.64</v>
      </c>
      <c r="H128" s="11">
        <v>0</v>
      </c>
      <c r="I128" s="8">
        <v>81.64</v>
      </c>
      <c r="J128" s="3">
        <v>45632</v>
      </c>
      <c r="K128" s="14">
        <v>50</v>
      </c>
      <c r="L128" s="17">
        <v>1.1000000000000001</v>
      </c>
      <c r="M128" s="2" t="b">
        <v>0</v>
      </c>
      <c r="N128" s="2"/>
      <c r="O128" s="2" t="str">
        <f>IF(Table1[[#This Row],[is_returned]]=TRUE,IF(Table1[[#This Row],[return_reason]]="","Error","OK"),"OK")</f>
        <v>OK</v>
      </c>
      <c r="P128" s="8">
        <f>Table1[[#This Row],[original_price]]*Table1[[#This Row],[markdown_percentage]]/100</f>
        <v>0</v>
      </c>
      <c r="Q12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28" s="25">
        <f>Table1[[#This Row],[current_price]]*Table1[[#This Row],[stock_quantity]]</f>
        <v>4082</v>
      </c>
    </row>
    <row r="129" spans="1:18" x14ac:dyDescent="0.25">
      <c r="A129" s="2" t="s">
        <v>182</v>
      </c>
      <c r="B129" s="2" t="s">
        <v>30</v>
      </c>
      <c r="C129" s="2" t="s">
        <v>53</v>
      </c>
      <c r="D129" s="2" t="s">
        <v>17</v>
      </c>
      <c r="E129" s="2" t="s">
        <v>49</v>
      </c>
      <c r="F129" s="2" t="s">
        <v>35</v>
      </c>
      <c r="G129" s="8">
        <v>125.24</v>
      </c>
      <c r="H129" s="11">
        <v>21.5</v>
      </c>
      <c r="I129" s="8">
        <v>98.31</v>
      </c>
      <c r="J129" s="3">
        <v>45541</v>
      </c>
      <c r="K129" s="14">
        <v>7</v>
      </c>
      <c r="L129" s="17">
        <v>2.9</v>
      </c>
      <c r="M129" s="2" t="b">
        <v>0</v>
      </c>
      <c r="N129" s="2"/>
      <c r="O129" s="2" t="str">
        <f>IF(Table1[[#This Row],[is_returned]]=TRUE,IF(Table1[[#This Row],[return_reason]]="","Error","OK"),"OK")</f>
        <v>OK</v>
      </c>
      <c r="P129" s="8">
        <f>Table1[[#This Row],[original_price]]*Table1[[#This Row],[markdown_percentage]]/100</f>
        <v>26.926599999999997</v>
      </c>
      <c r="Q12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29" s="25">
        <f>Table1[[#This Row],[current_price]]*Table1[[#This Row],[stock_quantity]]</f>
        <v>688.17000000000007</v>
      </c>
    </row>
    <row r="130" spans="1:18" x14ac:dyDescent="0.25">
      <c r="A130" s="2" t="s">
        <v>183</v>
      </c>
      <c r="B130" s="2" t="s">
        <v>15</v>
      </c>
      <c r="C130" s="2" t="s">
        <v>53</v>
      </c>
      <c r="D130" s="2" t="s">
        <v>17</v>
      </c>
      <c r="E130" s="2" t="s">
        <v>55</v>
      </c>
      <c r="F130" s="2" t="s">
        <v>25</v>
      </c>
      <c r="G130" s="8">
        <v>98.61</v>
      </c>
      <c r="H130" s="11">
        <v>0</v>
      </c>
      <c r="I130" s="8">
        <v>98.61</v>
      </c>
      <c r="J130" s="3">
        <v>45721</v>
      </c>
      <c r="K130" s="14">
        <v>1</v>
      </c>
      <c r="L130" s="17">
        <v>2.6</v>
      </c>
      <c r="M130" s="2" t="b">
        <v>0</v>
      </c>
      <c r="N130" s="2"/>
      <c r="O130" s="2" t="str">
        <f>IF(Table1[[#This Row],[is_returned]]=TRUE,IF(Table1[[#This Row],[return_reason]]="","Error","OK"),"OK")</f>
        <v>OK</v>
      </c>
      <c r="P130" s="8">
        <f>Table1[[#This Row],[original_price]]*Table1[[#This Row],[markdown_percentage]]/100</f>
        <v>0</v>
      </c>
      <c r="Q13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30" s="25">
        <f>Table1[[#This Row],[current_price]]*Table1[[#This Row],[stock_quantity]]</f>
        <v>98.61</v>
      </c>
    </row>
    <row r="131" spans="1:18" x14ac:dyDescent="0.25">
      <c r="A131" s="2" t="s">
        <v>184</v>
      </c>
      <c r="B131" s="2" t="s">
        <v>30</v>
      </c>
      <c r="C131" s="2" t="s">
        <v>61</v>
      </c>
      <c r="D131" s="2" t="s">
        <v>34</v>
      </c>
      <c r="E131" s="2" t="s">
        <v>55</v>
      </c>
      <c r="F131" s="2" t="s">
        <v>44</v>
      </c>
      <c r="G131" s="8">
        <v>77.540000000000006</v>
      </c>
      <c r="H131" s="11">
        <v>0</v>
      </c>
      <c r="I131" s="8">
        <v>77.540000000000006</v>
      </c>
      <c r="J131" s="3">
        <v>45875</v>
      </c>
      <c r="K131" s="14">
        <v>36</v>
      </c>
      <c r="L131" s="17">
        <v>3.4</v>
      </c>
      <c r="M131" s="2" t="b">
        <v>0</v>
      </c>
      <c r="N131" s="2"/>
      <c r="O131" s="2" t="str">
        <f>IF(Table1[[#This Row],[is_returned]]=TRUE,IF(Table1[[#This Row],[return_reason]]="","Error","OK"),"OK")</f>
        <v>OK</v>
      </c>
      <c r="P131" s="8">
        <f>Table1[[#This Row],[original_price]]*Table1[[#This Row],[markdown_percentage]]/100</f>
        <v>0</v>
      </c>
      <c r="Q13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31" s="25">
        <f>Table1[[#This Row],[current_price]]*Table1[[#This Row],[stock_quantity]]</f>
        <v>2791.44</v>
      </c>
    </row>
    <row r="132" spans="1:18" x14ac:dyDescent="0.25">
      <c r="A132" s="2" t="s">
        <v>185</v>
      </c>
      <c r="B132" s="2" t="s">
        <v>42</v>
      </c>
      <c r="C132" s="2" t="s">
        <v>32</v>
      </c>
      <c r="D132" s="2" t="s">
        <v>17</v>
      </c>
      <c r="E132" s="2" t="s">
        <v>18</v>
      </c>
      <c r="F132" s="2" t="s">
        <v>66</v>
      </c>
      <c r="G132" s="8">
        <v>79.13</v>
      </c>
      <c r="H132" s="11">
        <v>0</v>
      </c>
      <c r="I132" s="8">
        <v>79.13</v>
      </c>
      <c r="J132" s="3">
        <v>45612</v>
      </c>
      <c r="K132" s="14">
        <v>11</v>
      </c>
      <c r="L132" s="17">
        <v>3.6</v>
      </c>
      <c r="M132" s="2" t="b">
        <v>0</v>
      </c>
      <c r="N132" s="2"/>
      <c r="O132" s="2" t="str">
        <f>IF(Table1[[#This Row],[is_returned]]=TRUE,IF(Table1[[#This Row],[return_reason]]="","Error","OK"),"OK")</f>
        <v>OK</v>
      </c>
      <c r="P132" s="8">
        <f>Table1[[#This Row],[original_price]]*Table1[[#This Row],[markdown_percentage]]/100</f>
        <v>0</v>
      </c>
      <c r="Q13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32" s="25">
        <f>Table1[[#This Row],[current_price]]*Table1[[#This Row],[stock_quantity]]</f>
        <v>870.43</v>
      </c>
    </row>
    <row r="133" spans="1:18" x14ac:dyDescent="0.25">
      <c r="A133" s="2" t="s">
        <v>186</v>
      </c>
      <c r="B133" s="2" t="s">
        <v>38</v>
      </c>
      <c r="C133" s="2" t="s">
        <v>43</v>
      </c>
      <c r="D133" s="2" t="s">
        <v>17</v>
      </c>
      <c r="E133" s="2" t="s">
        <v>39</v>
      </c>
      <c r="F133" s="2" t="s">
        <v>46</v>
      </c>
      <c r="G133" s="8">
        <v>96.11</v>
      </c>
      <c r="H133" s="11">
        <v>0</v>
      </c>
      <c r="I133" s="8">
        <v>96.11</v>
      </c>
      <c r="J133" s="3">
        <v>45759</v>
      </c>
      <c r="K133" s="14">
        <v>13</v>
      </c>
      <c r="L133" s="17">
        <v>4.2</v>
      </c>
      <c r="M133" s="2" t="b">
        <v>0</v>
      </c>
      <c r="N133" s="2"/>
      <c r="O133" s="2" t="str">
        <f>IF(Table1[[#This Row],[is_returned]]=TRUE,IF(Table1[[#This Row],[return_reason]]="","Error","OK"),"OK")</f>
        <v>OK</v>
      </c>
      <c r="P133" s="8">
        <f>Table1[[#This Row],[original_price]]*Table1[[#This Row],[markdown_percentage]]/100</f>
        <v>0</v>
      </c>
      <c r="Q13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33" s="25">
        <f>Table1[[#This Row],[current_price]]*Table1[[#This Row],[stock_quantity]]</f>
        <v>1249.43</v>
      </c>
    </row>
    <row r="134" spans="1:18" x14ac:dyDescent="0.25">
      <c r="A134" s="2" t="s">
        <v>187</v>
      </c>
      <c r="B134" s="2" t="s">
        <v>21</v>
      </c>
      <c r="C134" s="2" t="s">
        <v>43</v>
      </c>
      <c r="D134" s="2" t="s">
        <v>17</v>
      </c>
      <c r="E134" s="2" t="s">
        <v>18</v>
      </c>
      <c r="F134" s="2" t="s">
        <v>35</v>
      </c>
      <c r="G134" s="8">
        <v>116.61</v>
      </c>
      <c r="H134" s="11">
        <v>0</v>
      </c>
      <c r="I134" s="8">
        <v>116.61</v>
      </c>
      <c r="J134" s="3">
        <v>45600</v>
      </c>
      <c r="K134" s="14">
        <v>31</v>
      </c>
      <c r="L134" s="17"/>
      <c r="M134" s="2" t="b">
        <v>0</v>
      </c>
      <c r="N134" s="2"/>
      <c r="O134" s="2" t="str">
        <f>IF(Table1[[#This Row],[is_returned]]=TRUE,IF(Table1[[#This Row],[return_reason]]="","Error","OK"),"OK")</f>
        <v>OK</v>
      </c>
      <c r="P134" s="8">
        <f>Table1[[#This Row],[original_price]]*Table1[[#This Row],[markdown_percentage]]/100</f>
        <v>0</v>
      </c>
      <c r="Q13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34" s="25">
        <f>Table1[[#This Row],[current_price]]*Table1[[#This Row],[stock_quantity]]</f>
        <v>3614.91</v>
      </c>
    </row>
    <row r="135" spans="1:18" x14ac:dyDescent="0.25">
      <c r="A135" s="2" t="s">
        <v>188</v>
      </c>
      <c r="B135" s="2" t="s">
        <v>27</v>
      </c>
      <c r="C135" s="2" t="s">
        <v>53</v>
      </c>
      <c r="D135" s="2" t="s">
        <v>23</v>
      </c>
      <c r="E135" s="2"/>
      <c r="F135" s="2" t="s">
        <v>44</v>
      </c>
      <c r="G135" s="8">
        <v>57.8</v>
      </c>
      <c r="H135" s="11">
        <v>27</v>
      </c>
      <c r="I135" s="8">
        <v>42.19</v>
      </c>
      <c r="J135" s="3">
        <v>45875</v>
      </c>
      <c r="K135" s="14">
        <v>9</v>
      </c>
      <c r="L135" s="17">
        <v>1.8</v>
      </c>
      <c r="M135" s="2" t="b">
        <v>0</v>
      </c>
      <c r="N135" s="2"/>
      <c r="O135" s="2" t="str">
        <f>IF(Table1[[#This Row],[is_returned]]=TRUE,IF(Table1[[#This Row],[return_reason]]="","Error","OK"),"OK")</f>
        <v>OK</v>
      </c>
      <c r="P135" s="8">
        <f>Table1[[#This Row],[original_price]]*Table1[[#This Row],[markdown_percentage]]/100</f>
        <v>15.606</v>
      </c>
      <c r="Q13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35" s="25">
        <f>Table1[[#This Row],[current_price]]*Table1[[#This Row],[stock_quantity]]</f>
        <v>379.71</v>
      </c>
    </row>
    <row r="136" spans="1:18" x14ac:dyDescent="0.25">
      <c r="A136" s="2" t="s">
        <v>189</v>
      </c>
      <c r="B136" s="2" t="s">
        <v>21</v>
      </c>
      <c r="C136" s="2" t="s">
        <v>48</v>
      </c>
      <c r="D136" s="2" t="s">
        <v>17</v>
      </c>
      <c r="E136" s="2" t="s">
        <v>39</v>
      </c>
      <c r="F136" s="2" t="s">
        <v>35</v>
      </c>
      <c r="G136" s="8">
        <v>110.78</v>
      </c>
      <c r="H136" s="11">
        <v>0</v>
      </c>
      <c r="I136" s="8">
        <v>110.78</v>
      </c>
      <c r="J136" s="3">
        <v>45670</v>
      </c>
      <c r="K136" s="14">
        <v>9</v>
      </c>
      <c r="L136" s="17">
        <v>1.4</v>
      </c>
      <c r="M136" s="2" t="b">
        <v>0</v>
      </c>
      <c r="N136" s="2"/>
      <c r="O136" s="2" t="str">
        <f>IF(Table1[[#This Row],[is_returned]]=TRUE,IF(Table1[[#This Row],[return_reason]]="","Error","OK"),"OK")</f>
        <v>OK</v>
      </c>
      <c r="P136" s="8">
        <f>Table1[[#This Row],[original_price]]*Table1[[#This Row],[markdown_percentage]]/100</f>
        <v>0</v>
      </c>
      <c r="Q13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36" s="25">
        <f>Table1[[#This Row],[current_price]]*Table1[[#This Row],[stock_quantity]]</f>
        <v>997.02</v>
      </c>
    </row>
    <row r="137" spans="1:18" x14ac:dyDescent="0.25">
      <c r="A137" s="2" t="s">
        <v>190</v>
      </c>
      <c r="B137" s="2" t="s">
        <v>21</v>
      </c>
      <c r="C137" s="2" t="s">
        <v>61</v>
      </c>
      <c r="D137" s="2" t="s">
        <v>17</v>
      </c>
      <c r="E137" s="2" t="s">
        <v>24</v>
      </c>
      <c r="F137" s="2" t="s">
        <v>28</v>
      </c>
      <c r="G137" s="8">
        <v>112.63</v>
      </c>
      <c r="H137" s="11">
        <v>0</v>
      </c>
      <c r="I137" s="8">
        <v>112.63</v>
      </c>
      <c r="J137" s="3">
        <v>45579</v>
      </c>
      <c r="K137" s="14">
        <v>50</v>
      </c>
      <c r="L137" s="17">
        <v>3.6</v>
      </c>
      <c r="M137" s="2" t="b">
        <v>1</v>
      </c>
      <c r="N137" s="2" t="s">
        <v>83</v>
      </c>
      <c r="O137" s="2" t="str">
        <f>IF(Table1[[#This Row],[is_returned]]=TRUE,IF(Table1[[#This Row],[return_reason]]="","Error","OK"),"OK")</f>
        <v>OK</v>
      </c>
      <c r="P137" s="8">
        <f>Table1[[#This Row],[original_price]]*Table1[[#This Row],[markdown_percentage]]/100</f>
        <v>0</v>
      </c>
      <c r="Q13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37" s="25">
        <f>Table1[[#This Row],[current_price]]*Table1[[#This Row],[stock_quantity]]</f>
        <v>5631.5</v>
      </c>
    </row>
    <row r="138" spans="1:18" x14ac:dyDescent="0.25">
      <c r="A138" s="2" t="s">
        <v>191</v>
      </c>
      <c r="B138" s="2" t="s">
        <v>21</v>
      </c>
      <c r="C138" s="2" t="s">
        <v>48</v>
      </c>
      <c r="D138" s="2" t="s">
        <v>62</v>
      </c>
      <c r="E138" s="2" t="s">
        <v>55</v>
      </c>
      <c r="F138" s="2" t="s">
        <v>66</v>
      </c>
      <c r="G138" s="8">
        <v>89.36</v>
      </c>
      <c r="H138" s="11">
        <v>0</v>
      </c>
      <c r="I138" s="8">
        <v>89.36</v>
      </c>
      <c r="J138" s="3">
        <v>45875</v>
      </c>
      <c r="K138" s="14">
        <v>24</v>
      </c>
      <c r="L138" s="17">
        <v>4.3</v>
      </c>
      <c r="M138" s="2" t="b">
        <v>1</v>
      </c>
      <c r="N138" s="2" t="s">
        <v>78</v>
      </c>
      <c r="O138" s="2" t="str">
        <f>IF(Table1[[#This Row],[is_returned]]=TRUE,IF(Table1[[#This Row],[return_reason]]="","Error","OK"),"OK")</f>
        <v>OK</v>
      </c>
      <c r="P138" s="8">
        <f>Table1[[#This Row],[original_price]]*Table1[[#This Row],[markdown_percentage]]/100</f>
        <v>0</v>
      </c>
      <c r="Q13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38" s="25">
        <f>Table1[[#This Row],[current_price]]*Table1[[#This Row],[stock_quantity]]</f>
        <v>2144.64</v>
      </c>
    </row>
    <row r="139" spans="1:18" x14ac:dyDescent="0.25">
      <c r="A139" s="2" t="s">
        <v>192</v>
      </c>
      <c r="B139" s="2" t="s">
        <v>15</v>
      </c>
      <c r="C139" s="2" t="s">
        <v>75</v>
      </c>
      <c r="D139" s="2" t="s">
        <v>34</v>
      </c>
      <c r="E139" s="2" t="s">
        <v>58</v>
      </c>
      <c r="F139" s="2" t="s">
        <v>25</v>
      </c>
      <c r="G139" s="8">
        <v>127.99</v>
      </c>
      <c r="H139" s="11">
        <v>0</v>
      </c>
      <c r="I139" s="8">
        <v>127.99</v>
      </c>
      <c r="J139" s="3">
        <v>45875</v>
      </c>
      <c r="K139" s="14">
        <v>16</v>
      </c>
      <c r="L139" s="17"/>
      <c r="M139" s="2" t="b">
        <v>0</v>
      </c>
      <c r="N139" s="2"/>
      <c r="O139" s="2" t="str">
        <f>IF(Table1[[#This Row],[is_returned]]=TRUE,IF(Table1[[#This Row],[return_reason]]="","Error","OK"),"OK")</f>
        <v>OK</v>
      </c>
      <c r="P139" s="8">
        <f>Table1[[#This Row],[original_price]]*Table1[[#This Row],[markdown_percentage]]/100</f>
        <v>0</v>
      </c>
      <c r="Q13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39" s="25">
        <f>Table1[[#This Row],[current_price]]*Table1[[#This Row],[stock_quantity]]</f>
        <v>2047.84</v>
      </c>
    </row>
    <row r="140" spans="1:18" x14ac:dyDescent="0.25">
      <c r="A140" s="2" t="s">
        <v>193</v>
      </c>
      <c r="B140" s="2" t="s">
        <v>38</v>
      </c>
      <c r="C140" s="2" t="s">
        <v>16</v>
      </c>
      <c r="D140" s="2" t="s">
        <v>23</v>
      </c>
      <c r="E140" s="2" t="s">
        <v>49</v>
      </c>
      <c r="F140" s="2" t="s">
        <v>56</v>
      </c>
      <c r="G140" s="8">
        <v>54.88</v>
      </c>
      <c r="H140" s="11">
        <v>58.8</v>
      </c>
      <c r="I140" s="8">
        <v>22.61</v>
      </c>
      <c r="J140" s="3">
        <v>45875</v>
      </c>
      <c r="K140" s="14">
        <v>50</v>
      </c>
      <c r="L140" s="17">
        <v>3.5</v>
      </c>
      <c r="M140" s="2" t="b">
        <v>0</v>
      </c>
      <c r="N140" s="2"/>
      <c r="O140" s="2" t="str">
        <f>IF(Table1[[#This Row],[is_returned]]=TRUE,IF(Table1[[#This Row],[return_reason]]="","Error","OK"),"OK")</f>
        <v>OK</v>
      </c>
      <c r="P140" s="8">
        <f>Table1[[#This Row],[original_price]]*Table1[[#This Row],[markdown_percentage]]/100</f>
        <v>32.269440000000003</v>
      </c>
      <c r="Q14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40" s="25">
        <f>Table1[[#This Row],[current_price]]*Table1[[#This Row],[stock_quantity]]</f>
        <v>1130.5</v>
      </c>
    </row>
    <row r="141" spans="1:18" x14ac:dyDescent="0.25">
      <c r="A141" s="2" t="s">
        <v>194</v>
      </c>
      <c r="B141" s="2" t="s">
        <v>30</v>
      </c>
      <c r="C141" s="2" t="s">
        <v>22</v>
      </c>
      <c r="D141" s="2" t="s">
        <v>17</v>
      </c>
      <c r="E141" s="2" t="s">
        <v>24</v>
      </c>
      <c r="F141" s="2" t="s">
        <v>35</v>
      </c>
      <c r="G141" s="8">
        <v>154.13</v>
      </c>
      <c r="H141" s="11">
        <v>0</v>
      </c>
      <c r="I141" s="8">
        <v>154.13</v>
      </c>
      <c r="J141" s="3">
        <v>45566</v>
      </c>
      <c r="K141" s="14">
        <v>31</v>
      </c>
      <c r="L141" s="17">
        <v>4.0999999999999996</v>
      </c>
      <c r="M141" s="2" t="b">
        <v>1</v>
      </c>
      <c r="N141" s="2" t="s">
        <v>73</v>
      </c>
      <c r="O141" s="2" t="str">
        <f>IF(Table1[[#This Row],[is_returned]]=TRUE,IF(Table1[[#This Row],[return_reason]]="","Error","OK"),"OK")</f>
        <v>OK</v>
      </c>
      <c r="P141" s="8">
        <f>Table1[[#This Row],[original_price]]*Table1[[#This Row],[markdown_percentage]]/100</f>
        <v>0</v>
      </c>
      <c r="Q14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41" s="25">
        <f>Table1[[#This Row],[current_price]]*Table1[[#This Row],[stock_quantity]]</f>
        <v>4778.03</v>
      </c>
    </row>
    <row r="142" spans="1:18" x14ac:dyDescent="0.25">
      <c r="A142" s="2" t="s">
        <v>195</v>
      </c>
      <c r="B142" s="2" t="s">
        <v>42</v>
      </c>
      <c r="C142" s="2" t="s">
        <v>53</v>
      </c>
      <c r="D142" s="2" t="s">
        <v>17</v>
      </c>
      <c r="E142" s="2" t="s">
        <v>55</v>
      </c>
      <c r="F142" s="2" t="s">
        <v>40</v>
      </c>
      <c r="G142" s="8">
        <v>131.5</v>
      </c>
      <c r="H142" s="11">
        <v>0</v>
      </c>
      <c r="I142" s="8">
        <v>131.5</v>
      </c>
      <c r="J142" s="3">
        <v>45599</v>
      </c>
      <c r="K142" s="14">
        <v>5</v>
      </c>
      <c r="L142" s="17"/>
      <c r="M142" s="2" t="b">
        <v>0</v>
      </c>
      <c r="N142" s="2"/>
      <c r="O142" s="2" t="str">
        <f>IF(Table1[[#This Row],[is_returned]]=TRUE,IF(Table1[[#This Row],[return_reason]]="","Error","OK"),"OK")</f>
        <v>OK</v>
      </c>
      <c r="P142" s="8">
        <f>Table1[[#This Row],[original_price]]*Table1[[#This Row],[markdown_percentage]]/100</f>
        <v>0</v>
      </c>
      <c r="Q14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42" s="25">
        <f>Table1[[#This Row],[current_price]]*Table1[[#This Row],[stock_quantity]]</f>
        <v>657.5</v>
      </c>
    </row>
    <row r="143" spans="1:18" x14ac:dyDescent="0.25">
      <c r="A143" s="2" t="s">
        <v>196</v>
      </c>
      <c r="B143" s="2" t="s">
        <v>15</v>
      </c>
      <c r="C143" s="2" t="s">
        <v>61</v>
      </c>
      <c r="D143" s="2" t="s">
        <v>62</v>
      </c>
      <c r="E143" s="2" t="s">
        <v>58</v>
      </c>
      <c r="F143" s="2" t="s">
        <v>44</v>
      </c>
      <c r="G143" s="8">
        <v>133.26</v>
      </c>
      <c r="H143" s="11">
        <v>0</v>
      </c>
      <c r="I143" s="8">
        <v>133.26</v>
      </c>
      <c r="J143" s="3">
        <v>45875</v>
      </c>
      <c r="K143" s="14">
        <v>29</v>
      </c>
      <c r="L143" s="17">
        <v>1.3</v>
      </c>
      <c r="M143" s="2" t="b">
        <v>0</v>
      </c>
      <c r="N143" s="2"/>
      <c r="O143" s="2" t="str">
        <f>IF(Table1[[#This Row],[is_returned]]=TRUE,IF(Table1[[#This Row],[return_reason]]="","Error","OK"),"OK")</f>
        <v>OK</v>
      </c>
      <c r="P143" s="8">
        <f>Table1[[#This Row],[original_price]]*Table1[[#This Row],[markdown_percentage]]/100</f>
        <v>0</v>
      </c>
      <c r="Q14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43" s="25">
        <f>Table1[[#This Row],[current_price]]*Table1[[#This Row],[stock_quantity]]</f>
        <v>3864.54</v>
      </c>
    </row>
    <row r="144" spans="1:18" x14ac:dyDescent="0.25">
      <c r="A144" s="2" t="s">
        <v>197</v>
      </c>
      <c r="B144" s="2" t="s">
        <v>30</v>
      </c>
      <c r="C144" s="2" t="s">
        <v>75</v>
      </c>
      <c r="D144" s="2" t="s">
        <v>23</v>
      </c>
      <c r="E144" s="2" t="s">
        <v>18</v>
      </c>
      <c r="F144" s="2" t="s">
        <v>19</v>
      </c>
      <c r="G144" s="8">
        <v>173.91</v>
      </c>
      <c r="H144" s="11">
        <v>0</v>
      </c>
      <c r="I144" s="8">
        <v>173.91</v>
      </c>
      <c r="J144" s="3">
        <v>45875</v>
      </c>
      <c r="K144" s="14">
        <v>21</v>
      </c>
      <c r="L144" s="17"/>
      <c r="M144" s="2" t="b">
        <v>0</v>
      </c>
      <c r="N144" s="2"/>
      <c r="O144" s="2" t="str">
        <f>IF(Table1[[#This Row],[is_returned]]=TRUE,IF(Table1[[#This Row],[return_reason]]="","Error","OK"),"OK")</f>
        <v>OK</v>
      </c>
      <c r="P144" s="8">
        <f>Table1[[#This Row],[original_price]]*Table1[[#This Row],[markdown_percentage]]/100</f>
        <v>0</v>
      </c>
      <c r="Q14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44" s="25">
        <f>Table1[[#This Row],[current_price]]*Table1[[#This Row],[stock_quantity]]</f>
        <v>3652.11</v>
      </c>
    </row>
    <row r="145" spans="1:18" x14ac:dyDescent="0.25">
      <c r="A145" s="2" t="s">
        <v>198</v>
      </c>
      <c r="B145" s="2" t="s">
        <v>21</v>
      </c>
      <c r="C145" s="2" t="s">
        <v>48</v>
      </c>
      <c r="D145" s="2" t="s">
        <v>17</v>
      </c>
      <c r="E145" s="2" t="s">
        <v>24</v>
      </c>
      <c r="F145" s="2" t="s">
        <v>56</v>
      </c>
      <c r="G145" s="8">
        <v>102.99</v>
      </c>
      <c r="H145" s="11">
        <v>0</v>
      </c>
      <c r="I145" s="8">
        <v>102.99</v>
      </c>
      <c r="J145" s="3">
        <v>45854</v>
      </c>
      <c r="K145" s="14">
        <v>41</v>
      </c>
      <c r="L145" s="17">
        <v>3.9</v>
      </c>
      <c r="M145" s="2" t="b">
        <v>0</v>
      </c>
      <c r="N145" s="2"/>
      <c r="O145" s="2" t="str">
        <f>IF(Table1[[#This Row],[is_returned]]=TRUE,IF(Table1[[#This Row],[return_reason]]="","Error","OK"),"OK")</f>
        <v>OK</v>
      </c>
      <c r="P145" s="8">
        <f>Table1[[#This Row],[original_price]]*Table1[[#This Row],[markdown_percentage]]/100</f>
        <v>0</v>
      </c>
      <c r="Q14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45" s="25">
        <f>Table1[[#This Row],[current_price]]*Table1[[#This Row],[stock_quantity]]</f>
        <v>4222.59</v>
      </c>
    </row>
    <row r="146" spans="1:18" x14ac:dyDescent="0.25">
      <c r="A146" s="2" t="s">
        <v>199</v>
      </c>
      <c r="B146" s="2" t="s">
        <v>15</v>
      </c>
      <c r="C146" s="2" t="s">
        <v>16</v>
      </c>
      <c r="D146" s="2" t="s">
        <v>17</v>
      </c>
      <c r="E146" s="2" t="s">
        <v>24</v>
      </c>
      <c r="F146" s="2" t="s">
        <v>56</v>
      </c>
      <c r="G146" s="8">
        <v>87.78</v>
      </c>
      <c r="H146" s="11">
        <v>45.3</v>
      </c>
      <c r="I146" s="8">
        <v>48.02</v>
      </c>
      <c r="J146" s="3">
        <v>45705</v>
      </c>
      <c r="K146" s="14">
        <v>34</v>
      </c>
      <c r="L146" s="17">
        <v>1.8</v>
      </c>
      <c r="M146" s="2" t="b">
        <v>0</v>
      </c>
      <c r="N146" s="2"/>
      <c r="O146" s="2" t="str">
        <f>IF(Table1[[#This Row],[is_returned]]=TRUE,IF(Table1[[#This Row],[return_reason]]="","Error","OK"),"OK")</f>
        <v>OK</v>
      </c>
      <c r="P146" s="8">
        <f>Table1[[#This Row],[original_price]]*Table1[[#This Row],[markdown_percentage]]/100</f>
        <v>39.764339999999997</v>
      </c>
      <c r="Q14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46" s="25">
        <f>Table1[[#This Row],[current_price]]*Table1[[#This Row],[stock_quantity]]</f>
        <v>1632.68</v>
      </c>
    </row>
    <row r="147" spans="1:18" x14ac:dyDescent="0.25">
      <c r="A147" s="2" t="s">
        <v>200</v>
      </c>
      <c r="B147" s="2" t="s">
        <v>21</v>
      </c>
      <c r="C147" s="2" t="s">
        <v>22</v>
      </c>
      <c r="D147" s="2" t="s">
        <v>23</v>
      </c>
      <c r="E147" s="2"/>
      <c r="F147" s="2" t="s">
        <v>56</v>
      </c>
      <c r="G147" s="8">
        <v>91.8</v>
      </c>
      <c r="H147" s="11">
        <v>15.8</v>
      </c>
      <c r="I147" s="8">
        <v>77.3</v>
      </c>
      <c r="J147" s="3">
        <v>45875</v>
      </c>
      <c r="K147" s="14">
        <v>30</v>
      </c>
      <c r="L147" s="17">
        <v>4.2</v>
      </c>
      <c r="M147" s="2" t="b">
        <v>0</v>
      </c>
      <c r="N147" s="2"/>
      <c r="O147" s="2" t="str">
        <f>IF(Table1[[#This Row],[is_returned]]=TRUE,IF(Table1[[#This Row],[return_reason]]="","Error","OK"),"OK")</f>
        <v>OK</v>
      </c>
      <c r="P147" s="8">
        <f>Table1[[#This Row],[original_price]]*Table1[[#This Row],[markdown_percentage]]/100</f>
        <v>14.5044</v>
      </c>
      <c r="Q14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47" s="25">
        <f>Table1[[#This Row],[current_price]]*Table1[[#This Row],[stock_quantity]]</f>
        <v>2319</v>
      </c>
    </row>
    <row r="148" spans="1:18" x14ac:dyDescent="0.25">
      <c r="A148" s="2" t="s">
        <v>201</v>
      </c>
      <c r="B148" s="2" t="s">
        <v>21</v>
      </c>
      <c r="C148" s="2" t="s">
        <v>16</v>
      </c>
      <c r="D148" s="2" t="s">
        <v>23</v>
      </c>
      <c r="E148" s="2" t="s">
        <v>24</v>
      </c>
      <c r="F148" s="2" t="s">
        <v>35</v>
      </c>
      <c r="G148" s="8">
        <v>107.32</v>
      </c>
      <c r="H148" s="11">
        <v>25.4</v>
      </c>
      <c r="I148" s="8">
        <v>80.06</v>
      </c>
      <c r="J148" s="3">
        <v>45875</v>
      </c>
      <c r="K148" s="14">
        <v>50</v>
      </c>
      <c r="L148" s="17">
        <v>4.4000000000000004</v>
      </c>
      <c r="M148" s="2" t="b">
        <v>0</v>
      </c>
      <c r="N148" s="2"/>
      <c r="O148" s="2" t="str">
        <f>IF(Table1[[#This Row],[is_returned]]=TRUE,IF(Table1[[#This Row],[return_reason]]="","Error","OK"),"OK")</f>
        <v>OK</v>
      </c>
      <c r="P148" s="8">
        <f>Table1[[#This Row],[original_price]]*Table1[[#This Row],[markdown_percentage]]/100</f>
        <v>27.25928</v>
      </c>
      <c r="Q14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48" s="25">
        <f>Table1[[#This Row],[current_price]]*Table1[[#This Row],[stock_quantity]]</f>
        <v>4003</v>
      </c>
    </row>
    <row r="149" spans="1:18" x14ac:dyDescent="0.25">
      <c r="A149" s="2" t="s">
        <v>202</v>
      </c>
      <c r="B149" s="2" t="s">
        <v>38</v>
      </c>
      <c r="C149" s="2" t="s">
        <v>32</v>
      </c>
      <c r="D149" s="2" t="s">
        <v>17</v>
      </c>
      <c r="E149" s="2" t="s">
        <v>49</v>
      </c>
      <c r="F149" s="2" t="s">
        <v>70</v>
      </c>
      <c r="G149" s="8">
        <v>67.69</v>
      </c>
      <c r="H149" s="11">
        <v>57.3</v>
      </c>
      <c r="I149" s="8">
        <v>28.9</v>
      </c>
      <c r="J149" s="3">
        <v>45862</v>
      </c>
      <c r="K149" s="14">
        <v>50</v>
      </c>
      <c r="L149" s="17">
        <v>4.5999999999999996</v>
      </c>
      <c r="M149" s="2" t="b">
        <v>0</v>
      </c>
      <c r="N149" s="2"/>
      <c r="O149" s="2" t="str">
        <f>IF(Table1[[#This Row],[is_returned]]=TRUE,IF(Table1[[#This Row],[return_reason]]="","Error","OK"),"OK")</f>
        <v>OK</v>
      </c>
      <c r="P149" s="8">
        <f>Table1[[#This Row],[original_price]]*Table1[[#This Row],[markdown_percentage]]/100</f>
        <v>38.786369999999998</v>
      </c>
      <c r="Q14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49" s="25">
        <f>Table1[[#This Row],[current_price]]*Table1[[#This Row],[stock_quantity]]</f>
        <v>1445</v>
      </c>
    </row>
    <row r="150" spans="1:18" x14ac:dyDescent="0.25">
      <c r="A150" s="2" t="s">
        <v>203</v>
      </c>
      <c r="B150" s="2" t="s">
        <v>21</v>
      </c>
      <c r="C150" s="2" t="s">
        <v>53</v>
      </c>
      <c r="D150" s="2" t="s">
        <v>62</v>
      </c>
      <c r="E150" s="2" t="s">
        <v>58</v>
      </c>
      <c r="F150" s="2" t="s">
        <v>56</v>
      </c>
      <c r="G150" s="8">
        <v>68.11</v>
      </c>
      <c r="H150" s="11">
        <v>46</v>
      </c>
      <c r="I150" s="8">
        <v>36.78</v>
      </c>
      <c r="J150" s="3">
        <v>45875</v>
      </c>
      <c r="K150" s="14">
        <v>3</v>
      </c>
      <c r="L150" s="17">
        <v>2.5</v>
      </c>
      <c r="M150" s="2" t="b">
        <v>0</v>
      </c>
      <c r="N150" s="2"/>
      <c r="O150" s="2" t="str">
        <f>IF(Table1[[#This Row],[is_returned]]=TRUE,IF(Table1[[#This Row],[return_reason]]="","Error","OK"),"OK")</f>
        <v>OK</v>
      </c>
      <c r="P150" s="8">
        <f>Table1[[#This Row],[original_price]]*Table1[[#This Row],[markdown_percentage]]/100</f>
        <v>31.3306</v>
      </c>
      <c r="Q15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50" s="25">
        <f>Table1[[#This Row],[current_price]]*Table1[[#This Row],[stock_quantity]]</f>
        <v>110.34</v>
      </c>
    </row>
    <row r="151" spans="1:18" x14ac:dyDescent="0.25">
      <c r="A151" s="2" t="s">
        <v>204</v>
      </c>
      <c r="B151" s="2" t="s">
        <v>30</v>
      </c>
      <c r="C151" s="2" t="s">
        <v>32</v>
      </c>
      <c r="D151" s="2" t="s">
        <v>17</v>
      </c>
      <c r="E151" s="2" t="s">
        <v>24</v>
      </c>
      <c r="F151" s="2" t="s">
        <v>44</v>
      </c>
      <c r="G151" s="8">
        <v>94.29</v>
      </c>
      <c r="H151" s="11">
        <v>0</v>
      </c>
      <c r="I151" s="8">
        <v>94.29</v>
      </c>
      <c r="J151" s="3">
        <v>45550</v>
      </c>
      <c r="K151" s="14">
        <v>18</v>
      </c>
      <c r="L151" s="17">
        <v>1.7</v>
      </c>
      <c r="M151" s="2" t="b">
        <v>0</v>
      </c>
      <c r="N151" s="2"/>
      <c r="O151" s="2" t="str">
        <f>IF(Table1[[#This Row],[is_returned]]=TRUE,IF(Table1[[#This Row],[return_reason]]="","Error","OK"),"OK")</f>
        <v>OK</v>
      </c>
      <c r="P151" s="8">
        <f>Table1[[#This Row],[original_price]]*Table1[[#This Row],[markdown_percentage]]/100</f>
        <v>0</v>
      </c>
      <c r="Q15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51" s="25">
        <f>Table1[[#This Row],[current_price]]*Table1[[#This Row],[stock_quantity]]</f>
        <v>1697.22</v>
      </c>
    </row>
    <row r="152" spans="1:18" x14ac:dyDescent="0.25">
      <c r="A152" s="2" t="s">
        <v>205</v>
      </c>
      <c r="B152" s="2" t="s">
        <v>21</v>
      </c>
      <c r="C152" s="2" t="s">
        <v>53</v>
      </c>
      <c r="D152" s="2" t="s">
        <v>23</v>
      </c>
      <c r="E152" s="2" t="s">
        <v>18</v>
      </c>
      <c r="F152" s="2" t="s">
        <v>40</v>
      </c>
      <c r="G152" s="8">
        <v>94.97</v>
      </c>
      <c r="H152" s="11">
        <v>0</v>
      </c>
      <c r="I152" s="8">
        <v>94.97</v>
      </c>
      <c r="J152" s="3">
        <v>45875</v>
      </c>
      <c r="K152" s="14">
        <v>46</v>
      </c>
      <c r="L152" s="17">
        <v>4.3</v>
      </c>
      <c r="M152" s="2" t="b">
        <v>0</v>
      </c>
      <c r="N152" s="2"/>
      <c r="O152" s="2" t="str">
        <f>IF(Table1[[#This Row],[is_returned]]=TRUE,IF(Table1[[#This Row],[return_reason]]="","Error","OK"),"OK")</f>
        <v>OK</v>
      </c>
      <c r="P152" s="8">
        <f>Table1[[#This Row],[original_price]]*Table1[[#This Row],[markdown_percentage]]/100</f>
        <v>0</v>
      </c>
      <c r="Q15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52" s="25">
        <f>Table1[[#This Row],[current_price]]*Table1[[#This Row],[stock_quantity]]</f>
        <v>4368.62</v>
      </c>
    </row>
    <row r="153" spans="1:18" x14ac:dyDescent="0.25">
      <c r="A153" s="2" t="s">
        <v>206</v>
      </c>
      <c r="B153" s="2" t="s">
        <v>30</v>
      </c>
      <c r="C153" s="2" t="s">
        <v>32</v>
      </c>
      <c r="D153" s="2" t="s">
        <v>23</v>
      </c>
      <c r="E153" s="2" t="s">
        <v>58</v>
      </c>
      <c r="F153" s="2" t="s">
        <v>64</v>
      </c>
      <c r="G153" s="8">
        <v>65.87</v>
      </c>
      <c r="H153" s="11">
        <v>11.4</v>
      </c>
      <c r="I153" s="8">
        <v>58.36</v>
      </c>
      <c r="J153" s="3">
        <v>45875</v>
      </c>
      <c r="K153" s="14">
        <v>15</v>
      </c>
      <c r="L153" s="17">
        <v>3.9</v>
      </c>
      <c r="M153" s="2" t="b">
        <v>0</v>
      </c>
      <c r="N153" s="2"/>
      <c r="O153" s="2" t="str">
        <f>IF(Table1[[#This Row],[is_returned]]=TRUE,IF(Table1[[#This Row],[return_reason]]="","Error","OK"),"OK")</f>
        <v>OK</v>
      </c>
      <c r="P153" s="8">
        <f>Table1[[#This Row],[original_price]]*Table1[[#This Row],[markdown_percentage]]/100</f>
        <v>7.5091800000000015</v>
      </c>
      <c r="Q15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53" s="25">
        <f>Table1[[#This Row],[current_price]]*Table1[[#This Row],[stock_quantity]]</f>
        <v>875.4</v>
      </c>
    </row>
    <row r="154" spans="1:18" x14ac:dyDescent="0.25">
      <c r="A154" s="2" t="s">
        <v>207</v>
      </c>
      <c r="B154" s="2" t="s">
        <v>42</v>
      </c>
      <c r="C154" s="2" t="s">
        <v>16</v>
      </c>
      <c r="D154" s="2" t="s">
        <v>23</v>
      </c>
      <c r="E154" s="2" t="s">
        <v>49</v>
      </c>
      <c r="F154" s="2" t="s">
        <v>44</v>
      </c>
      <c r="G154" s="8">
        <v>155.06</v>
      </c>
      <c r="H154" s="11">
        <v>29.4</v>
      </c>
      <c r="I154" s="8">
        <v>109.47</v>
      </c>
      <c r="J154" s="3">
        <v>45875</v>
      </c>
      <c r="K154" s="14">
        <v>5</v>
      </c>
      <c r="L154" s="17">
        <v>3.6</v>
      </c>
      <c r="M154" s="2" t="b">
        <v>0</v>
      </c>
      <c r="N154" s="2"/>
      <c r="O154" s="2" t="str">
        <f>IF(Table1[[#This Row],[is_returned]]=TRUE,IF(Table1[[#This Row],[return_reason]]="","Error","OK"),"OK")</f>
        <v>OK</v>
      </c>
      <c r="P154" s="8">
        <f>Table1[[#This Row],[original_price]]*Table1[[#This Row],[markdown_percentage]]/100</f>
        <v>45.58764</v>
      </c>
      <c r="Q15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54" s="25">
        <f>Table1[[#This Row],[current_price]]*Table1[[#This Row],[stock_quantity]]</f>
        <v>547.35</v>
      </c>
    </row>
    <row r="155" spans="1:18" x14ac:dyDescent="0.25">
      <c r="A155" s="2" t="s">
        <v>208</v>
      </c>
      <c r="B155" s="2" t="s">
        <v>15</v>
      </c>
      <c r="C155" s="2" t="s">
        <v>16</v>
      </c>
      <c r="D155" s="2" t="s">
        <v>23</v>
      </c>
      <c r="E155" s="2" t="s">
        <v>24</v>
      </c>
      <c r="F155" s="2" t="s">
        <v>70</v>
      </c>
      <c r="G155" s="8">
        <v>172.59</v>
      </c>
      <c r="H155" s="11">
        <v>0</v>
      </c>
      <c r="I155" s="8">
        <v>172.59</v>
      </c>
      <c r="J155" s="3">
        <v>45875</v>
      </c>
      <c r="K155" s="14">
        <v>1</v>
      </c>
      <c r="L155" s="17">
        <v>2.1</v>
      </c>
      <c r="M155" s="2" t="b">
        <v>0</v>
      </c>
      <c r="N155" s="2"/>
      <c r="O155" s="2" t="str">
        <f>IF(Table1[[#This Row],[is_returned]]=TRUE,IF(Table1[[#This Row],[return_reason]]="","Error","OK"),"OK")</f>
        <v>OK</v>
      </c>
      <c r="P155" s="8">
        <f>Table1[[#This Row],[original_price]]*Table1[[#This Row],[markdown_percentage]]/100</f>
        <v>0</v>
      </c>
      <c r="Q15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55" s="25">
        <f>Table1[[#This Row],[current_price]]*Table1[[#This Row],[stock_quantity]]</f>
        <v>172.59</v>
      </c>
    </row>
    <row r="156" spans="1:18" x14ac:dyDescent="0.25">
      <c r="A156" s="2" t="s">
        <v>209</v>
      </c>
      <c r="B156" s="2" t="s">
        <v>42</v>
      </c>
      <c r="C156" s="2" t="s">
        <v>48</v>
      </c>
      <c r="D156" s="2" t="s">
        <v>62</v>
      </c>
      <c r="E156" s="2" t="s">
        <v>58</v>
      </c>
      <c r="F156" s="2" t="s">
        <v>44</v>
      </c>
      <c r="G156" s="8">
        <v>68.72</v>
      </c>
      <c r="H156" s="11">
        <v>0</v>
      </c>
      <c r="I156" s="8">
        <v>68.72</v>
      </c>
      <c r="J156" s="3">
        <v>45875</v>
      </c>
      <c r="K156" s="14">
        <v>28</v>
      </c>
      <c r="L156" s="17">
        <v>1.7</v>
      </c>
      <c r="M156" s="2" t="b">
        <v>1</v>
      </c>
      <c r="N156" s="2" t="s">
        <v>83</v>
      </c>
      <c r="O156" s="2" t="str">
        <f>IF(Table1[[#This Row],[is_returned]]=TRUE,IF(Table1[[#This Row],[return_reason]]="","Error","OK"),"OK")</f>
        <v>OK</v>
      </c>
      <c r="P156" s="8">
        <f>Table1[[#This Row],[original_price]]*Table1[[#This Row],[markdown_percentage]]/100</f>
        <v>0</v>
      </c>
      <c r="Q15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56" s="25">
        <f>Table1[[#This Row],[current_price]]*Table1[[#This Row],[stock_quantity]]</f>
        <v>1924.1599999999999</v>
      </c>
    </row>
    <row r="157" spans="1:18" x14ac:dyDescent="0.25">
      <c r="A157" s="2" t="s">
        <v>210</v>
      </c>
      <c r="B157" s="2" t="s">
        <v>21</v>
      </c>
      <c r="C157" s="2" t="s">
        <v>32</v>
      </c>
      <c r="D157" s="2" t="s">
        <v>17</v>
      </c>
      <c r="E157" s="2" t="s">
        <v>18</v>
      </c>
      <c r="F157" s="2" t="s">
        <v>44</v>
      </c>
      <c r="G157" s="8">
        <v>28.78</v>
      </c>
      <c r="H157" s="11">
        <v>0</v>
      </c>
      <c r="I157" s="8">
        <v>28.78</v>
      </c>
      <c r="J157" s="3">
        <v>45568</v>
      </c>
      <c r="K157" s="14">
        <v>21</v>
      </c>
      <c r="L157" s="17"/>
      <c r="M157" s="2" t="b">
        <v>0</v>
      </c>
      <c r="N157" s="2"/>
      <c r="O157" s="2" t="str">
        <f>IF(Table1[[#This Row],[is_returned]]=TRUE,IF(Table1[[#This Row],[return_reason]]="","Error","OK"),"OK")</f>
        <v>OK</v>
      </c>
      <c r="P157" s="8">
        <f>Table1[[#This Row],[original_price]]*Table1[[#This Row],[markdown_percentage]]/100</f>
        <v>0</v>
      </c>
      <c r="Q15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57" s="25">
        <f>Table1[[#This Row],[current_price]]*Table1[[#This Row],[stock_quantity]]</f>
        <v>604.38</v>
      </c>
    </row>
    <row r="158" spans="1:18" x14ac:dyDescent="0.25">
      <c r="A158" s="2" t="s">
        <v>211</v>
      </c>
      <c r="B158" s="2" t="s">
        <v>15</v>
      </c>
      <c r="C158" s="2" t="s">
        <v>48</v>
      </c>
      <c r="D158" s="2" t="s">
        <v>23</v>
      </c>
      <c r="E158" s="2" t="s">
        <v>49</v>
      </c>
      <c r="F158" s="2" t="s">
        <v>28</v>
      </c>
      <c r="G158" s="8">
        <v>110.32</v>
      </c>
      <c r="H158" s="11">
        <v>28.3</v>
      </c>
      <c r="I158" s="8">
        <v>79.099999999999994</v>
      </c>
      <c r="J158" s="3">
        <v>45875</v>
      </c>
      <c r="K158" s="14">
        <v>49</v>
      </c>
      <c r="L158" s="17">
        <v>3.3</v>
      </c>
      <c r="M158" s="2" t="b">
        <v>0</v>
      </c>
      <c r="N158" s="2"/>
      <c r="O158" s="2" t="str">
        <f>IF(Table1[[#This Row],[is_returned]]=TRUE,IF(Table1[[#This Row],[return_reason]]="","Error","OK"),"OK")</f>
        <v>OK</v>
      </c>
      <c r="P158" s="8">
        <f>Table1[[#This Row],[original_price]]*Table1[[#This Row],[markdown_percentage]]/100</f>
        <v>31.220559999999999</v>
      </c>
      <c r="Q15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58" s="25">
        <f>Table1[[#This Row],[current_price]]*Table1[[#This Row],[stock_quantity]]</f>
        <v>3875.8999999999996</v>
      </c>
    </row>
    <row r="159" spans="1:18" x14ac:dyDescent="0.25">
      <c r="A159" s="2" t="s">
        <v>212</v>
      </c>
      <c r="B159" s="2" t="s">
        <v>30</v>
      </c>
      <c r="C159" s="2" t="s">
        <v>43</v>
      </c>
      <c r="D159" s="2" t="s">
        <v>62</v>
      </c>
      <c r="E159" s="2" t="s">
        <v>49</v>
      </c>
      <c r="F159" s="2" t="s">
        <v>28</v>
      </c>
      <c r="G159" s="8">
        <v>194.24</v>
      </c>
      <c r="H159" s="11">
        <v>0</v>
      </c>
      <c r="I159" s="8">
        <v>194.24</v>
      </c>
      <c r="J159" s="3">
        <v>45875</v>
      </c>
      <c r="K159" s="14">
        <v>17</v>
      </c>
      <c r="L159" s="17">
        <v>1.2</v>
      </c>
      <c r="M159" s="2" t="b">
        <v>1</v>
      </c>
      <c r="N159" s="2" t="s">
        <v>115</v>
      </c>
      <c r="O159" s="2" t="str">
        <f>IF(Table1[[#This Row],[is_returned]]=TRUE,IF(Table1[[#This Row],[return_reason]]="","Error","OK"),"OK")</f>
        <v>OK</v>
      </c>
      <c r="P159" s="8">
        <f>Table1[[#This Row],[original_price]]*Table1[[#This Row],[markdown_percentage]]/100</f>
        <v>0</v>
      </c>
      <c r="Q15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59" s="25">
        <f>Table1[[#This Row],[current_price]]*Table1[[#This Row],[stock_quantity]]</f>
        <v>3302.08</v>
      </c>
    </row>
    <row r="160" spans="1:18" x14ac:dyDescent="0.25">
      <c r="A160" s="2" t="s">
        <v>213</v>
      </c>
      <c r="B160" s="2" t="s">
        <v>30</v>
      </c>
      <c r="C160" s="2" t="s">
        <v>61</v>
      </c>
      <c r="D160" s="2" t="s">
        <v>34</v>
      </c>
      <c r="E160" s="2" t="s">
        <v>55</v>
      </c>
      <c r="F160" s="2" t="s">
        <v>56</v>
      </c>
      <c r="G160" s="8">
        <v>175.91</v>
      </c>
      <c r="H160" s="11">
        <v>0</v>
      </c>
      <c r="I160" s="8">
        <v>175.91</v>
      </c>
      <c r="J160" s="3">
        <v>45875</v>
      </c>
      <c r="K160" s="14">
        <v>4</v>
      </c>
      <c r="L160" s="17">
        <v>2.8</v>
      </c>
      <c r="M160" s="2" t="b">
        <v>0</v>
      </c>
      <c r="N160" s="2"/>
      <c r="O160" s="2" t="str">
        <f>IF(Table1[[#This Row],[is_returned]]=TRUE,IF(Table1[[#This Row],[return_reason]]="","Error","OK"),"OK")</f>
        <v>OK</v>
      </c>
      <c r="P160" s="8">
        <f>Table1[[#This Row],[original_price]]*Table1[[#This Row],[markdown_percentage]]/100</f>
        <v>0</v>
      </c>
      <c r="Q16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60" s="25">
        <f>Table1[[#This Row],[current_price]]*Table1[[#This Row],[stock_quantity]]</f>
        <v>703.64</v>
      </c>
    </row>
    <row r="161" spans="1:18" x14ac:dyDescent="0.25">
      <c r="A161" s="2" t="s">
        <v>214</v>
      </c>
      <c r="B161" s="2" t="s">
        <v>38</v>
      </c>
      <c r="C161" s="2" t="s">
        <v>43</v>
      </c>
      <c r="D161" s="2" t="s">
        <v>23</v>
      </c>
      <c r="E161" s="2" t="s">
        <v>49</v>
      </c>
      <c r="F161" s="2" t="s">
        <v>40</v>
      </c>
      <c r="G161" s="8">
        <v>79.34</v>
      </c>
      <c r="H161" s="11">
        <v>0</v>
      </c>
      <c r="I161" s="8">
        <v>79.34</v>
      </c>
      <c r="J161" s="3">
        <v>45875</v>
      </c>
      <c r="K161" s="14">
        <v>30</v>
      </c>
      <c r="L161" s="17">
        <v>4.4000000000000004</v>
      </c>
      <c r="M161" s="2" t="b">
        <v>0</v>
      </c>
      <c r="N161" s="2"/>
      <c r="O161" s="2" t="str">
        <f>IF(Table1[[#This Row],[is_returned]]=TRUE,IF(Table1[[#This Row],[return_reason]]="","Error","OK"),"OK")</f>
        <v>OK</v>
      </c>
      <c r="P161" s="8">
        <f>Table1[[#This Row],[original_price]]*Table1[[#This Row],[markdown_percentage]]/100</f>
        <v>0</v>
      </c>
      <c r="Q16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61" s="25">
        <f>Table1[[#This Row],[current_price]]*Table1[[#This Row],[stock_quantity]]</f>
        <v>2380.2000000000003</v>
      </c>
    </row>
    <row r="162" spans="1:18" x14ac:dyDescent="0.25">
      <c r="A162" s="2" t="s">
        <v>215</v>
      </c>
      <c r="B162" s="2" t="s">
        <v>38</v>
      </c>
      <c r="C162" s="2" t="s">
        <v>48</v>
      </c>
      <c r="D162" s="2" t="s">
        <v>62</v>
      </c>
      <c r="E162" s="2" t="s">
        <v>58</v>
      </c>
      <c r="F162" s="2" t="s">
        <v>46</v>
      </c>
      <c r="G162" s="8">
        <v>111.88</v>
      </c>
      <c r="H162" s="11">
        <v>0</v>
      </c>
      <c r="I162" s="8">
        <v>111.88</v>
      </c>
      <c r="J162" s="3">
        <v>45875</v>
      </c>
      <c r="K162" s="14">
        <v>41</v>
      </c>
      <c r="L162" s="17">
        <v>4.5</v>
      </c>
      <c r="M162" s="2" t="b">
        <v>0</v>
      </c>
      <c r="N162" s="2"/>
      <c r="O162" s="2" t="str">
        <f>IF(Table1[[#This Row],[is_returned]]=TRUE,IF(Table1[[#This Row],[return_reason]]="","Error","OK"),"OK")</f>
        <v>OK</v>
      </c>
      <c r="P162" s="8">
        <f>Table1[[#This Row],[original_price]]*Table1[[#This Row],[markdown_percentage]]/100</f>
        <v>0</v>
      </c>
      <c r="Q16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62" s="25">
        <f>Table1[[#This Row],[current_price]]*Table1[[#This Row],[stock_quantity]]</f>
        <v>4587.08</v>
      </c>
    </row>
    <row r="163" spans="1:18" x14ac:dyDescent="0.25">
      <c r="A163" s="2" t="s">
        <v>216</v>
      </c>
      <c r="B163" s="2" t="s">
        <v>27</v>
      </c>
      <c r="C163" s="2" t="s">
        <v>61</v>
      </c>
      <c r="D163" s="2" t="s">
        <v>17</v>
      </c>
      <c r="E163" s="2"/>
      <c r="F163" s="2" t="s">
        <v>64</v>
      </c>
      <c r="G163" s="8">
        <v>42.84</v>
      </c>
      <c r="H163" s="11">
        <v>40.6</v>
      </c>
      <c r="I163" s="8">
        <v>25.45</v>
      </c>
      <c r="J163" s="3">
        <v>45547</v>
      </c>
      <c r="K163" s="14">
        <v>18</v>
      </c>
      <c r="L163" s="17">
        <v>2.6</v>
      </c>
      <c r="M163" s="2" t="b">
        <v>0</v>
      </c>
      <c r="N163" s="2"/>
      <c r="O163" s="2" t="str">
        <f>IF(Table1[[#This Row],[is_returned]]=TRUE,IF(Table1[[#This Row],[return_reason]]="","Error","OK"),"OK")</f>
        <v>OK</v>
      </c>
      <c r="P163" s="8">
        <f>Table1[[#This Row],[original_price]]*Table1[[#This Row],[markdown_percentage]]/100</f>
        <v>17.393039999999999</v>
      </c>
      <c r="Q16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63" s="25">
        <f>Table1[[#This Row],[current_price]]*Table1[[#This Row],[stock_quantity]]</f>
        <v>458.09999999999997</v>
      </c>
    </row>
    <row r="164" spans="1:18" x14ac:dyDescent="0.25">
      <c r="A164" s="2" t="s">
        <v>217</v>
      </c>
      <c r="B164" s="2" t="s">
        <v>38</v>
      </c>
      <c r="C164" s="2" t="s">
        <v>61</v>
      </c>
      <c r="D164" s="2" t="s">
        <v>17</v>
      </c>
      <c r="E164" s="2" t="s">
        <v>49</v>
      </c>
      <c r="F164" s="2" t="s">
        <v>64</v>
      </c>
      <c r="G164" s="8">
        <v>26.28</v>
      </c>
      <c r="H164" s="11">
        <v>1.1000000000000001</v>
      </c>
      <c r="I164" s="8">
        <v>25.99</v>
      </c>
      <c r="J164" s="3">
        <v>45828</v>
      </c>
      <c r="K164" s="14">
        <v>35</v>
      </c>
      <c r="L164" s="17">
        <v>5</v>
      </c>
      <c r="M164" s="2" t="b">
        <v>0</v>
      </c>
      <c r="N164" s="2"/>
      <c r="O164" s="2" t="str">
        <f>IF(Table1[[#This Row],[is_returned]]=TRUE,IF(Table1[[#This Row],[return_reason]]="","Error","OK"),"OK")</f>
        <v>OK</v>
      </c>
      <c r="P164" s="8">
        <f>Table1[[#This Row],[original_price]]*Table1[[#This Row],[markdown_percentage]]/100</f>
        <v>0.28908000000000006</v>
      </c>
      <c r="Q16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64" s="25">
        <f>Table1[[#This Row],[current_price]]*Table1[[#This Row],[stock_quantity]]</f>
        <v>909.65</v>
      </c>
    </row>
    <row r="165" spans="1:18" x14ac:dyDescent="0.25">
      <c r="A165" s="2" t="s">
        <v>218</v>
      </c>
      <c r="B165" s="2" t="s">
        <v>27</v>
      </c>
      <c r="C165" s="2" t="s">
        <v>48</v>
      </c>
      <c r="D165" s="2" t="s">
        <v>17</v>
      </c>
      <c r="E165" s="2"/>
      <c r="F165" s="2" t="s">
        <v>46</v>
      </c>
      <c r="G165" s="8">
        <v>23.11</v>
      </c>
      <c r="H165" s="11">
        <v>0</v>
      </c>
      <c r="I165" s="8">
        <v>23.11</v>
      </c>
      <c r="J165" s="3">
        <v>45552</v>
      </c>
      <c r="K165" s="14">
        <v>2</v>
      </c>
      <c r="L165" s="17">
        <v>1.4</v>
      </c>
      <c r="M165" s="2" t="b">
        <v>0</v>
      </c>
      <c r="N165" s="2"/>
      <c r="O165" s="2" t="str">
        <f>IF(Table1[[#This Row],[is_returned]]=TRUE,IF(Table1[[#This Row],[return_reason]]="","Error","OK"),"OK")</f>
        <v>OK</v>
      </c>
      <c r="P165" s="8">
        <f>Table1[[#This Row],[original_price]]*Table1[[#This Row],[markdown_percentage]]/100</f>
        <v>0</v>
      </c>
      <c r="Q16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65" s="25">
        <f>Table1[[#This Row],[current_price]]*Table1[[#This Row],[stock_quantity]]</f>
        <v>46.22</v>
      </c>
    </row>
    <row r="166" spans="1:18" x14ac:dyDescent="0.25">
      <c r="A166" s="2" t="s">
        <v>219</v>
      </c>
      <c r="B166" s="2" t="s">
        <v>30</v>
      </c>
      <c r="C166" s="2" t="s">
        <v>16</v>
      </c>
      <c r="D166" s="2" t="s">
        <v>23</v>
      </c>
      <c r="E166" s="2" t="s">
        <v>58</v>
      </c>
      <c r="F166" s="2" t="s">
        <v>35</v>
      </c>
      <c r="G166" s="8">
        <v>168.36</v>
      </c>
      <c r="H166" s="11">
        <v>0</v>
      </c>
      <c r="I166" s="8">
        <v>168.36</v>
      </c>
      <c r="J166" s="3">
        <v>45875</v>
      </c>
      <c r="K166" s="14">
        <v>47</v>
      </c>
      <c r="L166" s="17"/>
      <c r="M166" s="2" t="b">
        <v>1</v>
      </c>
      <c r="N166" s="2" t="s">
        <v>78</v>
      </c>
      <c r="O166" s="2" t="str">
        <f>IF(Table1[[#This Row],[is_returned]]=TRUE,IF(Table1[[#This Row],[return_reason]]="","Error","OK"),"OK")</f>
        <v>OK</v>
      </c>
      <c r="P166" s="8">
        <f>Table1[[#This Row],[original_price]]*Table1[[#This Row],[markdown_percentage]]/100</f>
        <v>0</v>
      </c>
      <c r="Q16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66" s="25">
        <f>Table1[[#This Row],[current_price]]*Table1[[#This Row],[stock_quantity]]</f>
        <v>7912.920000000001</v>
      </c>
    </row>
    <row r="167" spans="1:18" x14ac:dyDescent="0.25">
      <c r="A167" s="2" t="s">
        <v>220</v>
      </c>
      <c r="B167" s="2" t="s">
        <v>30</v>
      </c>
      <c r="C167" s="2" t="s">
        <v>61</v>
      </c>
      <c r="D167" s="2" t="s">
        <v>34</v>
      </c>
      <c r="E167" s="2" t="s">
        <v>18</v>
      </c>
      <c r="F167" s="2" t="s">
        <v>46</v>
      </c>
      <c r="G167" s="8">
        <v>99.26</v>
      </c>
      <c r="H167" s="11">
        <v>0</v>
      </c>
      <c r="I167" s="8">
        <v>99.26</v>
      </c>
      <c r="J167" s="3">
        <v>45875</v>
      </c>
      <c r="K167" s="14">
        <v>33</v>
      </c>
      <c r="L167" s="17"/>
      <c r="M167" s="2" t="b">
        <v>1</v>
      </c>
      <c r="N167" s="2" t="s">
        <v>83</v>
      </c>
      <c r="O167" s="2" t="str">
        <f>IF(Table1[[#This Row],[is_returned]]=TRUE,IF(Table1[[#This Row],[return_reason]]="","Error","OK"),"OK")</f>
        <v>OK</v>
      </c>
      <c r="P167" s="8">
        <f>Table1[[#This Row],[original_price]]*Table1[[#This Row],[markdown_percentage]]/100</f>
        <v>0</v>
      </c>
      <c r="Q16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67" s="25">
        <f>Table1[[#This Row],[current_price]]*Table1[[#This Row],[stock_quantity]]</f>
        <v>3275.5800000000004</v>
      </c>
    </row>
    <row r="168" spans="1:18" x14ac:dyDescent="0.25">
      <c r="A168" s="2" t="s">
        <v>221</v>
      </c>
      <c r="B168" s="2" t="s">
        <v>27</v>
      </c>
      <c r="C168" s="2" t="s">
        <v>43</v>
      </c>
      <c r="D168" s="2" t="s">
        <v>17</v>
      </c>
      <c r="E168" s="2"/>
      <c r="F168" s="2" t="s">
        <v>28</v>
      </c>
      <c r="G168" s="8">
        <v>53.66</v>
      </c>
      <c r="H168" s="11">
        <v>0</v>
      </c>
      <c r="I168" s="8">
        <v>53.66</v>
      </c>
      <c r="J168" s="3">
        <v>45645</v>
      </c>
      <c r="K168" s="14">
        <v>40</v>
      </c>
      <c r="L168" s="17">
        <v>2.8</v>
      </c>
      <c r="M168" s="2" t="b">
        <v>0</v>
      </c>
      <c r="N168" s="2"/>
      <c r="O168" s="2" t="str">
        <f>IF(Table1[[#This Row],[is_returned]]=TRUE,IF(Table1[[#This Row],[return_reason]]="","Error","OK"),"OK")</f>
        <v>OK</v>
      </c>
      <c r="P168" s="8">
        <f>Table1[[#This Row],[original_price]]*Table1[[#This Row],[markdown_percentage]]/100</f>
        <v>0</v>
      </c>
      <c r="Q16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68" s="25">
        <f>Table1[[#This Row],[current_price]]*Table1[[#This Row],[stock_quantity]]</f>
        <v>2146.3999999999996</v>
      </c>
    </row>
    <row r="169" spans="1:18" x14ac:dyDescent="0.25">
      <c r="A169" s="2" t="s">
        <v>222</v>
      </c>
      <c r="B169" s="2" t="s">
        <v>27</v>
      </c>
      <c r="C169" s="2" t="s">
        <v>53</v>
      </c>
      <c r="D169" s="2" t="s">
        <v>62</v>
      </c>
      <c r="E169" s="2"/>
      <c r="F169" s="2" t="s">
        <v>40</v>
      </c>
      <c r="G169" s="8">
        <v>69.709999999999994</v>
      </c>
      <c r="H169" s="11">
        <v>18</v>
      </c>
      <c r="I169" s="8">
        <v>57.16</v>
      </c>
      <c r="J169" s="3">
        <v>45875</v>
      </c>
      <c r="K169" s="14">
        <v>34</v>
      </c>
      <c r="L169" s="17">
        <v>4.2</v>
      </c>
      <c r="M169" s="2" t="b">
        <v>1</v>
      </c>
      <c r="N169" s="2" t="s">
        <v>36</v>
      </c>
      <c r="O169" s="2" t="str">
        <f>IF(Table1[[#This Row],[is_returned]]=TRUE,IF(Table1[[#This Row],[return_reason]]="","Error","OK"),"OK")</f>
        <v>OK</v>
      </c>
      <c r="P169" s="8">
        <f>Table1[[#This Row],[original_price]]*Table1[[#This Row],[markdown_percentage]]/100</f>
        <v>12.547800000000001</v>
      </c>
      <c r="Q16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69" s="25">
        <f>Table1[[#This Row],[current_price]]*Table1[[#This Row],[stock_quantity]]</f>
        <v>1943.4399999999998</v>
      </c>
    </row>
    <row r="170" spans="1:18" x14ac:dyDescent="0.25">
      <c r="A170" s="2" t="s">
        <v>223</v>
      </c>
      <c r="B170" s="2" t="s">
        <v>42</v>
      </c>
      <c r="C170" s="2" t="s">
        <v>75</v>
      </c>
      <c r="D170" s="2" t="s">
        <v>34</v>
      </c>
      <c r="E170" s="2" t="s">
        <v>49</v>
      </c>
      <c r="F170" s="2" t="s">
        <v>40</v>
      </c>
      <c r="G170" s="8">
        <v>60.3</v>
      </c>
      <c r="H170" s="11">
        <v>21.4</v>
      </c>
      <c r="I170" s="8">
        <v>47.4</v>
      </c>
      <c r="J170" s="3">
        <v>45875</v>
      </c>
      <c r="K170" s="14">
        <v>4</v>
      </c>
      <c r="L170" s="17">
        <v>3.6</v>
      </c>
      <c r="M170" s="2" t="b">
        <v>0</v>
      </c>
      <c r="N170" s="2"/>
      <c r="O170" s="2" t="str">
        <f>IF(Table1[[#This Row],[is_returned]]=TRUE,IF(Table1[[#This Row],[return_reason]]="","Error","OK"),"OK")</f>
        <v>OK</v>
      </c>
      <c r="P170" s="8">
        <f>Table1[[#This Row],[original_price]]*Table1[[#This Row],[markdown_percentage]]/100</f>
        <v>12.904199999999998</v>
      </c>
      <c r="Q17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70" s="25">
        <f>Table1[[#This Row],[current_price]]*Table1[[#This Row],[stock_quantity]]</f>
        <v>189.6</v>
      </c>
    </row>
    <row r="171" spans="1:18" x14ac:dyDescent="0.25">
      <c r="A171" s="2" t="s">
        <v>224</v>
      </c>
      <c r="B171" s="2" t="s">
        <v>30</v>
      </c>
      <c r="C171" s="2" t="s">
        <v>32</v>
      </c>
      <c r="D171" s="2" t="s">
        <v>23</v>
      </c>
      <c r="E171" s="2" t="s">
        <v>49</v>
      </c>
      <c r="F171" s="2" t="s">
        <v>19</v>
      </c>
      <c r="G171" s="8">
        <v>113.58</v>
      </c>
      <c r="H171" s="11">
        <v>0</v>
      </c>
      <c r="I171" s="8">
        <v>113.58</v>
      </c>
      <c r="J171" s="3">
        <v>45875</v>
      </c>
      <c r="K171" s="14">
        <v>33</v>
      </c>
      <c r="L171" s="17">
        <v>4.9000000000000004</v>
      </c>
      <c r="M171" s="2" t="b">
        <v>1</v>
      </c>
      <c r="N171" s="2" t="s">
        <v>125</v>
      </c>
      <c r="O171" s="2" t="str">
        <f>IF(Table1[[#This Row],[is_returned]]=TRUE,IF(Table1[[#This Row],[return_reason]]="","Error","OK"),"OK")</f>
        <v>OK</v>
      </c>
      <c r="P171" s="8">
        <f>Table1[[#This Row],[original_price]]*Table1[[#This Row],[markdown_percentage]]/100</f>
        <v>0</v>
      </c>
      <c r="Q17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71" s="25">
        <f>Table1[[#This Row],[current_price]]*Table1[[#This Row],[stock_quantity]]</f>
        <v>3748.14</v>
      </c>
    </row>
    <row r="172" spans="1:18" x14ac:dyDescent="0.25">
      <c r="A172" s="2" t="s">
        <v>225</v>
      </c>
      <c r="B172" s="2" t="s">
        <v>38</v>
      </c>
      <c r="C172" s="2" t="s">
        <v>53</v>
      </c>
      <c r="D172" s="2" t="s">
        <v>34</v>
      </c>
      <c r="E172" s="2" t="s">
        <v>55</v>
      </c>
      <c r="F172" s="2" t="s">
        <v>70</v>
      </c>
      <c r="G172" s="8">
        <v>54.86</v>
      </c>
      <c r="H172" s="11">
        <v>1.7</v>
      </c>
      <c r="I172" s="8">
        <v>53.93</v>
      </c>
      <c r="J172" s="3">
        <v>45875</v>
      </c>
      <c r="K172" s="14">
        <v>40</v>
      </c>
      <c r="L172" s="17">
        <v>2.5</v>
      </c>
      <c r="M172" s="2" t="b">
        <v>0</v>
      </c>
      <c r="N172" s="2"/>
      <c r="O172" s="2" t="str">
        <f>IF(Table1[[#This Row],[is_returned]]=TRUE,IF(Table1[[#This Row],[return_reason]]="","Error","OK"),"OK")</f>
        <v>OK</v>
      </c>
      <c r="P172" s="8">
        <f>Table1[[#This Row],[original_price]]*Table1[[#This Row],[markdown_percentage]]/100</f>
        <v>0.93262</v>
      </c>
      <c r="Q17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72" s="25">
        <f>Table1[[#This Row],[current_price]]*Table1[[#This Row],[stock_quantity]]</f>
        <v>2157.1999999999998</v>
      </c>
    </row>
    <row r="173" spans="1:18" x14ac:dyDescent="0.25">
      <c r="A173" s="2" t="s">
        <v>226</v>
      </c>
      <c r="B173" s="2" t="s">
        <v>21</v>
      </c>
      <c r="C173" s="2" t="s">
        <v>16</v>
      </c>
      <c r="D173" s="2" t="s">
        <v>23</v>
      </c>
      <c r="E173" s="2" t="s">
        <v>55</v>
      </c>
      <c r="F173" s="2" t="s">
        <v>19</v>
      </c>
      <c r="G173" s="8">
        <v>92.25</v>
      </c>
      <c r="H173" s="11">
        <v>0</v>
      </c>
      <c r="I173" s="8">
        <v>92.25</v>
      </c>
      <c r="J173" s="3">
        <v>45875</v>
      </c>
      <c r="K173" s="14">
        <v>13</v>
      </c>
      <c r="L173" s="17">
        <v>2.8</v>
      </c>
      <c r="M173" s="2" t="b">
        <v>1</v>
      </c>
      <c r="N173" s="2" t="s">
        <v>78</v>
      </c>
      <c r="O173" s="2" t="str">
        <f>IF(Table1[[#This Row],[is_returned]]=TRUE,IF(Table1[[#This Row],[return_reason]]="","Error","OK"),"OK")</f>
        <v>OK</v>
      </c>
      <c r="P173" s="8">
        <f>Table1[[#This Row],[original_price]]*Table1[[#This Row],[markdown_percentage]]/100</f>
        <v>0</v>
      </c>
      <c r="Q17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73" s="25">
        <f>Table1[[#This Row],[current_price]]*Table1[[#This Row],[stock_quantity]]</f>
        <v>1199.25</v>
      </c>
    </row>
    <row r="174" spans="1:18" x14ac:dyDescent="0.25">
      <c r="A174" s="2" t="s">
        <v>227</v>
      </c>
      <c r="B174" s="2" t="s">
        <v>27</v>
      </c>
      <c r="C174" s="2" t="s">
        <v>53</v>
      </c>
      <c r="D174" s="2" t="s">
        <v>23</v>
      </c>
      <c r="E174" s="2"/>
      <c r="F174" s="2" t="s">
        <v>35</v>
      </c>
      <c r="G174" s="8">
        <v>54.07</v>
      </c>
      <c r="H174" s="11">
        <v>0</v>
      </c>
      <c r="I174" s="8">
        <v>54.07</v>
      </c>
      <c r="J174" s="3">
        <v>45875</v>
      </c>
      <c r="K174" s="14">
        <v>47</v>
      </c>
      <c r="L174" s="17">
        <v>4.5999999999999996</v>
      </c>
      <c r="M174" s="2" t="b">
        <v>0</v>
      </c>
      <c r="N174" s="2"/>
      <c r="O174" s="2" t="str">
        <f>IF(Table1[[#This Row],[is_returned]]=TRUE,IF(Table1[[#This Row],[return_reason]]="","Error","OK"),"OK")</f>
        <v>OK</v>
      </c>
      <c r="P174" s="8">
        <f>Table1[[#This Row],[original_price]]*Table1[[#This Row],[markdown_percentage]]/100</f>
        <v>0</v>
      </c>
      <c r="Q17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74" s="25">
        <f>Table1[[#This Row],[current_price]]*Table1[[#This Row],[stock_quantity]]</f>
        <v>2541.29</v>
      </c>
    </row>
    <row r="175" spans="1:18" x14ac:dyDescent="0.25">
      <c r="A175" s="2" t="s">
        <v>228</v>
      </c>
      <c r="B175" s="2" t="s">
        <v>30</v>
      </c>
      <c r="C175" s="2" t="s">
        <v>32</v>
      </c>
      <c r="D175" s="2" t="s">
        <v>23</v>
      </c>
      <c r="E175" s="2" t="s">
        <v>18</v>
      </c>
      <c r="F175" s="2" t="s">
        <v>19</v>
      </c>
      <c r="G175" s="8">
        <v>104.4</v>
      </c>
      <c r="H175" s="11">
        <v>0</v>
      </c>
      <c r="I175" s="8">
        <v>104.4</v>
      </c>
      <c r="J175" s="3">
        <v>45875</v>
      </c>
      <c r="K175" s="14">
        <v>41</v>
      </c>
      <c r="L175" s="17">
        <v>3.4</v>
      </c>
      <c r="M175" s="2" t="b">
        <v>0</v>
      </c>
      <c r="N175" s="2"/>
      <c r="O175" s="2" t="str">
        <f>IF(Table1[[#This Row],[is_returned]]=TRUE,IF(Table1[[#This Row],[return_reason]]="","Error","OK"),"OK")</f>
        <v>OK</v>
      </c>
      <c r="P175" s="8">
        <f>Table1[[#This Row],[original_price]]*Table1[[#This Row],[markdown_percentage]]/100</f>
        <v>0</v>
      </c>
      <c r="Q17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75" s="25">
        <f>Table1[[#This Row],[current_price]]*Table1[[#This Row],[stock_quantity]]</f>
        <v>4280.4000000000005</v>
      </c>
    </row>
    <row r="176" spans="1:18" x14ac:dyDescent="0.25">
      <c r="A176" s="2" t="s">
        <v>229</v>
      </c>
      <c r="B176" s="2" t="s">
        <v>42</v>
      </c>
      <c r="C176" s="2" t="s">
        <v>53</v>
      </c>
      <c r="D176" s="2" t="s">
        <v>17</v>
      </c>
      <c r="E176" s="2" t="s">
        <v>58</v>
      </c>
      <c r="F176" s="2" t="s">
        <v>40</v>
      </c>
      <c r="G176" s="8">
        <v>45.97</v>
      </c>
      <c r="H176" s="11">
        <v>0</v>
      </c>
      <c r="I176" s="8">
        <v>45.97</v>
      </c>
      <c r="J176" s="3">
        <v>45532</v>
      </c>
      <c r="K176" s="14">
        <v>37</v>
      </c>
      <c r="L176" s="17">
        <v>3.2</v>
      </c>
      <c r="M176" s="2" t="b">
        <v>1</v>
      </c>
      <c r="N176" s="2" t="s">
        <v>83</v>
      </c>
      <c r="O176" s="2" t="str">
        <f>IF(Table1[[#This Row],[is_returned]]=TRUE,IF(Table1[[#This Row],[return_reason]]="","Error","OK"),"OK")</f>
        <v>OK</v>
      </c>
      <c r="P176" s="8">
        <f>Table1[[#This Row],[original_price]]*Table1[[#This Row],[markdown_percentage]]/100</f>
        <v>0</v>
      </c>
      <c r="Q17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76" s="25">
        <f>Table1[[#This Row],[current_price]]*Table1[[#This Row],[stock_quantity]]</f>
        <v>1700.8899999999999</v>
      </c>
    </row>
    <row r="177" spans="1:18" x14ac:dyDescent="0.25">
      <c r="A177" s="2" t="s">
        <v>230</v>
      </c>
      <c r="B177" s="2" t="s">
        <v>21</v>
      </c>
      <c r="C177" s="2" t="s">
        <v>53</v>
      </c>
      <c r="D177" s="2" t="s">
        <v>62</v>
      </c>
      <c r="E177" s="2" t="s">
        <v>49</v>
      </c>
      <c r="F177" s="2" t="s">
        <v>28</v>
      </c>
      <c r="G177" s="8">
        <v>28.79</v>
      </c>
      <c r="H177" s="11">
        <v>0</v>
      </c>
      <c r="I177" s="8">
        <v>28.79</v>
      </c>
      <c r="J177" s="3">
        <v>45875</v>
      </c>
      <c r="K177" s="14">
        <v>4</v>
      </c>
      <c r="L177" s="17">
        <v>4.4000000000000004</v>
      </c>
      <c r="M177" s="2" t="b">
        <v>0</v>
      </c>
      <c r="N177" s="2"/>
      <c r="O177" s="2" t="str">
        <f>IF(Table1[[#This Row],[is_returned]]=TRUE,IF(Table1[[#This Row],[return_reason]]="","Error","OK"),"OK")</f>
        <v>OK</v>
      </c>
      <c r="P177" s="8">
        <f>Table1[[#This Row],[original_price]]*Table1[[#This Row],[markdown_percentage]]/100</f>
        <v>0</v>
      </c>
      <c r="Q17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77" s="25">
        <f>Table1[[#This Row],[current_price]]*Table1[[#This Row],[stock_quantity]]</f>
        <v>115.16</v>
      </c>
    </row>
    <row r="178" spans="1:18" x14ac:dyDescent="0.25">
      <c r="A178" s="2" t="s">
        <v>231</v>
      </c>
      <c r="B178" s="2" t="s">
        <v>15</v>
      </c>
      <c r="C178" s="2" t="s">
        <v>22</v>
      </c>
      <c r="D178" s="2" t="s">
        <v>23</v>
      </c>
      <c r="E178" s="2" t="s">
        <v>58</v>
      </c>
      <c r="F178" s="2" t="s">
        <v>40</v>
      </c>
      <c r="G178" s="8">
        <v>204.21</v>
      </c>
      <c r="H178" s="11">
        <v>0</v>
      </c>
      <c r="I178" s="8">
        <v>204.21</v>
      </c>
      <c r="J178" s="3">
        <v>45875</v>
      </c>
      <c r="K178" s="14">
        <v>5</v>
      </c>
      <c r="L178" s="17">
        <v>3.3</v>
      </c>
      <c r="M178" s="2" t="b">
        <v>0</v>
      </c>
      <c r="N178" s="2"/>
      <c r="O178" s="2" t="str">
        <f>IF(Table1[[#This Row],[is_returned]]=TRUE,IF(Table1[[#This Row],[return_reason]]="","Error","OK"),"OK")</f>
        <v>OK</v>
      </c>
      <c r="P178" s="8">
        <f>Table1[[#This Row],[original_price]]*Table1[[#This Row],[markdown_percentage]]/100</f>
        <v>0</v>
      </c>
      <c r="Q17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78" s="25">
        <f>Table1[[#This Row],[current_price]]*Table1[[#This Row],[stock_quantity]]</f>
        <v>1021.0500000000001</v>
      </c>
    </row>
    <row r="179" spans="1:18" x14ac:dyDescent="0.25">
      <c r="A179" s="2" t="s">
        <v>232</v>
      </c>
      <c r="B179" s="2" t="s">
        <v>30</v>
      </c>
      <c r="C179" s="2" t="s">
        <v>43</v>
      </c>
      <c r="D179" s="2" t="s">
        <v>34</v>
      </c>
      <c r="E179" s="2" t="s">
        <v>49</v>
      </c>
      <c r="F179" s="2" t="s">
        <v>25</v>
      </c>
      <c r="G179" s="8">
        <v>190.75</v>
      </c>
      <c r="H179" s="11">
        <v>20</v>
      </c>
      <c r="I179" s="8">
        <v>152.6</v>
      </c>
      <c r="J179" s="3">
        <v>45875</v>
      </c>
      <c r="K179" s="14">
        <v>47</v>
      </c>
      <c r="L179" s="17"/>
      <c r="M179" s="2" t="b">
        <v>0</v>
      </c>
      <c r="N179" s="2"/>
      <c r="O179" s="2" t="str">
        <f>IF(Table1[[#This Row],[is_returned]]=TRUE,IF(Table1[[#This Row],[return_reason]]="","Error","OK"),"OK")</f>
        <v>OK</v>
      </c>
      <c r="P179" s="8">
        <f>Table1[[#This Row],[original_price]]*Table1[[#This Row],[markdown_percentage]]/100</f>
        <v>38.15</v>
      </c>
      <c r="Q17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79" s="25">
        <f>Table1[[#This Row],[current_price]]*Table1[[#This Row],[stock_quantity]]</f>
        <v>7172.2</v>
      </c>
    </row>
    <row r="180" spans="1:18" x14ac:dyDescent="0.25">
      <c r="A180" s="2" t="s">
        <v>233</v>
      </c>
      <c r="B180" s="2" t="s">
        <v>21</v>
      </c>
      <c r="C180" s="2" t="s">
        <v>75</v>
      </c>
      <c r="D180" s="2" t="s">
        <v>23</v>
      </c>
      <c r="E180" s="2" t="s">
        <v>55</v>
      </c>
      <c r="F180" s="2" t="s">
        <v>70</v>
      </c>
      <c r="G180" s="8">
        <v>33.01</v>
      </c>
      <c r="H180" s="11">
        <v>39.200000000000003</v>
      </c>
      <c r="I180" s="8">
        <v>20.07</v>
      </c>
      <c r="J180" s="3">
        <v>45875</v>
      </c>
      <c r="K180" s="14">
        <v>16</v>
      </c>
      <c r="L180" s="17">
        <v>3.7</v>
      </c>
      <c r="M180" s="2" t="b">
        <v>0</v>
      </c>
      <c r="N180" s="2"/>
      <c r="O180" s="2" t="str">
        <f>IF(Table1[[#This Row],[is_returned]]=TRUE,IF(Table1[[#This Row],[return_reason]]="","Error","OK"),"OK")</f>
        <v>OK</v>
      </c>
      <c r="P180" s="8">
        <f>Table1[[#This Row],[original_price]]*Table1[[#This Row],[markdown_percentage]]/100</f>
        <v>12.939919999999999</v>
      </c>
      <c r="Q18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80" s="25">
        <f>Table1[[#This Row],[current_price]]*Table1[[#This Row],[stock_quantity]]</f>
        <v>321.12</v>
      </c>
    </row>
    <row r="181" spans="1:18" x14ac:dyDescent="0.25">
      <c r="A181" s="2" t="s">
        <v>234</v>
      </c>
      <c r="B181" s="2" t="s">
        <v>27</v>
      </c>
      <c r="C181" s="2" t="s">
        <v>32</v>
      </c>
      <c r="D181" s="2" t="s">
        <v>17</v>
      </c>
      <c r="E181" s="2"/>
      <c r="F181" s="2" t="s">
        <v>44</v>
      </c>
      <c r="G181" s="8">
        <v>47.61</v>
      </c>
      <c r="H181" s="11">
        <v>39.799999999999997</v>
      </c>
      <c r="I181" s="8">
        <v>28.66</v>
      </c>
      <c r="J181" s="3">
        <v>45629</v>
      </c>
      <c r="K181" s="14">
        <v>18</v>
      </c>
      <c r="L181" s="17">
        <v>1.3</v>
      </c>
      <c r="M181" s="2" t="b">
        <v>0</v>
      </c>
      <c r="N181" s="2"/>
      <c r="O181" s="2" t="str">
        <f>IF(Table1[[#This Row],[is_returned]]=TRUE,IF(Table1[[#This Row],[return_reason]]="","Error","OK"),"OK")</f>
        <v>OK</v>
      </c>
      <c r="P181" s="8">
        <f>Table1[[#This Row],[original_price]]*Table1[[#This Row],[markdown_percentage]]/100</f>
        <v>18.948779999999999</v>
      </c>
      <c r="Q18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81" s="25">
        <f>Table1[[#This Row],[current_price]]*Table1[[#This Row],[stock_quantity]]</f>
        <v>515.88</v>
      </c>
    </row>
    <row r="182" spans="1:18" x14ac:dyDescent="0.25">
      <c r="A182" s="2" t="s">
        <v>235</v>
      </c>
      <c r="B182" s="2" t="s">
        <v>15</v>
      </c>
      <c r="C182" s="2" t="s">
        <v>48</v>
      </c>
      <c r="D182" s="2" t="s">
        <v>17</v>
      </c>
      <c r="E182" s="2" t="s">
        <v>55</v>
      </c>
      <c r="F182" s="2" t="s">
        <v>19</v>
      </c>
      <c r="G182" s="8">
        <v>137.16</v>
      </c>
      <c r="H182" s="11">
        <v>0</v>
      </c>
      <c r="I182" s="8">
        <v>137.16</v>
      </c>
      <c r="J182" s="3">
        <v>45561</v>
      </c>
      <c r="K182" s="14">
        <v>34</v>
      </c>
      <c r="L182" s="17">
        <v>3.2</v>
      </c>
      <c r="M182" s="2" t="b">
        <v>0</v>
      </c>
      <c r="N182" s="2"/>
      <c r="O182" s="2" t="str">
        <f>IF(Table1[[#This Row],[is_returned]]=TRUE,IF(Table1[[#This Row],[return_reason]]="","Error","OK"),"OK")</f>
        <v>OK</v>
      </c>
      <c r="P182" s="8">
        <f>Table1[[#This Row],[original_price]]*Table1[[#This Row],[markdown_percentage]]/100</f>
        <v>0</v>
      </c>
      <c r="Q18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82" s="25">
        <f>Table1[[#This Row],[current_price]]*Table1[[#This Row],[stock_quantity]]</f>
        <v>4663.4399999999996</v>
      </c>
    </row>
    <row r="183" spans="1:18" x14ac:dyDescent="0.25">
      <c r="A183" s="2" t="s">
        <v>236</v>
      </c>
      <c r="B183" s="2" t="s">
        <v>21</v>
      </c>
      <c r="C183" s="2" t="s">
        <v>61</v>
      </c>
      <c r="D183" s="2" t="s">
        <v>34</v>
      </c>
      <c r="E183" s="2" t="s">
        <v>58</v>
      </c>
      <c r="F183" s="2" t="s">
        <v>64</v>
      </c>
      <c r="G183" s="8">
        <v>108.49</v>
      </c>
      <c r="H183" s="11">
        <v>0</v>
      </c>
      <c r="I183" s="8">
        <v>108.49</v>
      </c>
      <c r="J183" s="3">
        <v>45875</v>
      </c>
      <c r="K183" s="14">
        <v>7</v>
      </c>
      <c r="L183" s="17">
        <v>3.3</v>
      </c>
      <c r="M183" s="2" t="b">
        <v>0</v>
      </c>
      <c r="N183" s="2"/>
      <c r="O183" s="2" t="str">
        <f>IF(Table1[[#This Row],[is_returned]]=TRUE,IF(Table1[[#This Row],[return_reason]]="","Error","OK"),"OK")</f>
        <v>OK</v>
      </c>
      <c r="P183" s="8">
        <f>Table1[[#This Row],[original_price]]*Table1[[#This Row],[markdown_percentage]]/100</f>
        <v>0</v>
      </c>
      <c r="Q18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83" s="25">
        <f>Table1[[#This Row],[current_price]]*Table1[[#This Row],[stock_quantity]]</f>
        <v>759.43</v>
      </c>
    </row>
    <row r="184" spans="1:18" x14ac:dyDescent="0.25">
      <c r="A184" s="2" t="s">
        <v>237</v>
      </c>
      <c r="B184" s="2" t="s">
        <v>21</v>
      </c>
      <c r="C184" s="2" t="s">
        <v>32</v>
      </c>
      <c r="D184" s="2" t="s">
        <v>23</v>
      </c>
      <c r="E184" s="2" t="s">
        <v>18</v>
      </c>
      <c r="F184" s="2" t="s">
        <v>46</v>
      </c>
      <c r="G184" s="8">
        <v>106.49</v>
      </c>
      <c r="H184" s="11">
        <v>0</v>
      </c>
      <c r="I184" s="8">
        <v>106.49</v>
      </c>
      <c r="J184" s="3">
        <v>45875</v>
      </c>
      <c r="K184" s="14">
        <v>23</v>
      </c>
      <c r="L184" s="17">
        <v>4</v>
      </c>
      <c r="M184" s="2" t="b">
        <v>0</v>
      </c>
      <c r="N184" s="2"/>
      <c r="O184" s="2" t="str">
        <f>IF(Table1[[#This Row],[is_returned]]=TRUE,IF(Table1[[#This Row],[return_reason]]="","Error","OK"),"OK")</f>
        <v>OK</v>
      </c>
      <c r="P184" s="8">
        <f>Table1[[#This Row],[original_price]]*Table1[[#This Row],[markdown_percentage]]/100</f>
        <v>0</v>
      </c>
      <c r="Q18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84" s="25">
        <f>Table1[[#This Row],[current_price]]*Table1[[#This Row],[stock_quantity]]</f>
        <v>2449.27</v>
      </c>
    </row>
    <row r="185" spans="1:18" x14ac:dyDescent="0.25">
      <c r="A185" s="2" t="s">
        <v>238</v>
      </c>
      <c r="B185" s="2" t="s">
        <v>21</v>
      </c>
      <c r="C185" s="2" t="s">
        <v>43</v>
      </c>
      <c r="D185" s="2" t="s">
        <v>23</v>
      </c>
      <c r="E185" s="2" t="s">
        <v>49</v>
      </c>
      <c r="F185" s="2" t="s">
        <v>25</v>
      </c>
      <c r="G185" s="8">
        <v>114.86</v>
      </c>
      <c r="H185" s="11">
        <v>0</v>
      </c>
      <c r="I185" s="8">
        <v>114.86</v>
      </c>
      <c r="J185" s="3">
        <v>45875</v>
      </c>
      <c r="K185" s="14">
        <v>48</v>
      </c>
      <c r="L185" s="17">
        <v>1.1000000000000001</v>
      </c>
      <c r="M185" s="2" t="b">
        <v>0</v>
      </c>
      <c r="N185" s="2"/>
      <c r="O185" s="2" t="str">
        <f>IF(Table1[[#This Row],[is_returned]]=TRUE,IF(Table1[[#This Row],[return_reason]]="","Error","OK"),"OK")</f>
        <v>OK</v>
      </c>
      <c r="P185" s="8">
        <f>Table1[[#This Row],[original_price]]*Table1[[#This Row],[markdown_percentage]]/100</f>
        <v>0</v>
      </c>
      <c r="Q18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85" s="25">
        <f>Table1[[#This Row],[current_price]]*Table1[[#This Row],[stock_quantity]]</f>
        <v>5513.28</v>
      </c>
    </row>
    <row r="186" spans="1:18" x14ac:dyDescent="0.25">
      <c r="A186" s="2" t="s">
        <v>239</v>
      </c>
      <c r="B186" s="2" t="s">
        <v>42</v>
      </c>
      <c r="C186" s="2" t="s">
        <v>16</v>
      </c>
      <c r="D186" s="2" t="s">
        <v>34</v>
      </c>
      <c r="E186" s="2" t="s">
        <v>24</v>
      </c>
      <c r="F186" s="2" t="s">
        <v>44</v>
      </c>
      <c r="G186" s="8">
        <v>121.68</v>
      </c>
      <c r="H186" s="11">
        <v>0</v>
      </c>
      <c r="I186" s="8">
        <v>121.68</v>
      </c>
      <c r="J186" s="3">
        <v>45875</v>
      </c>
      <c r="K186" s="14">
        <v>9</v>
      </c>
      <c r="L186" s="17">
        <v>1.5</v>
      </c>
      <c r="M186" s="2" t="b">
        <v>0</v>
      </c>
      <c r="N186" s="2"/>
      <c r="O186" s="2" t="str">
        <f>IF(Table1[[#This Row],[is_returned]]=TRUE,IF(Table1[[#This Row],[return_reason]]="","Error","OK"),"OK")</f>
        <v>OK</v>
      </c>
      <c r="P186" s="8">
        <f>Table1[[#This Row],[original_price]]*Table1[[#This Row],[markdown_percentage]]/100</f>
        <v>0</v>
      </c>
      <c r="Q18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86" s="25">
        <f>Table1[[#This Row],[current_price]]*Table1[[#This Row],[stock_quantity]]</f>
        <v>1095.1200000000001</v>
      </c>
    </row>
    <row r="187" spans="1:18" x14ac:dyDescent="0.25">
      <c r="A187" s="2" t="s">
        <v>240</v>
      </c>
      <c r="B187" s="2" t="s">
        <v>38</v>
      </c>
      <c r="C187" s="2" t="s">
        <v>16</v>
      </c>
      <c r="D187" s="2" t="s">
        <v>62</v>
      </c>
      <c r="E187" s="2" t="s">
        <v>49</v>
      </c>
      <c r="F187" s="2" t="s">
        <v>28</v>
      </c>
      <c r="G187" s="8">
        <v>74.08</v>
      </c>
      <c r="H187" s="11">
        <v>3.9</v>
      </c>
      <c r="I187" s="8">
        <v>71.19</v>
      </c>
      <c r="J187" s="3">
        <v>45875</v>
      </c>
      <c r="K187" s="14">
        <v>37</v>
      </c>
      <c r="L187" s="17">
        <v>1.7</v>
      </c>
      <c r="M187" s="2" t="b">
        <v>0</v>
      </c>
      <c r="N187" s="2"/>
      <c r="O187" s="2" t="str">
        <f>IF(Table1[[#This Row],[is_returned]]=TRUE,IF(Table1[[#This Row],[return_reason]]="","Error","OK"),"OK")</f>
        <v>OK</v>
      </c>
      <c r="P187" s="8">
        <f>Table1[[#This Row],[original_price]]*Table1[[#This Row],[markdown_percentage]]/100</f>
        <v>2.8891199999999997</v>
      </c>
      <c r="Q18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87" s="25">
        <f>Table1[[#This Row],[current_price]]*Table1[[#This Row],[stock_quantity]]</f>
        <v>2634.0299999999997</v>
      </c>
    </row>
    <row r="188" spans="1:18" x14ac:dyDescent="0.25">
      <c r="A188" s="2" t="s">
        <v>241</v>
      </c>
      <c r="B188" s="2" t="s">
        <v>21</v>
      </c>
      <c r="C188" s="2" t="s">
        <v>61</v>
      </c>
      <c r="D188" s="2" t="s">
        <v>34</v>
      </c>
      <c r="E188" s="2" t="s">
        <v>58</v>
      </c>
      <c r="F188" s="2" t="s">
        <v>44</v>
      </c>
      <c r="G188" s="8">
        <v>92.37</v>
      </c>
      <c r="H188" s="11">
        <v>35.9</v>
      </c>
      <c r="I188" s="8">
        <v>59.21</v>
      </c>
      <c r="J188" s="3">
        <v>45875</v>
      </c>
      <c r="K188" s="14">
        <v>20</v>
      </c>
      <c r="L188" s="17"/>
      <c r="M188" s="2" t="b">
        <v>0</v>
      </c>
      <c r="N188" s="2"/>
      <c r="O188" s="2" t="str">
        <f>IF(Table1[[#This Row],[is_returned]]=TRUE,IF(Table1[[#This Row],[return_reason]]="","Error","OK"),"OK")</f>
        <v>OK</v>
      </c>
      <c r="P188" s="8">
        <f>Table1[[#This Row],[original_price]]*Table1[[#This Row],[markdown_percentage]]/100</f>
        <v>33.160830000000004</v>
      </c>
      <c r="Q18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88" s="25">
        <f>Table1[[#This Row],[current_price]]*Table1[[#This Row],[stock_quantity]]</f>
        <v>1184.2</v>
      </c>
    </row>
    <row r="189" spans="1:18" x14ac:dyDescent="0.25">
      <c r="A189" s="2" t="s">
        <v>242</v>
      </c>
      <c r="B189" s="2" t="s">
        <v>21</v>
      </c>
      <c r="C189" s="2" t="s">
        <v>22</v>
      </c>
      <c r="D189" s="2" t="s">
        <v>62</v>
      </c>
      <c r="E189" s="2" t="s">
        <v>49</v>
      </c>
      <c r="F189" s="2" t="s">
        <v>56</v>
      </c>
      <c r="G189" s="8">
        <v>34.06</v>
      </c>
      <c r="H189" s="11">
        <v>0</v>
      </c>
      <c r="I189" s="8">
        <v>34.06</v>
      </c>
      <c r="J189" s="3">
        <v>45875</v>
      </c>
      <c r="K189" s="14">
        <v>39</v>
      </c>
      <c r="L189" s="17">
        <v>4.5</v>
      </c>
      <c r="M189" s="2" t="b">
        <v>0</v>
      </c>
      <c r="N189" s="2"/>
      <c r="O189" s="2" t="str">
        <f>IF(Table1[[#This Row],[is_returned]]=TRUE,IF(Table1[[#This Row],[return_reason]]="","Error","OK"),"OK")</f>
        <v>OK</v>
      </c>
      <c r="P189" s="8">
        <f>Table1[[#This Row],[original_price]]*Table1[[#This Row],[markdown_percentage]]/100</f>
        <v>0</v>
      </c>
      <c r="Q18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89" s="25">
        <f>Table1[[#This Row],[current_price]]*Table1[[#This Row],[stock_quantity]]</f>
        <v>1328.3400000000001</v>
      </c>
    </row>
    <row r="190" spans="1:18" x14ac:dyDescent="0.25">
      <c r="A190" s="2" t="s">
        <v>243</v>
      </c>
      <c r="B190" s="2" t="s">
        <v>42</v>
      </c>
      <c r="C190" s="2" t="s">
        <v>16</v>
      </c>
      <c r="D190" s="2" t="s">
        <v>62</v>
      </c>
      <c r="E190" s="2" t="s">
        <v>24</v>
      </c>
      <c r="F190" s="2" t="s">
        <v>25</v>
      </c>
      <c r="G190" s="8">
        <v>173.42</v>
      </c>
      <c r="H190" s="11">
        <v>0</v>
      </c>
      <c r="I190" s="8">
        <v>173.42</v>
      </c>
      <c r="J190" s="3">
        <v>45875</v>
      </c>
      <c r="K190" s="14">
        <v>47</v>
      </c>
      <c r="L190" s="17">
        <v>4.2</v>
      </c>
      <c r="M190" s="2" t="b">
        <v>0</v>
      </c>
      <c r="N190" s="2"/>
      <c r="O190" s="2" t="str">
        <f>IF(Table1[[#This Row],[is_returned]]=TRUE,IF(Table1[[#This Row],[return_reason]]="","Error","OK"),"OK")</f>
        <v>OK</v>
      </c>
      <c r="P190" s="8">
        <f>Table1[[#This Row],[original_price]]*Table1[[#This Row],[markdown_percentage]]/100</f>
        <v>0</v>
      </c>
      <c r="Q19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90" s="25">
        <f>Table1[[#This Row],[current_price]]*Table1[[#This Row],[stock_quantity]]</f>
        <v>8150.74</v>
      </c>
    </row>
    <row r="191" spans="1:18" x14ac:dyDescent="0.25">
      <c r="A191" s="2" t="s">
        <v>244</v>
      </c>
      <c r="B191" s="2" t="s">
        <v>38</v>
      </c>
      <c r="C191" s="2" t="s">
        <v>22</v>
      </c>
      <c r="D191" s="2" t="s">
        <v>17</v>
      </c>
      <c r="E191" s="2" t="s">
        <v>49</v>
      </c>
      <c r="F191" s="2" t="s">
        <v>70</v>
      </c>
      <c r="G191" s="8">
        <v>66.510000000000005</v>
      </c>
      <c r="H191" s="11">
        <v>0</v>
      </c>
      <c r="I191" s="8">
        <v>66.510000000000005</v>
      </c>
      <c r="J191" s="3">
        <v>45569</v>
      </c>
      <c r="K191" s="14">
        <v>32</v>
      </c>
      <c r="L191" s="17">
        <v>2.1</v>
      </c>
      <c r="M191" s="2" t="b">
        <v>0</v>
      </c>
      <c r="N191" s="2"/>
      <c r="O191" s="2" t="str">
        <f>IF(Table1[[#This Row],[is_returned]]=TRUE,IF(Table1[[#This Row],[return_reason]]="","Error","OK"),"OK")</f>
        <v>OK</v>
      </c>
      <c r="P191" s="8">
        <f>Table1[[#This Row],[original_price]]*Table1[[#This Row],[markdown_percentage]]/100</f>
        <v>0</v>
      </c>
      <c r="Q19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91" s="25">
        <f>Table1[[#This Row],[current_price]]*Table1[[#This Row],[stock_quantity]]</f>
        <v>2128.3200000000002</v>
      </c>
    </row>
    <row r="192" spans="1:18" x14ac:dyDescent="0.25">
      <c r="A192" s="2" t="s">
        <v>245</v>
      </c>
      <c r="B192" s="2" t="s">
        <v>38</v>
      </c>
      <c r="C192" s="2" t="s">
        <v>22</v>
      </c>
      <c r="D192" s="2" t="s">
        <v>34</v>
      </c>
      <c r="E192" s="2" t="s">
        <v>49</v>
      </c>
      <c r="F192" s="2" t="s">
        <v>44</v>
      </c>
      <c r="G192" s="8">
        <v>72.44</v>
      </c>
      <c r="H192" s="11">
        <v>7.1</v>
      </c>
      <c r="I192" s="8">
        <v>67.3</v>
      </c>
      <c r="J192" s="3">
        <v>45875</v>
      </c>
      <c r="K192" s="14">
        <v>10</v>
      </c>
      <c r="L192" s="17">
        <v>1.8</v>
      </c>
      <c r="M192" s="2" t="b">
        <v>0</v>
      </c>
      <c r="N192" s="2"/>
      <c r="O192" s="2" t="str">
        <f>IF(Table1[[#This Row],[is_returned]]=TRUE,IF(Table1[[#This Row],[return_reason]]="","Error","OK"),"OK")</f>
        <v>OK</v>
      </c>
      <c r="P192" s="8">
        <f>Table1[[#This Row],[original_price]]*Table1[[#This Row],[markdown_percentage]]/100</f>
        <v>5.1432399999999996</v>
      </c>
      <c r="Q19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92" s="25">
        <f>Table1[[#This Row],[current_price]]*Table1[[#This Row],[stock_quantity]]</f>
        <v>673</v>
      </c>
    </row>
    <row r="193" spans="1:18" x14ac:dyDescent="0.25">
      <c r="A193" s="2" t="s">
        <v>246</v>
      </c>
      <c r="B193" s="2" t="s">
        <v>21</v>
      </c>
      <c r="C193" s="2" t="s">
        <v>53</v>
      </c>
      <c r="D193" s="2" t="s">
        <v>34</v>
      </c>
      <c r="E193" s="2" t="s">
        <v>39</v>
      </c>
      <c r="F193" s="2" t="s">
        <v>28</v>
      </c>
      <c r="G193" s="8">
        <v>81.2</v>
      </c>
      <c r="H193" s="11">
        <v>0</v>
      </c>
      <c r="I193" s="8">
        <v>81.2</v>
      </c>
      <c r="J193" s="3">
        <v>45875</v>
      </c>
      <c r="K193" s="14">
        <v>3</v>
      </c>
      <c r="L193" s="17">
        <v>1.5</v>
      </c>
      <c r="M193" s="2" t="b">
        <v>0</v>
      </c>
      <c r="N193" s="2"/>
      <c r="O193" s="2" t="str">
        <f>IF(Table1[[#This Row],[is_returned]]=TRUE,IF(Table1[[#This Row],[return_reason]]="","Error","OK"),"OK")</f>
        <v>OK</v>
      </c>
      <c r="P193" s="8">
        <f>Table1[[#This Row],[original_price]]*Table1[[#This Row],[markdown_percentage]]/100</f>
        <v>0</v>
      </c>
      <c r="Q19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93" s="25">
        <f>Table1[[#This Row],[current_price]]*Table1[[#This Row],[stock_quantity]]</f>
        <v>243.60000000000002</v>
      </c>
    </row>
    <row r="194" spans="1:18" x14ac:dyDescent="0.25">
      <c r="A194" s="2" t="s">
        <v>247</v>
      </c>
      <c r="B194" s="2" t="s">
        <v>15</v>
      </c>
      <c r="C194" s="2" t="s">
        <v>61</v>
      </c>
      <c r="D194" s="2" t="s">
        <v>62</v>
      </c>
      <c r="E194" s="2" t="s">
        <v>49</v>
      </c>
      <c r="F194" s="2" t="s">
        <v>19</v>
      </c>
      <c r="G194" s="8">
        <v>104.5</v>
      </c>
      <c r="H194" s="11">
        <v>12.3</v>
      </c>
      <c r="I194" s="8">
        <v>91.65</v>
      </c>
      <c r="J194" s="3">
        <v>45875</v>
      </c>
      <c r="K194" s="14">
        <v>42</v>
      </c>
      <c r="L194" s="17"/>
      <c r="M194" s="2" t="b">
        <v>0</v>
      </c>
      <c r="N194" s="2"/>
      <c r="O194" s="2" t="str">
        <f>IF(Table1[[#This Row],[is_returned]]=TRUE,IF(Table1[[#This Row],[return_reason]]="","Error","OK"),"OK")</f>
        <v>OK</v>
      </c>
      <c r="P194" s="8">
        <f>Table1[[#This Row],[original_price]]*Table1[[#This Row],[markdown_percentage]]/100</f>
        <v>12.853500000000002</v>
      </c>
      <c r="Q19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94" s="25">
        <f>Table1[[#This Row],[current_price]]*Table1[[#This Row],[stock_quantity]]</f>
        <v>3849.3</v>
      </c>
    </row>
    <row r="195" spans="1:18" x14ac:dyDescent="0.25">
      <c r="A195" s="2" t="s">
        <v>248</v>
      </c>
      <c r="B195" s="2" t="s">
        <v>42</v>
      </c>
      <c r="C195" s="2" t="s">
        <v>61</v>
      </c>
      <c r="D195" s="2" t="s">
        <v>23</v>
      </c>
      <c r="E195" s="2" t="s">
        <v>18</v>
      </c>
      <c r="F195" s="2" t="s">
        <v>25</v>
      </c>
      <c r="G195" s="8">
        <v>57.53</v>
      </c>
      <c r="H195" s="11">
        <v>13</v>
      </c>
      <c r="I195" s="8">
        <v>50.05</v>
      </c>
      <c r="J195" s="3">
        <v>45875</v>
      </c>
      <c r="K195" s="14">
        <v>12</v>
      </c>
      <c r="L195" s="17">
        <v>4.0999999999999996</v>
      </c>
      <c r="M195" s="2" t="b">
        <v>0</v>
      </c>
      <c r="N195" s="2"/>
      <c r="O195" s="2" t="str">
        <f>IF(Table1[[#This Row],[is_returned]]=TRUE,IF(Table1[[#This Row],[return_reason]]="","Error","OK"),"OK")</f>
        <v>OK</v>
      </c>
      <c r="P195" s="8">
        <f>Table1[[#This Row],[original_price]]*Table1[[#This Row],[markdown_percentage]]/100</f>
        <v>7.4788999999999994</v>
      </c>
      <c r="Q19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95" s="25">
        <f>Table1[[#This Row],[current_price]]*Table1[[#This Row],[stock_quantity]]</f>
        <v>600.59999999999991</v>
      </c>
    </row>
    <row r="196" spans="1:18" x14ac:dyDescent="0.25">
      <c r="A196" s="2" t="s">
        <v>249</v>
      </c>
      <c r="B196" s="2" t="s">
        <v>30</v>
      </c>
      <c r="C196" s="2" t="s">
        <v>32</v>
      </c>
      <c r="D196" s="2" t="s">
        <v>62</v>
      </c>
      <c r="E196" s="2" t="s">
        <v>49</v>
      </c>
      <c r="F196" s="2" t="s">
        <v>40</v>
      </c>
      <c r="G196" s="8">
        <v>142.58000000000001</v>
      </c>
      <c r="H196" s="11">
        <v>0</v>
      </c>
      <c r="I196" s="8">
        <v>142.58000000000001</v>
      </c>
      <c r="J196" s="3">
        <v>45875</v>
      </c>
      <c r="K196" s="14">
        <v>25</v>
      </c>
      <c r="L196" s="17">
        <v>4.8</v>
      </c>
      <c r="M196" s="2" t="b">
        <v>1</v>
      </c>
      <c r="N196" s="2" t="s">
        <v>83</v>
      </c>
      <c r="O196" s="2" t="str">
        <f>IF(Table1[[#This Row],[is_returned]]=TRUE,IF(Table1[[#This Row],[return_reason]]="","Error","OK"),"OK")</f>
        <v>OK</v>
      </c>
      <c r="P196" s="8">
        <f>Table1[[#This Row],[original_price]]*Table1[[#This Row],[markdown_percentage]]/100</f>
        <v>0</v>
      </c>
      <c r="Q19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96" s="25">
        <f>Table1[[#This Row],[current_price]]*Table1[[#This Row],[stock_quantity]]</f>
        <v>3564.5000000000005</v>
      </c>
    </row>
    <row r="197" spans="1:18" x14ac:dyDescent="0.25">
      <c r="A197" s="2" t="s">
        <v>250</v>
      </c>
      <c r="B197" s="2" t="s">
        <v>42</v>
      </c>
      <c r="C197" s="2" t="s">
        <v>16</v>
      </c>
      <c r="D197" s="2" t="s">
        <v>34</v>
      </c>
      <c r="E197" s="2" t="s">
        <v>49</v>
      </c>
      <c r="F197" s="2" t="s">
        <v>46</v>
      </c>
      <c r="G197" s="8">
        <v>162.22999999999999</v>
      </c>
      <c r="H197" s="11">
        <v>29.4</v>
      </c>
      <c r="I197" s="8">
        <v>114.53</v>
      </c>
      <c r="J197" s="3">
        <v>45875</v>
      </c>
      <c r="K197" s="14">
        <v>41</v>
      </c>
      <c r="L197" s="17">
        <v>4</v>
      </c>
      <c r="M197" s="2" t="b">
        <v>1</v>
      </c>
      <c r="N197" s="2" t="s">
        <v>83</v>
      </c>
      <c r="O197" s="2" t="str">
        <f>IF(Table1[[#This Row],[is_returned]]=TRUE,IF(Table1[[#This Row],[return_reason]]="","Error","OK"),"OK")</f>
        <v>OK</v>
      </c>
      <c r="P197" s="8">
        <f>Table1[[#This Row],[original_price]]*Table1[[#This Row],[markdown_percentage]]/100</f>
        <v>47.695619999999998</v>
      </c>
      <c r="Q19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97" s="25">
        <f>Table1[[#This Row],[current_price]]*Table1[[#This Row],[stock_quantity]]</f>
        <v>4695.7300000000005</v>
      </c>
    </row>
    <row r="198" spans="1:18" x14ac:dyDescent="0.25">
      <c r="A198" s="2" t="s">
        <v>251</v>
      </c>
      <c r="B198" s="2" t="s">
        <v>38</v>
      </c>
      <c r="C198" s="2" t="s">
        <v>53</v>
      </c>
      <c r="D198" s="2" t="s">
        <v>17</v>
      </c>
      <c r="E198" s="2" t="s">
        <v>49</v>
      </c>
      <c r="F198" s="2" t="s">
        <v>19</v>
      </c>
      <c r="G198" s="8">
        <v>32.1</v>
      </c>
      <c r="H198" s="11">
        <v>51.7</v>
      </c>
      <c r="I198" s="8">
        <v>15.5</v>
      </c>
      <c r="J198" s="3">
        <v>45619</v>
      </c>
      <c r="K198" s="14">
        <v>27</v>
      </c>
      <c r="L198" s="17"/>
      <c r="M198" s="2" t="b">
        <v>0</v>
      </c>
      <c r="N198" s="2"/>
      <c r="O198" s="2" t="str">
        <f>IF(Table1[[#This Row],[is_returned]]=TRUE,IF(Table1[[#This Row],[return_reason]]="","Error","OK"),"OK")</f>
        <v>OK</v>
      </c>
      <c r="P198" s="8">
        <f>Table1[[#This Row],[original_price]]*Table1[[#This Row],[markdown_percentage]]/100</f>
        <v>16.595700000000001</v>
      </c>
      <c r="Q19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98" s="25">
        <f>Table1[[#This Row],[current_price]]*Table1[[#This Row],[stock_quantity]]</f>
        <v>418.5</v>
      </c>
    </row>
    <row r="199" spans="1:18" x14ac:dyDescent="0.25">
      <c r="A199" s="2" t="s">
        <v>252</v>
      </c>
      <c r="B199" s="2" t="s">
        <v>30</v>
      </c>
      <c r="C199" s="2" t="s">
        <v>22</v>
      </c>
      <c r="D199" s="2" t="s">
        <v>34</v>
      </c>
      <c r="E199" s="2" t="s">
        <v>24</v>
      </c>
      <c r="F199" s="2" t="s">
        <v>28</v>
      </c>
      <c r="G199" s="8">
        <v>162.41</v>
      </c>
      <c r="H199" s="11">
        <v>42.7</v>
      </c>
      <c r="I199" s="8">
        <v>93.06</v>
      </c>
      <c r="J199" s="3">
        <v>45875</v>
      </c>
      <c r="K199" s="14">
        <v>22</v>
      </c>
      <c r="L199" s="17">
        <v>4.8</v>
      </c>
      <c r="M199" s="2" t="b">
        <v>0</v>
      </c>
      <c r="N199" s="2"/>
      <c r="O199" s="2" t="str">
        <f>IF(Table1[[#This Row],[is_returned]]=TRUE,IF(Table1[[#This Row],[return_reason]]="","Error","OK"),"OK")</f>
        <v>OK</v>
      </c>
      <c r="P199" s="8">
        <f>Table1[[#This Row],[original_price]]*Table1[[#This Row],[markdown_percentage]]/100</f>
        <v>69.349069999999998</v>
      </c>
      <c r="Q19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99" s="25">
        <f>Table1[[#This Row],[current_price]]*Table1[[#This Row],[stock_quantity]]</f>
        <v>2047.3200000000002</v>
      </c>
    </row>
    <row r="200" spans="1:18" x14ac:dyDescent="0.25">
      <c r="A200" s="2" t="s">
        <v>253</v>
      </c>
      <c r="B200" s="2" t="s">
        <v>21</v>
      </c>
      <c r="C200" s="2" t="s">
        <v>32</v>
      </c>
      <c r="D200" s="2" t="s">
        <v>34</v>
      </c>
      <c r="E200" s="2" t="s">
        <v>58</v>
      </c>
      <c r="F200" s="2" t="s">
        <v>40</v>
      </c>
      <c r="G200" s="8">
        <v>77.459999999999994</v>
      </c>
      <c r="H200" s="11">
        <v>57.5</v>
      </c>
      <c r="I200" s="8">
        <v>32.92</v>
      </c>
      <c r="J200" s="3">
        <v>45875</v>
      </c>
      <c r="K200" s="14">
        <v>23</v>
      </c>
      <c r="L200" s="17">
        <v>4</v>
      </c>
      <c r="M200" s="2" t="b">
        <v>0</v>
      </c>
      <c r="N200" s="2"/>
      <c r="O200" s="2" t="str">
        <f>IF(Table1[[#This Row],[is_returned]]=TRUE,IF(Table1[[#This Row],[return_reason]]="","Error","OK"),"OK")</f>
        <v>OK</v>
      </c>
      <c r="P200" s="8">
        <f>Table1[[#This Row],[original_price]]*Table1[[#This Row],[markdown_percentage]]/100</f>
        <v>44.539499999999997</v>
      </c>
      <c r="Q20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00" s="25">
        <f>Table1[[#This Row],[current_price]]*Table1[[#This Row],[stock_quantity]]</f>
        <v>757.16000000000008</v>
      </c>
    </row>
    <row r="201" spans="1:18" x14ac:dyDescent="0.25">
      <c r="A201" s="2" t="s">
        <v>254</v>
      </c>
      <c r="B201" s="2" t="s">
        <v>21</v>
      </c>
      <c r="C201" s="2" t="s">
        <v>48</v>
      </c>
      <c r="D201" s="2" t="s">
        <v>34</v>
      </c>
      <c r="E201" s="2" t="s">
        <v>49</v>
      </c>
      <c r="F201" s="2" t="s">
        <v>44</v>
      </c>
      <c r="G201" s="8">
        <v>103.42</v>
      </c>
      <c r="H201" s="11">
        <v>56.1</v>
      </c>
      <c r="I201" s="8">
        <v>45.4</v>
      </c>
      <c r="J201" s="3">
        <v>45875</v>
      </c>
      <c r="K201" s="14">
        <v>4</v>
      </c>
      <c r="L201" s="17">
        <v>4.7</v>
      </c>
      <c r="M201" s="2" t="b">
        <v>0</v>
      </c>
      <c r="N201" s="2"/>
      <c r="O201" s="2" t="str">
        <f>IF(Table1[[#This Row],[is_returned]]=TRUE,IF(Table1[[#This Row],[return_reason]]="","Error","OK"),"OK")</f>
        <v>OK</v>
      </c>
      <c r="P201" s="8">
        <f>Table1[[#This Row],[original_price]]*Table1[[#This Row],[markdown_percentage]]/100</f>
        <v>58.018619999999999</v>
      </c>
      <c r="Q20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01" s="25">
        <f>Table1[[#This Row],[current_price]]*Table1[[#This Row],[stock_quantity]]</f>
        <v>181.6</v>
      </c>
    </row>
    <row r="202" spans="1:18" x14ac:dyDescent="0.25">
      <c r="A202" s="2" t="s">
        <v>255</v>
      </c>
      <c r="B202" s="2" t="s">
        <v>38</v>
      </c>
      <c r="C202" s="2" t="s">
        <v>16</v>
      </c>
      <c r="D202" s="2" t="s">
        <v>17</v>
      </c>
      <c r="E202" s="2" t="s">
        <v>55</v>
      </c>
      <c r="F202" s="2" t="s">
        <v>46</v>
      </c>
      <c r="G202" s="8">
        <v>42.91</v>
      </c>
      <c r="H202" s="11">
        <v>33.299999999999997</v>
      </c>
      <c r="I202" s="8">
        <v>28.62</v>
      </c>
      <c r="J202" s="3">
        <v>45619</v>
      </c>
      <c r="K202" s="14">
        <v>18</v>
      </c>
      <c r="L202" s="17"/>
      <c r="M202" s="2" t="b">
        <v>0</v>
      </c>
      <c r="N202" s="2"/>
      <c r="O202" s="2" t="str">
        <f>IF(Table1[[#This Row],[is_returned]]=TRUE,IF(Table1[[#This Row],[return_reason]]="","Error","OK"),"OK")</f>
        <v>OK</v>
      </c>
      <c r="P202" s="8">
        <f>Table1[[#This Row],[original_price]]*Table1[[#This Row],[markdown_percentage]]/100</f>
        <v>14.289029999999999</v>
      </c>
      <c r="Q20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02" s="25">
        <f>Table1[[#This Row],[current_price]]*Table1[[#This Row],[stock_quantity]]</f>
        <v>515.16</v>
      </c>
    </row>
    <row r="203" spans="1:18" x14ac:dyDescent="0.25">
      <c r="A203" s="2" t="s">
        <v>256</v>
      </c>
      <c r="B203" s="2" t="s">
        <v>30</v>
      </c>
      <c r="C203" s="2" t="s">
        <v>16</v>
      </c>
      <c r="D203" s="2" t="s">
        <v>62</v>
      </c>
      <c r="E203" s="2" t="s">
        <v>18</v>
      </c>
      <c r="F203" s="2" t="s">
        <v>46</v>
      </c>
      <c r="G203" s="8">
        <v>144.91999999999999</v>
      </c>
      <c r="H203" s="11">
        <v>17</v>
      </c>
      <c r="I203" s="8">
        <v>120.28</v>
      </c>
      <c r="J203" s="3">
        <v>45875</v>
      </c>
      <c r="K203" s="14">
        <v>32</v>
      </c>
      <c r="L203" s="17">
        <v>2</v>
      </c>
      <c r="M203" s="2" t="b">
        <v>0</v>
      </c>
      <c r="N203" s="2"/>
      <c r="O203" s="2" t="str">
        <f>IF(Table1[[#This Row],[is_returned]]=TRUE,IF(Table1[[#This Row],[return_reason]]="","Error","OK"),"OK")</f>
        <v>OK</v>
      </c>
      <c r="P203" s="8">
        <f>Table1[[#This Row],[original_price]]*Table1[[#This Row],[markdown_percentage]]/100</f>
        <v>24.636399999999998</v>
      </c>
      <c r="Q20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03" s="25">
        <f>Table1[[#This Row],[current_price]]*Table1[[#This Row],[stock_quantity]]</f>
        <v>3848.96</v>
      </c>
    </row>
    <row r="204" spans="1:18" x14ac:dyDescent="0.25">
      <c r="A204" s="2" t="s">
        <v>257</v>
      </c>
      <c r="B204" s="2" t="s">
        <v>30</v>
      </c>
      <c r="C204" s="2" t="s">
        <v>32</v>
      </c>
      <c r="D204" s="2" t="s">
        <v>62</v>
      </c>
      <c r="E204" s="2" t="s">
        <v>55</v>
      </c>
      <c r="F204" s="2" t="s">
        <v>28</v>
      </c>
      <c r="G204" s="8">
        <v>93.07</v>
      </c>
      <c r="H204" s="11">
        <v>23.9</v>
      </c>
      <c r="I204" s="8">
        <v>70.83</v>
      </c>
      <c r="J204" s="3">
        <v>45875</v>
      </c>
      <c r="K204" s="14">
        <v>10</v>
      </c>
      <c r="L204" s="17">
        <v>3.5</v>
      </c>
      <c r="M204" s="2" t="b">
        <v>1</v>
      </c>
      <c r="N204" s="2" t="s">
        <v>115</v>
      </c>
      <c r="O204" s="2" t="str">
        <f>IF(Table1[[#This Row],[is_returned]]=TRUE,IF(Table1[[#This Row],[return_reason]]="","Error","OK"),"OK")</f>
        <v>OK</v>
      </c>
      <c r="P204" s="8">
        <f>Table1[[#This Row],[original_price]]*Table1[[#This Row],[markdown_percentage]]/100</f>
        <v>22.243729999999996</v>
      </c>
      <c r="Q20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04" s="25">
        <f>Table1[[#This Row],[current_price]]*Table1[[#This Row],[stock_quantity]]</f>
        <v>708.3</v>
      </c>
    </row>
    <row r="205" spans="1:18" x14ac:dyDescent="0.25">
      <c r="A205" s="2" t="s">
        <v>258</v>
      </c>
      <c r="B205" s="2" t="s">
        <v>15</v>
      </c>
      <c r="C205" s="2" t="s">
        <v>48</v>
      </c>
      <c r="D205" s="2" t="s">
        <v>62</v>
      </c>
      <c r="E205" s="2" t="s">
        <v>39</v>
      </c>
      <c r="F205" s="2" t="s">
        <v>19</v>
      </c>
      <c r="G205" s="8">
        <v>119.96</v>
      </c>
      <c r="H205" s="11">
        <v>0</v>
      </c>
      <c r="I205" s="8">
        <v>119.96</v>
      </c>
      <c r="J205" s="3">
        <v>45875</v>
      </c>
      <c r="K205" s="14">
        <v>20</v>
      </c>
      <c r="L205" s="17">
        <v>1.1000000000000001</v>
      </c>
      <c r="M205" s="2" t="b">
        <v>0</v>
      </c>
      <c r="N205" s="2"/>
      <c r="O205" s="2" t="str">
        <f>IF(Table1[[#This Row],[is_returned]]=TRUE,IF(Table1[[#This Row],[return_reason]]="","Error","OK"),"OK")</f>
        <v>OK</v>
      </c>
      <c r="P205" s="8">
        <f>Table1[[#This Row],[original_price]]*Table1[[#This Row],[markdown_percentage]]/100</f>
        <v>0</v>
      </c>
      <c r="Q20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05" s="25">
        <f>Table1[[#This Row],[current_price]]*Table1[[#This Row],[stock_quantity]]</f>
        <v>2399.1999999999998</v>
      </c>
    </row>
    <row r="206" spans="1:18" x14ac:dyDescent="0.25">
      <c r="A206" s="2" t="s">
        <v>259</v>
      </c>
      <c r="B206" s="2" t="s">
        <v>27</v>
      </c>
      <c r="C206" s="2" t="s">
        <v>75</v>
      </c>
      <c r="D206" s="2" t="s">
        <v>62</v>
      </c>
      <c r="E206" s="2"/>
      <c r="F206" s="2" t="s">
        <v>40</v>
      </c>
      <c r="G206" s="8">
        <v>42.04</v>
      </c>
      <c r="H206" s="11">
        <v>50.9</v>
      </c>
      <c r="I206" s="8">
        <v>20.64</v>
      </c>
      <c r="J206" s="3">
        <v>45875</v>
      </c>
      <c r="K206" s="14">
        <v>43</v>
      </c>
      <c r="L206" s="17">
        <v>2.2999999999999998</v>
      </c>
      <c r="M206" s="2" t="b">
        <v>1</v>
      </c>
      <c r="N206" s="2" t="s">
        <v>125</v>
      </c>
      <c r="O206" s="2" t="str">
        <f>IF(Table1[[#This Row],[is_returned]]=TRUE,IF(Table1[[#This Row],[return_reason]]="","Error","OK"),"OK")</f>
        <v>OK</v>
      </c>
      <c r="P206" s="8">
        <f>Table1[[#This Row],[original_price]]*Table1[[#This Row],[markdown_percentage]]/100</f>
        <v>21.398359999999997</v>
      </c>
      <c r="Q20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06" s="25">
        <f>Table1[[#This Row],[current_price]]*Table1[[#This Row],[stock_quantity]]</f>
        <v>887.52</v>
      </c>
    </row>
    <row r="207" spans="1:18" x14ac:dyDescent="0.25">
      <c r="A207" s="2" t="s">
        <v>260</v>
      </c>
      <c r="B207" s="2" t="s">
        <v>27</v>
      </c>
      <c r="C207" s="2" t="s">
        <v>32</v>
      </c>
      <c r="D207" s="2" t="s">
        <v>23</v>
      </c>
      <c r="E207" s="2"/>
      <c r="F207" s="2" t="s">
        <v>19</v>
      </c>
      <c r="G207" s="8">
        <v>54.45</v>
      </c>
      <c r="H207" s="11">
        <v>0</v>
      </c>
      <c r="I207" s="8">
        <v>54.45</v>
      </c>
      <c r="J207" s="3">
        <v>45875</v>
      </c>
      <c r="K207" s="14">
        <v>12</v>
      </c>
      <c r="L207" s="17">
        <v>2.7</v>
      </c>
      <c r="M207" s="2" t="b">
        <v>0</v>
      </c>
      <c r="N207" s="2"/>
      <c r="O207" s="2" t="str">
        <f>IF(Table1[[#This Row],[is_returned]]=TRUE,IF(Table1[[#This Row],[return_reason]]="","Error","OK"),"OK")</f>
        <v>OK</v>
      </c>
      <c r="P207" s="8">
        <f>Table1[[#This Row],[original_price]]*Table1[[#This Row],[markdown_percentage]]/100</f>
        <v>0</v>
      </c>
      <c r="Q20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07" s="25">
        <f>Table1[[#This Row],[current_price]]*Table1[[#This Row],[stock_quantity]]</f>
        <v>653.40000000000009</v>
      </c>
    </row>
    <row r="208" spans="1:18" x14ac:dyDescent="0.25">
      <c r="A208" s="2" t="s">
        <v>261</v>
      </c>
      <c r="B208" s="2" t="s">
        <v>21</v>
      </c>
      <c r="C208" s="2" t="s">
        <v>43</v>
      </c>
      <c r="D208" s="2" t="s">
        <v>17</v>
      </c>
      <c r="E208" s="2" t="s">
        <v>58</v>
      </c>
      <c r="F208" s="2" t="s">
        <v>46</v>
      </c>
      <c r="G208" s="8">
        <v>66.95</v>
      </c>
      <c r="H208" s="11">
        <v>36.4</v>
      </c>
      <c r="I208" s="8">
        <v>42.58</v>
      </c>
      <c r="J208" s="3">
        <v>45563</v>
      </c>
      <c r="K208" s="14">
        <v>44</v>
      </c>
      <c r="L208" s="17">
        <v>1.9</v>
      </c>
      <c r="M208" s="2" t="b">
        <v>1</v>
      </c>
      <c r="N208" s="2" t="s">
        <v>83</v>
      </c>
      <c r="O208" s="2" t="str">
        <f>IF(Table1[[#This Row],[is_returned]]=TRUE,IF(Table1[[#This Row],[return_reason]]="","Error","OK"),"OK")</f>
        <v>OK</v>
      </c>
      <c r="P208" s="8">
        <f>Table1[[#This Row],[original_price]]*Table1[[#This Row],[markdown_percentage]]/100</f>
        <v>24.369800000000001</v>
      </c>
      <c r="Q20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08" s="25">
        <f>Table1[[#This Row],[current_price]]*Table1[[#This Row],[stock_quantity]]</f>
        <v>1873.52</v>
      </c>
    </row>
    <row r="209" spans="1:18" x14ac:dyDescent="0.25">
      <c r="A209" s="2" t="s">
        <v>262</v>
      </c>
      <c r="B209" s="2" t="s">
        <v>21</v>
      </c>
      <c r="C209" s="2" t="s">
        <v>53</v>
      </c>
      <c r="D209" s="2" t="s">
        <v>17</v>
      </c>
      <c r="E209" s="2" t="s">
        <v>18</v>
      </c>
      <c r="F209" s="2" t="s">
        <v>56</v>
      </c>
      <c r="G209" s="8">
        <v>116.96</v>
      </c>
      <c r="H209" s="11">
        <v>8.8000000000000007</v>
      </c>
      <c r="I209" s="8">
        <v>106.67</v>
      </c>
      <c r="J209" s="3">
        <v>45776</v>
      </c>
      <c r="K209" s="14">
        <v>33</v>
      </c>
      <c r="L209" s="17">
        <v>1.6</v>
      </c>
      <c r="M209" s="2" t="b">
        <v>0</v>
      </c>
      <c r="N209" s="2"/>
      <c r="O209" s="2" t="str">
        <f>IF(Table1[[#This Row],[is_returned]]=TRUE,IF(Table1[[#This Row],[return_reason]]="","Error","OK"),"OK")</f>
        <v>OK</v>
      </c>
      <c r="P209" s="8">
        <f>Table1[[#This Row],[original_price]]*Table1[[#This Row],[markdown_percentage]]/100</f>
        <v>10.292480000000001</v>
      </c>
      <c r="Q20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09" s="25">
        <f>Table1[[#This Row],[current_price]]*Table1[[#This Row],[stock_quantity]]</f>
        <v>3520.11</v>
      </c>
    </row>
    <row r="210" spans="1:18" x14ac:dyDescent="0.25">
      <c r="A210" s="2" t="s">
        <v>263</v>
      </c>
      <c r="B210" s="2" t="s">
        <v>21</v>
      </c>
      <c r="C210" s="2" t="s">
        <v>75</v>
      </c>
      <c r="D210" s="2" t="s">
        <v>34</v>
      </c>
      <c r="E210" s="2" t="s">
        <v>49</v>
      </c>
      <c r="F210" s="2" t="s">
        <v>25</v>
      </c>
      <c r="G210" s="8">
        <v>111.14</v>
      </c>
      <c r="H210" s="11">
        <v>0</v>
      </c>
      <c r="I210" s="8">
        <v>111.14</v>
      </c>
      <c r="J210" s="3">
        <v>45875</v>
      </c>
      <c r="K210" s="14">
        <v>49</v>
      </c>
      <c r="L210" s="17">
        <v>1.6</v>
      </c>
      <c r="M210" s="2" t="b">
        <v>0</v>
      </c>
      <c r="N210" s="2"/>
      <c r="O210" s="2" t="str">
        <f>IF(Table1[[#This Row],[is_returned]]=TRUE,IF(Table1[[#This Row],[return_reason]]="","Error","OK"),"OK")</f>
        <v>OK</v>
      </c>
      <c r="P210" s="8">
        <f>Table1[[#This Row],[original_price]]*Table1[[#This Row],[markdown_percentage]]/100</f>
        <v>0</v>
      </c>
      <c r="Q21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10" s="25">
        <f>Table1[[#This Row],[current_price]]*Table1[[#This Row],[stock_quantity]]</f>
        <v>5445.86</v>
      </c>
    </row>
    <row r="211" spans="1:18" x14ac:dyDescent="0.25">
      <c r="A211" s="2" t="s">
        <v>264</v>
      </c>
      <c r="B211" s="2" t="s">
        <v>21</v>
      </c>
      <c r="C211" s="2" t="s">
        <v>32</v>
      </c>
      <c r="D211" s="2" t="s">
        <v>34</v>
      </c>
      <c r="E211" s="2" t="s">
        <v>55</v>
      </c>
      <c r="F211" s="2" t="s">
        <v>44</v>
      </c>
      <c r="G211" s="8">
        <v>59.6</v>
      </c>
      <c r="H211" s="11">
        <v>0</v>
      </c>
      <c r="I211" s="8">
        <v>59.6</v>
      </c>
      <c r="J211" s="3">
        <v>45875</v>
      </c>
      <c r="K211" s="14">
        <v>40</v>
      </c>
      <c r="L211" s="17">
        <v>2.1</v>
      </c>
      <c r="M211" s="2" t="b">
        <v>0</v>
      </c>
      <c r="N211" s="2"/>
      <c r="O211" s="2" t="str">
        <f>IF(Table1[[#This Row],[is_returned]]=TRUE,IF(Table1[[#This Row],[return_reason]]="","Error","OK"),"OK")</f>
        <v>OK</v>
      </c>
      <c r="P211" s="8">
        <f>Table1[[#This Row],[original_price]]*Table1[[#This Row],[markdown_percentage]]/100</f>
        <v>0</v>
      </c>
      <c r="Q21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11" s="25">
        <f>Table1[[#This Row],[current_price]]*Table1[[#This Row],[stock_quantity]]</f>
        <v>2384</v>
      </c>
    </row>
    <row r="212" spans="1:18" x14ac:dyDescent="0.25">
      <c r="A212" s="2" t="s">
        <v>265</v>
      </c>
      <c r="B212" s="2" t="s">
        <v>21</v>
      </c>
      <c r="C212" s="2" t="s">
        <v>53</v>
      </c>
      <c r="D212" s="2" t="s">
        <v>17</v>
      </c>
      <c r="E212" s="2" t="s">
        <v>39</v>
      </c>
      <c r="F212" s="2" t="s">
        <v>40</v>
      </c>
      <c r="G212" s="8">
        <v>25.49</v>
      </c>
      <c r="H212" s="11">
        <v>16.7</v>
      </c>
      <c r="I212" s="8">
        <v>21.23</v>
      </c>
      <c r="J212" s="3">
        <v>45800</v>
      </c>
      <c r="K212" s="14">
        <v>32</v>
      </c>
      <c r="L212" s="17"/>
      <c r="M212" s="2" t="b">
        <v>0</v>
      </c>
      <c r="N212" s="2"/>
      <c r="O212" s="2" t="str">
        <f>IF(Table1[[#This Row],[is_returned]]=TRUE,IF(Table1[[#This Row],[return_reason]]="","Error","OK"),"OK")</f>
        <v>OK</v>
      </c>
      <c r="P212" s="8">
        <f>Table1[[#This Row],[original_price]]*Table1[[#This Row],[markdown_percentage]]/100</f>
        <v>4.256829999999999</v>
      </c>
      <c r="Q21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12" s="25">
        <f>Table1[[#This Row],[current_price]]*Table1[[#This Row],[stock_quantity]]</f>
        <v>679.36</v>
      </c>
    </row>
    <row r="213" spans="1:18" x14ac:dyDescent="0.25">
      <c r="A213" s="2" t="s">
        <v>266</v>
      </c>
      <c r="B213" s="2" t="s">
        <v>21</v>
      </c>
      <c r="C213" s="2" t="s">
        <v>16</v>
      </c>
      <c r="D213" s="2" t="s">
        <v>17</v>
      </c>
      <c r="E213" s="2" t="s">
        <v>58</v>
      </c>
      <c r="F213" s="2" t="s">
        <v>28</v>
      </c>
      <c r="G213" s="8">
        <v>82.94</v>
      </c>
      <c r="H213" s="11">
        <v>0</v>
      </c>
      <c r="I213" s="8">
        <v>82.94</v>
      </c>
      <c r="J213" s="3">
        <v>45855</v>
      </c>
      <c r="K213" s="14">
        <v>46</v>
      </c>
      <c r="L213" s="17">
        <v>1.5</v>
      </c>
      <c r="M213" s="2" t="b">
        <v>0</v>
      </c>
      <c r="N213" s="2"/>
      <c r="O213" s="2" t="str">
        <f>IF(Table1[[#This Row],[is_returned]]=TRUE,IF(Table1[[#This Row],[return_reason]]="","Error","OK"),"OK")</f>
        <v>OK</v>
      </c>
      <c r="P213" s="8">
        <f>Table1[[#This Row],[original_price]]*Table1[[#This Row],[markdown_percentage]]/100</f>
        <v>0</v>
      </c>
      <c r="Q21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13" s="25">
        <f>Table1[[#This Row],[current_price]]*Table1[[#This Row],[stock_quantity]]</f>
        <v>3815.24</v>
      </c>
    </row>
    <row r="214" spans="1:18" x14ac:dyDescent="0.25">
      <c r="A214" s="2" t="s">
        <v>267</v>
      </c>
      <c r="B214" s="2" t="s">
        <v>21</v>
      </c>
      <c r="C214" s="2" t="s">
        <v>22</v>
      </c>
      <c r="D214" s="2" t="s">
        <v>17</v>
      </c>
      <c r="E214" s="2" t="s">
        <v>24</v>
      </c>
      <c r="F214" s="2" t="s">
        <v>44</v>
      </c>
      <c r="G214" s="8">
        <v>99.71</v>
      </c>
      <c r="H214" s="11">
        <v>0</v>
      </c>
      <c r="I214" s="8">
        <v>99.71</v>
      </c>
      <c r="J214" s="3">
        <v>45525</v>
      </c>
      <c r="K214" s="14">
        <v>23</v>
      </c>
      <c r="L214" s="17">
        <v>1.4</v>
      </c>
      <c r="M214" s="2" t="b">
        <v>0</v>
      </c>
      <c r="N214" s="2"/>
      <c r="O214" s="2" t="str">
        <f>IF(Table1[[#This Row],[is_returned]]=TRUE,IF(Table1[[#This Row],[return_reason]]="","Error","OK"),"OK")</f>
        <v>OK</v>
      </c>
      <c r="P214" s="8">
        <f>Table1[[#This Row],[original_price]]*Table1[[#This Row],[markdown_percentage]]/100</f>
        <v>0</v>
      </c>
      <c r="Q21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14" s="25">
        <f>Table1[[#This Row],[current_price]]*Table1[[#This Row],[stock_quantity]]</f>
        <v>2293.33</v>
      </c>
    </row>
    <row r="215" spans="1:18" x14ac:dyDescent="0.25">
      <c r="A215" s="2" t="s">
        <v>268</v>
      </c>
      <c r="B215" s="2" t="s">
        <v>27</v>
      </c>
      <c r="C215" s="2" t="s">
        <v>32</v>
      </c>
      <c r="D215" s="2" t="s">
        <v>34</v>
      </c>
      <c r="E215" s="2"/>
      <c r="F215" s="2" t="s">
        <v>28</v>
      </c>
      <c r="G215" s="8">
        <v>69.739999999999995</v>
      </c>
      <c r="H215" s="11">
        <v>0</v>
      </c>
      <c r="I215" s="8">
        <v>69.739999999999995</v>
      </c>
      <c r="J215" s="3">
        <v>45875</v>
      </c>
      <c r="K215" s="14">
        <v>11</v>
      </c>
      <c r="L215" s="17">
        <v>3.3</v>
      </c>
      <c r="M215" s="2" t="b">
        <v>1</v>
      </c>
      <c r="N215" s="2" t="s">
        <v>115</v>
      </c>
      <c r="O215" s="2" t="str">
        <f>IF(Table1[[#This Row],[is_returned]]=TRUE,IF(Table1[[#This Row],[return_reason]]="","Error","OK"),"OK")</f>
        <v>OK</v>
      </c>
      <c r="P215" s="8">
        <f>Table1[[#This Row],[original_price]]*Table1[[#This Row],[markdown_percentage]]/100</f>
        <v>0</v>
      </c>
      <c r="Q21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15" s="25">
        <f>Table1[[#This Row],[current_price]]*Table1[[#This Row],[stock_quantity]]</f>
        <v>767.14</v>
      </c>
    </row>
    <row r="216" spans="1:18" x14ac:dyDescent="0.25">
      <c r="A216" s="2" t="s">
        <v>269</v>
      </c>
      <c r="B216" s="2" t="s">
        <v>38</v>
      </c>
      <c r="C216" s="2" t="s">
        <v>48</v>
      </c>
      <c r="D216" s="2" t="s">
        <v>62</v>
      </c>
      <c r="E216" s="2" t="s">
        <v>49</v>
      </c>
      <c r="F216" s="2" t="s">
        <v>46</v>
      </c>
      <c r="G216" s="8">
        <v>57.19</v>
      </c>
      <c r="H216" s="11">
        <v>0</v>
      </c>
      <c r="I216" s="8">
        <v>57.19</v>
      </c>
      <c r="J216" s="3">
        <v>45875</v>
      </c>
      <c r="K216" s="14">
        <v>12</v>
      </c>
      <c r="L216" s="17">
        <v>2.5</v>
      </c>
      <c r="M216" s="2" t="b">
        <v>0</v>
      </c>
      <c r="N216" s="2"/>
      <c r="O216" s="2" t="str">
        <f>IF(Table1[[#This Row],[is_returned]]=TRUE,IF(Table1[[#This Row],[return_reason]]="","Error","OK"),"OK")</f>
        <v>OK</v>
      </c>
      <c r="P216" s="8">
        <f>Table1[[#This Row],[original_price]]*Table1[[#This Row],[markdown_percentage]]/100</f>
        <v>0</v>
      </c>
      <c r="Q21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16" s="25">
        <f>Table1[[#This Row],[current_price]]*Table1[[#This Row],[stock_quantity]]</f>
        <v>686.28</v>
      </c>
    </row>
    <row r="217" spans="1:18" x14ac:dyDescent="0.25">
      <c r="A217" s="2" t="s">
        <v>270</v>
      </c>
      <c r="B217" s="2" t="s">
        <v>21</v>
      </c>
      <c r="C217" s="2" t="s">
        <v>48</v>
      </c>
      <c r="D217" s="2" t="s">
        <v>62</v>
      </c>
      <c r="E217" s="2" t="s">
        <v>49</v>
      </c>
      <c r="F217" s="2" t="s">
        <v>19</v>
      </c>
      <c r="G217" s="8">
        <v>58.65</v>
      </c>
      <c r="H217" s="11">
        <v>0</v>
      </c>
      <c r="I217" s="8">
        <v>58.65</v>
      </c>
      <c r="J217" s="3">
        <v>45875</v>
      </c>
      <c r="K217" s="14">
        <v>4</v>
      </c>
      <c r="L217" s="17">
        <v>1.1000000000000001</v>
      </c>
      <c r="M217" s="2" t="b">
        <v>0</v>
      </c>
      <c r="N217" s="2"/>
      <c r="O217" s="2" t="str">
        <f>IF(Table1[[#This Row],[is_returned]]=TRUE,IF(Table1[[#This Row],[return_reason]]="","Error","OK"),"OK")</f>
        <v>OK</v>
      </c>
      <c r="P217" s="8">
        <f>Table1[[#This Row],[original_price]]*Table1[[#This Row],[markdown_percentage]]/100</f>
        <v>0</v>
      </c>
      <c r="Q21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17" s="25">
        <f>Table1[[#This Row],[current_price]]*Table1[[#This Row],[stock_quantity]]</f>
        <v>234.6</v>
      </c>
    </row>
    <row r="218" spans="1:18" x14ac:dyDescent="0.25">
      <c r="A218" s="2" t="s">
        <v>271</v>
      </c>
      <c r="B218" s="2" t="s">
        <v>15</v>
      </c>
      <c r="C218" s="2" t="s">
        <v>22</v>
      </c>
      <c r="D218" s="2" t="s">
        <v>34</v>
      </c>
      <c r="E218" s="2" t="s">
        <v>18</v>
      </c>
      <c r="F218" s="2" t="s">
        <v>25</v>
      </c>
      <c r="G218" s="8">
        <v>110.22</v>
      </c>
      <c r="H218" s="11">
        <v>0</v>
      </c>
      <c r="I218" s="8">
        <v>110.22</v>
      </c>
      <c r="J218" s="3">
        <v>45875</v>
      </c>
      <c r="K218" s="14">
        <v>4</v>
      </c>
      <c r="L218" s="17">
        <v>1.6</v>
      </c>
      <c r="M218" s="2" t="b">
        <v>0</v>
      </c>
      <c r="N218" s="2"/>
      <c r="O218" s="2" t="str">
        <f>IF(Table1[[#This Row],[is_returned]]=TRUE,IF(Table1[[#This Row],[return_reason]]="","Error","OK"),"OK")</f>
        <v>OK</v>
      </c>
      <c r="P218" s="8">
        <f>Table1[[#This Row],[original_price]]*Table1[[#This Row],[markdown_percentage]]/100</f>
        <v>0</v>
      </c>
      <c r="Q21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18" s="25">
        <f>Table1[[#This Row],[current_price]]*Table1[[#This Row],[stock_quantity]]</f>
        <v>440.88</v>
      </c>
    </row>
    <row r="219" spans="1:18" x14ac:dyDescent="0.25">
      <c r="A219" s="2" t="s">
        <v>272</v>
      </c>
      <c r="B219" s="2" t="s">
        <v>21</v>
      </c>
      <c r="C219" s="2" t="s">
        <v>16</v>
      </c>
      <c r="D219" s="2" t="s">
        <v>62</v>
      </c>
      <c r="E219" s="2" t="s">
        <v>49</v>
      </c>
      <c r="F219" s="2" t="s">
        <v>25</v>
      </c>
      <c r="G219" s="8">
        <v>69.36</v>
      </c>
      <c r="H219" s="11">
        <v>0</v>
      </c>
      <c r="I219" s="8">
        <v>69.36</v>
      </c>
      <c r="J219" s="3">
        <v>45875</v>
      </c>
      <c r="K219" s="14">
        <v>25</v>
      </c>
      <c r="L219" s="17"/>
      <c r="M219" s="2" t="b">
        <v>0</v>
      </c>
      <c r="N219" s="2"/>
      <c r="O219" s="2" t="str">
        <f>IF(Table1[[#This Row],[is_returned]]=TRUE,IF(Table1[[#This Row],[return_reason]]="","Error","OK"),"OK")</f>
        <v>OK</v>
      </c>
      <c r="P219" s="8">
        <f>Table1[[#This Row],[original_price]]*Table1[[#This Row],[markdown_percentage]]/100</f>
        <v>0</v>
      </c>
      <c r="Q21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19" s="25">
        <f>Table1[[#This Row],[current_price]]*Table1[[#This Row],[stock_quantity]]</f>
        <v>1734</v>
      </c>
    </row>
    <row r="220" spans="1:18" x14ac:dyDescent="0.25">
      <c r="A220" s="2" t="s">
        <v>273</v>
      </c>
      <c r="B220" s="2" t="s">
        <v>38</v>
      </c>
      <c r="C220" s="2" t="s">
        <v>16</v>
      </c>
      <c r="D220" s="2" t="s">
        <v>23</v>
      </c>
      <c r="E220" s="2" t="s">
        <v>39</v>
      </c>
      <c r="F220" s="2" t="s">
        <v>28</v>
      </c>
      <c r="G220" s="8">
        <v>87.03</v>
      </c>
      <c r="H220" s="11">
        <v>0</v>
      </c>
      <c r="I220" s="8">
        <v>87.03</v>
      </c>
      <c r="J220" s="3">
        <v>45875</v>
      </c>
      <c r="K220" s="14">
        <v>39</v>
      </c>
      <c r="L220" s="17">
        <v>4.3</v>
      </c>
      <c r="M220" s="2" t="b">
        <v>0</v>
      </c>
      <c r="N220" s="2"/>
      <c r="O220" s="2" t="str">
        <f>IF(Table1[[#This Row],[is_returned]]=TRUE,IF(Table1[[#This Row],[return_reason]]="","Error","OK"),"OK")</f>
        <v>OK</v>
      </c>
      <c r="P220" s="8">
        <f>Table1[[#This Row],[original_price]]*Table1[[#This Row],[markdown_percentage]]/100</f>
        <v>0</v>
      </c>
      <c r="Q22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20" s="25">
        <f>Table1[[#This Row],[current_price]]*Table1[[#This Row],[stock_quantity]]</f>
        <v>3394.17</v>
      </c>
    </row>
    <row r="221" spans="1:18" x14ac:dyDescent="0.25">
      <c r="A221" s="2" t="s">
        <v>274</v>
      </c>
      <c r="B221" s="2" t="s">
        <v>42</v>
      </c>
      <c r="C221" s="2" t="s">
        <v>16</v>
      </c>
      <c r="D221" s="2" t="s">
        <v>23</v>
      </c>
      <c r="E221" s="2" t="s">
        <v>49</v>
      </c>
      <c r="F221" s="2" t="s">
        <v>70</v>
      </c>
      <c r="G221" s="8">
        <v>160.6</v>
      </c>
      <c r="H221" s="11">
        <v>18.399999999999999</v>
      </c>
      <c r="I221" s="8">
        <v>131.05000000000001</v>
      </c>
      <c r="J221" s="3">
        <v>45875</v>
      </c>
      <c r="K221" s="14">
        <v>41</v>
      </c>
      <c r="L221" s="17">
        <v>3</v>
      </c>
      <c r="M221" s="2" t="b">
        <v>0</v>
      </c>
      <c r="N221" s="2"/>
      <c r="O221" s="2" t="str">
        <f>IF(Table1[[#This Row],[is_returned]]=TRUE,IF(Table1[[#This Row],[return_reason]]="","Error","OK"),"OK")</f>
        <v>OK</v>
      </c>
      <c r="P221" s="8">
        <f>Table1[[#This Row],[original_price]]*Table1[[#This Row],[markdown_percentage]]/100</f>
        <v>29.550399999999996</v>
      </c>
      <c r="Q22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21" s="25">
        <f>Table1[[#This Row],[current_price]]*Table1[[#This Row],[stock_quantity]]</f>
        <v>5373.05</v>
      </c>
    </row>
    <row r="222" spans="1:18" x14ac:dyDescent="0.25">
      <c r="A222" s="2" t="s">
        <v>275</v>
      </c>
      <c r="B222" s="2" t="s">
        <v>15</v>
      </c>
      <c r="C222" s="2" t="s">
        <v>48</v>
      </c>
      <c r="D222" s="2" t="s">
        <v>17</v>
      </c>
      <c r="E222" s="2" t="s">
        <v>55</v>
      </c>
      <c r="F222" s="2" t="s">
        <v>66</v>
      </c>
      <c r="G222" s="8">
        <v>167.02</v>
      </c>
      <c r="H222" s="11">
        <v>0</v>
      </c>
      <c r="I222" s="8">
        <v>167.02</v>
      </c>
      <c r="J222" s="3">
        <v>45687</v>
      </c>
      <c r="K222" s="14">
        <v>26</v>
      </c>
      <c r="L222" s="17">
        <v>2.6</v>
      </c>
      <c r="M222" s="2" t="b">
        <v>1</v>
      </c>
      <c r="N222" s="2" t="s">
        <v>73</v>
      </c>
      <c r="O222" s="2" t="str">
        <f>IF(Table1[[#This Row],[is_returned]]=TRUE,IF(Table1[[#This Row],[return_reason]]="","Error","OK"),"OK")</f>
        <v>OK</v>
      </c>
      <c r="P222" s="8">
        <f>Table1[[#This Row],[original_price]]*Table1[[#This Row],[markdown_percentage]]/100</f>
        <v>0</v>
      </c>
      <c r="Q22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22" s="25">
        <f>Table1[[#This Row],[current_price]]*Table1[[#This Row],[stock_quantity]]</f>
        <v>4342.5200000000004</v>
      </c>
    </row>
    <row r="223" spans="1:18" x14ac:dyDescent="0.25">
      <c r="A223" s="2" t="s">
        <v>276</v>
      </c>
      <c r="B223" s="2" t="s">
        <v>21</v>
      </c>
      <c r="C223" s="2" t="s">
        <v>16</v>
      </c>
      <c r="D223" s="2" t="s">
        <v>62</v>
      </c>
      <c r="E223" s="2" t="s">
        <v>49</v>
      </c>
      <c r="F223" s="2" t="s">
        <v>40</v>
      </c>
      <c r="G223" s="8">
        <v>26.09</v>
      </c>
      <c r="H223" s="11">
        <v>0</v>
      </c>
      <c r="I223" s="8">
        <v>26.09</v>
      </c>
      <c r="J223" s="3">
        <v>45875</v>
      </c>
      <c r="K223" s="14">
        <v>32</v>
      </c>
      <c r="L223" s="17">
        <v>4.5999999999999996</v>
      </c>
      <c r="M223" s="2" t="b">
        <v>1</v>
      </c>
      <c r="N223" s="2" t="s">
        <v>78</v>
      </c>
      <c r="O223" s="2" t="str">
        <f>IF(Table1[[#This Row],[is_returned]]=TRUE,IF(Table1[[#This Row],[return_reason]]="","Error","OK"),"OK")</f>
        <v>OK</v>
      </c>
      <c r="P223" s="8">
        <f>Table1[[#This Row],[original_price]]*Table1[[#This Row],[markdown_percentage]]/100</f>
        <v>0</v>
      </c>
      <c r="Q22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23" s="25">
        <f>Table1[[#This Row],[current_price]]*Table1[[#This Row],[stock_quantity]]</f>
        <v>834.88</v>
      </c>
    </row>
    <row r="224" spans="1:18" x14ac:dyDescent="0.25">
      <c r="A224" s="2" t="s">
        <v>277</v>
      </c>
      <c r="B224" s="2" t="s">
        <v>15</v>
      </c>
      <c r="C224" s="2" t="s">
        <v>48</v>
      </c>
      <c r="D224" s="2" t="s">
        <v>62</v>
      </c>
      <c r="E224" s="2" t="s">
        <v>18</v>
      </c>
      <c r="F224" s="2" t="s">
        <v>70</v>
      </c>
      <c r="G224" s="8">
        <v>246.65</v>
      </c>
      <c r="H224" s="11">
        <v>0</v>
      </c>
      <c r="I224" s="8">
        <v>246.65</v>
      </c>
      <c r="J224" s="3">
        <v>45875</v>
      </c>
      <c r="K224" s="14">
        <v>17</v>
      </c>
      <c r="L224" s="17">
        <v>2.9</v>
      </c>
      <c r="M224" s="2" t="b">
        <v>1</v>
      </c>
      <c r="N224" s="2" t="s">
        <v>78</v>
      </c>
      <c r="O224" s="2" t="str">
        <f>IF(Table1[[#This Row],[is_returned]]=TRUE,IF(Table1[[#This Row],[return_reason]]="","Error","OK"),"OK")</f>
        <v>OK</v>
      </c>
      <c r="P224" s="8">
        <f>Table1[[#This Row],[original_price]]*Table1[[#This Row],[markdown_percentage]]/100</f>
        <v>0</v>
      </c>
      <c r="Q22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24" s="25">
        <f>Table1[[#This Row],[current_price]]*Table1[[#This Row],[stock_quantity]]</f>
        <v>4193.05</v>
      </c>
    </row>
    <row r="225" spans="1:18" x14ac:dyDescent="0.25">
      <c r="A225" s="2" t="s">
        <v>278</v>
      </c>
      <c r="B225" s="2" t="s">
        <v>15</v>
      </c>
      <c r="C225" s="2" t="s">
        <v>75</v>
      </c>
      <c r="D225" s="2" t="s">
        <v>62</v>
      </c>
      <c r="E225" s="2" t="s">
        <v>39</v>
      </c>
      <c r="F225" s="2" t="s">
        <v>19</v>
      </c>
      <c r="G225" s="8">
        <v>206.91</v>
      </c>
      <c r="H225" s="11">
        <v>0</v>
      </c>
      <c r="I225" s="8">
        <v>206.91</v>
      </c>
      <c r="J225" s="3">
        <v>45875</v>
      </c>
      <c r="K225" s="14">
        <v>34</v>
      </c>
      <c r="L225" s="17">
        <v>2.2999999999999998</v>
      </c>
      <c r="M225" s="2" t="b">
        <v>0</v>
      </c>
      <c r="N225" s="2"/>
      <c r="O225" s="2" t="str">
        <f>IF(Table1[[#This Row],[is_returned]]=TRUE,IF(Table1[[#This Row],[return_reason]]="","Error","OK"),"OK")</f>
        <v>OK</v>
      </c>
      <c r="P225" s="8">
        <f>Table1[[#This Row],[original_price]]*Table1[[#This Row],[markdown_percentage]]/100</f>
        <v>0</v>
      </c>
      <c r="Q22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25" s="25">
        <f>Table1[[#This Row],[current_price]]*Table1[[#This Row],[stock_quantity]]</f>
        <v>7034.94</v>
      </c>
    </row>
    <row r="226" spans="1:18" x14ac:dyDescent="0.25">
      <c r="A226" s="2" t="s">
        <v>279</v>
      </c>
      <c r="B226" s="2" t="s">
        <v>42</v>
      </c>
      <c r="C226" s="2" t="s">
        <v>61</v>
      </c>
      <c r="D226" s="2" t="s">
        <v>23</v>
      </c>
      <c r="E226" s="2" t="s">
        <v>18</v>
      </c>
      <c r="F226" s="2" t="s">
        <v>28</v>
      </c>
      <c r="G226" s="8">
        <v>85.08</v>
      </c>
      <c r="H226" s="11">
        <v>0</v>
      </c>
      <c r="I226" s="8">
        <v>85.08</v>
      </c>
      <c r="J226" s="3">
        <v>45875</v>
      </c>
      <c r="K226" s="14">
        <v>29</v>
      </c>
      <c r="L226" s="17"/>
      <c r="M226" s="2" t="b">
        <v>0</v>
      </c>
      <c r="N226" s="2"/>
      <c r="O226" s="2" t="str">
        <f>IF(Table1[[#This Row],[is_returned]]=TRUE,IF(Table1[[#This Row],[return_reason]]="","Error","OK"),"OK")</f>
        <v>OK</v>
      </c>
      <c r="P226" s="8">
        <f>Table1[[#This Row],[original_price]]*Table1[[#This Row],[markdown_percentage]]/100</f>
        <v>0</v>
      </c>
      <c r="Q22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26" s="25">
        <f>Table1[[#This Row],[current_price]]*Table1[[#This Row],[stock_quantity]]</f>
        <v>2467.3200000000002</v>
      </c>
    </row>
    <row r="227" spans="1:18" x14ac:dyDescent="0.25">
      <c r="A227" s="2" t="s">
        <v>280</v>
      </c>
      <c r="B227" s="2" t="s">
        <v>15</v>
      </c>
      <c r="C227" s="2" t="s">
        <v>75</v>
      </c>
      <c r="D227" s="2" t="s">
        <v>17</v>
      </c>
      <c r="E227" s="2" t="s">
        <v>49</v>
      </c>
      <c r="F227" s="2" t="s">
        <v>35</v>
      </c>
      <c r="G227" s="8">
        <v>240.32</v>
      </c>
      <c r="H227" s="11">
        <v>54.8</v>
      </c>
      <c r="I227" s="8">
        <v>108.62</v>
      </c>
      <c r="J227" s="3">
        <v>45653</v>
      </c>
      <c r="K227" s="14">
        <v>3</v>
      </c>
      <c r="L227" s="17">
        <v>4.5</v>
      </c>
      <c r="M227" s="2" t="b">
        <v>0</v>
      </c>
      <c r="N227" s="2"/>
      <c r="O227" s="2" t="str">
        <f>IF(Table1[[#This Row],[is_returned]]=TRUE,IF(Table1[[#This Row],[return_reason]]="","Error","OK"),"OK")</f>
        <v>OK</v>
      </c>
      <c r="P227" s="8">
        <f>Table1[[#This Row],[original_price]]*Table1[[#This Row],[markdown_percentage]]/100</f>
        <v>131.69535999999999</v>
      </c>
      <c r="Q22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27" s="25">
        <f>Table1[[#This Row],[current_price]]*Table1[[#This Row],[stock_quantity]]</f>
        <v>325.86</v>
      </c>
    </row>
    <row r="228" spans="1:18" x14ac:dyDescent="0.25">
      <c r="A228" s="2" t="s">
        <v>281</v>
      </c>
      <c r="B228" s="2" t="s">
        <v>42</v>
      </c>
      <c r="C228" s="2" t="s">
        <v>22</v>
      </c>
      <c r="D228" s="2" t="s">
        <v>34</v>
      </c>
      <c r="E228" s="2" t="s">
        <v>49</v>
      </c>
      <c r="F228" s="2" t="s">
        <v>19</v>
      </c>
      <c r="G228" s="8">
        <v>130.12</v>
      </c>
      <c r="H228" s="11">
        <v>1.4</v>
      </c>
      <c r="I228" s="8">
        <v>128.30000000000001</v>
      </c>
      <c r="J228" s="3">
        <v>45875</v>
      </c>
      <c r="K228" s="14">
        <v>0</v>
      </c>
      <c r="L228" s="17">
        <v>5</v>
      </c>
      <c r="M228" s="2" t="b">
        <v>0</v>
      </c>
      <c r="N228" s="2"/>
      <c r="O228" s="2" t="str">
        <f>IF(Table1[[#This Row],[is_returned]]=TRUE,IF(Table1[[#This Row],[return_reason]]="","Error","OK"),"OK")</f>
        <v>OK</v>
      </c>
      <c r="P228" s="8">
        <f>Table1[[#This Row],[original_price]]*Table1[[#This Row],[markdown_percentage]]/100</f>
        <v>1.82168</v>
      </c>
      <c r="Q22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28" s="25">
        <f>Table1[[#This Row],[current_price]]*Table1[[#This Row],[stock_quantity]]</f>
        <v>0</v>
      </c>
    </row>
    <row r="229" spans="1:18" x14ac:dyDescent="0.25">
      <c r="A229" s="2" t="s">
        <v>282</v>
      </c>
      <c r="B229" s="2" t="s">
        <v>38</v>
      </c>
      <c r="C229" s="2" t="s">
        <v>48</v>
      </c>
      <c r="D229" s="2" t="s">
        <v>17</v>
      </c>
      <c r="E229" s="2" t="s">
        <v>55</v>
      </c>
      <c r="F229" s="2" t="s">
        <v>28</v>
      </c>
      <c r="G229" s="8">
        <v>42.29</v>
      </c>
      <c r="H229" s="11">
        <v>15.8</v>
      </c>
      <c r="I229" s="8">
        <v>35.61</v>
      </c>
      <c r="J229" s="3">
        <v>45598</v>
      </c>
      <c r="K229" s="14">
        <v>11</v>
      </c>
      <c r="L229" s="17">
        <v>1.6</v>
      </c>
      <c r="M229" s="2" t="b">
        <v>0</v>
      </c>
      <c r="N229" s="2"/>
      <c r="O229" s="2" t="str">
        <f>IF(Table1[[#This Row],[is_returned]]=TRUE,IF(Table1[[#This Row],[return_reason]]="","Error","OK"),"OK")</f>
        <v>OK</v>
      </c>
      <c r="P229" s="8">
        <f>Table1[[#This Row],[original_price]]*Table1[[#This Row],[markdown_percentage]]/100</f>
        <v>6.6818200000000001</v>
      </c>
      <c r="Q22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29" s="25">
        <f>Table1[[#This Row],[current_price]]*Table1[[#This Row],[stock_quantity]]</f>
        <v>391.71</v>
      </c>
    </row>
    <row r="230" spans="1:18" x14ac:dyDescent="0.25">
      <c r="A230" s="2" t="s">
        <v>283</v>
      </c>
      <c r="B230" s="2" t="s">
        <v>15</v>
      </c>
      <c r="C230" s="2" t="s">
        <v>48</v>
      </c>
      <c r="D230" s="2" t="s">
        <v>17</v>
      </c>
      <c r="E230" s="2" t="s">
        <v>39</v>
      </c>
      <c r="F230" s="2" t="s">
        <v>56</v>
      </c>
      <c r="G230" s="8">
        <v>191.54</v>
      </c>
      <c r="H230" s="11">
        <v>0</v>
      </c>
      <c r="I230" s="8">
        <v>191.54</v>
      </c>
      <c r="J230" s="3">
        <v>45575</v>
      </c>
      <c r="K230" s="14">
        <v>18</v>
      </c>
      <c r="L230" s="17">
        <v>1.2</v>
      </c>
      <c r="M230" s="2" t="b">
        <v>0</v>
      </c>
      <c r="N230" s="2"/>
      <c r="O230" s="2" t="str">
        <f>IF(Table1[[#This Row],[is_returned]]=TRUE,IF(Table1[[#This Row],[return_reason]]="","Error","OK"),"OK")</f>
        <v>OK</v>
      </c>
      <c r="P230" s="8">
        <f>Table1[[#This Row],[original_price]]*Table1[[#This Row],[markdown_percentage]]/100</f>
        <v>0</v>
      </c>
      <c r="Q23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30" s="25">
        <f>Table1[[#This Row],[current_price]]*Table1[[#This Row],[stock_quantity]]</f>
        <v>3447.72</v>
      </c>
    </row>
    <row r="231" spans="1:18" x14ac:dyDescent="0.25">
      <c r="A231" s="2" t="s">
        <v>284</v>
      </c>
      <c r="B231" s="2" t="s">
        <v>27</v>
      </c>
      <c r="C231" s="2" t="s">
        <v>53</v>
      </c>
      <c r="D231" s="2" t="s">
        <v>17</v>
      </c>
      <c r="E231" s="2"/>
      <c r="F231" s="2" t="s">
        <v>56</v>
      </c>
      <c r="G231" s="8">
        <v>42.23</v>
      </c>
      <c r="H231" s="11">
        <v>0</v>
      </c>
      <c r="I231" s="8">
        <v>42.23</v>
      </c>
      <c r="J231" s="3">
        <v>45852</v>
      </c>
      <c r="K231" s="14">
        <v>15</v>
      </c>
      <c r="L231" s="17"/>
      <c r="M231" s="2" t="b">
        <v>0</v>
      </c>
      <c r="N231" s="2"/>
      <c r="O231" s="2" t="str">
        <f>IF(Table1[[#This Row],[is_returned]]=TRUE,IF(Table1[[#This Row],[return_reason]]="","Error","OK"),"OK")</f>
        <v>OK</v>
      </c>
      <c r="P231" s="8">
        <f>Table1[[#This Row],[original_price]]*Table1[[#This Row],[markdown_percentage]]/100</f>
        <v>0</v>
      </c>
      <c r="Q23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31" s="25">
        <f>Table1[[#This Row],[current_price]]*Table1[[#This Row],[stock_quantity]]</f>
        <v>633.44999999999993</v>
      </c>
    </row>
    <row r="232" spans="1:18" x14ac:dyDescent="0.25">
      <c r="A232" s="2" t="s">
        <v>285</v>
      </c>
      <c r="B232" s="2" t="s">
        <v>30</v>
      </c>
      <c r="C232" s="2" t="s">
        <v>48</v>
      </c>
      <c r="D232" s="2" t="s">
        <v>62</v>
      </c>
      <c r="E232" s="2" t="s">
        <v>39</v>
      </c>
      <c r="F232" s="2" t="s">
        <v>40</v>
      </c>
      <c r="G232" s="8">
        <v>109.76</v>
      </c>
      <c r="H232" s="11">
        <v>0</v>
      </c>
      <c r="I232" s="8">
        <v>109.76</v>
      </c>
      <c r="J232" s="3">
        <v>45875</v>
      </c>
      <c r="K232" s="14">
        <v>16</v>
      </c>
      <c r="L232" s="17">
        <v>4.3</v>
      </c>
      <c r="M232" s="2" t="b">
        <v>0</v>
      </c>
      <c r="N232" s="2"/>
      <c r="O232" s="2" t="str">
        <f>IF(Table1[[#This Row],[is_returned]]=TRUE,IF(Table1[[#This Row],[return_reason]]="","Error","OK"),"OK")</f>
        <v>OK</v>
      </c>
      <c r="P232" s="8">
        <f>Table1[[#This Row],[original_price]]*Table1[[#This Row],[markdown_percentage]]/100</f>
        <v>0</v>
      </c>
      <c r="Q23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32" s="25">
        <f>Table1[[#This Row],[current_price]]*Table1[[#This Row],[stock_quantity]]</f>
        <v>1756.16</v>
      </c>
    </row>
    <row r="233" spans="1:18" x14ac:dyDescent="0.25">
      <c r="A233" s="2" t="s">
        <v>286</v>
      </c>
      <c r="B233" s="2" t="s">
        <v>27</v>
      </c>
      <c r="C233" s="2" t="s">
        <v>43</v>
      </c>
      <c r="D233" s="2" t="s">
        <v>62</v>
      </c>
      <c r="E233" s="2"/>
      <c r="F233" s="2" t="s">
        <v>19</v>
      </c>
      <c r="G233" s="8">
        <v>76.8</v>
      </c>
      <c r="H233" s="11">
        <v>43.3</v>
      </c>
      <c r="I233" s="8">
        <v>43.55</v>
      </c>
      <c r="J233" s="3">
        <v>45875</v>
      </c>
      <c r="K233" s="14">
        <v>24</v>
      </c>
      <c r="L233" s="17"/>
      <c r="M233" s="2" t="b">
        <v>0</v>
      </c>
      <c r="N233" s="2"/>
      <c r="O233" s="2" t="str">
        <f>IF(Table1[[#This Row],[is_returned]]=TRUE,IF(Table1[[#This Row],[return_reason]]="","Error","OK"),"OK")</f>
        <v>OK</v>
      </c>
      <c r="P233" s="8">
        <f>Table1[[#This Row],[original_price]]*Table1[[#This Row],[markdown_percentage]]/100</f>
        <v>33.254399999999997</v>
      </c>
      <c r="Q23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33" s="25">
        <f>Table1[[#This Row],[current_price]]*Table1[[#This Row],[stock_quantity]]</f>
        <v>1045.1999999999998</v>
      </c>
    </row>
    <row r="234" spans="1:18" x14ac:dyDescent="0.25">
      <c r="A234" s="2" t="s">
        <v>287</v>
      </c>
      <c r="B234" s="2" t="s">
        <v>42</v>
      </c>
      <c r="C234" s="2" t="s">
        <v>75</v>
      </c>
      <c r="D234" s="2" t="s">
        <v>23</v>
      </c>
      <c r="E234" s="2"/>
      <c r="F234" s="2" t="s">
        <v>28</v>
      </c>
      <c r="G234" s="8">
        <v>56.34</v>
      </c>
      <c r="H234" s="11">
        <v>22.4</v>
      </c>
      <c r="I234" s="8">
        <v>43.72</v>
      </c>
      <c r="J234" s="3">
        <v>45875</v>
      </c>
      <c r="K234" s="14">
        <v>37</v>
      </c>
      <c r="L234" s="17">
        <v>2.5</v>
      </c>
      <c r="M234" s="2" t="b">
        <v>1</v>
      </c>
      <c r="N234" s="2" t="s">
        <v>125</v>
      </c>
      <c r="O234" s="2" t="str">
        <f>IF(Table1[[#This Row],[is_returned]]=TRUE,IF(Table1[[#This Row],[return_reason]]="","Error","OK"),"OK")</f>
        <v>OK</v>
      </c>
      <c r="P234" s="8">
        <f>Table1[[#This Row],[original_price]]*Table1[[#This Row],[markdown_percentage]]/100</f>
        <v>12.62016</v>
      </c>
      <c r="Q23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34" s="25">
        <f>Table1[[#This Row],[current_price]]*Table1[[#This Row],[stock_quantity]]</f>
        <v>1617.6399999999999</v>
      </c>
    </row>
    <row r="235" spans="1:18" x14ac:dyDescent="0.25">
      <c r="A235" s="2" t="s">
        <v>288</v>
      </c>
      <c r="B235" s="2" t="s">
        <v>21</v>
      </c>
      <c r="C235" s="2" t="s">
        <v>61</v>
      </c>
      <c r="D235" s="2" t="s">
        <v>34</v>
      </c>
      <c r="E235" s="2"/>
      <c r="F235" s="2" t="s">
        <v>56</v>
      </c>
      <c r="G235" s="8">
        <v>88.41</v>
      </c>
      <c r="H235" s="11">
        <v>0</v>
      </c>
      <c r="I235" s="8">
        <v>88.41</v>
      </c>
      <c r="J235" s="3">
        <v>45875</v>
      </c>
      <c r="K235" s="14">
        <v>24</v>
      </c>
      <c r="L235" s="17">
        <v>4.4000000000000004</v>
      </c>
      <c r="M235" s="2" t="b">
        <v>0</v>
      </c>
      <c r="N235" s="2"/>
      <c r="O235" s="2" t="str">
        <f>IF(Table1[[#This Row],[is_returned]]=TRUE,IF(Table1[[#This Row],[return_reason]]="","Error","OK"),"OK")</f>
        <v>OK</v>
      </c>
      <c r="P235" s="8">
        <f>Table1[[#This Row],[original_price]]*Table1[[#This Row],[markdown_percentage]]/100</f>
        <v>0</v>
      </c>
      <c r="Q23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35" s="25">
        <f>Table1[[#This Row],[current_price]]*Table1[[#This Row],[stock_quantity]]</f>
        <v>2121.84</v>
      </c>
    </row>
    <row r="236" spans="1:18" x14ac:dyDescent="0.25">
      <c r="A236" s="2" t="s">
        <v>289</v>
      </c>
      <c r="B236" s="2" t="s">
        <v>21</v>
      </c>
      <c r="C236" s="2" t="s">
        <v>61</v>
      </c>
      <c r="D236" s="2" t="s">
        <v>17</v>
      </c>
      <c r="E236" s="2" t="s">
        <v>39</v>
      </c>
      <c r="F236" s="2" t="s">
        <v>28</v>
      </c>
      <c r="G236" s="8">
        <v>25.96</v>
      </c>
      <c r="H236" s="11">
        <v>0</v>
      </c>
      <c r="I236" s="8">
        <v>25.96</v>
      </c>
      <c r="J236" s="3">
        <v>45569</v>
      </c>
      <c r="K236" s="14">
        <v>2</v>
      </c>
      <c r="L236" s="17">
        <v>1.4</v>
      </c>
      <c r="M236" s="2" t="b">
        <v>0</v>
      </c>
      <c r="N236" s="2"/>
      <c r="O236" s="2" t="str">
        <f>IF(Table1[[#This Row],[is_returned]]=TRUE,IF(Table1[[#This Row],[return_reason]]="","Error","OK"),"OK")</f>
        <v>OK</v>
      </c>
      <c r="P236" s="8">
        <f>Table1[[#This Row],[original_price]]*Table1[[#This Row],[markdown_percentage]]/100</f>
        <v>0</v>
      </c>
      <c r="Q23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36" s="25">
        <f>Table1[[#This Row],[current_price]]*Table1[[#This Row],[stock_quantity]]</f>
        <v>51.92</v>
      </c>
    </row>
    <row r="237" spans="1:18" x14ac:dyDescent="0.25">
      <c r="A237" s="2" t="s">
        <v>290</v>
      </c>
      <c r="B237" s="2" t="s">
        <v>38</v>
      </c>
      <c r="C237" s="2" t="s">
        <v>16</v>
      </c>
      <c r="D237" s="2" t="s">
        <v>17</v>
      </c>
      <c r="E237" s="2" t="s">
        <v>49</v>
      </c>
      <c r="F237" s="2" t="s">
        <v>19</v>
      </c>
      <c r="G237" s="8">
        <v>60.25</v>
      </c>
      <c r="H237" s="11">
        <v>0</v>
      </c>
      <c r="I237" s="8">
        <v>60.25</v>
      </c>
      <c r="J237" s="3">
        <v>45520</v>
      </c>
      <c r="K237" s="14">
        <v>25</v>
      </c>
      <c r="L237" s="17">
        <v>4.0999999999999996</v>
      </c>
      <c r="M237" s="2" t="b">
        <v>0</v>
      </c>
      <c r="N237" s="2"/>
      <c r="O237" s="2" t="str">
        <f>IF(Table1[[#This Row],[is_returned]]=TRUE,IF(Table1[[#This Row],[return_reason]]="","Error","OK"),"OK")</f>
        <v>OK</v>
      </c>
      <c r="P237" s="8">
        <f>Table1[[#This Row],[original_price]]*Table1[[#This Row],[markdown_percentage]]/100</f>
        <v>0</v>
      </c>
      <c r="Q23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37" s="25">
        <f>Table1[[#This Row],[current_price]]*Table1[[#This Row],[stock_quantity]]</f>
        <v>1506.25</v>
      </c>
    </row>
    <row r="238" spans="1:18" x14ac:dyDescent="0.25">
      <c r="A238" s="2" t="s">
        <v>291</v>
      </c>
      <c r="B238" s="2" t="s">
        <v>27</v>
      </c>
      <c r="C238" s="2" t="s">
        <v>48</v>
      </c>
      <c r="D238" s="2" t="s">
        <v>34</v>
      </c>
      <c r="E238" s="2"/>
      <c r="F238" s="2" t="s">
        <v>19</v>
      </c>
      <c r="G238" s="8">
        <v>52.33</v>
      </c>
      <c r="H238" s="11">
        <v>19.100000000000001</v>
      </c>
      <c r="I238" s="8">
        <v>42.33</v>
      </c>
      <c r="J238" s="3">
        <v>45875</v>
      </c>
      <c r="K238" s="14">
        <v>4</v>
      </c>
      <c r="L238" s="17"/>
      <c r="M238" s="2" t="b">
        <v>0</v>
      </c>
      <c r="N238" s="2"/>
      <c r="O238" s="2" t="str">
        <f>IF(Table1[[#This Row],[is_returned]]=TRUE,IF(Table1[[#This Row],[return_reason]]="","Error","OK"),"OK")</f>
        <v>OK</v>
      </c>
      <c r="P238" s="8">
        <f>Table1[[#This Row],[original_price]]*Table1[[#This Row],[markdown_percentage]]/100</f>
        <v>9.9950299999999999</v>
      </c>
      <c r="Q23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38" s="25">
        <f>Table1[[#This Row],[current_price]]*Table1[[#This Row],[stock_quantity]]</f>
        <v>169.32</v>
      </c>
    </row>
    <row r="239" spans="1:18" x14ac:dyDescent="0.25">
      <c r="A239" s="2" t="s">
        <v>292</v>
      </c>
      <c r="B239" s="2" t="s">
        <v>27</v>
      </c>
      <c r="C239" s="2" t="s">
        <v>43</v>
      </c>
      <c r="D239" s="2" t="s">
        <v>34</v>
      </c>
      <c r="E239" s="2"/>
      <c r="F239" s="2" t="s">
        <v>35</v>
      </c>
      <c r="G239" s="8">
        <v>67.61</v>
      </c>
      <c r="H239" s="11">
        <v>0</v>
      </c>
      <c r="I239" s="8">
        <v>67.61</v>
      </c>
      <c r="J239" s="3">
        <v>45875</v>
      </c>
      <c r="K239" s="14">
        <v>14</v>
      </c>
      <c r="L239" s="17">
        <v>1.8</v>
      </c>
      <c r="M239" s="2" t="b">
        <v>0</v>
      </c>
      <c r="N239" s="2"/>
      <c r="O239" s="2" t="str">
        <f>IF(Table1[[#This Row],[is_returned]]=TRUE,IF(Table1[[#This Row],[return_reason]]="","Error","OK"),"OK")</f>
        <v>OK</v>
      </c>
      <c r="P239" s="8">
        <f>Table1[[#This Row],[original_price]]*Table1[[#This Row],[markdown_percentage]]/100</f>
        <v>0</v>
      </c>
      <c r="Q23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39" s="25">
        <f>Table1[[#This Row],[current_price]]*Table1[[#This Row],[stock_quantity]]</f>
        <v>946.54</v>
      </c>
    </row>
    <row r="240" spans="1:18" x14ac:dyDescent="0.25">
      <c r="A240" s="2" t="s">
        <v>293</v>
      </c>
      <c r="B240" s="2" t="s">
        <v>30</v>
      </c>
      <c r="C240" s="2" t="s">
        <v>75</v>
      </c>
      <c r="D240" s="2" t="s">
        <v>17</v>
      </c>
      <c r="E240" s="2" t="s">
        <v>24</v>
      </c>
      <c r="F240" s="2" t="s">
        <v>70</v>
      </c>
      <c r="G240" s="8">
        <v>136</v>
      </c>
      <c r="H240" s="11">
        <v>0</v>
      </c>
      <c r="I240" s="8">
        <v>136</v>
      </c>
      <c r="J240" s="3">
        <v>45870</v>
      </c>
      <c r="K240" s="14">
        <v>46</v>
      </c>
      <c r="L240" s="17">
        <v>4.5</v>
      </c>
      <c r="M240" s="2" t="b">
        <v>0</v>
      </c>
      <c r="N240" s="2"/>
      <c r="O240" s="2" t="str">
        <f>IF(Table1[[#This Row],[is_returned]]=TRUE,IF(Table1[[#This Row],[return_reason]]="","Error","OK"),"OK")</f>
        <v>OK</v>
      </c>
      <c r="P240" s="8">
        <f>Table1[[#This Row],[original_price]]*Table1[[#This Row],[markdown_percentage]]/100</f>
        <v>0</v>
      </c>
      <c r="Q24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40" s="25">
        <f>Table1[[#This Row],[current_price]]*Table1[[#This Row],[stock_quantity]]</f>
        <v>6256</v>
      </c>
    </row>
    <row r="241" spans="1:18" x14ac:dyDescent="0.25">
      <c r="A241" s="2" t="s">
        <v>294</v>
      </c>
      <c r="B241" s="2" t="s">
        <v>30</v>
      </c>
      <c r="C241" s="2" t="s">
        <v>16</v>
      </c>
      <c r="D241" s="2" t="s">
        <v>34</v>
      </c>
      <c r="E241" s="2"/>
      <c r="F241" s="2" t="s">
        <v>70</v>
      </c>
      <c r="G241" s="8">
        <v>74.48</v>
      </c>
      <c r="H241" s="11">
        <v>0</v>
      </c>
      <c r="I241" s="8">
        <v>74.48</v>
      </c>
      <c r="J241" s="3">
        <v>45875</v>
      </c>
      <c r="K241" s="14">
        <v>24</v>
      </c>
      <c r="L241" s="17">
        <v>3.7</v>
      </c>
      <c r="M241" s="2" t="b">
        <v>0</v>
      </c>
      <c r="N241" s="2"/>
      <c r="O241" s="2" t="str">
        <f>IF(Table1[[#This Row],[is_returned]]=TRUE,IF(Table1[[#This Row],[return_reason]]="","Error","OK"),"OK")</f>
        <v>OK</v>
      </c>
      <c r="P241" s="8">
        <f>Table1[[#This Row],[original_price]]*Table1[[#This Row],[markdown_percentage]]/100</f>
        <v>0</v>
      </c>
      <c r="Q24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41" s="25">
        <f>Table1[[#This Row],[current_price]]*Table1[[#This Row],[stock_quantity]]</f>
        <v>1787.52</v>
      </c>
    </row>
    <row r="242" spans="1:18" x14ac:dyDescent="0.25">
      <c r="A242" s="2" t="s">
        <v>295</v>
      </c>
      <c r="B242" s="2" t="s">
        <v>42</v>
      </c>
      <c r="C242" s="2" t="s">
        <v>75</v>
      </c>
      <c r="D242" s="2" t="s">
        <v>34</v>
      </c>
      <c r="E242" s="2" t="s">
        <v>55</v>
      </c>
      <c r="F242" s="2" t="s">
        <v>25</v>
      </c>
      <c r="G242" s="8">
        <v>101.39</v>
      </c>
      <c r="H242" s="11">
        <v>0</v>
      </c>
      <c r="I242" s="8">
        <v>101.39</v>
      </c>
      <c r="J242" s="3">
        <v>45875</v>
      </c>
      <c r="K242" s="14">
        <v>33</v>
      </c>
      <c r="L242" s="17">
        <v>2.4</v>
      </c>
      <c r="M242" s="2" t="b">
        <v>1</v>
      </c>
      <c r="N242" s="2" t="s">
        <v>73</v>
      </c>
      <c r="O242" s="2" t="str">
        <f>IF(Table1[[#This Row],[is_returned]]=TRUE,IF(Table1[[#This Row],[return_reason]]="","Error","OK"),"OK")</f>
        <v>OK</v>
      </c>
      <c r="P242" s="8">
        <f>Table1[[#This Row],[original_price]]*Table1[[#This Row],[markdown_percentage]]/100</f>
        <v>0</v>
      </c>
      <c r="Q24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42" s="25">
        <f>Table1[[#This Row],[current_price]]*Table1[[#This Row],[stock_quantity]]</f>
        <v>3345.87</v>
      </c>
    </row>
    <row r="243" spans="1:18" x14ac:dyDescent="0.25">
      <c r="A243" s="2" t="s">
        <v>296</v>
      </c>
      <c r="B243" s="2" t="s">
        <v>42</v>
      </c>
      <c r="C243" s="2" t="s">
        <v>75</v>
      </c>
      <c r="D243" s="2" t="s">
        <v>34</v>
      </c>
      <c r="E243" s="2" t="s">
        <v>49</v>
      </c>
      <c r="F243" s="2" t="s">
        <v>46</v>
      </c>
      <c r="G243" s="8">
        <v>169.68</v>
      </c>
      <c r="H243" s="11">
        <v>41.7</v>
      </c>
      <c r="I243" s="8">
        <v>98.92</v>
      </c>
      <c r="J243" s="3">
        <v>45875</v>
      </c>
      <c r="K243" s="14">
        <v>43</v>
      </c>
      <c r="L243" s="17">
        <v>4.5999999999999996</v>
      </c>
      <c r="M243" s="2" t="b">
        <v>0</v>
      </c>
      <c r="N243" s="2"/>
      <c r="O243" s="2" t="str">
        <f>IF(Table1[[#This Row],[is_returned]]=TRUE,IF(Table1[[#This Row],[return_reason]]="","Error","OK"),"OK")</f>
        <v>OK</v>
      </c>
      <c r="P243" s="8">
        <f>Table1[[#This Row],[original_price]]*Table1[[#This Row],[markdown_percentage]]/100</f>
        <v>70.756560000000007</v>
      </c>
      <c r="Q24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43" s="25">
        <f>Table1[[#This Row],[current_price]]*Table1[[#This Row],[stock_quantity]]</f>
        <v>4253.5600000000004</v>
      </c>
    </row>
    <row r="244" spans="1:18" x14ac:dyDescent="0.25">
      <c r="A244" s="2" t="s">
        <v>297</v>
      </c>
      <c r="B244" s="2" t="s">
        <v>27</v>
      </c>
      <c r="C244" s="2" t="s">
        <v>75</v>
      </c>
      <c r="D244" s="2" t="s">
        <v>23</v>
      </c>
      <c r="E244" s="2"/>
      <c r="F244" s="2" t="s">
        <v>66</v>
      </c>
      <c r="G244" s="8">
        <v>52.45</v>
      </c>
      <c r="H244" s="11">
        <v>0</v>
      </c>
      <c r="I244" s="8">
        <v>52.45</v>
      </c>
      <c r="J244" s="3">
        <v>45875</v>
      </c>
      <c r="K244" s="14">
        <v>34</v>
      </c>
      <c r="L244" s="17">
        <v>2.1</v>
      </c>
      <c r="M244" s="2" t="b">
        <v>0</v>
      </c>
      <c r="N244" s="2"/>
      <c r="O244" s="2" t="str">
        <f>IF(Table1[[#This Row],[is_returned]]=TRUE,IF(Table1[[#This Row],[return_reason]]="","Error","OK"),"OK")</f>
        <v>OK</v>
      </c>
      <c r="P244" s="8">
        <f>Table1[[#This Row],[original_price]]*Table1[[#This Row],[markdown_percentage]]/100</f>
        <v>0</v>
      </c>
      <c r="Q24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44" s="25">
        <f>Table1[[#This Row],[current_price]]*Table1[[#This Row],[stock_quantity]]</f>
        <v>1783.3000000000002</v>
      </c>
    </row>
    <row r="245" spans="1:18" x14ac:dyDescent="0.25">
      <c r="A245" s="2" t="s">
        <v>298</v>
      </c>
      <c r="B245" s="2" t="s">
        <v>30</v>
      </c>
      <c r="C245" s="2" t="s">
        <v>22</v>
      </c>
      <c r="D245" s="2" t="s">
        <v>62</v>
      </c>
      <c r="E245" s="2" t="s">
        <v>49</v>
      </c>
      <c r="F245" s="2" t="s">
        <v>25</v>
      </c>
      <c r="G245" s="8">
        <v>153.85</v>
      </c>
      <c r="H245" s="11">
        <v>47.6</v>
      </c>
      <c r="I245" s="8">
        <v>80.62</v>
      </c>
      <c r="J245" s="3">
        <v>45875</v>
      </c>
      <c r="K245" s="14">
        <v>12</v>
      </c>
      <c r="L245" s="17">
        <v>3.1</v>
      </c>
      <c r="M245" s="2" t="b">
        <v>0</v>
      </c>
      <c r="N245" s="2"/>
      <c r="O245" s="2" t="str">
        <f>IF(Table1[[#This Row],[is_returned]]=TRUE,IF(Table1[[#This Row],[return_reason]]="","Error","OK"),"OK")</f>
        <v>OK</v>
      </c>
      <c r="P245" s="8">
        <f>Table1[[#This Row],[original_price]]*Table1[[#This Row],[markdown_percentage]]/100</f>
        <v>73.232600000000005</v>
      </c>
      <c r="Q24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45" s="25">
        <f>Table1[[#This Row],[current_price]]*Table1[[#This Row],[stock_quantity]]</f>
        <v>967.44</v>
      </c>
    </row>
    <row r="246" spans="1:18" x14ac:dyDescent="0.25">
      <c r="A246" s="2" t="s">
        <v>299</v>
      </c>
      <c r="B246" s="2" t="s">
        <v>38</v>
      </c>
      <c r="C246" s="2" t="s">
        <v>43</v>
      </c>
      <c r="D246" s="2" t="s">
        <v>34</v>
      </c>
      <c r="E246" s="2" t="s">
        <v>58</v>
      </c>
      <c r="F246" s="2" t="s">
        <v>70</v>
      </c>
      <c r="G246" s="8">
        <v>32.700000000000003</v>
      </c>
      <c r="H246" s="11">
        <v>50.5</v>
      </c>
      <c r="I246" s="8">
        <v>16.190000000000001</v>
      </c>
      <c r="J246" s="3">
        <v>45875</v>
      </c>
      <c r="K246" s="14">
        <v>46</v>
      </c>
      <c r="L246" s="17">
        <v>1.3</v>
      </c>
      <c r="M246" s="2" t="b">
        <v>0</v>
      </c>
      <c r="N246" s="2"/>
      <c r="O246" s="2" t="str">
        <f>IF(Table1[[#This Row],[is_returned]]=TRUE,IF(Table1[[#This Row],[return_reason]]="","Error","OK"),"OK")</f>
        <v>OK</v>
      </c>
      <c r="P246" s="8">
        <f>Table1[[#This Row],[original_price]]*Table1[[#This Row],[markdown_percentage]]/100</f>
        <v>16.513500000000001</v>
      </c>
      <c r="Q24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46" s="25">
        <f>Table1[[#This Row],[current_price]]*Table1[[#This Row],[stock_quantity]]</f>
        <v>744.74</v>
      </c>
    </row>
    <row r="247" spans="1:18" x14ac:dyDescent="0.25">
      <c r="A247" s="2" t="s">
        <v>300</v>
      </c>
      <c r="B247" s="2" t="s">
        <v>15</v>
      </c>
      <c r="C247" s="2" t="s">
        <v>22</v>
      </c>
      <c r="D247" s="2" t="s">
        <v>34</v>
      </c>
      <c r="E247" s="2" t="s">
        <v>24</v>
      </c>
      <c r="F247" s="2" t="s">
        <v>64</v>
      </c>
      <c r="G247" s="8">
        <v>104.27</v>
      </c>
      <c r="H247" s="11">
        <v>54.6</v>
      </c>
      <c r="I247" s="8">
        <v>47.34</v>
      </c>
      <c r="J247" s="3">
        <v>45875</v>
      </c>
      <c r="K247" s="14">
        <v>42</v>
      </c>
      <c r="L247" s="17">
        <v>4.2</v>
      </c>
      <c r="M247" s="2" t="b">
        <v>0</v>
      </c>
      <c r="N247" s="2"/>
      <c r="O247" s="2" t="str">
        <f>IF(Table1[[#This Row],[is_returned]]=TRUE,IF(Table1[[#This Row],[return_reason]]="","Error","OK"),"OK")</f>
        <v>OK</v>
      </c>
      <c r="P247" s="8">
        <f>Table1[[#This Row],[original_price]]*Table1[[#This Row],[markdown_percentage]]/100</f>
        <v>56.931419999999996</v>
      </c>
      <c r="Q24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47" s="25">
        <f>Table1[[#This Row],[current_price]]*Table1[[#This Row],[stock_quantity]]</f>
        <v>1988.2800000000002</v>
      </c>
    </row>
    <row r="248" spans="1:18" x14ac:dyDescent="0.25">
      <c r="A248" s="2" t="s">
        <v>301</v>
      </c>
      <c r="B248" s="2" t="s">
        <v>42</v>
      </c>
      <c r="C248" s="2" t="s">
        <v>75</v>
      </c>
      <c r="D248" s="2" t="s">
        <v>62</v>
      </c>
      <c r="E248" s="2" t="s">
        <v>58</v>
      </c>
      <c r="F248" s="2" t="s">
        <v>40</v>
      </c>
      <c r="G248" s="8">
        <v>80.040000000000006</v>
      </c>
      <c r="H248" s="11">
        <v>50.9</v>
      </c>
      <c r="I248" s="8">
        <v>39.299999999999997</v>
      </c>
      <c r="J248" s="3">
        <v>45875</v>
      </c>
      <c r="K248" s="14">
        <v>45</v>
      </c>
      <c r="L248" s="17"/>
      <c r="M248" s="2" t="b">
        <v>0</v>
      </c>
      <c r="N248" s="2"/>
      <c r="O248" s="2" t="str">
        <f>IF(Table1[[#This Row],[is_returned]]=TRUE,IF(Table1[[#This Row],[return_reason]]="","Error","OK"),"OK")</f>
        <v>OK</v>
      </c>
      <c r="P248" s="8">
        <f>Table1[[#This Row],[original_price]]*Table1[[#This Row],[markdown_percentage]]/100</f>
        <v>40.740360000000003</v>
      </c>
      <c r="Q24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48" s="25">
        <f>Table1[[#This Row],[current_price]]*Table1[[#This Row],[stock_quantity]]</f>
        <v>1768.4999999999998</v>
      </c>
    </row>
    <row r="249" spans="1:18" x14ac:dyDescent="0.25">
      <c r="A249" s="2" t="s">
        <v>302</v>
      </c>
      <c r="B249" s="2" t="s">
        <v>38</v>
      </c>
      <c r="C249" s="2" t="s">
        <v>32</v>
      </c>
      <c r="D249" s="2" t="s">
        <v>17</v>
      </c>
      <c r="E249" s="2" t="s">
        <v>58</v>
      </c>
      <c r="F249" s="2" t="s">
        <v>28</v>
      </c>
      <c r="G249" s="8">
        <v>72.069999999999993</v>
      </c>
      <c r="H249" s="11">
        <v>0</v>
      </c>
      <c r="I249" s="8">
        <v>72.069999999999993</v>
      </c>
      <c r="J249" s="3">
        <v>45785</v>
      </c>
      <c r="K249" s="14">
        <v>20</v>
      </c>
      <c r="L249" s="17"/>
      <c r="M249" s="2" t="b">
        <v>1</v>
      </c>
      <c r="N249" s="2" t="s">
        <v>36</v>
      </c>
      <c r="O249" s="2" t="str">
        <f>IF(Table1[[#This Row],[is_returned]]=TRUE,IF(Table1[[#This Row],[return_reason]]="","Error","OK"),"OK")</f>
        <v>OK</v>
      </c>
      <c r="P249" s="8">
        <f>Table1[[#This Row],[original_price]]*Table1[[#This Row],[markdown_percentage]]/100</f>
        <v>0</v>
      </c>
      <c r="Q24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49" s="25">
        <f>Table1[[#This Row],[current_price]]*Table1[[#This Row],[stock_quantity]]</f>
        <v>1441.3999999999999</v>
      </c>
    </row>
    <row r="250" spans="1:18" x14ac:dyDescent="0.25">
      <c r="A250" s="2" t="s">
        <v>303</v>
      </c>
      <c r="B250" s="2" t="s">
        <v>15</v>
      </c>
      <c r="C250" s="2" t="s">
        <v>16</v>
      </c>
      <c r="D250" s="2" t="s">
        <v>34</v>
      </c>
      <c r="E250" s="2" t="s">
        <v>58</v>
      </c>
      <c r="F250" s="2" t="s">
        <v>46</v>
      </c>
      <c r="G250" s="8">
        <v>220.99</v>
      </c>
      <c r="H250" s="11">
        <v>0</v>
      </c>
      <c r="I250" s="8">
        <v>220.99</v>
      </c>
      <c r="J250" s="3">
        <v>45875</v>
      </c>
      <c r="K250" s="14">
        <v>42</v>
      </c>
      <c r="L250" s="17">
        <v>3.6</v>
      </c>
      <c r="M250" s="2" t="b">
        <v>0</v>
      </c>
      <c r="N250" s="2"/>
      <c r="O250" s="2" t="str">
        <f>IF(Table1[[#This Row],[is_returned]]=TRUE,IF(Table1[[#This Row],[return_reason]]="","Error","OK"),"OK")</f>
        <v>OK</v>
      </c>
      <c r="P250" s="8">
        <f>Table1[[#This Row],[original_price]]*Table1[[#This Row],[markdown_percentage]]/100</f>
        <v>0</v>
      </c>
      <c r="Q25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50" s="25">
        <f>Table1[[#This Row],[current_price]]*Table1[[#This Row],[stock_quantity]]</f>
        <v>9281.58</v>
      </c>
    </row>
    <row r="251" spans="1:18" x14ac:dyDescent="0.25">
      <c r="A251" s="2" t="s">
        <v>304</v>
      </c>
      <c r="B251" s="2" t="s">
        <v>15</v>
      </c>
      <c r="C251" s="2" t="s">
        <v>22</v>
      </c>
      <c r="D251" s="2" t="s">
        <v>34</v>
      </c>
      <c r="E251" s="2" t="s">
        <v>55</v>
      </c>
      <c r="F251" s="2" t="s">
        <v>28</v>
      </c>
      <c r="G251" s="8">
        <v>117.36</v>
      </c>
      <c r="H251" s="11">
        <v>14.6</v>
      </c>
      <c r="I251" s="8">
        <v>100.23</v>
      </c>
      <c r="J251" s="3">
        <v>45875</v>
      </c>
      <c r="K251" s="14">
        <v>33</v>
      </c>
      <c r="L251" s="17"/>
      <c r="M251" s="2" t="b">
        <v>1</v>
      </c>
      <c r="N251" s="2" t="s">
        <v>73</v>
      </c>
      <c r="O251" s="2" t="str">
        <f>IF(Table1[[#This Row],[is_returned]]=TRUE,IF(Table1[[#This Row],[return_reason]]="","Error","OK"),"OK")</f>
        <v>OK</v>
      </c>
      <c r="P251" s="8">
        <f>Table1[[#This Row],[original_price]]*Table1[[#This Row],[markdown_percentage]]/100</f>
        <v>17.13456</v>
      </c>
      <c r="Q25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51" s="25">
        <f>Table1[[#This Row],[current_price]]*Table1[[#This Row],[stock_quantity]]</f>
        <v>3307.59</v>
      </c>
    </row>
    <row r="252" spans="1:18" x14ac:dyDescent="0.25">
      <c r="A252" s="2" t="s">
        <v>305</v>
      </c>
      <c r="B252" s="2" t="s">
        <v>15</v>
      </c>
      <c r="C252" s="2" t="s">
        <v>32</v>
      </c>
      <c r="D252" s="2" t="s">
        <v>17</v>
      </c>
      <c r="E252" s="2" t="s">
        <v>24</v>
      </c>
      <c r="F252" s="2" t="s">
        <v>64</v>
      </c>
      <c r="G252" s="8">
        <v>198.76</v>
      </c>
      <c r="H252" s="11">
        <v>48.8</v>
      </c>
      <c r="I252" s="8">
        <v>101.77</v>
      </c>
      <c r="J252" s="3">
        <v>45773</v>
      </c>
      <c r="K252" s="14">
        <v>36</v>
      </c>
      <c r="L252" s="17">
        <v>3</v>
      </c>
      <c r="M252" s="2" t="b">
        <v>0</v>
      </c>
      <c r="N252" s="2"/>
      <c r="O252" s="2" t="str">
        <f>IF(Table1[[#This Row],[is_returned]]=TRUE,IF(Table1[[#This Row],[return_reason]]="","Error","OK"),"OK")</f>
        <v>OK</v>
      </c>
      <c r="P252" s="8">
        <f>Table1[[#This Row],[original_price]]*Table1[[#This Row],[markdown_percentage]]/100</f>
        <v>96.994879999999995</v>
      </c>
      <c r="Q25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52" s="25">
        <f>Table1[[#This Row],[current_price]]*Table1[[#This Row],[stock_quantity]]</f>
        <v>3663.72</v>
      </c>
    </row>
    <row r="253" spans="1:18" x14ac:dyDescent="0.25">
      <c r="A253" s="2" t="s">
        <v>306</v>
      </c>
      <c r="B253" s="2" t="s">
        <v>15</v>
      </c>
      <c r="C253" s="2" t="s">
        <v>48</v>
      </c>
      <c r="D253" s="2" t="s">
        <v>34</v>
      </c>
      <c r="E253" s="2" t="s">
        <v>24</v>
      </c>
      <c r="F253" s="2" t="s">
        <v>28</v>
      </c>
      <c r="G253" s="8">
        <v>121.03</v>
      </c>
      <c r="H253" s="11">
        <v>0</v>
      </c>
      <c r="I253" s="8">
        <v>121.03</v>
      </c>
      <c r="J253" s="3">
        <v>45875</v>
      </c>
      <c r="K253" s="14">
        <v>14</v>
      </c>
      <c r="L253" s="17">
        <v>1.6</v>
      </c>
      <c r="M253" s="2" t="b">
        <v>1</v>
      </c>
      <c r="N253" s="2" t="s">
        <v>115</v>
      </c>
      <c r="O253" s="2" t="str">
        <f>IF(Table1[[#This Row],[is_returned]]=TRUE,IF(Table1[[#This Row],[return_reason]]="","Error","OK"),"OK")</f>
        <v>OK</v>
      </c>
      <c r="P253" s="8">
        <f>Table1[[#This Row],[original_price]]*Table1[[#This Row],[markdown_percentage]]/100</f>
        <v>0</v>
      </c>
      <c r="Q25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53" s="25">
        <f>Table1[[#This Row],[current_price]]*Table1[[#This Row],[stock_quantity]]</f>
        <v>1694.42</v>
      </c>
    </row>
    <row r="254" spans="1:18" x14ac:dyDescent="0.25">
      <c r="A254" s="2" t="s">
        <v>307</v>
      </c>
      <c r="B254" s="2" t="s">
        <v>21</v>
      </c>
      <c r="C254" s="2" t="s">
        <v>48</v>
      </c>
      <c r="D254" s="2" t="s">
        <v>34</v>
      </c>
      <c r="E254" s="2" t="s">
        <v>24</v>
      </c>
      <c r="F254" s="2" t="s">
        <v>35</v>
      </c>
      <c r="G254" s="8">
        <v>88.62</v>
      </c>
      <c r="H254" s="11">
        <v>0</v>
      </c>
      <c r="I254" s="8">
        <v>88.62</v>
      </c>
      <c r="J254" s="3">
        <v>45875</v>
      </c>
      <c r="K254" s="14">
        <v>48</v>
      </c>
      <c r="L254" s="17">
        <v>2.4</v>
      </c>
      <c r="M254" s="2" t="b">
        <v>0</v>
      </c>
      <c r="N254" s="2"/>
      <c r="O254" s="2" t="str">
        <f>IF(Table1[[#This Row],[is_returned]]=TRUE,IF(Table1[[#This Row],[return_reason]]="","Error","OK"),"OK")</f>
        <v>OK</v>
      </c>
      <c r="P254" s="8">
        <f>Table1[[#This Row],[original_price]]*Table1[[#This Row],[markdown_percentage]]/100</f>
        <v>0</v>
      </c>
      <c r="Q25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54" s="25">
        <f>Table1[[#This Row],[current_price]]*Table1[[#This Row],[stock_quantity]]</f>
        <v>4253.76</v>
      </c>
    </row>
    <row r="255" spans="1:18" x14ac:dyDescent="0.25">
      <c r="A255" s="2" t="s">
        <v>308</v>
      </c>
      <c r="B255" s="2" t="s">
        <v>30</v>
      </c>
      <c r="C255" s="2" t="s">
        <v>48</v>
      </c>
      <c r="D255" s="2" t="s">
        <v>62</v>
      </c>
      <c r="E255" s="2" t="s">
        <v>18</v>
      </c>
      <c r="F255" s="2" t="s">
        <v>46</v>
      </c>
      <c r="G255" s="8">
        <v>88.94</v>
      </c>
      <c r="H255" s="11">
        <v>0</v>
      </c>
      <c r="I255" s="8">
        <v>88.94</v>
      </c>
      <c r="J255" s="3">
        <v>45875</v>
      </c>
      <c r="K255" s="14">
        <v>29</v>
      </c>
      <c r="L255" s="17">
        <v>3.9</v>
      </c>
      <c r="M255" s="2" t="b">
        <v>0</v>
      </c>
      <c r="N255" s="2"/>
      <c r="O255" s="2" t="str">
        <f>IF(Table1[[#This Row],[is_returned]]=TRUE,IF(Table1[[#This Row],[return_reason]]="","Error","OK"),"OK")</f>
        <v>OK</v>
      </c>
      <c r="P255" s="8">
        <f>Table1[[#This Row],[original_price]]*Table1[[#This Row],[markdown_percentage]]/100</f>
        <v>0</v>
      </c>
      <c r="Q25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55" s="25">
        <f>Table1[[#This Row],[current_price]]*Table1[[#This Row],[stock_quantity]]</f>
        <v>2579.2599999999998</v>
      </c>
    </row>
    <row r="256" spans="1:18" x14ac:dyDescent="0.25">
      <c r="A256" s="2" t="s">
        <v>309</v>
      </c>
      <c r="B256" s="2" t="s">
        <v>38</v>
      </c>
      <c r="C256" s="2" t="s">
        <v>16</v>
      </c>
      <c r="D256" s="2" t="s">
        <v>23</v>
      </c>
      <c r="E256" s="2" t="s">
        <v>39</v>
      </c>
      <c r="F256" s="2" t="s">
        <v>28</v>
      </c>
      <c r="G256" s="8">
        <v>115.7</v>
      </c>
      <c r="H256" s="11">
        <v>17.8</v>
      </c>
      <c r="I256" s="8">
        <v>95.11</v>
      </c>
      <c r="J256" s="3">
        <v>45875</v>
      </c>
      <c r="K256" s="14">
        <v>32</v>
      </c>
      <c r="L256" s="17">
        <v>1.7</v>
      </c>
      <c r="M256" s="2" t="b">
        <v>0</v>
      </c>
      <c r="N256" s="2"/>
      <c r="O256" s="2" t="str">
        <f>IF(Table1[[#This Row],[is_returned]]=TRUE,IF(Table1[[#This Row],[return_reason]]="","Error","OK"),"OK")</f>
        <v>OK</v>
      </c>
      <c r="P256" s="8">
        <f>Table1[[#This Row],[original_price]]*Table1[[#This Row],[markdown_percentage]]/100</f>
        <v>20.5946</v>
      </c>
      <c r="Q25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56" s="25">
        <f>Table1[[#This Row],[current_price]]*Table1[[#This Row],[stock_quantity]]</f>
        <v>3043.52</v>
      </c>
    </row>
    <row r="257" spans="1:18" x14ac:dyDescent="0.25">
      <c r="A257" s="2" t="s">
        <v>310</v>
      </c>
      <c r="B257" s="2" t="s">
        <v>38</v>
      </c>
      <c r="C257" s="2" t="s">
        <v>75</v>
      </c>
      <c r="D257" s="2" t="s">
        <v>34</v>
      </c>
      <c r="E257" s="2" t="s">
        <v>49</v>
      </c>
      <c r="F257" s="2" t="s">
        <v>28</v>
      </c>
      <c r="G257" s="8">
        <v>75.66</v>
      </c>
      <c r="H257" s="11">
        <v>0</v>
      </c>
      <c r="I257" s="8">
        <v>75.66</v>
      </c>
      <c r="J257" s="3">
        <v>45875</v>
      </c>
      <c r="K257" s="14">
        <v>20</v>
      </c>
      <c r="L257" s="17">
        <v>3</v>
      </c>
      <c r="M257" s="2" t="b">
        <v>0</v>
      </c>
      <c r="N257" s="2"/>
      <c r="O257" s="2" t="str">
        <f>IF(Table1[[#This Row],[is_returned]]=TRUE,IF(Table1[[#This Row],[return_reason]]="","Error","OK"),"OK")</f>
        <v>OK</v>
      </c>
      <c r="P257" s="8">
        <f>Table1[[#This Row],[original_price]]*Table1[[#This Row],[markdown_percentage]]/100</f>
        <v>0</v>
      </c>
      <c r="Q25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57" s="25">
        <f>Table1[[#This Row],[current_price]]*Table1[[#This Row],[stock_quantity]]</f>
        <v>1513.1999999999998</v>
      </c>
    </row>
    <row r="258" spans="1:18" x14ac:dyDescent="0.25">
      <c r="A258" s="2" t="s">
        <v>311</v>
      </c>
      <c r="B258" s="2" t="s">
        <v>27</v>
      </c>
      <c r="C258" s="2" t="s">
        <v>53</v>
      </c>
      <c r="D258" s="2" t="s">
        <v>23</v>
      </c>
      <c r="E258" s="2"/>
      <c r="F258" s="2" t="s">
        <v>46</v>
      </c>
      <c r="G258" s="8">
        <v>42.11</v>
      </c>
      <c r="H258" s="11">
        <v>0</v>
      </c>
      <c r="I258" s="8">
        <v>42.11</v>
      </c>
      <c r="J258" s="3">
        <v>45875</v>
      </c>
      <c r="K258" s="14">
        <v>26</v>
      </c>
      <c r="L258" s="17">
        <v>4</v>
      </c>
      <c r="M258" s="2" t="b">
        <v>0</v>
      </c>
      <c r="N258" s="2"/>
      <c r="O258" s="2" t="str">
        <f>IF(Table1[[#This Row],[is_returned]]=TRUE,IF(Table1[[#This Row],[return_reason]]="","Error","OK"),"OK")</f>
        <v>OK</v>
      </c>
      <c r="P258" s="8">
        <f>Table1[[#This Row],[original_price]]*Table1[[#This Row],[markdown_percentage]]/100</f>
        <v>0</v>
      </c>
      <c r="Q25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58" s="25">
        <f>Table1[[#This Row],[current_price]]*Table1[[#This Row],[stock_quantity]]</f>
        <v>1094.8599999999999</v>
      </c>
    </row>
    <row r="259" spans="1:18" x14ac:dyDescent="0.25">
      <c r="A259" s="2" t="s">
        <v>312</v>
      </c>
      <c r="B259" s="2" t="s">
        <v>15</v>
      </c>
      <c r="C259" s="2" t="s">
        <v>48</v>
      </c>
      <c r="D259" s="2" t="s">
        <v>17</v>
      </c>
      <c r="E259" s="2" t="s">
        <v>49</v>
      </c>
      <c r="F259" s="2" t="s">
        <v>56</v>
      </c>
      <c r="G259" s="8">
        <v>247.9</v>
      </c>
      <c r="H259" s="11">
        <v>4.3</v>
      </c>
      <c r="I259" s="8">
        <v>237.24</v>
      </c>
      <c r="J259" s="3">
        <v>45651</v>
      </c>
      <c r="K259" s="14">
        <v>25</v>
      </c>
      <c r="L259" s="17">
        <v>4.5999999999999996</v>
      </c>
      <c r="M259" s="2" t="b">
        <v>0</v>
      </c>
      <c r="N259" s="2"/>
      <c r="O259" s="2" t="str">
        <f>IF(Table1[[#This Row],[is_returned]]=TRUE,IF(Table1[[#This Row],[return_reason]]="","Error","OK"),"OK")</f>
        <v>OK</v>
      </c>
      <c r="P259" s="8">
        <f>Table1[[#This Row],[original_price]]*Table1[[#This Row],[markdown_percentage]]/100</f>
        <v>10.659700000000001</v>
      </c>
      <c r="Q25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59" s="25">
        <f>Table1[[#This Row],[current_price]]*Table1[[#This Row],[stock_quantity]]</f>
        <v>5931</v>
      </c>
    </row>
    <row r="260" spans="1:18" x14ac:dyDescent="0.25">
      <c r="A260" s="2" t="s">
        <v>313</v>
      </c>
      <c r="B260" s="2" t="s">
        <v>30</v>
      </c>
      <c r="C260" s="2" t="s">
        <v>32</v>
      </c>
      <c r="D260" s="2" t="s">
        <v>17</v>
      </c>
      <c r="E260" s="2" t="s">
        <v>18</v>
      </c>
      <c r="F260" s="2" t="s">
        <v>56</v>
      </c>
      <c r="G260" s="8">
        <v>143.44999999999999</v>
      </c>
      <c r="H260" s="11">
        <v>0</v>
      </c>
      <c r="I260" s="8">
        <v>143.44999999999999</v>
      </c>
      <c r="J260" s="3">
        <v>45562</v>
      </c>
      <c r="K260" s="14">
        <v>39</v>
      </c>
      <c r="L260" s="17"/>
      <c r="M260" s="2" t="b">
        <v>1</v>
      </c>
      <c r="N260" s="2" t="s">
        <v>83</v>
      </c>
      <c r="O260" s="2" t="str">
        <f>IF(Table1[[#This Row],[is_returned]]=TRUE,IF(Table1[[#This Row],[return_reason]]="","Error","OK"),"OK")</f>
        <v>OK</v>
      </c>
      <c r="P260" s="8">
        <f>Table1[[#This Row],[original_price]]*Table1[[#This Row],[markdown_percentage]]/100</f>
        <v>0</v>
      </c>
      <c r="Q26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60" s="25">
        <f>Table1[[#This Row],[current_price]]*Table1[[#This Row],[stock_quantity]]</f>
        <v>5594.5499999999993</v>
      </c>
    </row>
    <row r="261" spans="1:18" x14ac:dyDescent="0.25">
      <c r="A261" s="2" t="s">
        <v>314</v>
      </c>
      <c r="B261" s="2" t="s">
        <v>27</v>
      </c>
      <c r="C261" s="2" t="s">
        <v>32</v>
      </c>
      <c r="D261" s="2" t="s">
        <v>23</v>
      </c>
      <c r="E261" s="2"/>
      <c r="F261" s="2" t="s">
        <v>56</v>
      </c>
      <c r="G261" s="8">
        <v>24.96</v>
      </c>
      <c r="H261" s="11">
        <v>44.7</v>
      </c>
      <c r="I261" s="8">
        <v>13.8</v>
      </c>
      <c r="J261" s="3">
        <v>45875</v>
      </c>
      <c r="K261" s="14">
        <v>44</v>
      </c>
      <c r="L261" s="17"/>
      <c r="M261" s="2" t="b">
        <v>0</v>
      </c>
      <c r="N261" s="2"/>
      <c r="O261" s="2" t="str">
        <f>IF(Table1[[#This Row],[is_returned]]=TRUE,IF(Table1[[#This Row],[return_reason]]="","Error","OK"),"OK")</f>
        <v>OK</v>
      </c>
      <c r="P261" s="8">
        <f>Table1[[#This Row],[original_price]]*Table1[[#This Row],[markdown_percentage]]/100</f>
        <v>11.157120000000003</v>
      </c>
      <c r="Q26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61" s="25">
        <f>Table1[[#This Row],[current_price]]*Table1[[#This Row],[stock_quantity]]</f>
        <v>607.20000000000005</v>
      </c>
    </row>
    <row r="262" spans="1:18" x14ac:dyDescent="0.25">
      <c r="A262" s="2" t="s">
        <v>315</v>
      </c>
      <c r="B262" s="2" t="s">
        <v>15</v>
      </c>
      <c r="C262" s="2" t="s">
        <v>75</v>
      </c>
      <c r="D262" s="2" t="s">
        <v>62</v>
      </c>
      <c r="E262" s="2" t="s">
        <v>18</v>
      </c>
      <c r="F262" s="2" t="s">
        <v>64</v>
      </c>
      <c r="G262" s="8">
        <v>109.74</v>
      </c>
      <c r="H262" s="11">
        <v>0</v>
      </c>
      <c r="I262" s="8">
        <v>109.74</v>
      </c>
      <c r="J262" s="3">
        <v>45875</v>
      </c>
      <c r="K262" s="14">
        <v>45</v>
      </c>
      <c r="L262" s="17">
        <v>1.9</v>
      </c>
      <c r="M262" s="2" t="b">
        <v>0</v>
      </c>
      <c r="N262" s="2"/>
      <c r="O262" s="2" t="str">
        <f>IF(Table1[[#This Row],[is_returned]]=TRUE,IF(Table1[[#This Row],[return_reason]]="","Error","OK"),"OK")</f>
        <v>OK</v>
      </c>
      <c r="P262" s="8">
        <f>Table1[[#This Row],[original_price]]*Table1[[#This Row],[markdown_percentage]]/100</f>
        <v>0</v>
      </c>
      <c r="Q26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62" s="25">
        <f>Table1[[#This Row],[current_price]]*Table1[[#This Row],[stock_quantity]]</f>
        <v>4938.3</v>
      </c>
    </row>
    <row r="263" spans="1:18" x14ac:dyDescent="0.25">
      <c r="A263" s="2" t="s">
        <v>316</v>
      </c>
      <c r="B263" s="2" t="s">
        <v>42</v>
      </c>
      <c r="C263" s="2" t="s">
        <v>48</v>
      </c>
      <c r="D263" s="2" t="s">
        <v>62</v>
      </c>
      <c r="E263" s="2" t="s">
        <v>18</v>
      </c>
      <c r="F263" s="2" t="s">
        <v>44</v>
      </c>
      <c r="G263" s="8">
        <v>161.13999999999999</v>
      </c>
      <c r="H263" s="11">
        <v>0</v>
      </c>
      <c r="I263" s="8">
        <v>161.13999999999999</v>
      </c>
      <c r="J263" s="3">
        <v>45875</v>
      </c>
      <c r="K263" s="14">
        <v>44</v>
      </c>
      <c r="L263" s="17">
        <v>1.6</v>
      </c>
      <c r="M263" s="2" t="b">
        <v>0</v>
      </c>
      <c r="N263" s="2"/>
      <c r="O263" s="2" t="str">
        <f>IF(Table1[[#This Row],[is_returned]]=TRUE,IF(Table1[[#This Row],[return_reason]]="","Error","OK"),"OK")</f>
        <v>OK</v>
      </c>
      <c r="P263" s="8">
        <f>Table1[[#This Row],[original_price]]*Table1[[#This Row],[markdown_percentage]]/100</f>
        <v>0</v>
      </c>
      <c r="Q26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63" s="25">
        <f>Table1[[#This Row],[current_price]]*Table1[[#This Row],[stock_quantity]]</f>
        <v>7090.16</v>
      </c>
    </row>
    <row r="264" spans="1:18" x14ac:dyDescent="0.25">
      <c r="A264" s="2" t="s">
        <v>317</v>
      </c>
      <c r="B264" s="2" t="s">
        <v>15</v>
      </c>
      <c r="C264" s="2" t="s">
        <v>32</v>
      </c>
      <c r="D264" s="2" t="s">
        <v>17</v>
      </c>
      <c r="E264" s="2" t="s">
        <v>49</v>
      </c>
      <c r="F264" s="2" t="s">
        <v>70</v>
      </c>
      <c r="G264" s="8">
        <v>220.14</v>
      </c>
      <c r="H264" s="11">
        <v>9.1999999999999993</v>
      </c>
      <c r="I264" s="8">
        <v>199.89</v>
      </c>
      <c r="J264" s="3">
        <v>45835</v>
      </c>
      <c r="K264" s="14">
        <v>23</v>
      </c>
      <c r="L264" s="17">
        <v>4.8</v>
      </c>
      <c r="M264" s="2" t="b">
        <v>0</v>
      </c>
      <c r="N264" s="2"/>
      <c r="O264" s="2" t="str">
        <f>IF(Table1[[#This Row],[is_returned]]=TRUE,IF(Table1[[#This Row],[return_reason]]="","Error","OK"),"OK")</f>
        <v>OK</v>
      </c>
      <c r="P264" s="8">
        <f>Table1[[#This Row],[original_price]]*Table1[[#This Row],[markdown_percentage]]/100</f>
        <v>20.252879999999998</v>
      </c>
      <c r="Q26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64" s="25">
        <f>Table1[[#This Row],[current_price]]*Table1[[#This Row],[stock_quantity]]</f>
        <v>4597.4699999999993</v>
      </c>
    </row>
    <row r="265" spans="1:18" x14ac:dyDescent="0.25">
      <c r="A265" s="2" t="s">
        <v>318</v>
      </c>
      <c r="B265" s="2" t="s">
        <v>42</v>
      </c>
      <c r="C265" s="2" t="s">
        <v>75</v>
      </c>
      <c r="D265" s="2" t="s">
        <v>62</v>
      </c>
      <c r="E265" s="2" t="s">
        <v>39</v>
      </c>
      <c r="F265" s="2" t="s">
        <v>25</v>
      </c>
      <c r="G265" s="8">
        <v>57.33</v>
      </c>
      <c r="H265" s="11">
        <v>0</v>
      </c>
      <c r="I265" s="8">
        <v>57.33</v>
      </c>
      <c r="J265" s="3">
        <v>45875</v>
      </c>
      <c r="K265" s="14">
        <v>23</v>
      </c>
      <c r="L265" s="17">
        <v>2</v>
      </c>
      <c r="M265" s="2" t="b">
        <v>0</v>
      </c>
      <c r="N265" s="2"/>
      <c r="O265" s="2" t="str">
        <f>IF(Table1[[#This Row],[is_returned]]=TRUE,IF(Table1[[#This Row],[return_reason]]="","Error","OK"),"OK")</f>
        <v>OK</v>
      </c>
      <c r="P265" s="8">
        <f>Table1[[#This Row],[original_price]]*Table1[[#This Row],[markdown_percentage]]/100</f>
        <v>0</v>
      </c>
      <c r="Q26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65" s="25">
        <f>Table1[[#This Row],[current_price]]*Table1[[#This Row],[stock_quantity]]</f>
        <v>1318.59</v>
      </c>
    </row>
    <row r="266" spans="1:18" x14ac:dyDescent="0.25">
      <c r="A266" s="2" t="s">
        <v>319</v>
      </c>
      <c r="B266" s="2" t="s">
        <v>38</v>
      </c>
      <c r="C266" s="2" t="s">
        <v>16</v>
      </c>
      <c r="D266" s="2" t="s">
        <v>34</v>
      </c>
      <c r="E266" s="2" t="s">
        <v>49</v>
      </c>
      <c r="F266" s="2" t="s">
        <v>44</v>
      </c>
      <c r="G266" s="8">
        <v>108.24</v>
      </c>
      <c r="H266" s="11">
        <v>0</v>
      </c>
      <c r="I266" s="8">
        <v>108.24</v>
      </c>
      <c r="J266" s="3">
        <v>45875</v>
      </c>
      <c r="K266" s="14">
        <v>8</v>
      </c>
      <c r="L266" s="17">
        <v>2.2999999999999998</v>
      </c>
      <c r="M266" s="2" t="b">
        <v>0</v>
      </c>
      <c r="N266" s="2"/>
      <c r="O266" s="2" t="str">
        <f>IF(Table1[[#This Row],[is_returned]]=TRUE,IF(Table1[[#This Row],[return_reason]]="","Error","OK"),"OK")</f>
        <v>OK</v>
      </c>
      <c r="P266" s="8">
        <f>Table1[[#This Row],[original_price]]*Table1[[#This Row],[markdown_percentage]]/100</f>
        <v>0</v>
      </c>
      <c r="Q26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66" s="25">
        <f>Table1[[#This Row],[current_price]]*Table1[[#This Row],[stock_quantity]]</f>
        <v>865.92</v>
      </c>
    </row>
    <row r="267" spans="1:18" x14ac:dyDescent="0.25">
      <c r="A267" s="2" t="s">
        <v>320</v>
      </c>
      <c r="B267" s="2" t="s">
        <v>27</v>
      </c>
      <c r="C267" s="2" t="s">
        <v>32</v>
      </c>
      <c r="D267" s="2" t="s">
        <v>62</v>
      </c>
      <c r="E267" s="2"/>
      <c r="F267" s="2" t="s">
        <v>40</v>
      </c>
      <c r="G267" s="8">
        <v>67.930000000000007</v>
      </c>
      <c r="H267" s="11">
        <v>0</v>
      </c>
      <c r="I267" s="8">
        <v>67.930000000000007</v>
      </c>
      <c r="J267" s="3">
        <v>45875</v>
      </c>
      <c r="K267" s="14">
        <v>22</v>
      </c>
      <c r="L267" s="17">
        <v>4.5999999999999996</v>
      </c>
      <c r="M267" s="2" t="b">
        <v>0</v>
      </c>
      <c r="N267" s="2"/>
      <c r="O267" s="2" t="str">
        <f>IF(Table1[[#This Row],[is_returned]]=TRUE,IF(Table1[[#This Row],[return_reason]]="","Error","OK"),"OK")</f>
        <v>OK</v>
      </c>
      <c r="P267" s="8">
        <f>Table1[[#This Row],[original_price]]*Table1[[#This Row],[markdown_percentage]]/100</f>
        <v>0</v>
      </c>
      <c r="Q26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67" s="25">
        <f>Table1[[#This Row],[current_price]]*Table1[[#This Row],[stock_quantity]]</f>
        <v>1494.46</v>
      </c>
    </row>
    <row r="268" spans="1:18" x14ac:dyDescent="0.25">
      <c r="A268" s="2" t="s">
        <v>321</v>
      </c>
      <c r="B268" s="2" t="s">
        <v>42</v>
      </c>
      <c r="C268" s="2" t="s">
        <v>16</v>
      </c>
      <c r="D268" s="2" t="s">
        <v>23</v>
      </c>
      <c r="E268" s="2" t="s">
        <v>55</v>
      </c>
      <c r="F268" s="2" t="s">
        <v>44</v>
      </c>
      <c r="G268" s="8">
        <v>168.96</v>
      </c>
      <c r="H268" s="11">
        <v>0</v>
      </c>
      <c r="I268" s="8">
        <v>168.96</v>
      </c>
      <c r="J268" s="3">
        <v>45875</v>
      </c>
      <c r="K268" s="14">
        <v>9</v>
      </c>
      <c r="L268" s="17"/>
      <c r="M268" s="2" t="b">
        <v>0</v>
      </c>
      <c r="N268" s="2"/>
      <c r="O268" s="2" t="str">
        <f>IF(Table1[[#This Row],[is_returned]]=TRUE,IF(Table1[[#This Row],[return_reason]]="","Error","OK"),"OK")</f>
        <v>OK</v>
      </c>
      <c r="P268" s="8">
        <f>Table1[[#This Row],[original_price]]*Table1[[#This Row],[markdown_percentage]]/100</f>
        <v>0</v>
      </c>
      <c r="Q26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68" s="25">
        <f>Table1[[#This Row],[current_price]]*Table1[[#This Row],[stock_quantity]]</f>
        <v>1520.64</v>
      </c>
    </row>
    <row r="269" spans="1:18" x14ac:dyDescent="0.25">
      <c r="A269" s="2" t="s">
        <v>322</v>
      </c>
      <c r="B269" s="2" t="s">
        <v>21</v>
      </c>
      <c r="C269" s="2" t="s">
        <v>53</v>
      </c>
      <c r="D269" s="2" t="s">
        <v>34</v>
      </c>
      <c r="E269" s="2" t="s">
        <v>39</v>
      </c>
      <c r="F269" s="2" t="s">
        <v>35</v>
      </c>
      <c r="G269" s="8">
        <v>90.63</v>
      </c>
      <c r="H269" s="11">
        <v>0</v>
      </c>
      <c r="I269" s="8">
        <v>90.63</v>
      </c>
      <c r="J269" s="3">
        <v>45875</v>
      </c>
      <c r="K269" s="14">
        <v>33</v>
      </c>
      <c r="L269" s="17">
        <v>4.2</v>
      </c>
      <c r="M269" s="2" t="b">
        <v>0</v>
      </c>
      <c r="N269" s="2"/>
      <c r="O269" s="2" t="str">
        <f>IF(Table1[[#This Row],[is_returned]]=TRUE,IF(Table1[[#This Row],[return_reason]]="","Error","OK"),"OK")</f>
        <v>OK</v>
      </c>
      <c r="P269" s="8">
        <f>Table1[[#This Row],[original_price]]*Table1[[#This Row],[markdown_percentage]]/100</f>
        <v>0</v>
      </c>
      <c r="Q26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69" s="25">
        <f>Table1[[#This Row],[current_price]]*Table1[[#This Row],[stock_quantity]]</f>
        <v>2990.79</v>
      </c>
    </row>
    <row r="270" spans="1:18" x14ac:dyDescent="0.25">
      <c r="A270" s="2" t="s">
        <v>323</v>
      </c>
      <c r="B270" s="2" t="s">
        <v>27</v>
      </c>
      <c r="C270" s="2" t="s">
        <v>43</v>
      </c>
      <c r="D270" s="2" t="s">
        <v>17</v>
      </c>
      <c r="E270" s="2"/>
      <c r="F270" s="2" t="s">
        <v>46</v>
      </c>
      <c r="G270" s="8">
        <v>72.3</v>
      </c>
      <c r="H270" s="11">
        <v>0.4</v>
      </c>
      <c r="I270" s="8">
        <v>72.010000000000005</v>
      </c>
      <c r="J270" s="3">
        <v>45655</v>
      </c>
      <c r="K270" s="14">
        <v>38</v>
      </c>
      <c r="L270" s="17">
        <v>3</v>
      </c>
      <c r="M270" s="2" t="b">
        <v>1</v>
      </c>
      <c r="N270" s="2" t="s">
        <v>36</v>
      </c>
      <c r="O270" s="2" t="str">
        <f>IF(Table1[[#This Row],[is_returned]]=TRUE,IF(Table1[[#This Row],[return_reason]]="","Error","OK"),"OK")</f>
        <v>OK</v>
      </c>
      <c r="P270" s="8">
        <f>Table1[[#This Row],[original_price]]*Table1[[#This Row],[markdown_percentage]]/100</f>
        <v>0.28920000000000001</v>
      </c>
      <c r="Q27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70" s="25">
        <f>Table1[[#This Row],[current_price]]*Table1[[#This Row],[stock_quantity]]</f>
        <v>2736.38</v>
      </c>
    </row>
    <row r="271" spans="1:18" x14ac:dyDescent="0.25">
      <c r="A271" s="2" t="s">
        <v>324</v>
      </c>
      <c r="B271" s="2" t="s">
        <v>38</v>
      </c>
      <c r="C271" s="2" t="s">
        <v>48</v>
      </c>
      <c r="D271" s="2" t="s">
        <v>23</v>
      </c>
      <c r="E271" s="2" t="s">
        <v>39</v>
      </c>
      <c r="F271" s="2" t="s">
        <v>56</v>
      </c>
      <c r="G271" s="8">
        <v>27.98</v>
      </c>
      <c r="H271" s="11">
        <v>0</v>
      </c>
      <c r="I271" s="8">
        <v>27.98</v>
      </c>
      <c r="J271" s="3">
        <v>45875</v>
      </c>
      <c r="K271" s="14">
        <v>0</v>
      </c>
      <c r="L271" s="17">
        <v>3</v>
      </c>
      <c r="M271" s="2" t="b">
        <v>0</v>
      </c>
      <c r="N271" s="2"/>
      <c r="O271" s="2" t="str">
        <f>IF(Table1[[#This Row],[is_returned]]=TRUE,IF(Table1[[#This Row],[return_reason]]="","Error","OK"),"OK")</f>
        <v>OK</v>
      </c>
      <c r="P271" s="8">
        <f>Table1[[#This Row],[original_price]]*Table1[[#This Row],[markdown_percentage]]/100</f>
        <v>0</v>
      </c>
      <c r="Q27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71" s="25">
        <f>Table1[[#This Row],[current_price]]*Table1[[#This Row],[stock_quantity]]</f>
        <v>0</v>
      </c>
    </row>
    <row r="272" spans="1:18" x14ac:dyDescent="0.25">
      <c r="A272" s="2" t="s">
        <v>325</v>
      </c>
      <c r="B272" s="2" t="s">
        <v>42</v>
      </c>
      <c r="C272" s="2" t="s">
        <v>75</v>
      </c>
      <c r="D272" s="2" t="s">
        <v>62</v>
      </c>
      <c r="E272" s="2"/>
      <c r="F272" s="2" t="s">
        <v>64</v>
      </c>
      <c r="G272" s="8">
        <v>92.73</v>
      </c>
      <c r="H272" s="11">
        <v>0</v>
      </c>
      <c r="I272" s="8">
        <v>92.73</v>
      </c>
      <c r="J272" s="3">
        <v>45875</v>
      </c>
      <c r="K272" s="14">
        <v>15</v>
      </c>
      <c r="L272" s="17">
        <v>1.4</v>
      </c>
      <c r="M272" s="2" t="b">
        <v>0</v>
      </c>
      <c r="N272" s="2"/>
      <c r="O272" s="2" t="str">
        <f>IF(Table1[[#This Row],[is_returned]]=TRUE,IF(Table1[[#This Row],[return_reason]]="","Error","OK"),"OK")</f>
        <v>OK</v>
      </c>
      <c r="P272" s="8">
        <f>Table1[[#This Row],[original_price]]*Table1[[#This Row],[markdown_percentage]]/100</f>
        <v>0</v>
      </c>
      <c r="Q27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72" s="25">
        <f>Table1[[#This Row],[current_price]]*Table1[[#This Row],[stock_quantity]]</f>
        <v>1390.95</v>
      </c>
    </row>
    <row r="273" spans="1:18" x14ac:dyDescent="0.25">
      <c r="A273" s="2" t="s">
        <v>326</v>
      </c>
      <c r="B273" s="2" t="s">
        <v>38</v>
      </c>
      <c r="C273" s="2" t="s">
        <v>43</v>
      </c>
      <c r="D273" s="2" t="s">
        <v>62</v>
      </c>
      <c r="E273" s="2" t="s">
        <v>49</v>
      </c>
      <c r="F273" s="2" t="s">
        <v>35</v>
      </c>
      <c r="G273" s="8">
        <v>64.28</v>
      </c>
      <c r="H273" s="11">
        <v>0</v>
      </c>
      <c r="I273" s="8">
        <v>64.28</v>
      </c>
      <c r="J273" s="3">
        <v>45875</v>
      </c>
      <c r="K273" s="14">
        <v>46</v>
      </c>
      <c r="L273" s="17">
        <v>3</v>
      </c>
      <c r="M273" s="2" t="b">
        <v>0</v>
      </c>
      <c r="N273" s="2"/>
      <c r="O273" s="2" t="str">
        <f>IF(Table1[[#This Row],[is_returned]]=TRUE,IF(Table1[[#This Row],[return_reason]]="","Error","OK"),"OK")</f>
        <v>OK</v>
      </c>
      <c r="P273" s="8">
        <f>Table1[[#This Row],[original_price]]*Table1[[#This Row],[markdown_percentage]]/100</f>
        <v>0</v>
      </c>
      <c r="Q27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73" s="25">
        <f>Table1[[#This Row],[current_price]]*Table1[[#This Row],[stock_quantity]]</f>
        <v>2956.88</v>
      </c>
    </row>
    <row r="274" spans="1:18" x14ac:dyDescent="0.25">
      <c r="A274" s="2" t="s">
        <v>327</v>
      </c>
      <c r="B274" s="2" t="s">
        <v>42</v>
      </c>
      <c r="C274" s="2" t="s">
        <v>53</v>
      </c>
      <c r="D274" s="2" t="s">
        <v>34</v>
      </c>
      <c r="E274" s="2" t="s">
        <v>58</v>
      </c>
      <c r="F274" s="2" t="s">
        <v>28</v>
      </c>
      <c r="G274" s="8">
        <v>133.12</v>
      </c>
      <c r="H274" s="11">
        <v>0</v>
      </c>
      <c r="I274" s="8">
        <v>133.12</v>
      </c>
      <c r="J274" s="3">
        <v>45875</v>
      </c>
      <c r="K274" s="14">
        <v>35</v>
      </c>
      <c r="L274" s="17">
        <v>1.9</v>
      </c>
      <c r="M274" s="2" t="b">
        <v>0</v>
      </c>
      <c r="N274" s="2"/>
      <c r="O274" s="2" t="str">
        <f>IF(Table1[[#This Row],[is_returned]]=TRUE,IF(Table1[[#This Row],[return_reason]]="","Error","OK"),"OK")</f>
        <v>OK</v>
      </c>
      <c r="P274" s="8">
        <f>Table1[[#This Row],[original_price]]*Table1[[#This Row],[markdown_percentage]]/100</f>
        <v>0</v>
      </c>
      <c r="Q27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74" s="25">
        <f>Table1[[#This Row],[current_price]]*Table1[[#This Row],[stock_quantity]]</f>
        <v>4659.2</v>
      </c>
    </row>
    <row r="275" spans="1:18" x14ac:dyDescent="0.25">
      <c r="A275" s="2" t="s">
        <v>328</v>
      </c>
      <c r="B275" s="2" t="s">
        <v>21</v>
      </c>
      <c r="C275" s="2" t="s">
        <v>61</v>
      </c>
      <c r="D275" s="2" t="s">
        <v>23</v>
      </c>
      <c r="E275" s="2" t="s">
        <v>49</v>
      </c>
      <c r="F275" s="2" t="s">
        <v>70</v>
      </c>
      <c r="G275" s="8">
        <v>70.36</v>
      </c>
      <c r="H275" s="11">
        <v>0</v>
      </c>
      <c r="I275" s="8">
        <v>70.36</v>
      </c>
      <c r="J275" s="3">
        <v>45875</v>
      </c>
      <c r="K275" s="14">
        <v>0</v>
      </c>
      <c r="L275" s="17"/>
      <c r="M275" s="2" t="b">
        <v>0</v>
      </c>
      <c r="N275" s="2"/>
      <c r="O275" s="2" t="str">
        <f>IF(Table1[[#This Row],[is_returned]]=TRUE,IF(Table1[[#This Row],[return_reason]]="","Error","OK"),"OK")</f>
        <v>OK</v>
      </c>
      <c r="P275" s="8">
        <f>Table1[[#This Row],[original_price]]*Table1[[#This Row],[markdown_percentage]]/100</f>
        <v>0</v>
      </c>
      <c r="Q27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75" s="25">
        <f>Table1[[#This Row],[current_price]]*Table1[[#This Row],[stock_quantity]]</f>
        <v>0</v>
      </c>
    </row>
    <row r="276" spans="1:18" x14ac:dyDescent="0.25">
      <c r="A276" s="2" t="s">
        <v>329</v>
      </c>
      <c r="B276" s="2" t="s">
        <v>15</v>
      </c>
      <c r="C276" s="2" t="s">
        <v>22</v>
      </c>
      <c r="D276" s="2" t="s">
        <v>62</v>
      </c>
      <c r="E276" s="2" t="s">
        <v>18</v>
      </c>
      <c r="F276" s="2" t="s">
        <v>25</v>
      </c>
      <c r="G276" s="8">
        <v>199.01</v>
      </c>
      <c r="H276" s="11">
        <v>0</v>
      </c>
      <c r="I276" s="8">
        <v>199.01</v>
      </c>
      <c r="J276" s="3">
        <v>45875</v>
      </c>
      <c r="K276" s="14">
        <v>8</v>
      </c>
      <c r="L276" s="17">
        <v>4.4000000000000004</v>
      </c>
      <c r="M276" s="2" t="b">
        <v>0</v>
      </c>
      <c r="N276" s="2"/>
      <c r="O276" s="2" t="str">
        <f>IF(Table1[[#This Row],[is_returned]]=TRUE,IF(Table1[[#This Row],[return_reason]]="","Error","OK"),"OK")</f>
        <v>OK</v>
      </c>
      <c r="P276" s="8">
        <f>Table1[[#This Row],[original_price]]*Table1[[#This Row],[markdown_percentage]]/100</f>
        <v>0</v>
      </c>
      <c r="Q27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76" s="25">
        <f>Table1[[#This Row],[current_price]]*Table1[[#This Row],[stock_quantity]]</f>
        <v>1592.08</v>
      </c>
    </row>
    <row r="277" spans="1:18" x14ac:dyDescent="0.25">
      <c r="A277" s="2" t="s">
        <v>330</v>
      </c>
      <c r="B277" s="2" t="s">
        <v>38</v>
      </c>
      <c r="C277" s="2" t="s">
        <v>48</v>
      </c>
      <c r="D277" s="2" t="s">
        <v>62</v>
      </c>
      <c r="E277" s="2" t="s">
        <v>24</v>
      </c>
      <c r="F277" s="2" t="s">
        <v>64</v>
      </c>
      <c r="G277" s="8">
        <v>62.41</v>
      </c>
      <c r="H277" s="11">
        <v>37.1</v>
      </c>
      <c r="I277" s="8">
        <v>39.26</v>
      </c>
      <c r="J277" s="3">
        <v>45875</v>
      </c>
      <c r="K277" s="14">
        <v>6</v>
      </c>
      <c r="L277" s="17">
        <v>4.0999999999999996</v>
      </c>
      <c r="M277" s="2" t="b">
        <v>0</v>
      </c>
      <c r="N277" s="2"/>
      <c r="O277" s="2" t="str">
        <f>IF(Table1[[#This Row],[is_returned]]=TRUE,IF(Table1[[#This Row],[return_reason]]="","Error","OK"),"OK")</f>
        <v>OK</v>
      </c>
      <c r="P277" s="8">
        <f>Table1[[#This Row],[original_price]]*Table1[[#This Row],[markdown_percentage]]/100</f>
        <v>23.154109999999999</v>
      </c>
      <c r="Q27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77" s="25">
        <f>Table1[[#This Row],[current_price]]*Table1[[#This Row],[stock_quantity]]</f>
        <v>235.56</v>
      </c>
    </row>
    <row r="278" spans="1:18" x14ac:dyDescent="0.25">
      <c r="A278" s="2" t="s">
        <v>331</v>
      </c>
      <c r="B278" s="2" t="s">
        <v>30</v>
      </c>
      <c r="C278" s="2" t="s">
        <v>22</v>
      </c>
      <c r="D278" s="2" t="s">
        <v>62</v>
      </c>
      <c r="E278" s="2" t="s">
        <v>55</v>
      </c>
      <c r="F278" s="2" t="s">
        <v>28</v>
      </c>
      <c r="G278" s="8">
        <v>71.44</v>
      </c>
      <c r="H278" s="11">
        <v>0</v>
      </c>
      <c r="I278" s="8">
        <v>71.44</v>
      </c>
      <c r="J278" s="3">
        <v>45875</v>
      </c>
      <c r="K278" s="14">
        <v>45</v>
      </c>
      <c r="L278" s="17">
        <v>4</v>
      </c>
      <c r="M278" s="2" t="b">
        <v>0</v>
      </c>
      <c r="N278" s="2"/>
      <c r="O278" s="2" t="str">
        <f>IF(Table1[[#This Row],[is_returned]]=TRUE,IF(Table1[[#This Row],[return_reason]]="","Error","OK"),"OK")</f>
        <v>OK</v>
      </c>
      <c r="P278" s="8">
        <f>Table1[[#This Row],[original_price]]*Table1[[#This Row],[markdown_percentage]]/100</f>
        <v>0</v>
      </c>
      <c r="Q27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78" s="25">
        <f>Table1[[#This Row],[current_price]]*Table1[[#This Row],[stock_quantity]]</f>
        <v>3214.7999999999997</v>
      </c>
    </row>
    <row r="279" spans="1:18" x14ac:dyDescent="0.25">
      <c r="A279" s="2" t="s">
        <v>332</v>
      </c>
      <c r="B279" s="2" t="s">
        <v>42</v>
      </c>
      <c r="C279" s="2" t="s">
        <v>16</v>
      </c>
      <c r="D279" s="2" t="s">
        <v>23</v>
      </c>
      <c r="E279" s="2"/>
      <c r="F279" s="2" t="s">
        <v>44</v>
      </c>
      <c r="G279" s="8">
        <v>89.69</v>
      </c>
      <c r="H279" s="11">
        <v>0</v>
      </c>
      <c r="I279" s="8">
        <v>89.69</v>
      </c>
      <c r="J279" s="3">
        <v>45875</v>
      </c>
      <c r="K279" s="14">
        <v>50</v>
      </c>
      <c r="L279" s="17">
        <v>4.3</v>
      </c>
      <c r="M279" s="2" t="b">
        <v>0</v>
      </c>
      <c r="N279" s="2"/>
      <c r="O279" s="2" t="str">
        <f>IF(Table1[[#This Row],[is_returned]]=TRUE,IF(Table1[[#This Row],[return_reason]]="","Error","OK"),"OK")</f>
        <v>OK</v>
      </c>
      <c r="P279" s="8">
        <f>Table1[[#This Row],[original_price]]*Table1[[#This Row],[markdown_percentage]]/100</f>
        <v>0</v>
      </c>
      <c r="Q27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79" s="25">
        <f>Table1[[#This Row],[current_price]]*Table1[[#This Row],[stock_quantity]]</f>
        <v>4484.5</v>
      </c>
    </row>
    <row r="280" spans="1:18" x14ac:dyDescent="0.25">
      <c r="A280" s="2" t="s">
        <v>333</v>
      </c>
      <c r="B280" s="2" t="s">
        <v>15</v>
      </c>
      <c r="C280" s="2" t="s">
        <v>43</v>
      </c>
      <c r="D280" s="2" t="s">
        <v>17</v>
      </c>
      <c r="E280" s="2" t="s">
        <v>49</v>
      </c>
      <c r="F280" s="2" t="s">
        <v>40</v>
      </c>
      <c r="G280" s="8">
        <v>161.65</v>
      </c>
      <c r="H280" s="11">
        <v>10.199999999999999</v>
      </c>
      <c r="I280" s="8">
        <v>145.16</v>
      </c>
      <c r="J280" s="3">
        <v>45746</v>
      </c>
      <c r="K280" s="14">
        <v>42</v>
      </c>
      <c r="L280" s="17"/>
      <c r="M280" s="2" t="b">
        <v>0</v>
      </c>
      <c r="N280" s="2"/>
      <c r="O280" s="2" t="str">
        <f>IF(Table1[[#This Row],[is_returned]]=TRUE,IF(Table1[[#This Row],[return_reason]]="","Error","OK"),"OK")</f>
        <v>OK</v>
      </c>
      <c r="P280" s="8">
        <f>Table1[[#This Row],[original_price]]*Table1[[#This Row],[markdown_percentage]]/100</f>
        <v>16.488299999999999</v>
      </c>
      <c r="Q28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80" s="25">
        <f>Table1[[#This Row],[current_price]]*Table1[[#This Row],[stock_quantity]]</f>
        <v>6096.72</v>
      </c>
    </row>
    <row r="281" spans="1:18" x14ac:dyDescent="0.25">
      <c r="A281" s="2" t="s">
        <v>334</v>
      </c>
      <c r="B281" s="2" t="s">
        <v>27</v>
      </c>
      <c r="C281" s="2" t="s">
        <v>22</v>
      </c>
      <c r="D281" s="2" t="s">
        <v>23</v>
      </c>
      <c r="E281" s="2"/>
      <c r="F281" s="2" t="s">
        <v>35</v>
      </c>
      <c r="G281" s="8">
        <v>46.59</v>
      </c>
      <c r="H281" s="11">
        <v>0</v>
      </c>
      <c r="I281" s="8">
        <v>46.59</v>
      </c>
      <c r="J281" s="3">
        <v>45875</v>
      </c>
      <c r="K281" s="14">
        <v>29</v>
      </c>
      <c r="L281" s="17">
        <v>4.8</v>
      </c>
      <c r="M281" s="2" t="b">
        <v>0</v>
      </c>
      <c r="N281" s="2"/>
      <c r="O281" s="2" t="str">
        <f>IF(Table1[[#This Row],[is_returned]]=TRUE,IF(Table1[[#This Row],[return_reason]]="","Error","OK"),"OK")</f>
        <v>OK</v>
      </c>
      <c r="P281" s="8">
        <f>Table1[[#This Row],[original_price]]*Table1[[#This Row],[markdown_percentage]]/100</f>
        <v>0</v>
      </c>
      <c r="Q28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81" s="25">
        <f>Table1[[#This Row],[current_price]]*Table1[[#This Row],[stock_quantity]]</f>
        <v>1351.1100000000001</v>
      </c>
    </row>
    <row r="282" spans="1:18" x14ac:dyDescent="0.25">
      <c r="A282" s="2" t="s">
        <v>335</v>
      </c>
      <c r="B282" s="2" t="s">
        <v>27</v>
      </c>
      <c r="C282" s="2" t="s">
        <v>16</v>
      </c>
      <c r="D282" s="2" t="s">
        <v>34</v>
      </c>
      <c r="E282" s="2"/>
      <c r="F282" s="2" t="s">
        <v>25</v>
      </c>
      <c r="G282" s="8">
        <v>74.2</v>
      </c>
      <c r="H282" s="11">
        <v>0</v>
      </c>
      <c r="I282" s="8">
        <v>74.2</v>
      </c>
      <c r="J282" s="3">
        <v>45875</v>
      </c>
      <c r="K282" s="14">
        <v>22</v>
      </c>
      <c r="L282" s="17">
        <v>1.7</v>
      </c>
      <c r="M282" s="2" t="b">
        <v>0</v>
      </c>
      <c r="N282" s="2"/>
      <c r="O282" s="2" t="str">
        <f>IF(Table1[[#This Row],[is_returned]]=TRUE,IF(Table1[[#This Row],[return_reason]]="","Error","OK"),"OK")</f>
        <v>OK</v>
      </c>
      <c r="P282" s="8">
        <f>Table1[[#This Row],[original_price]]*Table1[[#This Row],[markdown_percentage]]/100</f>
        <v>0</v>
      </c>
      <c r="Q28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82" s="25">
        <f>Table1[[#This Row],[current_price]]*Table1[[#This Row],[stock_quantity]]</f>
        <v>1632.4</v>
      </c>
    </row>
    <row r="283" spans="1:18" x14ac:dyDescent="0.25">
      <c r="A283" s="2" t="s">
        <v>336</v>
      </c>
      <c r="B283" s="2" t="s">
        <v>38</v>
      </c>
      <c r="C283" s="2" t="s">
        <v>22</v>
      </c>
      <c r="D283" s="2" t="s">
        <v>34</v>
      </c>
      <c r="E283" s="2" t="s">
        <v>39</v>
      </c>
      <c r="F283" s="2" t="s">
        <v>70</v>
      </c>
      <c r="G283" s="8">
        <v>99.67</v>
      </c>
      <c r="H283" s="11">
        <v>0</v>
      </c>
      <c r="I283" s="8">
        <v>99.67</v>
      </c>
      <c r="J283" s="3">
        <v>45875</v>
      </c>
      <c r="K283" s="14">
        <v>13</v>
      </c>
      <c r="L283" s="17">
        <v>5</v>
      </c>
      <c r="M283" s="2" t="b">
        <v>0</v>
      </c>
      <c r="N283" s="2"/>
      <c r="O283" s="2" t="str">
        <f>IF(Table1[[#This Row],[is_returned]]=TRUE,IF(Table1[[#This Row],[return_reason]]="","Error","OK"),"OK")</f>
        <v>OK</v>
      </c>
      <c r="P283" s="8">
        <f>Table1[[#This Row],[original_price]]*Table1[[#This Row],[markdown_percentage]]/100</f>
        <v>0</v>
      </c>
      <c r="Q28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83" s="25">
        <f>Table1[[#This Row],[current_price]]*Table1[[#This Row],[stock_quantity]]</f>
        <v>1295.71</v>
      </c>
    </row>
    <row r="284" spans="1:18" x14ac:dyDescent="0.25">
      <c r="A284" s="2" t="s">
        <v>337</v>
      </c>
      <c r="B284" s="2" t="s">
        <v>30</v>
      </c>
      <c r="C284" s="2" t="s">
        <v>75</v>
      </c>
      <c r="D284" s="2" t="s">
        <v>34</v>
      </c>
      <c r="E284" s="2" t="s">
        <v>55</v>
      </c>
      <c r="F284" s="2" t="s">
        <v>66</v>
      </c>
      <c r="G284" s="8">
        <v>112.74</v>
      </c>
      <c r="H284" s="11">
        <v>23</v>
      </c>
      <c r="I284" s="8">
        <v>86.81</v>
      </c>
      <c r="J284" s="3">
        <v>45875</v>
      </c>
      <c r="K284" s="14">
        <v>37</v>
      </c>
      <c r="L284" s="17">
        <v>1</v>
      </c>
      <c r="M284" s="2" t="b">
        <v>0</v>
      </c>
      <c r="N284" s="2"/>
      <c r="O284" s="2" t="str">
        <f>IF(Table1[[#This Row],[is_returned]]=TRUE,IF(Table1[[#This Row],[return_reason]]="","Error","OK"),"OK")</f>
        <v>OK</v>
      </c>
      <c r="P284" s="8">
        <f>Table1[[#This Row],[original_price]]*Table1[[#This Row],[markdown_percentage]]/100</f>
        <v>25.930199999999999</v>
      </c>
      <c r="Q28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84" s="25">
        <f>Table1[[#This Row],[current_price]]*Table1[[#This Row],[stock_quantity]]</f>
        <v>3211.9700000000003</v>
      </c>
    </row>
    <row r="285" spans="1:18" x14ac:dyDescent="0.25">
      <c r="A285" s="2" t="s">
        <v>338</v>
      </c>
      <c r="B285" s="2" t="s">
        <v>21</v>
      </c>
      <c r="C285" s="2" t="s">
        <v>32</v>
      </c>
      <c r="D285" s="2" t="s">
        <v>62</v>
      </c>
      <c r="E285" s="2" t="s">
        <v>39</v>
      </c>
      <c r="F285" s="2" t="s">
        <v>28</v>
      </c>
      <c r="G285" s="8">
        <v>95.82</v>
      </c>
      <c r="H285" s="11">
        <v>39.4</v>
      </c>
      <c r="I285" s="8">
        <v>58.07</v>
      </c>
      <c r="J285" s="3">
        <v>45875</v>
      </c>
      <c r="K285" s="14">
        <v>6</v>
      </c>
      <c r="L285" s="17"/>
      <c r="M285" s="2" t="b">
        <v>1</v>
      </c>
      <c r="N285" s="2" t="s">
        <v>78</v>
      </c>
      <c r="O285" s="2" t="str">
        <f>IF(Table1[[#This Row],[is_returned]]=TRUE,IF(Table1[[#This Row],[return_reason]]="","Error","OK"),"OK")</f>
        <v>OK</v>
      </c>
      <c r="P285" s="8">
        <f>Table1[[#This Row],[original_price]]*Table1[[#This Row],[markdown_percentage]]/100</f>
        <v>37.753079999999997</v>
      </c>
      <c r="Q28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85" s="25">
        <f>Table1[[#This Row],[current_price]]*Table1[[#This Row],[stock_quantity]]</f>
        <v>348.42</v>
      </c>
    </row>
    <row r="286" spans="1:18" x14ac:dyDescent="0.25">
      <c r="A286" s="2" t="s">
        <v>339</v>
      </c>
      <c r="B286" s="2" t="s">
        <v>30</v>
      </c>
      <c r="C286" s="2" t="s">
        <v>53</v>
      </c>
      <c r="D286" s="2" t="s">
        <v>23</v>
      </c>
      <c r="E286" s="2" t="s">
        <v>58</v>
      </c>
      <c r="F286" s="2" t="s">
        <v>46</v>
      </c>
      <c r="G286" s="8">
        <v>157.41999999999999</v>
      </c>
      <c r="H286" s="11">
        <v>0</v>
      </c>
      <c r="I286" s="8">
        <v>157.41999999999999</v>
      </c>
      <c r="J286" s="3">
        <v>45875</v>
      </c>
      <c r="K286" s="14">
        <v>38</v>
      </c>
      <c r="L286" s="17">
        <v>2.4</v>
      </c>
      <c r="M286" s="2" t="b">
        <v>0</v>
      </c>
      <c r="N286" s="2"/>
      <c r="O286" s="2" t="str">
        <f>IF(Table1[[#This Row],[is_returned]]=TRUE,IF(Table1[[#This Row],[return_reason]]="","Error","OK"),"OK")</f>
        <v>OK</v>
      </c>
      <c r="P286" s="8">
        <f>Table1[[#This Row],[original_price]]*Table1[[#This Row],[markdown_percentage]]/100</f>
        <v>0</v>
      </c>
      <c r="Q28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86" s="25">
        <f>Table1[[#This Row],[current_price]]*Table1[[#This Row],[stock_quantity]]</f>
        <v>5981.9599999999991</v>
      </c>
    </row>
    <row r="287" spans="1:18" x14ac:dyDescent="0.25">
      <c r="A287" s="2" t="s">
        <v>340</v>
      </c>
      <c r="B287" s="2" t="s">
        <v>27</v>
      </c>
      <c r="C287" s="2" t="s">
        <v>16</v>
      </c>
      <c r="D287" s="2" t="s">
        <v>34</v>
      </c>
      <c r="E287" s="2"/>
      <c r="F287" s="2" t="s">
        <v>19</v>
      </c>
      <c r="G287" s="8">
        <v>60.17</v>
      </c>
      <c r="H287" s="11">
        <v>14.1</v>
      </c>
      <c r="I287" s="8">
        <v>51.69</v>
      </c>
      <c r="J287" s="3">
        <v>45875</v>
      </c>
      <c r="K287" s="14">
        <v>38</v>
      </c>
      <c r="L287" s="17">
        <v>5</v>
      </c>
      <c r="M287" s="2" t="b">
        <v>0</v>
      </c>
      <c r="N287" s="2"/>
      <c r="O287" s="2" t="str">
        <f>IF(Table1[[#This Row],[is_returned]]=TRUE,IF(Table1[[#This Row],[return_reason]]="","Error","OK"),"OK")</f>
        <v>OK</v>
      </c>
      <c r="P287" s="8">
        <f>Table1[[#This Row],[original_price]]*Table1[[#This Row],[markdown_percentage]]/100</f>
        <v>8.4839700000000011</v>
      </c>
      <c r="Q28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87" s="25">
        <f>Table1[[#This Row],[current_price]]*Table1[[#This Row],[stock_quantity]]</f>
        <v>1964.2199999999998</v>
      </c>
    </row>
    <row r="288" spans="1:18" x14ac:dyDescent="0.25">
      <c r="A288" s="2" t="s">
        <v>341</v>
      </c>
      <c r="B288" s="2" t="s">
        <v>15</v>
      </c>
      <c r="C288" s="2" t="s">
        <v>43</v>
      </c>
      <c r="D288" s="2" t="s">
        <v>23</v>
      </c>
      <c r="E288" s="2" t="s">
        <v>18</v>
      </c>
      <c r="F288" s="2" t="s">
        <v>25</v>
      </c>
      <c r="G288" s="8">
        <v>169.03</v>
      </c>
      <c r="H288" s="11">
        <v>0</v>
      </c>
      <c r="I288" s="8">
        <v>169.03</v>
      </c>
      <c r="J288" s="3">
        <v>45875</v>
      </c>
      <c r="K288" s="14">
        <v>16</v>
      </c>
      <c r="L288" s="17">
        <v>1.7</v>
      </c>
      <c r="M288" s="2" t="b">
        <v>0</v>
      </c>
      <c r="N288" s="2"/>
      <c r="O288" s="2" t="str">
        <f>IF(Table1[[#This Row],[is_returned]]=TRUE,IF(Table1[[#This Row],[return_reason]]="","Error","OK"),"OK")</f>
        <v>OK</v>
      </c>
      <c r="P288" s="8">
        <f>Table1[[#This Row],[original_price]]*Table1[[#This Row],[markdown_percentage]]/100</f>
        <v>0</v>
      </c>
      <c r="Q28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88" s="25">
        <f>Table1[[#This Row],[current_price]]*Table1[[#This Row],[stock_quantity]]</f>
        <v>2704.48</v>
      </c>
    </row>
    <row r="289" spans="1:18" x14ac:dyDescent="0.25">
      <c r="A289" s="2" t="s">
        <v>342</v>
      </c>
      <c r="B289" s="2" t="s">
        <v>42</v>
      </c>
      <c r="C289" s="2" t="s">
        <v>22</v>
      </c>
      <c r="D289" s="2" t="s">
        <v>34</v>
      </c>
      <c r="E289" s="2" t="s">
        <v>39</v>
      </c>
      <c r="F289" s="2" t="s">
        <v>25</v>
      </c>
      <c r="G289" s="8">
        <v>175.86</v>
      </c>
      <c r="H289" s="11">
        <v>0</v>
      </c>
      <c r="I289" s="8">
        <v>175.86</v>
      </c>
      <c r="J289" s="3">
        <v>45875</v>
      </c>
      <c r="K289" s="14">
        <v>0</v>
      </c>
      <c r="L289" s="17">
        <v>4.5999999999999996</v>
      </c>
      <c r="M289" s="2" t="b">
        <v>0</v>
      </c>
      <c r="N289" s="2"/>
      <c r="O289" s="2" t="str">
        <f>IF(Table1[[#This Row],[is_returned]]=TRUE,IF(Table1[[#This Row],[return_reason]]="","Error","OK"),"OK")</f>
        <v>OK</v>
      </c>
      <c r="P289" s="8">
        <f>Table1[[#This Row],[original_price]]*Table1[[#This Row],[markdown_percentage]]/100</f>
        <v>0</v>
      </c>
      <c r="Q28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89" s="25">
        <f>Table1[[#This Row],[current_price]]*Table1[[#This Row],[stock_quantity]]</f>
        <v>0</v>
      </c>
    </row>
    <row r="290" spans="1:18" x14ac:dyDescent="0.25">
      <c r="A290" s="2" t="s">
        <v>343</v>
      </c>
      <c r="B290" s="2" t="s">
        <v>30</v>
      </c>
      <c r="C290" s="2" t="s">
        <v>43</v>
      </c>
      <c r="D290" s="2" t="s">
        <v>62</v>
      </c>
      <c r="E290" s="2"/>
      <c r="F290" s="2" t="s">
        <v>70</v>
      </c>
      <c r="G290" s="8">
        <v>169.75</v>
      </c>
      <c r="H290" s="11">
        <v>0</v>
      </c>
      <c r="I290" s="8">
        <v>169.75</v>
      </c>
      <c r="J290" s="3">
        <v>45875</v>
      </c>
      <c r="K290" s="14">
        <v>5</v>
      </c>
      <c r="L290" s="17">
        <v>2.7</v>
      </c>
      <c r="M290" s="2" t="b">
        <v>0</v>
      </c>
      <c r="N290" s="2"/>
      <c r="O290" s="2" t="str">
        <f>IF(Table1[[#This Row],[is_returned]]=TRUE,IF(Table1[[#This Row],[return_reason]]="","Error","OK"),"OK")</f>
        <v>OK</v>
      </c>
      <c r="P290" s="8">
        <f>Table1[[#This Row],[original_price]]*Table1[[#This Row],[markdown_percentage]]/100</f>
        <v>0</v>
      </c>
      <c r="Q29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90" s="25">
        <f>Table1[[#This Row],[current_price]]*Table1[[#This Row],[stock_quantity]]</f>
        <v>848.75</v>
      </c>
    </row>
    <row r="291" spans="1:18" x14ac:dyDescent="0.25">
      <c r="A291" s="2" t="s">
        <v>344</v>
      </c>
      <c r="B291" s="2" t="s">
        <v>27</v>
      </c>
      <c r="C291" s="2" t="s">
        <v>48</v>
      </c>
      <c r="D291" s="2" t="s">
        <v>62</v>
      </c>
      <c r="E291" s="2"/>
      <c r="F291" s="2" t="s">
        <v>19</v>
      </c>
      <c r="G291" s="8">
        <v>51.77</v>
      </c>
      <c r="H291" s="11">
        <v>24.3</v>
      </c>
      <c r="I291" s="8">
        <v>39.19</v>
      </c>
      <c r="J291" s="3">
        <v>45875</v>
      </c>
      <c r="K291" s="14">
        <v>50</v>
      </c>
      <c r="L291" s="17">
        <v>3.7</v>
      </c>
      <c r="M291" s="2" t="b">
        <v>0</v>
      </c>
      <c r="N291" s="2"/>
      <c r="O291" s="2" t="str">
        <f>IF(Table1[[#This Row],[is_returned]]=TRUE,IF(Table1[[#This Row],[return_reason]]="","Error","OK"),"OK")</f>
        <v>OK</v>
      </c>
      <c r="P291" s="8">
        <f>Table1[[#This Row],[original_price]]*Table1[[#This Row],[markdown_percentage]]/100</f>
        <v>12.580110000000001</v>
      </c>
      <c r="Q29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91" s="25">
        <f>Table1[[#This Row],[current_price]]*Table1[[#This Row],[stock_quantity]]</f>
        <v>1959.5</v>
      </c>
    </row>
    <row r="292" spans="1:18" x14ac:dyDescent="0.25">
      <c r="A292" s="2" t="s">
        <v>345</v>
      </c>
      <c r="B292" s="2" t="s">
        <v>21</v>
      </c>
      <c r="C292" s="2" t="s">
        <v>43</v>
      </c>
      <c r="D292" s="2" t="s">
        <v>34</v>
      </c>
      <c r="E292" s="2" t="s">
        <v>58</v>
      </c>
      <c r="F292" s="2" t="s">
        <v>28</v>
      </c>
      <c r="G292" s="8">
        <v>83.09</v>
      </c>
      <c r="H292" s="11">
        <v>0</v>
      </c>
      <c r="I292" s="8">
        <v>83.09</v>
      </c>
      <c r="J292" s="3">
        <v>45875</v>
      </c>
      <c r="K292" s="14">
        <v>22</v>
      </c>
      <c r="L292" s="17">
        <v>2.2999999999999998</v>
      </c>
      <c r="M292" s="2" t="b">
        <v>0</v>
      </c>
      <c r="N292" s="2"/>
      <c r="O292" s="2" t="str">
        <f>IF(Table1[[#This Row],[is_returned]]=TRUE,IF(Table1[[#This Row],[return_reason]]="","Error","OK"),"OK")</f>
        <v>OK</v>
      </c>
      <c r="P292" s="8">
        <f>Table1[[#This Row],[original_price]]*Table1[[#This Row],[markdown_percentage]]/100</f>
        <v>0</v>
      </c>
      <c r="Q29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92" s="25">
        <f>Table1[[#This Row],[current_price]]*Table1[[#This Row],[stock_quantity]]</f>
        <v>1827.98</v>
      </c>
    </row>
    <row r="293" spans="1:18" x14ac:dyDescent="0.25">
      <c r="A293" s="2" t="s">
        <v>346</v>
      </c>
      <c r="B293" s="2" t="s">
        <v>15</v>
      </c>
      <c r="C293" s="2" t="s">
        <v>53</v>
      </c>
      <c r="D293" s="2" t="s">
        <v>23</v>
      </c>
      <c r="E293" s="2" t="s">
        <v>55</v>
      </c>
      <c r="F293" s="2" t="s">
        <v>66</v>
      </c>
      <c r="G293" s="8">
        <v>176.1</v>
      </c>
      <c r="H293" s="11">
        <v>0</v>
      </c>
      <c r="I293" s="8">
        <v>176.1</v>
      </c>
      <c r="J293" s="3">
        <v>45875</v>
      </c>
      <c r="K293" s="14">
        <v>12</v>
      </c>
      <c r="L293" s="17">
        <v>4.5999999999999996</v>
      </c>
      <c r="M293" s="2" t="b">
        <v>0</v>
      </c>
      <c r="N293" s="2"/>
      <c r="O293" s="2" t="str">
        <f>IF(Table1[[#This Row],[is_returned]]=TRUE,IF(Table1[[#This Row],[return_reason]]="","Error","OK"),"OK")</f>
        <v>OK</v>
      </c>
      <c r="P293" s="8">
        <f>Table1[[#This Row],[original_price]]*Table1[[#This Row],[markdown_percentage]]/100</f>
        <v>0</v>
      </c>
      <c r="Q29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93" s="25">
        <f>Table1[[#This Row],[current_price]]*Table1[[#This Row],[stock_quantity]]</f>
        <v>2113.1999999999998</v>
      </c>
    </row>
    <row r="294" spans="1:18" x14ac:dyDescent="0.25">
      <c r="A294" s="2" t="s">
        <v>347</v>
      </c>
      <c r="B294" s="2" t="s">
        <v>38</v>
      </c>
      <c r="C294" s="2" t="s">
        <v>43</v>
      </c>
      <c r="D294" s="2" t="s">
        <v>34</v>
      </c>
      <c r="E294" s="2" t="s">
        <v>58</v>
      </c>
      <c r="F294" s="2" t="s">
        <v>44</v>
      </c>
      <c r="G294" s="8">
        <v>69.11</v>
      </c>
      <c r="H294" s="11">
        <v>0</v>
      </c>
      <c r="I294" s="8">
        <v>69.11</v>
      </c>
      <c r="J294" s="3">
        <v>45875</v>
      </c>
      <c r="K294" s="14">
        <v>18</v>
      </c>
      <c r="L294" s="17">
        <v>3.9</v>
      </c>
      <c r="M294" s="2" t="b">
        <v>0</v>
      </c>
      <c r="N294" s="2"/>
      <c r="O294" s="2" t="str">
        <f>IF(Table1[[#This Row],[is_returned]]=TRUE,IF(Table1[[#This Row],[return_reason]]="","Error","OK"),"OK")</f>
        <v>OK</v>
      </c>
      <c r="P294" s="8">
        <f>Table1[[#This Row],[original_price]]*Table1[[#This Row],[markdown_percentage]]/100</f>
        <v>0</v>
      </c>
      <c r="Q29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94" s="25">
        <f>Table1[[#This Row],[current_price]]*Table1[[#This Row],[stock_quantity]]</f>
        <v>1243.98</v>
      </c>
    </row>
    <row r="295" spans="1:18" x14ac:dyDescent="0.25">
      <c r="A295" s="2" t="s">
        <v>348</v>
      </c>
      <c r="B295" s="2" t="s">
        <v>30</v>
      </c>
      <c r="C295" s="2" t="s">
        <v>16</v>
      </c>
      <c r="D295" s="2" t="s">
        <v>17</v>
      </c>
      <c r="E295" s="2" t="s">
        <v>39</v>
      </c>
      <c r="F295" s="2" t="s">
        <v>66</v>
      </c>
      <c r="G295" s="8">
        <v>117.85</v>
      </c>
      <c r="H295" s="11">
        <v>0</v>
      </c>
      <c r="I295" s="8">
        <v>117.85</v>
      </c>
      <c r="J295" s="3">
        <v>45649</v>
      </c>
      <c r="K295" s="14">
        <v>34</v>
      </c>
      <c r="L295" s="17">
        <v>3.3</v>
      </c>
      <c r="M295" s="2" t="b">
        <v>0</v>
      </c>
      <c r="N295" s="2"/>
      <c r="O295" s="2" t="str">
        <f>IF(Table1[[#This Row],[is_returned]]=TRUE,IF(Table1[[#This Row],[return_reason]]="","Error","OK"),"OK")</f>
        <v>OK</v>
      </c>
      <c r="P295" s="8">
        <f>Table1[[#This Row],[original_price]]*Table1[[#This Row],[markdown_percentage]]/100</f>
        <v>0</v>
      </c>
      <c r="Q29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95" s="25">
        <f>Table1[[#This Row],[current_price]]*Table1[[#This Row],[stock_quantity]]</f>
        <v>4006.8999999999996</v>
      </c>
    </row>
    <row r="296" spans="1:18" x14ac:dyDescent="0.25">
      <c r="A296" s="2" t="s">
        <v>349</v>
      </c>
      <c r="B296" s="2" t="s">
        <v>30</v>
      </c>
      <c r="C296" s="2" t="s">
        <v>32</v>
      </c>
      <c r="D296" s="2" t="s">
        <v>34</v>
      </c>
      <c r="E296" s="2" t="s">
        <v>58</v>
      </c>
      <c r="F296" s="2" t="s">
        <v>66</v>
      </c>
      <c r="G296" s="8">
        <v>96.17</v>
      </c>
      <c r="H296" s="11">
        <v>36</v>
      </c>
      <c r="I296" s="8">
        <v>61.55</v>
      </c>
      <c r="J296" s="3">
        <v>45875</v>
      </c>
      <c r="K296" s="14">
        <v>45</v>
      </c>
      <c r="L296" s="17">
        <v>3.5</v>
      </c>
      <c r="M296" s="2" t="b">
        <v>0</v>
      </c>
      <c r="N296" s="2"/>
      <c r="O296" s="2" t="str">
        <f>IF(Table1[[#This Row],[is_returned]]=TRUE,IF(Table1[[#This Row],[return_reason]]="","Error","OK"),"OK")</f>
        <v>OK</v>
      </c>
      <c r="P296" s="8">
        <f>Table1[[#This Row],[original_price]]*Table1[[#This Row],[markdown_percentage]]/100</f>
        <v>34.621200000000002</v>
      </c>
      <c r="Q29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96" s="25">
        <f>Table1[[#This Row],[current_price]]*Table1[[#This Row],[stock_quantity]]</f>
        <v>2769.75</v>
      </c>
    </row>
    <row r="297" spans="1:18" x14ac:dyDescent="0.25">
      <c r="A297" s="2" t="s">
        <v>350</v>
      </c>
      <c r="B297" s="2" t="s">
        <v>30</v>
      </c>
      <c r="C297" s="2" t="s">
        <v>16</v>
      </c>
      <c r="D297" s="2" t="s">
        <v>17</v>
      </c>
      <c r="E297" s="2" t="s">
        <v>49</v>
      </c>
      <c r="F297" s="2" t="s">
        <v>19</v>
      </c>
      <c r="G297" s="8">
        <v>80.14</v>
      </c>
      <c r="H297" s="11">
        <v>0</v>
      </c>
      <c r="I297" s="8">
        <v>80.14</v>
      </c>
      <c r="J297" s="3">
        <v>45747</v>
      </c>
      <c r="K297" s="14">
        <v>10</v>
      </c>
      <c r="L297" s="17">
        <v>5</v>
      </c>
      <c r="M297" s="2" t="b">
        <v>0</v>
      </c>
      <c r="N297" s="2"/>
      <c r="O297" s="2" t="str">
        <f>IF(Table1[[#This Row],[is_returned]]=TRUE,IF(Table1[[#This Row],[return_reason]]="","Error","OK"),"OK")</f>
        <v>OK</v>
      </c>
      <c r="P297" s="8">
        <f>Table1[[#This Row],[original_price]]*Table1[[#This Row],[markdown_percentage]]/100</f>
        <v>0</v>
      </c>
      <c r="Q29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97" s="25">
        <f>Table1[[#This Row],[current_price]]*Table1[[#This Row],[stock_quantity]]</f>
        <v>801.4</v>
      </c>
    </row>
    <row r="298" spans="1:18" x14ac:dyDescent="0.25">
      <c r="A298" s="2" t="s">
        <v>351</v>
      </c>
      <c r="B298" s="2" t="s">
        <v>27</v>
      </c>
      <c r="C298" s="2" t="s">
        <v>61</v>
      </c>
      <c r="D298" s="2" t="s">
        <v>62</v>
      </c>
      <c r="E298" s="2"/>
      <c r="F298" s="2" t="s">
        <v>25</v>
      </c>
      <c r="G298" s="8">
        <v>55.08</v>
      </c>
      <c r="H298" s="11">
        <v>13</v>
      </c>
      <c r="I298" s="8">
        <v>47.92</v>
      </c>
      <c r="J298" s="3">
        <v>45875</v>
      </c>
      <c r="K298" s="14">
        <v>17</v>
      </c>
      <c r="L298" s="17">
        <v>3.9</v>
      </c>
      <c r="M298" s="2" t="b">
        <v>0</v>
      </c>
      <c r="N298" s="2"/>
      <c r="O298" s="2" t="str">
        <f>IF(Table1[[#This Row],[is_returned]]=TRUE,IF(Table1[[#This Row],[return_reason]]="","Error","OK"),"OK")</f>
        <v>OK</v>
      </c>
      <c r="P298" s="8">
        <f>Table1[[#This Row],[original_price]]*Table1[[#This Row],[markdown_percentage]]/100</f>
        <v>7.1603999999999992</v>
      </c>
      <c r="Q29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98" s="25">
        <f>Table1[[#This Row],[current_price]]*Table1[[#This Row],[stock_quantity]]</f>
        <v>814.64</v>
      </c>
    </row>
    <row r="299" spans="1:18" x14ac:dyDescent="0.25">
      <c r="A299" s="2" t="s">
        <v>352</v>
      </c>
      <c r="B299" s="2" t="s">
        <v>42</v>
      </c>
      <c r="C299" s="2" t="s">
        <v>43</v>
      </c>
      <c r="D299" s="2" t="s">
        <v>34</v>
      </c>
      <c r="E299" s="2" t="s">
        <v>39</v>
      </c>
      <c r="F299" s="2" t="s">
        <v>25</v>
      </c>
      <c r="G299" s="8">
        <v>165.84</v>
      </c>
      <c r="H299" s="11">
        <v>50.4</v>
      </c>
      <c r="I299" s="8">
        <v>82.26</v>
      </c>
      <c r="J299" s="3">
        <v>45875</v>
      </c>
      <c r="K299" s="14">
        <v>17</v>
      </c>
      <c r="L299" s="17">
        <v>3.2</v>
      </c>
      <c r="M299" s="2" t="b">
        <v>1</v>
      </c>
      <c r="N299" s="2" t="s">
        <v>78</v>
      </c>
      <c r="O299" s="2" t="str">
        <f>IF(Table1[[#This Row],[is_returned]]=TRUE,IF(Table1[[#This Row],[return_reason]]="","Error","OK"),"OK")</f>
        <v>OK</v>
      </c>
      <c r="P299" s="8">
        <f>Table1[[#This Row],[original_price]]*Table1[[#This Row],[markdown_percentage]]/100</f>
        <v>83.583359999999999</v>
      </c>
      <c r="Q29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99" s="25">
        <f>Table1[[#This Row],[current_price]]*Table1[[#This Row],[stock_quantity]]</f>
        <v>1398.42</v>
      </c>
    </row>
    <row r="300" spans="1:18" x14ac:dyDescent="0.25">
      <c r="A300" s="2" t="s">
        <v>353</v>
      </c>
      <c r="B300" s="2" t="s">
        <v>42</v>
      </c>
      <c r="C300" s="2" t="s">
        <v>61</v>
      </c>
      <c r="D300" s="2" t="s">
        <v>62</v>
      </c>
      <c r="E300" s="2" t="s">
        <v>49</v>
      </c>
      <c r="F300" s="2" t="s">
        <v>19</v>
      </c>
      <c r="G300" s="8">
        <v>82.7</v>
      </c>
      <c r="H300" s="11">
        <v>0</v>
      </c>
      <c r="I300" s="8">
        <v>82.7</v>
      </c>
      <c r="J300" s="3">
        <v>45875</v>
      </c>
      <c r="K300" s="14">
        <v>20</v>
      </c>
      <c r="L300" s="17">
        <v>4</v>
      </c>
      <c r="M300" s="2" t="b">
        <v>0</v>
      </c>
      <c r="N300" s="2"/>
      <c r="O300" s="2" t="str">
        <f>IF(Table1[[#This Row],[is_returned]]=TRUE,IF(Table1[[#This Row],[return_reason]]="","Error","OK"),"OK")</f>
        <v>OK</v>
      </c>
      <c r="P300" s="8">
        <f>Table1[[#This Row],[original_price]]*Table1[[#This Row],[markdown_percentage]]/100</f>
        <v>0</v>
      </c>
      <c r="Q30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300" s="25">
        <f>Table1[[#This Row],[current_price]]*Table1[[#This Row],[stock_quantity]]</f>
        <v>1654</v>
      </c>
    </row>
    <row r="301" spans="1:18" x14ac:dyDescent="0.25">
      <c r="A301" s="2" t="s">
        <v>354</v>
      </c>
      <c r="B301" s="2" t="s">
        <v>15</v>
      </c>
      <c r="C301" s="2" t="s">
        <v>32</v>
      </c>
      <c r="D301" s="2" t="s">
        <v>17</v>
      </c>
      <c r="E301" s="2" t="s">
        <v>39</v>
      </c>
      <c r="F301" s="2" t="s">
        <v>66</v>
      </c>
      <c r="G301" s="8">
        <v>222.86</v>
      </c>
      <c r="H301" s="11">
        <v>6.6</v>
      </c>
      <c r="I301" s="8">
        <v>208.15</v>
      </c>
      <c r="J301" s="3">
        <v>45645</v>
      </c>
      <c r="K301" s="14">
        <v>29</v>
      </c>
      <c r="L301" s="17">
        <v>2.1</v>
      </c>
      <c r="M301" s="2" t="b">
        <v>0</v>
      </c>
      <c r="N301" s="2"/>
      <c r="O301" s="2" t="str">
        <f>IF(Table1[[#This Row],[is_returned]]=TRUE,IF(Table1[[#This Row],[return_reason]]="","Error","OK"),"OK")</f>
        <v>OK</v>
      </c>
      <c r="P301" s="8">
        <f>Table1[[#This Row],[original_price]]*Table1[[#This Row],[markdown_percentage]]/100</f>
        <v>14.70876</v>
      </c>
      <c r="Q30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301" s="25">
        <f>Table1[[#This Row],[current_price]]*Table1[[#This Row],[stock_quantity]]</f>
        <v>6036.35</v>
      </c>
    </row>
    <row r="302" spans="1:18" x14ac:dyDescent="0.25">
      <c r="A302" s="2" t="s">
        <v>355</v>
      </c>
      <c r="B302" s="2" t="s">
        <v>21</v>
      </c>
      <c r="C302" s="2" t="s">
        <v>43</v>
      </c>
      <c r="D302" s="2" t="s">
        <v>23</v>
      </c>
      <c r="E302" s="2" t="s">
        <v>24</v>
      </c>
      <c r="F302" s="2" t="s">
        <v>40</v>
      </c>
      <c r="G302" s="8">
        <v>107.15</v>
      </c>
      <c r="H302" s="11">
        <v>0</v>
      </c>
      <c r="I302" s="8">
        <v>107.15</v>
      </c>
      <c r="J302" s="3">
        <v>45875</v>
      </c>
      <c r="K302" s="14">
        <v>33</v>
      </c>
      <c r="L302" s="17"/>
      <c r="M302" s="2" t="b">
        <v>1</v>
      </c>
      <c r="N302" s="2" t="s">
        <v>125</v>
      </c>
      <c r="O302" s="2" t="str">
        <f>IF(Table1[[#This Row],[is_returned]]=TRUE,IF(Table1[[#This Row],[return_reason]]="","Error","OK"),"OK")</f>
        <v>OK</v>
      </c>
      <c r="P302" s="8">
        <f>Table1[[#This Row],[original_price]]*Table1[[#This Row],[markdown_percentage]]/100</f>
        <v>0</v>
      </c>
      <c r="Q30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302" s="25">
        <f>Table1[[#This Row],[current_price]]*Table1[[#This Row],[stock_quantity]]</f>
        <v>3535.9500000000003</v>
      </c>
    </row>
    <row r="303" spans="1:18" x14ac:dyDescent="0.25">
      <c r="A303" s="2" t="s">
        <v>356</v>
      </c>
      <c r="B303" s="2" t="s">
        <v>30</v>
      </c>
      <c r="C303" s="2" t="s">
        <v>48</v>
      </c>
      <c r="D303" s="2" t="s">
        <v>34</v>
      </c>
      <c r="E303" s="2" t="s">
        <v>49</v>
      </c>
      <c r="F303" s="2" t="s">
        <v>40</v>
      </c>
      <c r="G303" s="8">
        <v>85.54</v>
      </c>
      <c r="H303" s="11">
        <v>0</v>
      </c>
      <c r="I303" s="8">
        <v>85.54</v>
      </c>
      <c r="J303" s="3">
        <v>45875</v>
      </c>
      <c r="K303" s="14">
        <v>30</v>
      </c>
      <c r="L303" s="17"/>
      <c r="M303" s="2" t="b">
        <v>0</v>
      </c>
      <c r="N303" s="2"/>
      <c r="O303" s="2" t="str">
        <f>IF(Table1[[#This Row],[is_returned]]=TRUE,IF(Table1[[#This Row],[return_reason]]="","Error","OK"),"OK")</f>
        <v>OK</v>
      </c>
      <c r="P303" s="8">
        <f>Table1[[#This Row],[original_price]]*Table1[[#This Row],[markdown_percentage]]/100</f>
        <v>0</v>
      </c>
      <c r="Q30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303" s="25">
        <f>Table1[[#This Row],[current_price]]*Table1[[#This Row],[stock_quantity]]</f>
        <v>2566.2000000000003</v>
      </c>
    </row>
    <row r="304" spans="1:18" x14ac:dyDescent="0.25">
      <c r="A304" s="2" t="s">
        <v>357</v>
      </c>
      <c r="B304" s="2" t="s">
        <v>38</v>
      </c>
      <c r="C304" s="2" t="s">
        <v>43</v>
      </c>
      <c r="D304" s="2" t="s">
        <v>62</v>
      </c>
      <c r="E304" s="2" t="s">
        <v>18</v>
      </c>
      <c r="F304" s="2" t="s">
        <v>46</v>
      </c>
      <c r="G304" s="8">
        <v>34.36</v>
      </c>
      <c r="H304" s="11">
        <v>5.4</v>
      </c>
      <c r="I304" s="8">
        <v>32.5</v>
      </c>
      <c r="J304" s="3">
        <v>45875</v>
      </c>
      <c r="K304" s="14">
        <v>49</v>
      </c>
      <c r="L304" s="17">
        <v>4.5</v>
      </c>
      <c r="M304" s="2" t="b">
        <v>0</v>
      </c>
      <c r="N304" s="2"/>
      <c r="O304" s="2" t="str">
        <f>IF(Table1[[#This Row],[is_returned]]=TRUE,IF(Table1[[#This Row],[return_reason]]="","Error","OK"),"OK")</f>
        <v>OK</v>
      </c>
      <c r="P304" s="8">
        <f>Table1[[#This Row],[original_price]]*Table1[[#This Row],[markdown_percentage]]/100</f>
        <v>1.8554400000000002</v>
      </c>
      <c r="Q30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304" s="25">
        <f>Table1[[#This Row],[current_price]]*Table1[[#This Row],[stock_quantity]]</f>
        <v>1592.5</v>
      </c>
    </row>
    <row r="305" spans="1:18" x14ac:dyDescent="0.25">
      <c r="A305" s="2" t="s">
        <v>358</v>
      </c>
      <c r="B305" s="2" t="s">
        <v>38</v>
      </c>
      <c r="C305" s="2" t="s">
        <v>43</v>
      </c>
      <c r="D305" s="2" t="s">
        <v>23</v>
      </c>
      <c r="E305" s="2" t="s">
        <v>18</v>
      </c>
      <c r="F305" s="2" t="s">
        <v>28</v>
      </c>
      <c r="G305" s="8">
        <v>111.25</v>
      </c>
      <c r="H305" s="11">
        <v>42.2</v>
      </c>
      <c r="I305" s="8">
        <v>64.3</v>
      </c>
      <c r="J305" s="3">
        <v>45875</v>
      </c>
      <c r="K305" s="14">
        <v>34</v>
      </c>
      <c r="L305" s="17">
        <v>3</v>
      </c>
      <c r="M305" s="2" t="b">
        <v>0</v>
      </c>
      <c r="N305" s="2"/>
      <c r="O305" s="2" t="str">
        <f>IF(Table1[[#This Row],[is_returned]]=TRUE,IF(Table1[[#This Row],[return_reason]]="","Error","OK"),"OK")</f>
        <v>OK</v>
      </c>
      <c r="P305" s="8">
        <f>Table1[[#This Row],[original_price]]*Table1[[#This Row],[markdown_percentage]]/100</f>
        <v>46.947499999999998</v>
      </c>
      <c r="Q30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305" s="25">
        <f>Table1[[#This Row],[current_price]]*Table1[[#This Row],[stock_quantity]]</f>
        <v>2186.1999999999998</v>
      </c>
    </row>
    <row r="306" spans="1:18" x14ac:dyDescent="0.25">
      <c r="A306" s="2" t="s">
        <v>359</v>
      </c>
      <c r="B306" s="2" t="s">
        <v>21</v>
      </c>
      <c r="C306" s="2" t="s">
        <v>16</v>
      </c>
      <c r="D306" s="2" t="s">
        <v>17</v>
      </c>
      <c r="E306" s="2" t="s">
        <v>49</v>
      </c>
      <c r="F306" s="2" t="s">
        <v>25</v>
      </c>
      <c r="G306" s="8">
        <v>39.97</v>
      </c>
      <c r="H306" s="11">
        <v>35.200000000000003</v>
      </c>
      <c r="I306" s="8">
        <v>25.9</v>
      </c>
      <c r="J306" s="3">
        <v>45679</v>
      </c>
      <c r="K306" s="14">
        <v>15</v>
      </c>
      <c r="L306" s="17">
        <v>2.2999999999999998</v>
      </c>
      <c r="M306" s="2" t="b">
        <v>0</v>
      </c>
      <c r="N306" s="2"/>
      <c r="O306" s="2" t="str">
        <f>IF(Table1[[#This Row],[is_returned]]=TRUE,IF(Table1[[#This Row],[return_reason]]="","Error","OK"),"OK")</f>
        <v>OK</v>
      </c>
      <c r="P306" s="8">
        <f>Table1[[#This Row],[original_price]]*Table1[[#This Row],[markdown_percentage]]/100</f>
        <v>14.06944</v>
      </c>
      <c r="Q30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306" s="25">
        <f>Table1[[#This Row],[current_price]]*Table1[[#This Row],[stock_quantity]]</f>
        <v>388.5</v>
      </c>
    </row>
    <row r="307" spans="1:18" x14ac:dyDescent="0.25">
      <c r="A307" s="2" t="s">
        <v>360</v>
      </c>
      <c r="B307" s="2" t="s">
        <v>30</v>
      </c>
      <c r="C307" s="2" t="s">
        <v>75</v>
      </c>
      <c r="D307" s="2" t="s">
        <v>62</v>
      </c>
      <c r="E307" s="2" t="s">
        <v>58</v>
      </c>
      <c r="F307" s="2" t="s">
        <v>35</v>
      </c>
      <c r="G307" s="8">
        <v>60.34</v>
      </c>
      <c r="H307" s="11">
        <v>0</v>
      </c>
      <c r="I307" s="8">
        <v>60.34</v>
      </c>
      <c r="J307" s="3">
        <v>45875</v>
      </c>
      <c r="K307" s="14">
        <v>4</v>
      </c>
      <c r="L307" s="17"/>
      <c r="M307" s="2" t="b">
        <v>0</v>
      </c>
      <c r="N307" s="2"/>
      <c r="O307" s="2" t="str">
        <f>IF(Table1[[#This Row],[is_returned]]=TRUE,IF(Table1[[#This Row],[return_reason]]="","Error","OK"),"OK")</f>
        <v>OK</v>
      </c>
      <c r="P307" s="8">
        <f>Table1[[#This Row],[original_price]]*Table1[[#This Row],[markdown_percentage]]/100</f>
        <v>0</v>
      </c>
      <c r="Q30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307" s="25">
        <f>Table1[[#This Row],[current_price]]*Table1[[#This Row],[stock_quantity]]</f>
        <v>241.36</v>
      </c>
    </row>
    <row r="308" spans="1:18" x14ac:dyDescent="0.25">
      <c r="A308" s="2" t="s">
        <v>361</v>
      </c>
      <c r="B308" s="2" t="s">
        <v>27</v>
      </c>
      <c r="C308" s="2" t="s">
        <v>61</v>
      </c>
      <c r="D308" s="2" t="s">
        <v>62</v>
      </c>
      <c r="E308" s="2"/>
      <c r="F308" s="2" t="s">
        <v>44</v>
      </c>
      <c r="G308" s="8">
        <v>17.7</v>
      </c>
      <c r="H308" s="11">
        <v>0</v>
      </c>
      <c r="I308" s="8">
        <v>17.7</v>
      </c>
      <c r="J308" s="3">
        <v>45875</v>
      </c>
      <c r="K308" s="14">
        <v>42</v>
      </c>
      <c r="L308" s="17">
        <v>3.9</v>
      </c>
      <c r="M308" s="2" t="b">
        <v>0</v>
      </c>
      <c r="N308" s="2"/>
      <c r="O308" s="2" t="str">
        <f>IF(Table1[[#This Row],[is_returned]]=TRUE,IF(Table1[[#This Row],[return_reason]]="","Error","OK"),"OK")</f>
        <v>OK</v>
      </c>
      <c r="P308" s="8">
        <f>Table1[[#This Row],[original_price]]*Table1[[#This Row],[markdown_percentage]]/100</f>
        <v>0</v>
      </c>
      <c r="Q30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308" s="25">
        <f>Table1[[#This Row],[current_price]]*Table1[[#This Row],[stock_quantity]]</f>
        <v>743.4</v>
      </c>
    </row>
    <row r="309" spans="1:18" x14ac:dyDescent="0.25">
      <c r="A309" s="2" t="s">
        <v>362</v>
      </c>
      <c r="B309" s="2" t="s">
        <v>38</v>
      </c>
      <c r="C309" s="2" t="s">
        <v>43</v>
      </c>
      <c r="D309" s="2" t="s">
        <v>62</v>
      </c>
      <c r="E309" s="2" t="s">
        <v>58</v>
      </c>
      <c r="F309" s="2" t="s">
        <v>35</v>
      </c>
      <c r="G309" s="8">
        <v>57.88</v>
      </c>
      <c r="H309" s="11">
        <v>0</v>
      </c>
      <c r="I309" s="8">
        <v>57.88</v>
      </c>
      <c r="J309" s="3">
        <v>45875</v>
      </c>
      <c r="K309" s="14">
        <v>39</v>
      </c>
      <c r="L309" s="17">
        <v>3</v>
      </c>
      <c r="M309" s="2" t="b">
        <v>0</v>
      </c>
      <c r="N309" s="2"/>
      <c r="O309" s="2" t="str">
        <f>IF(Table1[[#This Row],[is_returned]]=TRUE,IF(Table1[[#This Row],[return_reason]]="","Error","OK"),"OK")</f>
        <v>OK</v>
      </c>
      <c r="P309" s="8">
        <f>Table1[[#This Row],[original_price]]*Table1[[#This Row],[markdown_percentage]]/100</f>
        <v>0</v>
      </c>
      <c r="Q30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309" s="25">
        <f>Table1[[#This Row],[current_price]]*Table1[[#This Row],[stock_quantity]]</f>
        <v>2257.3200000000002</v>
      </c>
    </row>
    <row r="310" spans="1:18" x14ac:dyDescent="0.25">
      <c r="A310" s="2" t="s">
        <v>363</v>
      </c>
      <c r="B310" s="2" t="s">
        <v>21</v>
      </c>
      <c r="C310" s="2" t="s">
        <v>43</v>
      </c>
      <c r="D310" s="2" t="s">
        <v>62</v>
      </c>
      <c r="E310" s="2" t="s">
        <v>39</v>
      </c>
      <c r="F310" s="2" t="s">
        <v>44</v>
      </c>
      <c r="G310" s="8">
        <v>25.15</v>
      </c>
      <c r="H310" s="11">
        <v>0</v>
      </c>
      <c r="I310" s="8">
        <v>25.15</v>
      </c>
      <c r="J310" s="3">
        <v>45875</v>
      </c>
      <c r="K310" s="14">
        <v>34</v>
      </c>
      <c r="L310" s="17">
        <v>2.6</v>
      </c>
      <c r="M310" s="2" t="b">
        <v>0</v>
      </c>
      <c r="N310" s="2"/>
      <c r="O310" s="2" t="str">
        <f>IF(Table1[[#This Row],[is_returned]]=TRUE,IF(Table1[[#This Row],[return_reason]]="","Error","OK"),"OK")</f>
        <v>OK</v>
      </c>
      <c r="P310" s="8">
        <f>Table1[[#This Row],[original_price]]*Table1[[#This Row],[markdown_percentage]]/100</f>
        <v>0</v>
      </c>
      <c r="Q31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310" s="25">
        <f>Table1[[#This Row],[current_price]]*Table1[[#This Row],[stock_quantity]]</f>
        <v>855.09999999999991</v>
      </c>
    </row>
    <row r="311" spans="1:18" x14ac:dyDescent="0.25">
      <c r="A311" s="2" t="s">
        <v>364</v>
      </c>
      <c r="B311" s="2" t="s">
        <v>15</v>
      </c>
      <c r="C311" s="2" t="s">
        <v>43</v>
      </c>
      <c r="D311" s="2" t="s">
        <v>17</v>
      </c>
      <c r="E311" s="2" t="s">
        <v>24</v>
      </c>
      <c r="F311" s="2" t="s">
        <v>66</v>
      </c>
      <c r="G311" s="8">
        <v>157.44999999999999</v>
      </c>
      <c r="H311" s="11">
        <v>0</v>
      </c>
      <c r="I311" s="8">
        <v>157.44999999999999</v>
      </c>
      <c r="J311" s="3">
        <v>45803</v>
      </c>
      <c r="K311" s="14">
        <v>7</v>
      </c>
      <c r="L311" s="17">
        <v>2.9</v>
      </c>
      <c r="M311" s="2" t="b">
        <v>0</v>
      </c>
      <c r="N311" s="2"/>
      <c r="O311" s="2" t="str">
        <f>IF(Table1[[#This Row],[is_returned]]=TRUE,IF(Table1[[#This Row],[return_reason]]="","Error","OK"),"OK")</f>
        <v>OK</v>
      </c>
      <c r="P311" s="8">
        <f>Table1[[#This Row],[original_price]]*Table1[[#This Row],[markdown_percentage]]/100</f>
        <v>0</v>
      </c>
      <c r="Q31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311" s="25">
        <f>Table1[[#This Row],[current_price]]*Table1[[#This Row],[stock_quantity]]</f>
        <v>1102.1499999999999</v>
      </c>
    </row>
    <row r="312" spans="1:18" x14ac:dyDescent="0.25">
      <c r="A312" s="2" t="s">
        <v>365</v>
      </c>
      <c r="B312" s="2" t="s">
        <v>38</v>
      </c>
      <c r="C312" s="2" t="s">
        <v>48</v>
      </c>
      <c r="D312" s="2" t="s">
        <v>23</v>
      </c>
      <c r="E312" s="2" t="s">
        <v>24</v>
      </c>
      <c r="F312" s="2" t="s">
        <v>66</v>
      </c>
      <c r="G312" s="8">
        <v>65.72</v>
      </c>
      <c r="H312" s="11">
        <v>9.1</v>
      </c>
      <c r="I312" s="8">
        <v>59.74</v>
      </c>
      <c r="J312" s="3">
        <v>45875</v>
      </c>
      <c r="K312" s="14">
        <v>10</v>
      </c>
      <c r="L312" s="17">
        <v>2.8</v>
      </c>
      <c r="M312" s="2" t="b">
        <v>1</v>
      </c>
      <c r="N312" s="2" t="s">
        <v>83</v>
      </c>
      <c r="O312" s="2" t="str">
        <f>IF(Table1[[#This Row],[is_returned]]=TRUE,IF(Table1[[#This Row],[return_reason]]="","Error","OK"),"OK")</f>
        <v>OK</v>
      </c>
      <c r="P312" s="8">
        <f>Table1[[#This Row],[original_price]]*Table1[[#This Row],[markdown_percentage]]/100</f>
        <v>5.9805200000000003</v>
      </c>
      <c r="Q31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312" s="25">
        <f>Table1[[#This Row],[current_price]]*Table1[[#This Row],[stock_quantity]]</f>
        <v>597.4</v>
      </c>
    </row>
    <row r="313" spans="1:18" x14ac:dyDescent="0.25">
      <c r="A313" s="2" t="s">
        <v>366</v>
      </c>
      <c r="B313" s="2" t="s">
        <v>42</v>
      </c>
      <c r="C313" s="2" t="s">
        <v>75</v>
      </c>
      <c r="D313" s="2" t="s">
        <v>23</v>
      </c>
      <c r="E313" s="2" t="s">
        <v>49</v>
      </c>
      <c r="F313" s="2" t="s">
        <v>70</v>
      </c>
      <c r="G313" s="8">
        <v>92.8</v>
      </c>
      <c r="H313" s="11">
        <v>0</v>
      </c>
      <c r="I313" s="8">
        <v>92.8</v>
      </c>
      <c r="J313" s="3">
        <v>45875</v>
      </c>
      <c r="K313" s="14">
        <v>25</v>
      </c>
      <c r="L313" s="17">
        <v>2.5</v>
      </c>
      <c r="M313" s="2" t="b">
        <v>0</v>
      </c>
      <c r="N313" s="2"/>
      <c r="O313" s="2" t="str">
        <f>IF(Table1[[#This Row],[is_returned]]=TRUE,IF(Table1[[#This Row],[return_reason]]="","Error","OK"),"OK")</f>
        <v>OK</v>
      </c>
      <c r="P313" s="8">
        <f>Table1[[#This Row],[original_price]]*Table1[[#This Row],[markdown_percentage]]/100</f>
        <v>0</v>
      </c>
      <c r="Q31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313" s="25">
        <f>Table1[[#This Row],[current_price]]*Table1[[#This Row],[stock_quantity]]</f>
        <v>2320</v>
      </c>
    </row>
    <row r="314" spans="1:18" x14ac:dyDescent="0.25">
      <c r="A314" s="2" t="s">
        <v>367</v>
      </c>
      <c r="B314" s="2" t="s">
        <v>42</v>
      </c>
      <c r="C314" s="2" t="s">
        <v>32</v>
      </c>
      <c r="D314" s="2" t="s">
        <v>23</v>
      </c>
      <c r="E314" s="2" t="s">
        <v>18</v>
      </c>
      <c r="F314" s="2" t="s">
        <v>44</v>
      </c>
      <c r="G314" s="8">
        <v>88.65</v>
      </c>
      <c r="H314" s="11">
        <v>0</v>
      </c>
      <c r="I314" s="8">
        <v>88.65</v>
      </c>
      <c r="J314" s="3">
        <v>45875</v>
      </c>
      <c r="K314" s="14">
        <v>11</v>
      </c>
      <c r="L314" s="17">
        <v>3.3</v>
      </c>
      <c r="M314" s="2" t="b">
        <v>0</v>
      </c>
      <c r="N314" s="2"/>
      <c r="O314" s="2" t="str">
        <f>IF(Table1[[#This Row],[is_returned]]=TRUE,IF(Table1[[#This Row],[return_reason]]="","Error","OK"),"OK")</f>
        <v>OK</v>
      </c>
      <c r="P314" s="8">
        <f>Table1[[#This Row],[original_price]]*Table1[[#This Row],[markdown_percentage]]/100</f>
        <v>0</v>
      </c>
      <c r="Q31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314" s="25">
        <f>Table1[[#This Row],[current_price]]*Table1[[#This Row],[stock_quantity]]</f>
        <v>975.15000000000009</v>
      </c>
    </row>
    <row r="315" spans="1:18" x14ac:dyDescent="0.25">
      <c r="A315" s="2" t="s">
        <v>368</v>
      </c>
      <c r="B315" s="2" t="s">
        <v>21</v>
      </c>
      <c r="C315" s="2" t="s">
        <v>16</v>
      </c>
      <c r="D315" s="2" t="s">
        <v>23</v>
      </c>
      <c r="E315" s="2" t="s">
        <v>49</v>
      </c>
      <c r="F315" s="2" t="s">
        <v>56</v>
      </c>
      <c r="G315" s="8">
        <v>47.07</v>
      </c>
      <c r="H315" s="11">
        <v>57.4</v>
      </c>
      <c r="I315" s="8">
        <v>20.05</v>
      </c>
      <c r="J315" s="3">
        <v>45875</v>
      </c>
      <c r="K315" s="14">
        <v>24</v>
      </c>
      <c r="L315" s="17">
        <v>1.3</v>
      </c>
      <c r="M315" s="2" t="b">
        <v>1</v>
      </c>
      <c r="N315" s="2" t="s">
        <v>73</v>
      </c>
      <c r="O315" s="2" t="str">
        <f>IF(Table1[[#This Row],[is_returned]]=TRUE,IF(Table1[[#This Row],[return_reason]]="","Error","OK"),"OK")</f>
        <v>OK</v>
      </c>
      <c r="P315" s="8">
        <f>Table1[[#This Row],[original_price]]*Table1[[#This Row],[markdown_percentage]]/100</f>
        <v>27.018179999999997</v>
      </c>
      <c r="Q31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315" s="25">
        <f>Table1[[#This Row],[current_price]]*Table1[[#This Row],[stock_quantity]]</f>
        <v>481.20000000000005</v>
      </c>
    </row>
    <row r="316" spans="1:18" x14ac:dyDescent="0.25">
      <c r="A316" s="2" t="s">
        <v>369</v>
      </c>
      <c r="B316" s="2" t="s">
        <v>15</v>
      </c>
      <c r="C316" s="2" t="s">
        <v>53</v>
      </c>
      <c r="D316" s="2" t="s">
        <v>62</v>
      </c>
      <c r="E316" s="2" t="s">
        <v>55</v>
      </c>
      <c r="F316" s="2" t="s">
        <v>19</v>
      </c>
      <c r="G316" s="8">
        <v>101.75</v>
      </c>
      <c r="H316" s="11">
        <v>0</v>
      </c>
      <c r="I316" s="8">
        <v>101.75</v>
      </c>
      <c r="J316" s="3">
        <v>45875</v>
      </c>
      <c r="K316" s="14">
        <v>7</v>
      </c>
      <c r="L316" s="17">
        <v>3.1</v>
      </c>
      <c r="M316" s="2" t="b">
        <v>0</v>
      </c>
      <c r="N316" s="2"/>
      <c r="O316" s="2" t="str">
        <f>IF(Table1[[#This Row],[is_returned]]=TRUE,IF(Table1[[#This Row],[return_reason]]="","Error","OK"),"OK")</f>
        <v>OK</v>
      </c>
      <c r="P316" s="8">
        <f>Table1[[#This Row],[original_price]]*Table1[[#This Row],[markdown_percentage]]/100</f>
        <v>0</v>
      </c>
      <c r="Q31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316" s="25">
        <f>Table1[[#This Row],[current_price]]*Table1[[#This Row],[stock_quantity]]</f>
        <v>712.25</v>
      </c>
    </row>
    <row r="317" spans="1:18" x14ac:dyDescent="0.25">
      <c r="A317" s="2" t="s">
        <v>370</v>
      </c>
      <c r="B317" s="2" t="s">
        <v>42</v>
      </c>
      <c r="C317" s="2" t="s">
        <v>43</v>
      </c>
      <c r="D317" s="2" t="s">
        <v>17</v>
      </c>
      <c r="E317" s="2" t="s">
        <v>55</v>
      </c>
      <c r="F317" s="2" t="s">
        <v>44</v>
      </c>
      <c r="G317" s="8">
        <v>131.08000000000001</v>
      </c>
      <c r="H317" s="11">
        <v>7.5</v>
      </c>
      <c r="I317" s="8">
        <v>121.25</v>
      </c>
      <c r="J317" s="3">
        <v>45630</v>
      </c>
      <c r="K317" s="14">
        <v>20</v>
      </c>
      <c r="L317" s="17">
        <v>4.5</v>
      </c>
      <c r="M317" s="2" t="b">
        <v>1</v>
      </c>
      <c r="N317" s="2" t="s">
        <v>125</v>
      </c>
      <c r="O317" s="2" t="str">
        <f>IF(Table1[[#This Row],[is_returned]]=TRUE,IF(Table1[[#This Row],[return_reason]]="","Error","OK"),"OK")</f>
        <v>OK</v>
      </c>
      <c r="P317" s="8">
        <f>Table1[[#This Row],[original_price]]*Table1[[#This Row],[markdown_percentage]]/100</f>
        <v>9.8310000000000013</v>
      </c>
      <c r="Q31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317" s="25">
        <f>Table1[[#This Row],[current_price]]*Table1[[#This Row],[stock_quantity]]</f>
        <v>2425</v>
      </c>
    </row>
    <row r="318" spans="1:18" x14ac:dyDescent="0.25">
      <c r="A318" s="2" t="s">
        <v>371</v>
      </c>
      <c r="B318" s="2" t="s">
        <v>21</v>
      </c>
      <c r="C318" s="2" t="s">
        <v>16</v>
      </c>
      <c r="D318" s="2" t="s">
        <v>34</v>
      </c>
      <c r="E318" s="2" t="s">
        <v>55</v>
      </c>
      <c r="F318" s="2" t="s">
        <v>28</v>
      </c>
      <c r="G318" s="8">
        <v>82.06</v>
      </c>
      <c r="H318" s="11">
        <v>26.1</v>
      </c>
      <c r="I318" s="8">
        <v>60.64</v>
      </c>
      <c r="J318" s="3">
        <v>45875</v>
      </c>
      <c r="K318" s="14">
        <v>32</v>
      </c>
      <c r="L318" s="17">
        <v>1.5</v>
      </c>
      <c r="M318" s="2" t="b">
        <v>0</v>
      </c>
      <c r="N318" s="2"/>
      <c r="O318" s="2" t="str">
        <f>IF(Table1[[#This Row],[is_returned]]=TRUE,IF(Table1[[#This Row],[return_reason]]="","Error","OK"),"OK")</f>
        <v>OK</v>
      </c>
      <c r="P318" s="8">
        <f>Table1[[#This Row],[original_price]]*Table1[[#This Row],[markdown_percentage]]/100</f>
        <v>21.417660000000001</v>
      </c>
      <c r="Q31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318" s="25">
        <f>Table1[[#This Row],[current_price]]*Table1[[#This Row],[stock_quantity]]</f>
        <v>1940.48</v>
      </c>
    </row>
    <row r="319" spans="1:18" x14ac:dyDescent="0.25">
      <c r="A319" s="2" t="s">
        <v>372</v>
      </c>
      <c r="B319" s="2" t="s">
        <v>42</v>
      </c>
      <c r="C319" s="2" t="s">
        <v>48</v>
      </c>
      <c r="D319" s="2" t="s">
        <v>62</v>
      </c>
      <c r="E319" s="2" t="s">
        <v>24</v>
      </c>
      <c r="F319" s="2" t="s">
        <v>66</v>
      </c>
      <c r="G319" s="8">
        <v>66.31</v>
      </c>
      <c r="H319" s="11">
        <v>0</v>
      </c>
      <c r="I319" s="8">
        <v>66.31</v>
      </c>
      <c r="J319" s="3">
        <v>45875</v>
      </c>
      <c r="K319" s="14">
        <v>47</v>
      </c>
      <c r="L319" s="17">
        <v>3.9</v>
      </c>
      <c r="M319" s="2" t="b">
        <v>0</v>
      </c>
      <c r="N319" s="2"/>
      <c r="O319" s="2" t="str">
        <f>IF(Table1[[#This Row],[is_returned]]=TRUE,IF(Table1[[#This Row],[return_reason]]="","Error","OK"),"OK")</f>
        <v>OK</v>
      </c>
      <c r="P319" s="8">
        <f>Table1[[#This Row],[original_price]]*Table1[[#This Row],[markdown_percentage]]/100</f>
        <v>0</v>
      </c>
      <c r="Q31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319" s="25">
        <f>Table1[[#This Row],[current_price]]*Table1[[#This Row],[stock_quantity]]</f>
        <v>3116.57</v>
      </c>
    </row>
    <row r="320" spans="1:18" x14ac:dyDescent="0.25">
      <c r="A320" s="2" t="s">
        <v>373</v>
      </c>
      <c r="B320" s="2" t="s">
        <v>27</v>
      </c>
      <c r="C320" s="2" t="s">
        <v>22</v>
      </c>
      <c r="D320" s="2" t="s">
        <v>34</v>
      </c>
      <c r="E320" s="2"/>
      <c r="F320" s="2" t="s">
        <v>46</v>
      </c>
      <c r="G320" s="8">
        <v>26.03</v>
      </c>
      <c r="H320" s="11">
        <v>0</v>
      </c>
      <c r="I320" s="8">
        <v>26.03</v>
      </c>
      <c r="J320" s="3">
        <v>45875</v>
      </c>
      <c r="K320" s="14">
        <v>15</v>
      </c>
      <c r="L320" s="17">
        <v>3.8</v>
      </c>
      <c r="M320" s="2" t="b">
        <v>0</v>
      </c>
      <c r="N320" s="2"/>
      <c r="O320" s="2" t="str">
        <f>IF(Table1[[#This Row],[is_returned]]=TRUE,IF(Table1[[#This Row],[return_reason]]="","Error","OK"),"OK")</f>
        <v>OK</v>
      </c>
      <c r="P320" s="8">
        <f>Table1[[#This Row],[original_price]]*Table1[[#This Row],[markdown_percentage]]/100</f>
        <v>0</v>
      </c>
      <c r="Q32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320" s="25">
        <f>Table1[[#This Row],[current_price]]*Table1[[#This Row],[stock_quantity]]</f>
        <v>390.45000000000005</v>
      </c>
    </row>
    <row r="321" spans="1:18" x14ac:dyDescent="0.25">
      <c r="A321" s="2" t="s">
        <v>374</v>
      </c>
      <c r="B321" s="2" t="s">
        <v>30</v>
      </c>
      <c r="C321" s="2" t="s">
        <v>22</v>
      </c>
      <c r="D321" s="2" t="s">
        <v>17</v>
      </c>
      <c r="E321" s="2" t="s">
        <v>39</v>
      </c>
      <c r="F321" s="2" t="s">
        <v>56</v>
      </c>
      <c r="G321" s="8">
        <v>152.53</v>
      </c>
      <c r="H321" s="11">
        <v>0</v>
      </c>
      <c r="I321" s="8">
        <v>152.53</v>
      </c>
      <c r="J321" s="3">
        <v>45617</v>
      </c>
      <c r="K321" s="14">
        <v>24</v>
      </c>
      <c r="L321" s="17">
        <v>4.2</v>
      </c>
      <c r="M321" s="2" t="b">
        <v>0</v>
      </c>
      <c r="N321" s="2"/>
      <c r="O321" s="2" t="str">
        <f>IF(Table1[[#This Row],[is_returned]]=TRUE,IF(Table1[[#This Row],[return_reason]]="","Error","OK"),"OK")</f>
        <v>OK</v>
      </c>
      <c r="P321" s="8">
        <f>Table1[[#This Row],[original_price]]*Table1[[#This Row],[markdown_percentage]]/100</f>
        <v>0</v>
      </c>
      <c r="Q32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321" s="25">
        <f>Table1[[#This Row],[current_price]]*Table1[[#This Row],[stock_quantity]]</f>
        <v>3660.7200000000003</v>
      </c>
    </row>
    <row r="322" spans="1:18" x14ac:dyDescent="0.25">
      <c r="A322" s="2" t="s">
        <v>375</v>
      </c>
      <c r="B322" s="2" t="s">
        <v>38</v>
      </c>
      <c r="C322" s="2" t="s">
        <v>43</v>
      </c>
      <c r="D322" s="2" t="s">
        <v>34</v>
      </c>
      <c r="E322" s="2" t="s">
        <v>39</v>
      </c>
      <c r="F322" s="2" t="s">
        <v>56</v>
      </c>
      <c r="G322" s="8">
        <v>26.16</v>
      </c>
      <c r="H322" s="11">
        <v>16.2</v>
      </c>
      <c r="I322" s="8">
        <v>21.92</v>
      </c>
      <c r="J322" s="3">
        <v>45875</v>
      </c>
      <c r="K322" s="14">
        <v>13</v>
      </c>
      <c r="L322" s="17">
        <v>2.2999999999999998</v>
      </c>
      <c r="M322" s="2" t="b">
        <v>0</v>
      </c>
      <c r="N322" s="2"/>
      <c r="O322" s="2" t="str">
        <f>IF(Table1[[#This Row],[is_returned]]=TRUE,IF(Table1[[#This Row],[return_reason]]="","Error","OK"),"OK")</f>
        <v>OK</v>
      </c>
      <c r="P322" s="8">
        <f>Table1[[#This Row],[original_price]]*Table1[[#This Row],[markdown_percentage]]/100</f>
        <v>4.2379199999999999</v>
      </c>
      <c r="Q32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322" s="25">
        <f>Table1[[#This Row],[current_price]]*Table1[[#This Row],[stock_quantity]]</f>
        <v>284.96000000000004</v>
      </c>
    </row>
    <row r="323" spans="1:18" x14ac:dyDescent="0.25">
      <c r="A323" s="2" t="s">
        <v>376</v>
      </c>
      <c r="B323" s="2" t="s">
        <v>42</v>
      </c>
      <c r="C323" s="2" t="s">
        <v>22</v>
      </c>
      <c r="D323" s="2" t="s">
        <v>23</v>
      </c>
      <c r="E323" s="2" t="s">
        <v>49</v>
      </c>
      <c r="F323" s="2" t="s">
        <v>44</v>
      </c>
      <c r="G323" s="8">
        <v>89.17</v>
      </c>
      <c r="H323" s="11">
        <v>10.8</v>
      </c>
      <c r="I323" s="8">
        <v>79.540000000000006</v>
      </c>
      <c r="J323" s="3">
        <v>45875</v>
      </c>
      <c r="K323" s="14">
        <v>27</v>
      </c>
      <c r="L323" s="17">
        <v>3.3</v>
      </c>
      <c r="M323" s="2" t="b">
        <v>0</v>
      </c>
      <c r="N323" s="2"/>
      <c r="O323" s="2" t="str">
        <f>IF(Table1[[#This Row],[is_returned]]=TRUE,IF(Table1[[#This Row],[return_reason]]="","Error","OK"),"OK")</f>
        <v>OK</v>
      </c>
      <c r="P323" s="8">
        <f>Table1[[#This Row],[original_price]]*Table1[[#This Row],[markdown_percentage]]/100</f>
        <v>9.6303600000000014</v>
      </c>
      <c r="Q32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323" s="25">
        <f>Table1[[#This Row],[current_price]]*Table1[[#This Row],[stock_quantity]]</f>
        <v>2147.5800000000004</v>
      </c>
    </row>
    <row r="324" spans="1:18" x14ac:dyDescent="0.25">
      <c r="A324" s="2" t="s">
        <v>377</v>
      </c>
      <c r="B324" s="2" t="s">
        <v>38</v>
      </c>
      <c r="C324" s="2" t="s">
        <v>48</v>
      </c>
      <c r="D324" s="2" t="s">
        <v>17</v>
      </c>
      <c r="E324" s="2"/>
      <c r="F324" s="2" t="s">
        <v>35</v>
      </c>
      <c r="G324" s="8">
        <v>106.37</v>
      </c>
      <c r="H324" s="11">
        <v>0</v>
      </c>
      <c r="I324" s="8">
        <v>106.37</v>
      </c>
      <c r="J324" s="3">
        <v>45753</v>
      </c>
      <c r="K324" s="14">
        <v>37</v>
      </c>
      <c r="L324" s="17">
        <v>4.9000000000000004</v>
      </c>
      <c r="M324" s="2" t="b">
        <v>0</v>
      </c>
      <c r="N324" s="2"/>
      <c r="O324" s="2" t="str">
        <f>IF(Table1[[#This Row],[is_returned]]=TRUE,IF(Table1[[#This Row],[return_reason]]="","Error","OK"),"OK")</f>
        <v>OK</v>
      </c>
      <c r="P324" s="8">
        <f>Table1[[#This Row],[original_price]]*Table1[[#This Row],[markdown_percentage]]/100</f>
        <v>0</v>
      </c>
      <c r="Q32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324" s="25">
        <f>Table1[[#This Row],[current_price]]*Table1[[#This Row],[stock_quantity]]</f>
        <v>3935.69</v>
      </c>
    </row>
    <row r="325" spans="1:18" x14ac:dyDescent="0.25">
      <c r="A325" s="2" t="s">
        <v>378</v>
      </c>
      <c r="B325" s="2" t="s">
        <v>42</v>
      </c>
      <c r="C325" s="2" t="s">
        <v>43</v>
      </c>
      <c r="D325" s="2" t="s">
        <v>34</v>
      </c>
      <c r="E325" s="2" t="s">
        <v>18</v>
      </c>
      <c r="F325" s="2" t="s">
        <v>35</v>
      </c>
      <c r="G325" s="8">
        <v>80.95</v>
      </c>
      <c r="H325" s="11">
        <v>36.799999999999997</v>
      </c>
      <c r="I325" s="8">
        <v>51.16</v>
      </c>
      <c r="J325" s="3">
        <v>45875</v>
      </c>
      <c r="K325" s="14">
        <v>16</v>
      </c>
      <c r="L325" s="17">
        <v>2.5</v>
      </c>
      <c r="M325" s="2" t="b">
        <v>0</v>
      </c>
      <c r="N325" s="2"/>
      <c r="O325" s="2" t="str">
        <f>IF(Table1[[#This Row],[is_returned]]=TRUE,IF(Table1[[#This Row],[return_reason]]="","Error","OK"),"OK")</f>
        <v>OK</v>
      </c>
      <c r="P325" s="8">
        <f>Table1[[#This Row],[original_price]]*Table1[[#This Row],[markdown_percentage]]/100</f>
        <v>29.7896</v>
      </c>
      <c r="Q32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325" s="25">
        <f>Table1[[#This Row],[current_price]]*Table1[[#This Row],[stock_quantity]]</f>
        <v>818.56</v>
      </c>
    </row>
    <row r="326" spans="1:18" x14ac:dyDescent="0.25">
      <c r="A326" s="2" t="s">
        <v>379</v>
      </c>
      <c r="B326" s="2" t="s">
        <v>15</v>
      </c>
      <c r="C326" s="2" t="s">
        <v>32</v>
      </c>
      <c r="D326" s="2" t="s">
        <v>62</v>
      </c>
      <c r="E326" s="2" t="s">
        <v>58</v>
      </c>
      <c r="F326" s="2" t="s">
        <v>64</v>
      </c>
      <c r="G326" s="8">
        <v>169.84</v>
      </c>
      <c r="H326" s="11">
        <v>50.2</v>
      </c>
      <c r="I326" s="8">
        <v>84.58</v>
      </c>
      <c r="J326" s="3">
        <v>45875</v>
      </c>
      <c r="K326" s="14">
        <v>21</v>
      </c>
      <c r="L326" s="17">
        <v>3</v>
      </c>
      <c r="M326" s="2" t="b">
        <v>1</v>
      </c>
      <c r="N326" s="2" t="s">
        <v>83</v>
      </c>
      <c r="O326" s="2" t="str">
        <f>IF(Table1[[#This Row],[is_returned]]=TRUE,IF(Table1[[#This Row],[return_reason]]="","Error","OK"),"OK")</f>
        <v>OK</v>
      </c>
      <c r="P326" s="8">
        <f>Table1[[#This Row],[original_price]]*Table1[[#This Row],[markdown_percentage]]/100</f>
        <v>85.259680000000003</v>
      </c>
      <c r="Q32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326" s="25">
        <f>Table1[[#This Row],[current_price]]*Table1[[#This Row],[stock_quantity]]</f>
        <v>1776.18</v>
      </c>
    </row>
    <row r="327" spans="1:18" x14ac:dyDescent="0.25">
      <c r="A327" s="2" t="s">
        <v>380</v>
      </c>
      <c r="B327" s="2" t="s">
        <v>42</v>
      </c>
      <c r="C327" s="2" t="s">
        <v>75</v>
      </c>
      <c r="D327" s="2" t="s">
        <v>34</v>
      </c>
      <c r="E327" s="2" t="s">
        <v>58</v>
      </c>
      <c r="F327" s="2" t="s">
        <v>46</v>
      </c>
      <c r="G327" s="8">
        <v>159.4</v>
      </c>
      <c r="H327" s="11">
        <v>8.8000000000000007</v>
      </c>
      <c r="I327" s="8">
        <v>145.37</v>
      </c>
      <c r="J327" s="3">
        <v>45875</v>
      </c>
      <c r="K327" s="14">
        <v>43</v>
      </c>
      <c r="L327" s="17">
        <v>4.5</v>
      </c>
      <c r="M327" s="2" t="b">
        <v>0</v>
      </c>
      <c r="N327" s="2"/>
      <c r="O327" s="2" t="str">
        <f>IF(Table1[[#This Row],[is_returned]]=TRUE,IF(Table1[[#This Row],[return_reason]]="","Error","OK"),"OK")</f>
        <v>OK</v>
      </c>
      <c r="P327" s="8">
        <f>Table1[[#This Row],[original_price]]*Table1[[#This Row],[markdown_percentage]]/100</f>
        <v>14.027200000000002</v>
      </c>
      <c r="Q32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327" s="25">
        <f>Table1[[#This Row],[current_price]]*Table1[[#This Row],[stock_quantity]]</f>
        <v>6250.91</v>
      </c>
    </row>
    <row r="328" spans="1:18" x14ac:dyDescent="0.25">
      <c r="A328" s="2" t="s">
        <v>381</v>
      </c>
      <c r="B328" s="2" t="s">
        <v>38</v>
      </c>
      <c r="C328" s="2" t="s">
        <v>75</v>
      </c>
      <c r="D328" s="2" t="s">
        <v>23</v>
      </c>
      <c r="E328" s="2" t="s">
        <v>39</v>
      </c>
      <c r="F328" s="2" t="s">
        <v>28</v>
      </c>
      <c r="G328" s="8">
        <v>106.53</v>
      </c>
      <c r="H328" s="11">
        <v>46.5</v>
      </c>
      <c r="I328" s="8">
        <v>56.99</v>
      </c>
      <c r="J328" s="3">
        <v>45875</v>
      </c>
      <c r="K328" s="14">
        <v>17</v>
      </c>
      <c r="L328" s="17"/>
      <c r="M328" s="2" t="b">
        <v>0</v>
      </c>
      <c r="N328" s="2"/>
      <c r="O328" s="2" t="str">
        <f>IF(Table1[[#This Row],[is_returned]]=TRUE,IF(Table1[[#This Row],[return_reason]]="","Error","OK"),"OK")</f>
        <v>OK</v>
      </c>
      <c r="P328" s="8">
        <f>Table1[[#This Row],[original_price]]*Table1[[#This Row],[markdown_percentage]]/100</f>
        <v>49.536450000000002</v>
      </c>
      <c r="Q32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328" s="25">
        <f>Table1[[#This Row],[current_price]]*Table1[[#This Row],[stock_quantity]]</f>
        <v>968.83</v>
      </c>
    </row>
    <row r="329" spans="1:18" x14ac:dyDescent="0.25">
      <c r="A329" s="2" t="s">
        <v>382</v>
      </c>
      <c r="B329" s="2" t="s">
        <v>27</v>
      </c>
      <c r="C329" s="2" t="s">
        <v>61</v>
      </c>
      <c r="D329" s="2" t="s">
        <v>17</v>
      </c>
      <c r="E329" s="2"/>
      <c r="F329" s="2" t="s">
        <v>28</v>
      </c>
      <c r="G329" s="8">
        <v>78.81</v>
      </c>
      <c r="H329" s="11">
        <v>44.7</v>
      </c>
      <c r="I329" s="8">
        <v>43.58</v>
      </c>
      <c r="J329" s="3">
        <v>45548</v>
      </c>
      <c r="K329" s="14">
        <v>34</v>
      </c>
      <c r="L329" s="17">
        <v>1.4</v>
      </c>
      <c r="M329" s="2" t="b">
        <v>0</v>
      </c>
      <c r="N329" s="2"/>
      <c r="O329" s="2" t="str">
        <f>IF(Table1[[#This Row],[is_returned]]=TRUE,IF(Table1[[#This Row],[return_reason]]="","Error","OK"),"OK")</f>
        <v>OK</v>
      </c>
      <c r="P329" s="8">
        <f>Table1[[#This Row],[original_price]]*Table1[[#This Row],[markdown_percentage]]/100</f>
        <v>35.228070000000002</v>
      </c>
      <c r="Q32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329" s="25">
        <f>Table1[[#This Row],[current_price]]*Table1[[#This Row],[stock_quantity]]</f>
        <v>1481.72</v>
      </c>
    </row>
    <row r="330" spans="1:18" x14ac:dyDescent="0.25">
      <c r="A330" s="2" t="s">
        <v>383</v>
      </c>
      <c r="B330" s="2" t="s">
        <v>15</v>
      </c>
      <c r="C330" s="2" t="s">
        <v>22</v>
      </c>
      <c r="D330" s="2" t="s">
        <v>62</v>
      </c>
      <c r="E330" s="2" t="s">
        <v>55</v>
      </c>
      <c r="F330" s="2" t="s">
        <v>40</v>
      </c>
      <c r="G330" s="8">
        <v>117.45</v>
      </c>
      <c r="H330" s="11">
        <v>29.5</v>
      </c>
      <c r="I330" s="8">
        <v>82.8</v>
      </c>
      <c r="J330" s="3">
        <v>45875</v>
      </c>
      <c r="K330" s="14">
        <v>43</v>
      </c>
      <c r="L330" s="17">
        <v>1.2</v>
      </c>
      <c r="M330" s="2" t="b">
        <v>0</v>
      </c>
      <c r="N330" s="2"/>
      <c r="O330" s="2" t="str">
        <f>IF(Table1[[#This Row],[is_returned]]=TRUE,IF(Table1[[#This Row],[return_reason]]="","Error","OK"),"OK")</f>
        <v>OK</v>
      </c>
      <c r="P330" s="8">
        <f>Table1[[#This Row],[original_price]]*Table1[[#This Row],[markdown_percentage]]/100</f>
        <v>34.647750000000002</v>
      </c>
      <c r="Q33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330" s="25">
        <f>Table1[[#This Row],[current_price]]*Table1[[#This Row],[stock_quantity]]</f>
        <v>3560.4</v>
      </c>
    </row>
    <row r="331" spans="1:18" x14ac:dyDescent="0.25">
      <c r="A331" s="2" t="s">
        <v>384</v>
      </c>
      <c r="B331" s="2" t="s">
        <v>27</v>
      </c>
      <c r="C331" s="2" t="s">
        <v>61</v>
      </c>
      <c r="D331" s="2" t="s">
        <v>17</v>
      </c>
      <c r="E331" s="2"/>
      <c r="F331" s="2" t="s">
        <v>56</v>
      </c>
      <c r="G331" s="8">
        <v>76.94</v>
      </c>
      <c r="H331" s="11">
        <v>0</v>
      </c>
      <c r="I331" s="8">
        <v>76.94</v>
      </c>
      <c r="J331" s="3">
        <v>45821</v>
      </c>
      <c r="K331" s="14">
        <v>21</v>
      </c>
      <c r="L331" s="17">
        <v>4.3</v>
      </c>
      <c r="M331" s="2" t="b">
        <v>0</v>
      </c>
      <c r="N331" s="2"/>
      <c r="O331" s="2" t="str">
        <f>IF(Table1[[#This Row],[is_returned]]=TRUE,IF(Table1[[#This Row],[return_reason]]="","Error","OK"),"OK")</f>
        <v>OK</v>
      </c>
      <c r="P331" s="8">
        <f>Table1[[#This Row],[original_price]]*Table1[[#This Row],[markdown_percentage]]/100</f>
        <v>0</v>
      </c>
      <c r="Q33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331" s="25">
        <f>Table1[[#This Row],[current_price]]*Table1[[#This Row],[stock_quantity]]</f>
        <v>1615.74</v>
      </c>
    </row>
    <row r="332" spans="1:18" x14ac:dyDescent="0.25">
      <c r="A332" s="2" t="s">
        <v>385</v>
      </c>
      <c r="B332" s="2" t="s">
        <v>15</v>
      </c>
      <c r="C332" s="2" t="s">
        <v>61</v>
      </c>
      <c r="D332" s="2" t="s">
        <v>62</v>
      </c>
      <c r="E332" s="2" t="s">
        <v>24</v>
      </c>
      <c r="F332" s="2" t="s">
        <v>35</v>
      </c>
      <c r="G332" s="8">
        <v>232.19</v>
      </c>
      <c r="H332" s="11">
        <v>0</v>
      </c>
      <c r="I332" s="8">
        <v>232.19</v>
      </c>
      <c r="J332" s="3">
        <v>45875</v>
      </c>
      <c r="K332" s="14">
        <v>31</v>
      </c>
      <c r="L332" s="17">
        <v>1.3</v>
      </c>
      <c r="M332" s="2" t="b">
        <v>1</v>
      </c>
      <c r="N332" s="2" t="s">
        <v>115</v>
      </c>
      <c r="O332" s="2" t="str">
        <f>IF(Table1[[#This Row],[is_returned]]=TRUE,IF(Table1[[#This Row],[return_reason]]="","Error","OK"),"OK")</f>
        <v>OK</v>
      </c>
      <c r="P332" s="8">
        <f>Table1[[#This Row],[original_price]]*Table1[[#This Row],[markdown_percentage]]/100</f>
        <v>0</v>
      </c>
      <c r="Q33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332" s="25">
        <f>Table1[[#This Row],[current_price]]*Table1[[#This Row],[stock_quantity]]</f>
        <v>7197.89</v>
      </c>
    </row>
    <row r="333" spans="1:18" x14ac:dyDescent="0.25">
      <c r="A333" s="2" t="s">
        <v>386</v>
      </c>
      <c r="B333" s="2" t="s">
        <v>42</v>
      </c>
      <c r="C333" s="2" t="s">
        <v>75</v>
      </c>
      <c r="D333" s="2" t="s">
        <v>34</v>
      </c>
      <c r="E333" s="2" t="s">
        <v>55</v>
      </c>
      <c r="F333" s="2" t="s">
        <v>64</v>
      </c>
      <c r="G333" s="8">
        <v>80.400000000000006</v>
      </c>
      <c r="H333" s="11">
        <v>52.1</v>
      </c>
      <c r="I333" s="8">
        <v>38.51</v>
      </c>
      <c r="J333" s="3">
        <v>45875</v>
      </c>
      <c r="K333" s="14">
        <v>7</v>
      </c>
      <c r="L333" s="17">
        <v>1.2</v>
      </c>
      <c r="M333" s="2" t="b">
        <v>0</v>
      </c>
      <c r="N333" s="2"/>
      <c r="O333" s="2" t="str">
        <f>IF(Table1[[#This Row],[is_returned]]=TRUE,IF(Table1[[#This Row],[return_reason]]="","Error","OK"),"OK")</f>
        <v>OK</v>
      </c>
      <c r="P333" s="8">
        <f>Table1[[#This Row],[original_price]]*Table1[[#This Row],[markdown_percentage]]/100</f>
        <v>41.888400000000004</v>
      </c>
      <c r="Q33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333" s="25">
        <f>Table1[[#This Row],[current_price]]*Table1[[#This Row],[stock_quantity]]</f>
        <v>269.57</v>
      </c>
    </row>
    <row r="334" spans="1:18" x14ac:dyDescent="0.25">
      <c r="A334" s="2" t="s">
        <v>387</v>
      </c>
      <c r="B334" s="2" t="s">
        <v>38</v>
      </c>
      <c r="C334" s="2" t="s">
        <v>43</v>
      </c>
      <c r="D334" s="2" t="s">
        <v>62</v>
      </c>
      <c r="E334" s="2" t="s">
        <v>18</v>
      </c>
      <c r="F334" s="2" t="s">
        <v>28</v>
      </c>
      <c r="G334" s="8">
        <v>102.82</v>
      </c>
      <c r="H334" s="11">
        <v>0</v>
      </c>
      <c r="I334" s="8">
        <v>102.82</v>
      </c>
      <c r="J334" s="3">
        <v>45875</v>
      </c>
      <c r="K334" s="14">
        <v>50</v>
      </c>
      <c r="L334" s="17">
        <v>3.6</v>
      </c>
      <c r="M334" s="2" t="b">
        <v>0</v>
      </c>
      <c r="N334" s="2"/>
      <c r="O334" s="2" t="str">
        <f>IF(Table1[[#This Row],[is_returned]]=TRUE,IF(Table1[[#This Row],[return_reason]]="","Error","OK"),"OK")</f>
        <v>OK</v>
      </c>
      <c r="P334" s="8">
        <f>Table1[[#This Row],[original_price]]*Table1[[#This Row],[markdown_percentage]]/100</f>
        <v>0</v>
      </c>
      <c r="Q33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334" s="25">
        <f>Table1[[#This Row],[current_price]]*Table1[[#This Row],[stock_quantity]]</f>
        <v>5141</v>
      </c>
    </row>
    <row r="335" spans="1:18" x14ac:dyDescent="0.25">
      <c r="A335" s="2" t="s">
        <v>388</v>
      </c>
      <c r="B335" s="2" t="s">
        <v>27</v>
      </c>
      <c r="C335" s="2" t="s">
        <v>16</v>
      </c>
      <c r="D335" s="2" t="s">
        <v>17</v>
      </c>
      <c r="E335" s="2"/>
      <c r="F335" s="2" t="s">
        <v>64</v>
      </c>
      <c r="G335" s="8">
        <v>48.5</v>
      </c>
      <c r="H335" s="11">
        <v>0</v>
      </c>
      <c r="I335" s="8">
        <v>48.5</v>
      </c>
      <c r="J335" s="3">
        <v>45786</v>
      </c>
      <c r="K335" s="14">
        <v>46</v>
      </c>
      <c r="L335" s="17"/>
      <c r="M335" s="2" t="b">
        <v>0</v>
      </c>
      <c r="N335" s="2"/>
      <c r="O335" s="2" t="str">
        <f>IF(Table1[[#This Row],[is_returned]]=TRUE,IF(Table1[[#This Row],[return_reason]]="","Error","OK"),"OK")</f>
        <v>OK</v>
      </c>
      <c r="P335" s="8">
        <f>Table1[[#This Row],[original_price]]*Table1[[#This Row],[markdown_percentage]]/100</f>
        <v>0</v>
      </c>
      <c r="Q33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335" s="25">
        <f>Table1[[#This Row],[current_price]]*Table1[[#This Row],[stock_quantity]]</f>
        <v>2231</v>
      </c>
    </row>
    <row r="336" spans="1:18" x14ac:dyDescent="0.25">
      <c r="A336" s="2" t="s">
        <v>389</v>
      </c>
      <c r="B336" s="2" t="s">
        <v>38</v>
      </c>
      <c r="C336" s="2" t="s">
        <v>43</v>
      </c>
      <c r="D336" s="2" t="s">
        <v>34</v>
      </c>
      <c r="E336" s="2"/>
      <c r="F336" s="2" t="s">
        <v>25</v>
      </c>
      <c r="G336" s="8">
        <v>88.4</v>
      </c>
      <c r="H336" s="11">
        <v>0</v>
      </c>
      <c r="I336" s="8">
        <v>88.4</v>
      </c>
      <c r="J336" s="3">
        <v>45875</v>
      </c>
      <c r="K336" s="14">
        <v>1</v>
      </c>
      <c r="L336" s="17">
        <v>1.4</v>
      </c>
      <c r="M336" s="2" t="b">
        <v>0</v>
      </c>
      <c r="N336" s="2"/>
      <c r="O336" s="2" t="str">
        <f>IF(Table1[[#This Row],[is_returned]]=TRUE,IF(Table1[[#This Row],[return_reason]]="","Error","OK"),"OK")</f>
        <v>OK</v>
      </c>
      <c r="P336" s="8">
        <f>Table1[[#This Row],[original_price]]*Table1[[#This Row],[markdown_percentage]]/100</f>
        <v>0</v>
      </c>
      <c r="Q33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336" s="25">
        <f>Table1[[#This Row],[current_price]]*Table1[[#This Row],[stock_quantity]]</f>
        <v>88.4</v>
      </c>
    </row>
    <row r="337" spans="1:18" x14ac:dyDescent="0.25">
      <c r="A337" s="2" t="s">
        <v>390</v>
      </c>
      <c r="B337" s="2" t="s">
        <v>30</v>
      </c>
      <c r="C337" s="2" t="s">
        <v>43</v>
      </c>
      <c r="D337" s="2" t="s">
        <v>23</v>
      </c>
      <c r="E337" s="2" t="s">
        <v>39</v>
      </c>
      <c r="F337" s="2" t="s">
        <v>28</v>
      </c>
      <c r="G337" s="8">
        <v>112.5</v>
      </c>
      <c r="H337" s="11">
        <v>0</v>
      </c>
      <c r="I337" s="8">
        <v>112.5</v>
      </c>
      <c r="J337" s="3">
        <v>45875</v>
      </c>
      <c r="K337" s="14">
        <v>11</v>
      </c>
      <c r="L337" s="17">
        <v>4.3</v>
      </c>
      <c r="M337" s="2" t="b">
        <v>0</v>
      </c>
      <c r="N337" s="2"/>
      <c r="O337" s="2" t="str">
        <f>IF(Table1[[#This Row],[is_returned]]=TRUE,IF(Table1[[#This Row],[return_reason]]="","Error","OK"),"OK")</f>
        <v>OK</v>
      </c>
      <c r="P337" s="8">
        <f>Table1[[#This Row],[original_price]]*Table1[[#This Row],[markdown_percentage]]/100</f>
        <v>0</v>
      </c>
      <c r="Q33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337" s="25">
        <f>Table1[[#This Row],[current_price]]*Table1[[#This Row],[stock_quantity]]</f>
        <v>1237.5</v>
      </c>
    </row>
    <row r="338" spans="1:18" x14ac:dyDescent="0.25">
      <c r="A338" s="2" t="s">
        <v>391</v>
      </c>
      <c r="B338" s="2" t="s">
        <v>38</v>
      </c>
      <c r="C338" s="2" t="s">
        <v>16</v>
      </c>
      <c r="D338" s="2" t="s">
        <v>34</v>
      </c>
      <c r="E338" s="2" t="s">
        <v>49</v>
      </c>
      <c r="F338" s="2" t="s">
        <v>40</v>
      </c>
      <c r="G338" s="8">
        <v>97.95</v>
      </c>
      <c r="H338" s="11">
        <v>11.1</v>
      </c>
      <c r="I338" s="8">
        <v>87.08</v>
      </c>
      <c r="J338" s="3">
        <v>45875</v>
      </c>
      <c r="K338" s="14">
        <v>25</v>
      </c>
      <c r="L338" s="17">
        <v>2.4</v>
      </c>
      <c r="M338" s="2" t="b">
        <v>0</v>
      </c>
      <c r="N338" s="2"/>
      <c r="O338" s="2" t="str">
        <f>IF(Table1[[#This Row],[is_returned]]=TRUE,IF(Table1[[#This Row],[return_reason]]="","Error","OK"),"OK")</f>
        <v>OK</v>
      </c>
      <c r="P338" s="8">
        <f>Table1[[#This Row],[original_price]]*Table1[[#This Row],[markdown_percentage]]/100</f>
        <v>10.872449999999999</v>
      </c>
      <c r="Q33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338" s="25">
        <f>Table1[[#This Row],[current_price]]*Table1[[#This Row],[stock_quantity]]</f>
        <v>2177</v>
      </c>
    </row>
    <row r="339" spans="1:18" x14ac:dyDescent="0.25">
      <c r="A339" s="2" t="s">
        <v>392</v>
      </c>
      <c r="B339" s="2" t="s">
        <v>15</v>
      </c>
      <c r="C339" s="2" t="s">
        <v>48</v>
      </c>
      <c r="D339" s="2" t="s">
        <v>62</v>
      </c>
      <c r="E339" s="2" t="s">
        <v>58</v>
      </c>
      <c r="F339" s="2" t="s">
        <v>25</v>
      </c>
      <c r="G339" s="8">
        <v>114.51</v>
      </c>
      <c r="H339" s="11">
        <v>36.9</v>
      </c>
      <c r="I339" s="8">
        <v>72.260000000000005</v>
      </c>
      <c r="J339" s="3">
        <v>45875</v>
      </c>
      <c r="K339" s="14">
        <v>33</v>
      </c>
      <c r="L339" s="17">
        <v>1.5</v>
      </c>
      <c r="M339" s="2" t="b">
        <v>0</v>
      </c>
      <c r="N339" s="2"/>
      <c r="O339" s="2" t="str">
        <f>IF(Table1[[#This Row],[is_returned]]=TRUE,IF(Table1[[#This Row],[return_reason]]="","Error","OK"),"OK")</f>
        <v>OK</v>
      </c>
      <c r="P339" s="8">
        <f>Table1[[#This Row],[original_price]]*Table1[[#This Row],[markdown_percentage]]/100</f>
        <v>42.254190000000001</v>
      </c>
      <c r="Q33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339" s="25">
        <f>Table1[[#This Row],[current_price]]*Table1[[#This Row],[stock_quantity]]</f>
        <v>2384.5800000000004</v>
      </c>
    </row>
    <row r="340" spans="1:18" x14ac:dyDescent="0.25">
      <c r="A340" s="2" t="s">
        <v>393</v>
      </c>
      <c r="B340" s="2" t="s">
        <v>38</v>
      </c>
      <c r="C340" s="2" t="s">
        <v>16</v>
      </c>
      <c r="D340" s="2" t="s">
        <v>23</v>
      </c>
      <c r="E340" s="2" t="s">
        <v>55</v>
      </c>
      <c r="F340" s="2" t="s">
        <v>70</v>
      </c>
      <c r="G340" s="8">
        <v>27.85</v>
      </c>
      <c r="H340" s="11">
        <v>0</v>
      </c>
      <c r="I340" s="8">
        <v>27.85</v>
      </c>
      <c r="J340" s="3">
        <v>45875</v>
      </c>
      <c r="K340" s="14">
        <v>0</v>
      </c>
      <c r="L340" s="17">
        <v>1.5</v>
      </c>
      <c r="M340" s="2" t="b">
        <v>0</v>
      </c>
      <c r="N340" s="2"/>
      <c r="O340" s="2" t="str">
        <f>IF(Table1[[#This Row],[is_returned]]=TRUE,IF(Table1[[#This Row],[return_reason]]="","Error","OK"),"OK")</f>
        <v>OK</v>
      </c>
      <c r="P340" s="8">
        <f>Table1[[#This Row],[original_price]]*Table1[[#This Row],[markdown_percentage]]/100</f>
        <v>0</v>
      </c>
      <c r="Q34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340" s="25">
        <f>Table1[[#This Row],[current_price]]*Table1[[#This Row],[stock_quantity]]</f>
        <v>0</v>
      </c>
    </row>
    <row r="341" spans="1:18" x14ac:dyDescent="0.25">
      <c r="A341" s="2" t="s">
        <v>394</v>
      </c>
      <c r="B341" s="2" t="s">
        <v>30</v>
      </c>
      <c r="C341" s="2" t="s">
        <v>53</v>
      </c>
      <c r="D341" s="2" t="s">
        <v>17</v>
      </c>
      <c r="E341" s="2" t="s">
        <v>18</v>
      </c>
      <c r="F341" s="2" t="s">
        <v>44</v>
      </c>
      <c r="G341" s="8">
        <v>82.08</v>
      </c>
      <c r="H341" s="11">
        <v>40.6</v>
      </c>
      <c r="I341" s="8">
        <v>48.76</v>
      </c>
      <c r="J341" s="3">
        <v>45800</v>
      </c>
      <c r="K341" s="14">
        <v>43</v>
      </c>
      <c r="L341" s="17">
        <v>2.5</v>
      </c>
      <c r="M341" s="2" t="b">
        <v>1</v>
      </c>
      <c r="N341" s="2" t="s">
        <v>83</v>
      </c>
      <c r="O341" s="2" t="str">
        <f>IF(Table1[[#This Row],[is_returned]]=TRUE,IF(Table1[[#This Row],[return_reason]]="","Error","OK"),"OK")</f>
        <v>OK</v>
      </c>
      <c r="P341" s="8">
        <f>Table1[[#This Row],[original_price]]*Table1[[#This Row],[markdown_percentage]]/100</f>
        <v>33.324480000000001</v>
      </c>
      <c r="Q34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341" s="25">
        <f>Table1[[#This Row],[current_price]]*Table1[[#This Row],[stock_quantity]]</f>
        <v>2096.6799999999998</v>
      </c>
    </row>
    <row r="342" spans="1:18" x14ac:dyDescent="0.25">
      <c r="A342" s="2" t="s">
        <v>395</v>
      </c>
      <c r="B342" s="2" t="s">
        <v>38</v>
      </c>
      <c r="C342" s="2" t="s">
        <v>43</v>
      </c>
      <c r="D342" s="2" t="s">
        <v>62</v>
      </c>
      <c r="E342" s="2" t="s">
        <v>39</v>
      </c>
      <c r="F342" s="2" t="s">
        <v>28</v>
      </c>
      <c r="G342" s="8">
        <v>116.41</v>
      </c>
      <c r="H342" s="11">
        <v>40.700000000000003</v>
      </c>
      <c r="I342" s="8">
        <v>69.03</v>
      </c>
      <c r="J342" s="3">
        <v>45875</v>
      </c>
      <c r="K342" s="14">
        <v>23</v>
      </c>
      <c r="L342" s="17">
        <v>1.2</v>
      </c>
      <c r="M342" s="2" t="b">
        <v>0</v>
      </c>
      <c r="N342" s="2"/>
      <c r="O342" s="2" t="str">
        <f>IF(Table1[[#This Row],[is_returned]]=TRUE,IF(Table1[[#This Row],[return_reason]]="","Error","OK"),"OK")</f>
        <v>OK</v>
      </c>
      <c r="P342" s="8">
        <f>Table1[[#This Row],[original_price]]*Table1[[#This Row],[markdown_percentage]]/100</f>
        <v>47.378870000000006</v>
      </c>
      <c r="Q34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342" s="25">
        <f>Table1[[#This Row],[current_price]]*Table1[[#This Row],[stock_quantity]]</f>
        <v>1587.69</v>
      </c>
    </row>
    <row r="343" spans="1:18" x14ac:dyDescent="0.25">
      <c r="A343" s="2" t="s">
        <v>396</v>
      </c>
      <c r="B343" s="2" t="s">
        <v>38</v>
      </c>
      <c r="C343" s="2" t="s">
        <v>53</v>
      </c>
      <c r="D343" s="2" t="s">
        <v>17</v>
      </c>
      <c r="E343" s="2" t="s">
        <v>58</v>
      </c>
      <c r="F343" s="2" t="s">
        <v>35</v>
      </c>
      <c r="G343" s="8">
        <v>95.61</v>
      </c>
      <c r="H343" s="11">
        <v>0</v>
      </c>
      <c r="I343" s="8">
        <v>95.61</v>
      </c>
      <c r="J343" s="3">
        <v>45818</v>
      </c>
      <c r="K343" s="14">
        <v>47</v>
      </c>
      <c r="L343" s="17">
        <v>4.7</v>
      </c>
      <c r="M343" s="2" t="b">
        <v>1</v>
      </c>
      <c r="N343" s="2" t="s">
        <v>83</v>
      </c>
      <c r="O343" s="2" t="str">
        <f>IF(Table1[[#This Row],[is_returned]]=TRUE,IF(Table1[[#This Row],[return_reason]]="","Error","OK"),"OK")</f>
        <v>OK</v>
      </c>
      <c r="P343" s="8">
        <f>Table1[[#This Row],[original_price]]*Table1[[#This Row],[markdown_percentage]]/100</f>
        <v>0</v>
      </c>
      <c r="Q34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343" s="25">
        <f>Table1[[#This Row],[current_price]]*Table1[[#This Row],[stock_quantity]]</f>
        <v>4493.67</v>
      </c>
    </row>
    <row r="344" spans="1:18" x14ac:dyDescent="0.25">
      <c r="A344" s="2" t="s">
        <v>397</v>
      </c>
      <c r="B344" s="2" t="s">
        <v>30</v>
      </c>
      <c r="C344" s="2" t="s">
        <v>43</v>
      </c>
      <c r="D344" s="2" t="s">
        <v>34</v>
      </c>
      <c r="E344" s="2" t="s">
        <v>58</v>
      </c>
      <c r="F344" s="2" t="s">
        <v>35</v>
      </c>
      <c r="G344" s="8">
        <v>70.040000000000006</v>
      </c>
      <c r="H344" s="11">
        <v>0</v>
      </c>
      <c r="I344" s="8">
        <v>70.040000000000006</v>
      </c>
      <c r="J344" s="3">
        <v>45875</v>
      </c>
      <c r="K344" s="14">
        <v>12</v>
      </c>
      <c r="L344" s="17">
        <v>2.4</v>
      </c>
      <c r="M344" s="2" t="b">
        <v>0</v>
      </c>
      <c r="N344" s="2"/>
      <c r="O344" s="2" t="str">
        <f>IF(Table1[[#This Row],[is_returned]]=TRUE,IF(Table1[[#This Row],[return_reason]]="","Error","OK"),"OK")</f>
        <v>OK</v>
      </c>
      <c r="P344" s="8">
        <f>Table1[[#This Row],[original_price]]*Table1[[#This Row],[markdown_percentage]]/100</f>
        <v>0</v>
      </c>
      <c r="Q34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344" s="25">
        <f>Table1[[#This Row],[current_price]]*Table1[[#This Row],[stock_quantity]]</f>
        <v>840.48</v>
      </c>
    </row>
    <row r="345" spans="1:18" x14ac:dyDescent="0.25">
      <c r="A345" s="2" t="s">
        <v>398</v>
      </c>
      <c r="B345" s="2" t="s">
        <v>30</v>
      </c>
      <c r="C345" s="2" t="s">
        <v>32</v>
      </c>
      <c r="D345" s="2" t="s">
        <v>23</v>
      </c>
      <c r="E345" s="2" t="s">
        <v>39</v>
      </c>
      <c r="F345" s="2" t="s">
        <v>40</v>
      </c>
      <c r="G345" s="8">
        <v>112.59</v>
      </c>
      <c r="H345" s="11">
        <v>54</v>
      </c>
      <c r="I345" s="8">
        <v>51.79</v>
      </c>
      <c r="J345" s="3">
        <v>45875</v>
      </c>
      <c r="K345" s="14">
        <v>17</v>
      </c>
      <c r="L345" s="17">
        <v>4</v>
      </c>
      <c r="M345" s="2" t="b">
        <v>0</v>
      </c>
      <c r="N345" s="2"/>
      <c r="O345" s="2" t="str">
        <f>IF(Table1[[#This Row],[is_returned]]=TRUE,IF(Table1[[#This Row],[return_reason]]="","Error","OK"),"OK")</f>
        <v>OK</v>
      </c>
      <c r="P345" s="8">
        <f>Table1[[#This Row],[original_price]]*Table1[[#This Row],[markdown_percentage]]/100</f>
        <v>60.798600000000008</v>
      </c>
      <c r="Q34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345" s="25">
        <f>Table1[[#This Row],[current_price]]*Table1[[#This Row],[stock_quantity]]</f>
        <v>880.43</v>
      </c>
    </row>
    <row r="346" spans="1:18" x14ac:dyDescent="0.25">
      <c r="A346" s="2" t="s">
        <v>399</v>
      </c>
      <c r="B346" s="2" t="s">
        <v>27</v>
      </c>
      <c r="C346" s="2" t="s">
        <v>16</v>
      </c>
      <c r="D346" s="2" t="s">
        <v>62</v>
      </c>
      <c r="E346" s="2"/>
      <c r="F346" s="2" t="s">
        <v>66</v>
      </c>
      <c r="G346" s="8">
        <v>26.8</v>
      </c>
      <c r="H346" s="11">
        <v>0.9</v>
      </c>
      <c r="I346" s="8">
        <v>26.56</v>
      </c>
      <c r="J346" s="3">
        <v>45875</v>
      </c>
      <c r="K346" s="14">
        <v>25</v>
      </c>
      <c r="L346" s="17">
        <v>1.2</v>
      </c>
      <c r="M346" s="2" t="b">
        <v>1</v>
      </c>
      <c r="N346" s="2" t="s">
        <v>36</v>
      </c>
      <c r="O346" s="2" t="str">
        <f>IF(Table1[[#This Row],[is_returned]]=TRUE,IF(Table1[[#This Row],[return_reason]]="","Error","OK"),"OK")</f>
        <v>OK</v>
      </c>
      <c r="P346" s="8">
        <f>Table1[[#This Row],[original_price]]*Table1[[#This Row],[markdown_percentage]]/100</f>
        <v>0.2412</v>
      </c>
      <c r="Q34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346" s="25">
        <f>Table1[[#This Row],[current_price]]*Table1[[#This Row],[stock_quantity]]</f>
        <v>664</v>
      </c>
    </row>
    <row r="347" spans="1:18" x14ac:dyDescent="0.25">
      <c r="A347" s="2" t="s">
        <v>400</v>
      </c>
      <c r="B347" s="2" t="s">
        <v>21</v>
      </c>
      <c r="C347" s="2" t="s">
        <v>48</v>
      </c>
      <c r="D347" s="2" t="s">
        <v>62</v>
      </c>
      <c r="E347" s="2" t="s">
        <v>24</v>
      </c>
      <c r="F347" s="2" t="s">
        <v>44</v>
      </c>
      <c r="G347" s="8">
        <v>50.09</v>
      </c>
      <c r="H347" s="11">
        <v>0</v>
      </c>
      <c r="I347" s="8">
        <v>50.09</v>
      </c>
      <c r="J347" s="3">
        <v>45875</v>
      </c>
      <c r="K347" s="14">
        <v>47</v>
      </c>
      <c r="L347" s="17">
        <v>4</v>
      </c>
      <c r="M347" s="2" t="b">
        <v>0</v>
      </c>
      <c r="N347" s="2"/>
      <c r="O347" s="2" t="str">
        <f>IF(Table1[[#This Row],[is_returned]]=TRUE,IF(Table1[[#This Row],[return_reason]]="","Error","OK"),"OK")</f>
        <v>OK</v>
      </c>
      <c r="P347" s="8">
        <f>Table1[[#This Row],[original_price]]*Table1[[#This Row],[markdown_percentage]]/100</f>
        <v>0</v>
      </c>
      <c r="Q34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347" s="25">
        <f>Table1[[#This Row],[current_price]]*Table1[[#This Row],[stock_quantity]]</f>
        <v>2354.23</v>
      </c>
    </row>
    <row r="348" spans="1:18" x14ac:dyDescent="0.25">
      <c r="A348" s="2" t="s">
        <v>401</v>
      </c>
      <c r="B348" s="2" t="s">
        <v>38</v>
      </c>
      <c r="C348" s="2" t="s">
        <v>43</v>
      </c>
      <c r="D348" s="2" t="s">
        <v>17</v>
      </c>
      <c r="E348" s="2" t="s">
        <v>55</v>
      </c>
      <c r="F348" s="2" t="s">
        <v>46</v>
      </c>
      <c r="G348" s="8">
        <v>92.84</v>
      </c>
      <c r="H348" s="11">
        <v>4.2</v>
      </c>
      <c r="I348" s="8">
        <v>88.94</v>
      </c>
      <c r="J348" s="3">
        <v>45670</v>
      </c>
      <c r="K348" s="14">
        <v>0</v>
      </c>
      <c r="L348" s="17"/>
      <c r="M348" s="2" t="b">
        <v>1</v>
      </c>
      <c r="N348" s="2" t="s">
        <v>73</v>
      </c>
      <c r="O348" s="2" t="str">
        <f>IF(Table1[[#This Row],[is_returned]]=TRUE,IF(Table1[[#This Row],[return_reason]]="","Error","OK"),"OK")</f>
        <v>OK</v>
      </c>
      <c r="P348" s="8">
        <f>Table1[[#This Row],[original_price]]*Table1[[#This Row],[markdown_percentage]]/100</f>
        <v>3.8992800000000005</v>
      </c>
      <c r="Q34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348" s="25">
        <f>Table1[[#This Row],[current_price]]*Table1[[#This Row],[stock_quantity]]</f>
        <v>0</v>
      </c>
    </row>
    <row r="349" spans="1:18" x14ac:dyDescent="0.25">
      <c r="A349" s="2" t="s">
        <v>402</v>
      </c>
      <c r="B349" s="2" t="s">
        <v>21</v>
      </c>
      <c r="C349" s="2" t="s">
        <v>22</v>
      </c>
      <c r="D349" s="2" t="s">
        <v>62</v>
      </c>
      <c r="E349" s="2" t="s">
        <v>49</v>
      </c>
      <c r="F349" s="2" t="s">
        <v>40</v>
      </c>
      <c r="G349" s="8">
        <v>114.63</v>
      </c>
      <c r="H349" s="11">
        <v>0</v>
      </c>
      <c r="I349" s="8">
        <v>114.63</v>
      </c>
      <c r="J349" s="3">
        <v>45875</v>
      </c>
      <c r="K349" s="14">
        <v>47</v>
      </c>
      <c r="L349" s="17">
        <v>3.8</v>
      </c>
      <c r="M349" s="2" t="b">
        <v>1</v>
      </c>
      <c r="N349" s="2" t="s">
        <v>115</v>
      </c>
      <c r="O349" s="2" t="str">
        <f>IF(Table1[[#This Row],[is_returned]]=TRUE,IF(Table1[[#This Row],[return_reason]]="","Error","OK"),"OK")</f>
        <v>OK</v>
      </c>
      <c r="P349" s="8">
        <f>Table1[[#This Row],[original_price]]*Table1[[#This Row],[markdown_percentage]]/100</f>
        <v>0</v>
      </c>
      <c r="Q34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349" s="25">
        <f>Table1[[#This Row],[current_price]]*Table1[[#This Row],[stock_quantity]]</f>
        <v>5387.61</v>
      </c>
    </row>
    <row r="350" spans="1:18" x14ac:dyDescent="0.25">
      <c r="A350" s="2" t="s">
        <v>403</v>
      </c>
      <c r="B350" s="2" t="s">
        <v>27</v>
      </c>
      <c r="C350" s="2" t="s">
        <v>61</v>
      </c>
      <c r="D350" s="2" t="s">
        <v>62</v>
      </c>
      <c r="E350" s="2"/>
      <c r="F350" s="2" t="s">
        <v>66</v>
      </c>
      <c r="G350" s="8">
        <v>21.9</v>
      </c>
      <c r="H350" s="11">
        <v>29.2</v>
      </c>
      <c r="I350" s="8">
        <v>15.51</v>
      </c>
      <c r="J350" s="3">
        <v>45875</v>
      </c>
      <c r="K350" s="14">
        <v>35</v>
      </c>
      <c r="L350" s="17">
        <v>2</v>
      </c>
      <c r="M350" s="2" t="b">
        <v>0</v>
      </c>
      <c r="N350" s="2"/>
      <c r="O350" s="2" t="str">
        <f>IF(Table1[[#This Row],[is_returned]]=TRUE,IF(Table1[[#This Row],[return_reason]]="","Error","OK"),"OK")</f>
        <v>OK</v>
      </c>
      <c r="P350" s="8">
        <f>Table1[[#This Row],[original_price]]*Table1[[#This Row],[markdown_percentage]]/100</f>
        <v>6.3947999999999992</v>
      </c>
      <c r="Q35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350" s="25">
        <f>Table1[[#This Row],[current_price]]*Table1[[#This Row],[stock_quantity]]</f>
        <v>542.85</v>
      </c>
    </row>
    <row r="351" spans="1:18" x14ac:dyDescent="0.25">
      <c r="A351" s="2" t="s">
        <v>404</v>
      </c>
      <c r="B351" s="2" t="s">
        <v>42</v>
      </c>
      <c r="C351" s="2" t="s">
        <v>16</v>
      </c>
      <c r="D351" s="2" t="s">
        <v>17</v>
      </c>
      <c r="E351" s="2" t="s">
        <v>55</v>
      </c>
      <c r="F351" s="2" t="s">
        <v>64</v>
      </c>
      <c r="G351" s="8">
        <v>100.55</v>
      </c>
      <c r="H351" s="11">
        <v>46.7</v>
      </c>
      <c r="I351" s="8">
        <v>53.59</v>
      </c>
      <c r="J351" s="3">
        <v>45689</v>
      </c>
      <c r="K351" s="14">
        <v>30</v>
      </c>
      <c r="L351" s="17"/>
      <c r="M351" s="2" t="b">
        <v>0</v>
      </c>
      <c r="N351" s="2"/>
      <c r="O351" s="2" t="str">
        <f>IF(Table1[[#This Row],[is_returned]]=TRUE,IF(Table1[[#This Row],[return_reason]]="","Error","OK"),"OK")</f>
        <v>OK</v>
      </c>
      <c r="P351" s="8">
        <f>Table1[[#This Row],[original_price]]*Table1[[#This Row],[markdown_percentage]]/100</f>
        <v>46.956850000000003</v>
      </c>
      <c r="Q35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351" s="25">
        <f>Table1[[#This Row],[current_price]]*Table1[[#This Row],[stock_quantity]]</f>
        <v>1607.7</v>
      </c>
    </row>
    <row r="352" spans="1:18" x14ac:dyDescent="0.25">
      <c r="A352" s="2" t="s">
        <v>405</v>
      </c>
      <c r="B352" s="2" t="s">
        <v>27</v>
      </c>
      <c r="C352" s="2" t="s">
        <v>75</v>
      </c>
      <c r="D352" s="2" t="s">
        <v>62</v>
      </c>
      <c r="E352" s="2"/>
      <c r="F352" s="2" t="s">
        <v>70</v>
      </c>
      <c r="G352" s="8">
        <v>47.45</v>
      </c>
      <c r="H352" s="11">
        <v>16.399999999999999</v>
      </c>
      <c r="I352" s="8">
        <v>39.67</v>
      </c>
      <c r="J352" s="3">
        <v>45875</v>
      </c>
      <c r="K352" s="14">
        <v>33</v>
      </c>
      <c r="L352" s="17">
        <v>1.7</v>
      </c>
      <c r="M352" s="2" t="b">
        <v>0</v>
      </c>
      <c r="N352" s="2"/>
      <c r="O352" s="2" t="str">
        <f>IF(Table1[[#This Row],[is_returned]]=TRUE,IF(Table1[[#This Row],[return_reason]]="","Error","OK"),"OK")</f>
        <v>OK</v>
      </c>
      <c r="P352" s="8">
        <f>Table1[[#This Row],[original_price]]*Table1[[#This Row],[markdown_percentage]]/100</f>
        <v>7.7817999999999996</v>
      </c>
      <c r="Q35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352" s="25">
        <f>Table1[[#This Row],[current_price]]*Table1[[#This Row],[stock_quantity]]</f>
        <v>1309.1100000000001</v>
      </c>
    </row>
    <row r="353" spans="1:18" x14ac:dyDescent="0.25">
      <c r="A353" s="2" t="s">
        <v>406</v>
      </c>
      <c r="B353" s="2" t="s">
        <v>38</v>
      </c>
      <c r="C353" s="2" t="s">
        <v>48</v>
      </c>
      <c r="D353" s="2" t="s">
        <v>62</v>
      </c>
      <c r="E353" s="2" t="s">
        <v>18</v>
      </c>
      <c r="F353" s="2" t="s">
        <v>70</v>
      </c>
      <c r="G353" s="8">
        <v>113.21</v>
      </c>
      <c r="H353" s="11">
        <v>0</v>
      </c>
      <c r="I353" s="8">
        <v>113.21</v>
      </c>
      <c r="J353" s="3">
        <v>45875</v>
      </c>
      <c r="K353" s="14">
        <v>8</v>
      </c>
      <c r="L353" s="17">
        <v>2.7</v>
      </c>
      <c r="M353" s="2" t="b">
        <v>0</v>
      </c>
      <c r="N353" s="2"/>
      <c r="O353" s="2" t="str">
        <f>IF(Table1[[#This Row],[is_returned]]=TRUE,IF(Table1[[#This Row],[return_reason]]="","Error","OK"),"OK")</f>
        <v>OK</v>
      </c>
      <c r="P353" s="8">
        <f>Table1[[#This Row],[original_price]]*Table1[[#This Row],[markdown_percentage]]/100</f>
        <v>0</v>
      </c>
      <c r="Q35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353" s="25">
        <f>Table1[[#This Row],[current_price]]*Table1[[#This Row],[stock_quantity]]</f>
        <v>905.68</v>
      </c>
    </row>
    <row r="354" spans="1:18" x14ac:dyDescent="0.25">
      <c r="A354" s="2" t="s">
        <v>407</v>
      </c>
      <c r="B354" s="2" t="s">
        <v>42</v>
      </c>
      <c r="C354" s="2" t="s">
        <v>32</v>
      </c>
      <c r="D354" s="2" t="s">
        <v>17</v>
      </c>
      <c r="E354" s="2" t="s">
        <v>55</v>
      </c>
      <c r="F354" s="2" t="s">
        <v>28</v>
      </c>
      <c r="G354" s="8">
        <v>163.27000000000001</v>
      </c>
      <c r="H354" s="11">
        <v>0</v>
      </c>
      <c r="I354" s="8">
        <v>163.27000000000001</v>
      </c>
      <c r="J354" s="3">
        <v>45770</v>
      </c>
      <c r="K354" s="14">
        <v>24</v>
      </c>
      <c r="L354" s="17">
        <v>2.5</v>
      </c>
      <c r="M354" s="2" t="b">
        <v>0</v>
      </c>
      <c r="N354" s="2"/>
      <c r="O354" s="2" t="str">
        <f>IF(Table1[[#This Row],[is_returned]]=TRUE,IF(Table1[[#This Row],[return_reason]]="","Error","OK"),"OK")</f>
        <v>OK</v>
      </c>
      <c r="P354" s="8">
        <f>Table1[[#This Row],[original_price]]*Table1[[#This Row],[markdown_percentage]]/100</f>
        <v>0</v>
      </c>
      <c r="Q35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354" s="25">
        <f>Table1[[#This Row],[current_price]]*Table1[[#This Row],[stock_quantity]]</f>
        <v>3918.4800000000005</v>
      </c>
    </row>
    <row r="355" spans="1:18" x14ac:dyDescent="0.25">
      <c r="A355" s="2" t="s">
        <v>408</v>
      </c>
      <c r="B355" s="2" t="s">
        <v>27</v>
      </c>
      <c r="C355" s="2" t="s">
        <v>22</v>
      </c>
      <c r="D355" s="2" t="s">
        <v>34</v>
      </c>
      <c r="E355" s="2"/>
      <c r="F355" s="2" t="s">
        <v>28</v>
      </c>
      <c r="G355" s="8">
        <v>44.58</v>
      </c>
      <c r="H355" s="11">
        <v>0</v>
      </c>
      <c r="I355" s="8">
        <v>44.58</v>
      </c>
      <c r="J355" s="3">
        <v>45875</v>
      </c>
      <c r="K355" s="14">
        <v>21</v>
      </c>
      <c r="L355" s="17"/>
      <c r="M355" s="2" t="b">
        <v>0</v>
      </c>
      <c r="N355" s="2"/>
      <c r="O355" s="2" t="str">
        <f>IF(Table1[[#This Row],[is_returned]]=TRUE,IF(Table1[[#This Row],[return_reason]]="","Error","OK"),"OK")</f>
        <v>OK</v>
      </c>
      <c r="P355" s="8">
        <f>Table1[[#This Row],[original_price]]*Table1[[#This Row],[markdown_percentage]]/100</f>
        <v>0</v>
      </c>
      <c r="Q35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355" s="25">
        <f>Table1[[#This Row],[current_price]]*Table1[[#This Row],[stock_quantity]]</f>
        <v>936.18</v>
      </c>
    </row>
    <row r="356" spans="1:18" x14ac:dyDescent="0.25">
      <c r="A356" s="2" t="s">
        <v>409</v>
      </c>
      <c r="B356" s="2" t="s">
        <v>42</v>
      </c>
      <c r="C356" s="2" t="s">
        <v>75</v>
      </c>
      <c r="D356" s="2" t="s">
        <v>62</v>
      </c>
      <c r="E356" s="2" t="s">
        <v>24</v>
      </c>
      <c r="F356" s="2" t="s">
        <v>19</v>
      </c>
      <c r="G356" s="8">
        <v>166.53</v>
      </c>
      <c r="H356" s="11">
        <v>0</v>
      </c>
      <c r="I356" s="8">
        <v>166.53</v>
      </c>
      <c r="J356" s="3">
        <v>45875</v>
      </c>
      <c r="K356" s="14">
        <v>28</v>
      </c>
      <c r="L356" s="17">
        <v>1.7</v>
      </c>
      <c r="M356" s="2" t="b">
        <v>0</v>
      </c>
      <c r="N356" s="2"/>
      <c r="O356" s="2" t="str">
        <f>IF(Table1[[#This Row],[is_returned]]=TRUE,IF(Table1[[#This Row],[return_reason]]="","Error","OK"),"OK")</f>
        <v>OK</v>
      </c>
      <c r="P356" s="8">
        <f>Table1[[#This Row],[original_price]]*Table1[[#This Row],[markdown_percentage]]/100</f>
        <v>0</v>
      </c>
      <c r="Q35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356" s="25">
        <f>Table1[[#This Row],[current_price]]*Table1[[#This Row],[stock_quantity]]</f>
        <v>4662.84</v>
      </c>
    </row>
    <row r="357" spans="1:18" x14ac:dyDescent="0.25">
      <c r="A357" s="2" t="s">
        <v>410</v>
      </c>
      <c r="B357" s="2" t="s">
        <v>30</v>
      </c>
      <c r="C357" s="2" t="s">
        <v>32</v>
      </c>
      <c r="D357" s="2" t="s">
        <v>62</v>
      </c>
      <c r="E357" s="2" t="s">
        <v>18</v>
      </c>
      <c r="F357" s="2" t="s">
        <v>25</v>
      </c>
      <c r="G357" s="8">
        <v>144.61000000000001</v>
      </c>
      <c r="H357" s="11">
        <v>0</v>
      </c>
      <c r="I357" s="8">
        <v>144.61000000000001</v>
      </c>
      <c r="J357" s="3">
        <v>45875</v>
      </c>
      <c r="K357" s="14">
        <v>21</v>
      </c>
      <c r="L357" s="17">
        <v>2.5</v>
      </c>
      <c r="M357" s="2" t="b">
        <v>0</v>
      </c>
      <c r="N357" s="2"/>
      <c r="O357" s="2" t="str">
        <f>IF(Table1[[#This Row],[is_returned]]=TRUE,IF(Table1[[#This Row],[return_reason]]="","Error","OK"),"OK")</f>
        <v>OK</v>
      </c>
      <c r="P357" s="8">
        <f>Table1[[#This Row],[original_price]]*Table1[[#This Row],[markdown_percentage]]/100</f>
        <v>0</v>
      </c>
      <c r="Q35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357" s="25">
        <f>Table1[[#This Row],[current_price]]*Table1[[#This Row],[stock_quantity]]</f>
        <v>3036.8100000000004</v>
      </c>
    </row>
    <row r="358" spans="1:18" x14ac:dyDescent="0.25">
      <c r="A358" s="2" t="s">
        <v>411</v>
      </c>
      <c r="B358" s="2" t="s">
        <v>27</v>
      </c>
      <c r="C358" s="2" t="s">
        <v>43</v>
      </c>
      <c r="D358" s="2" t="s">
        <v>34</v>
      </c>
      <c r="E358" s="2"/>
      <c r="F358" s="2" t="s">
        <v>64</v>
      </c>
      <c r="G358" s="8">
        <v>31</v>
      </c>
      <c r="H358" s="11">
        <v>0</v>
      </c>
      <c r="I358" s="8">
        <v>31</v>
      </c>
      <c r="J358" s="3">
        <v>45875</v>
      </c>
      <c r="K358" s="14">
        <v>29</v>
      </c>
      <c r="L358" s="17">
        <v>1.9</v>
      </c>
      <c r="M358" s="2" t="b">
        <v>0</v>
      </c>
      <c r="N358" s="2"/>
      <c r="O358" s="2" t="str">
        <f>IF(Table1[[#This Row],[is_returned]]=TRUE,IF(Table1[[#This Row],[return_reason]]="","Error","OK"),"OK")</f>
        <v>OK</v>
      </c>
      <c r="P358" s="8">
        <f>Table1[[#This Row],[original_price]]*Table1[[#This Row],[markdown_percentage]]/100</f>
        <v>0</v>
      </c>
      <c r="Q35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358" s="25">
        <f>Table1[[#This Row],[current_price]]*Table1[[#This Row],[stock_quantity]]</f>
        <v>899</v>
      </c>
    </row>
    <row r="359" spans="1:18" x14ac:dyDescent="0.25">
      <c r="A359" s="2" t="s">
        <v>412</v>
      </c>
      <c r="B359" s="2" t="s">
        <v>27</v>
      </c>
      <c r="C359" s="2" t="s">
        <v>75</v>
      </c>
      <c r="D359" s="2" t="s">
        <v>23</v>
      </c>
      <c r="E359" s="2"/>
      <c r="F359" s="2" t="s">
        <v>25</v>
      </c>
      <c r="G359" s="8">
        <v>68.569999999999993</v>
      </c>
      <c r="H359" s="11">
        <v>29.4</v>
      </c>
      <c r="I359" s="8">
        <v>48.41</v>
      </c>
      <c r="J359" s="3">
        <v>45875</v>
      </c>
      <c r="K359" s="14">
        <v>4</v>
      </c>
      <c r="L359" s="17">
        <v>3.5</v>
      </c>
      <c r="M359" s="2" t="b">
        <v>0</v>
      </c>
      <c r="N359" s="2"/>
      <c r="O359" s="2" t="str">
        <f>IF(Table1[[#This Row],[is_returned]]=TRUE,IF(Table1[[#This Row],[return_reason]]="","Error","OK"),"OK")</f>
        <v>OK</v>
      </c>
      <c r="P359" s="8">
        <f>Table1[[#This Row],[original_price]]*Table1[[#This Row],[markdown_percentage]]/100</f>
        <v>20.159579999999995</v>
      </c>
      <c r="Q35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359" s="25">
        <f>Table1[[#This Row],[current_price]]*Table1[[#This Row],[stock_quantity]]</f>
        <v>193.64</v>
      </c>
    </row>
    <row r="360" spans="1:18" x14ac:dyDescent="0.25">
      <c r="A360" s="2" t="s">
        <v>413</v>
      </c>
      <c r="B360" s="2" t="s">
        <v>42</v>
      </c>
      <c r="C360" s="2" t="s">
        <v>75</v>
      </c>
      <c r="D360" s="2" t="s">
        <v>62</v>
      </c>
      <c r="E360" s="2" t="s">
        <v>24</v>
      </c>
      <c r="F360" s="2" t="s">
        <v>19</v>
      </c>
      <c r="G360" s="8">
        <v>73.040000000000006</v>
      </c>
      <c r="H360" s="11">
        <v>56.5</v>
      </c>
      <c r="I360" s="8">
        <v>31.77</v>
      </c>
      <c r="J360" s="3">
        <v>45875</v>
      </c>
      <c r="K360" s="14">
        <v>15</v>
      </c>
      <c r="L360" s="17">
        <v>3</v>
      </c>
      <c r="M360" s="2" t="b">
        <v>1</v>
      </c>
      <c r="N360" s="2" t="s">
        <v>115</v>
      </c>
      <c r="O360" s="2" t="str">
        <f>IF(Table1[[#This Row],[is_returned]]=TRUE,IF(Table1[[#This Row],[return_reason]]="","Error","OK"),"OK")</f>
        <v>OK</v>
      </c>
      <c r="P360" s="8">
        <f>Table1[[#This Row],[original_price]]*Table1[[#This Row],[markdown_percentage]]/100</f>
        <v>41.267600000000002</v>
      </c>
      <c r="Q36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360" s="25">
        <f>Table1[[#This Row],[current_price]]*Table1[[#This Row],[stock_quantity]]</f>
        <v>476.55</v>
      </c>
    </row>
    <row r="361" spans="1:18" x14ac:dyDescent="0.25">
      <c r="A361" s="2" t="s">
        <v>414</v>
      </c>
      <c r="B361" s="2" t="s">
        <v>21</v>
      </c>
      <c r="C361" s="2" t="s">
        <v>48</v>
      </c>
      <c r="D361" s="2" t="s">
        <v>17</v>
      </c>
      <c r="E361" s="2" t="s">
        <v>24</v>
      </c>
      <c r="F361" s="2" t="s">
        <v>66</v>
      </c>
      <c r="G361" s="8">
        <v>95.19</v>
      </c>
      <c r="H361" s="11">
        <v>0</v>
      </c>
      <c r="I361" s="8">
        <v>95.19</v>
      </c>
      <c r="J361" s="3">
        <v>45697</v>
      </c>
      <c r="K361" s="14">
        <v>13</v>
      </c>
      <c r="L361" s="17">
        <v>4.0999999999999996</v>
      </c>
      <c r="M361" s="2" t="b">
        <v>0</v>
      </c>
      <c r="N361" s="2"/>
      <c r="O361" s="2" t="str">
        <f>IF(Table1[[#This Row],[is_returned]]=TRUE,IF(Table1[[#This Row],[return_reason]]="","Error","OK"),"OK")</f>
        <v>OK</v>
      </c>
      <c r="P361" s="8">
        <f>Table1[[#This Row],[original_price]]*Table1[[#This Row],[markdown_percentage]]/100</f>
        <v>0</v>
      </c>
      <c r="Q36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361" s="25">
        <f>Table1[[#This Row],[current_price]]*Table1[[#This Row],[stock_quantity]]</f>
        <v>1237.47</v>
      </c>
    </row>
    <row r="362" spans="1:18" x14ac:dyDescent="0.25">
      <c r="A362" s="2" t="s">
        <v>415</v>
      </c>
      <c r="B362" s="2" t="s">
        <v>21</v>
      </c>
      <c r="C362" s="2" t="s">
        <v>61</v>
      </c>
      <c r="D362" s="2" t="s">
        <v>23</v>
      </c>
      <c r="E362" s="2" t="s">
        <v>55</v>
      </c>
      <c r="F362" s="2" t="s">
        <v>66</v>
      </c>
      <c r="G362" s="8">
        <v>104.94</v>
      </c>
      <c r="H362" s="11">
        <v>0</v>
      </c>
      <c r="I362" s="8">
        <v>104.94</v>
      </c>
      <c r="J362" s="3">
        <v>45875</v>
      </c>
      <c r="K362" s="14">
        <v>42</v>
      </c>
      <c r="L362" s="17">
        <v>2</v>
      </c>
      <c r="M362" s="2" t="b">
        <v>0</v>
      </c>
      <c r="N362" s="2"/>
      <c r="O362" s="2" t="str">
        <f>IF(Table1[[#This Row],[is_returned]]=TRUE,IF(Table1[[#This Row],[return_reason]]="","Error","OK"),"OK")</f>
        <v>OK</v>
      </c>
      <c r="P362" s="8">
        <f>Table1[[#This Row],[original_price]]*Table1[[#This Row],[markdown_percentage]]/100</f>
        <v>0</v>
      </c>
      <c r="Q36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362" s="25">
        <f>Table1[[#This Row],[current_price]]*Table1[[#This Row],[stock_quantity]]</f>
        <v>4407.4799999999996</v>
      </c>
    </row>
    <row r="363" spans="1:18" x14ac:dyDescent="0.25">
      <c r="A363" s="2" t="s">
        <v>416</v>
      </c>
      <c r="B363" s="2" t="s">
        <v>38</v>
      </c>
      <c r="C363" s="2" t="s">
        <v>61</v>
      </c>
      <c r="D363" s="2" t="s">
        <v>17</v>
      </c>
      <c r="E363" s="2" t="s">
        <v>49</v>
      </c>
      <c r="F363" s="2" t="s">
        <v>56</v>
      </c>
      <c r="G363" s="8">
        <v>97.29</v>
      </c>
      <c r="H363" s="11">
        <v>0</v>
      </c>
      <c r="I363" s="8">
        <v>97.29</v>
      </c>
      <c r="J363" s="3">
        <v>45867</v>
      </c>
      <c r="K363" s="14">
        <v>42</v>
      </c>
      <c r="L363" s="17">
        <v>4.5</v>
      </c>
      <c r="M363" s="2" t="b">
        <v>0</v>
      </c>
      <c r="N363" s="2"/>
      <c r="O363" s="2" t="str">
        <f>IF(Table1[[#This Row],[is_returned]]=TRUE,IF(Table1[[#This Row],[return_reason]]="","Error","OK"),"OK")</f>
        <v>OK</v>
      </c>
      <c r="P363" s="8">
        <f>Table1[[#This Row],[original_price]]*Table1[[#This Row],[markdown_percentage]]/100</f>
        <v>0</v>
      </c>
      <c r="Q36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363" s="25">
        <f>Table1[[#This Row],[current_price]]*Table1[[#This Row],[stock_quantity]]</f>
        <v>4086.1800000000003</v>
      </c>
    </row>
    <row r="364" spans="1:18" x14ac:dyDescent="0.25">
      <c r="A364" s="2" t="s">
        <v>417</v>
      </c>
      <c r="B364" s="2" t="s">
        <v>30</v>
      </c>
      <c r="C364" s="2" t="s">
        <v>43</v>
      </c>
      <c r="D364" s="2" t="s">
        <v>23</v>
      </c>
      <c r="E364" s="2" t="s">
        <v>24</v>
      </c>
      <c r="F364" s="2" t="s">
        <v>35</v>
      </c>
      <c r="G364" s="8">
        <v>83.05</v>
      </c>
      <c r="H364" s="11">
        <v>39.799999999999997</v>
      </c>
      <c r="I364" s="8">
        <v>50</v>
      </c>
      <c r="J364" s="3">
        <v>45875</v>
      </c>
      <c r="K364" s="14">
        <v>5</v>
      </c>
      <c r="L364" s="17">
        <v>3.4</v>
      </c>
      <c r="M364" s="2" t="b">
        <v>0</v>
      </c>
      <c r="N364" s="2"/>
      <c r="O364" s="2" t="str">
        <f>IF(Table1[[#This Row],[is_returned]]=TRUE,IF(Table1[[#This Row],[return_reason]]="","Error","OK"),"OK")</f>
        <v>OK</v>
      </c>
      <c r="P364" s="8">
        <f>Table1[[#This Row],[original_price]]*Table1[[#This Row],[markdown_percentage]]/100</f>
        <v>33.053899999999999</v>
      </c>
      <c r="Q36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364" s="25">
        <f>Table1[[#This Row],[current_price]]*Table1[[#This Row],[stock_quantity]]</f>
        <v>250</v>
      </c>
    </row>
    <row r="365" spans="1:18" x14ac:dyDescent="0.25">
      <c r="A365" s="2" t="s">
        <v>418</v>
      </c>
      <c r="B365" s="2" t="s">
        <v>15</v>
      </c>
      <c r="C365" s="2" t="s">
        <v>22</v>
      </c>
      <c r="D365" s="2" t="s">
        <v>34</v>
      </c>
      <c r="E365" s="2" t="s">
        <v>39</v>
      </c>
      <c r="F365" s="2" t="s">
        <v>56</v>
      </c>
      <c r="G365" s="8">
        <v>86.13</v>
      </c>
      <c r="H365" s="11">
        <v>0</v>
      </c>
      <c r="I365" s="8">
        <v>86.13</v>
      </c>
      <c r="J365" s="3">
        <v>45875</v>
      </c>
      <c r="K365" s="14">
        <v>28</v>
      </c>
      <c r="L365" s="17">
        <v>2.7</v>
      </c>
      <c r="M365" s="2" t="b">
        <v>0</v>
      </c>
      <c r="N365" s="2"/>
      <c r="O365" s="2" t="str">
        <f>IF(Table1[[#This Row],[is_returned]]=TRUE,IF(Table1[[#This Row],[return_reason]]="","Error","OK"),"OK")</f>
        <v>OK</v>
      </c>
      <c r="P365" s="8">
        <f>Table1[[#This Row],[original_price]]*Table1[[#This Row],[markdown_percentage]]/100</f>
        <v>0</v>
      </c>
      <c r="Q36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365" s="25">
        <f>Table1[[#This Row],[current_price]]*Table1[[#This Row],[stock_quantity]]</f>
        <v>2411.64</v>
      </c>
    </row>
    <row r="366" spans="1:18" x14ac:dyDescent="0.25">
      <c r="A366" s="2" t="s">
        <v>419</v>
      </c>
      <c r="B366" s="2" t="s">
        <v>38</v>
      </c>
      <c r="C366" s="2" t="s">
        <v>32</v>
      </c>
      <c r="D366" s="2" t="s">
        <v>62</v>
      </c>
      <c r="E366" s="2" t="s">
        <v>39</v>
      </c>
      <c r="F366" s="2" t="s">
        <v>35</v>
      </c>
      <c r="G366" s="8">
        <v>104.13</v>
      </c>
      <c r="H366" s="11">
        <v>28.7</v>
      </c>
      <c r="I366" s="8">
        <v>74.239999999999995</v>
      </c>
      <c r="J366" s="3">
        <v>45875</v>
      </c>
      <c r="K366" s="14">
        <v>23</v>
      </c>
      <c r="L366" s="17">
        <v>3.1</v>
      </c>
      <c r="M366" s="2" t="b">
        <v>0</v>
      </c>
      <c r="N366" s="2"/>
      <c r="O366" s="2" t="str">
        <f>IF(Table1[[#This Row],[is_returned]]=TRUE,IF(Table1[[#This Row],[return_reason]]="","Error","OK"),"OK")</f>
        <v>OK</v>
      </c>
      <c r="P366" s="8">
        <f>Table1[[#This Row],[original_price]]*Table1[[#This Row],[markdown_percentage]]/100</f>
        <v>29.88531</v>
      </c>
      <c r="Q36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366" s="25">
        <f>Table1[[#This Row],[current_price]]*Table1[[#This Row],[stock_quantity]]</f>
        <v>1707.52</v>
      </c>
    </row>
    <row r="367" spans="1:18" x14ac:dyDescent="0.25">
      <c r="A367" s="2" t="s">
        <v>420</v>
      </c>
      <c r="B367" s="2" t="s">
        <v>27</v>
      </c>
      <c r="C367" s="2" t="s">
        <v>22</v>
      </c>
      <c r="D367" s="2" t="s">
        <v>34</v>
      </c>
      <c r="E367" s="2"/>
      <c r="F367" s="2" t="s">
        <v>46</v>
      </c>
      <c r="G367" s="8">
        <v>41.7</v>
      </c>
      <c r="H367" s="11">
        <v>0</v>
      </c>
      <c r="I367" s="8">
        <v>41.7</v>
      </c>
      <c r="J367" s="3">
        <v>45875</v>
      </c>
      <c r="K367" s="14">
        <v>18</v>
      </c>
      <c r="L367" s="17">
        <v>3.2</v>
      </c>
      <c r="M367" s="2" t="b">
        <v>0</v>
      </c>
      <c r="N367" s="2"/>
      <c r="O367" s="2" t="str">
        <f>IF(Table1[[#This Row],[is_returned]]=TRUE,IF(Table1[[#This Row],[return_reason]]="","Error","OK"),"OK")</f>
        <v>OK</v>
      </c>
      <c r="P367" s="8">
        <f>Table1[[#This Row],[original_price]]*Table1[[#This Row],[markdown_percentage]]/100</f>
        <v>0</v>
      </c>
      <c r="Q36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367" s="25">
        <f>Table1[[#This Row],[current_price]]*Table1[[#This Row],[stock_quantity]]</f>
        <v>750.6</v>
      </c>
    </row>
    <row r="368" spans="1:18" x14ac:dyDescent="0.25">
      <c r="A368" s="2" t="s">
        <v>421</v>
      </c>
      <c r="B368" s="2" t="s">
        <v>15</v>
      </c>
      <c r="C368" s="2" t="s">
        <v>32</v>
      </c>
      <c r="D368" s="2" t="s">
        <v>17</v>
      </c>
      <c r="E368" s="2" t="s">
        <v>24</v>
      </c>
      <c r="F368" s="2" t="s">
        <v>35</v>
      </c>
      <c r="G368" s="8">
        <v>80.11</v>
      </c>
      <c r="H368" s="11">
        <v>0</v>
      </c>
      <c r="I368" s="8">
        <v>80.11</v>
      </c>
      <c r="J368" s="3">
        <v>45763</v>
      </c>
      <c r="K368" s="14">
        <v>34</v>
      </c>
      <c r="L368" s="17">
        <v>1.8</v>
      </c>
      <c r="M368" s="2" t="b">
        <v>0</v>
      </c>
      <c r="N368" s="2"/>
      <c r="O368" s="2" t="str">
        <f>IF(Table1[[#This Row],[is_returned]]=TRUE,IF(Table1[[#This Row],[return_reason]]="","Error","OK"),"OK")</f>
        <v>OK</v>
      </c>
      <c r="P368" s="8">
        <f>Table1[[#This Row],[original_price]]*Table1[[#This Row],[markdown_percentage]]/100</f>
        <v>0</v>
      </c>
      <c r="Q36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368" s="25">
        <f>Table1[[#This Row],[current_price]]*Table1[[#This Row],[stock_quantity]]</f>
        <v>2723.74</v>
      </c>
    </row>
    <row r="369" spans="1:18" x14ac:dyDescent="0.25">
      <c r="A369" s="2" t="s">
        <v>422</v>
      </c>
      <c r="B369" s="2" t="s">
        <v>21</v>
      </c>
      <c r="C369" s="2" t="s">
        <v>53</v>
      </c>
      <c r="D369" s="2" t="s">
        <v>34</v>
      </c>
      <c r="E369" s="2" t="s">
        <v>24</v>
      </c>
      <c r="F369" s="2" t="s">
        <v>35</v>
      </c>
      <c r="G369" s="8">
        <v>97.84</v>
      </c>
      <c r="H369" s="11">
        <v>0</v>
      </c>
      <c r="I369" s="8">
        <v>97.84</v>
      </c>
      <c r="J369" s="3">
        <v>45875</v>
      </c>
      <c r="K369" s="14">
        <v>16</v>
      </c>
      <c r="L369" s="17"/>
      <c r="M369" s="2" t="b">
        <v>0</v>
      </c>
      <c r="N369" s="2"/>
      <c r="O369" s="2" t="str">
        <f>IF(Table1[[#This Row],[is_returned]]=TRUE,IF(Table1[[#This Row],[return_reason]]="","Error","OK"),"OK")</f>
        <v>OK</v>
      </c>
      <c r="P369" s="8">
        <f>Table1[[#This Row],[original_price]]*Table1[[#This Row],[markdown_percentage]]/100</f>
        <v>0</v>
      </c>
      <c r="Q36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369" s="25">
        <f>Table1[[#This Row],[current_price]]*Table1[[#This Row],[stock_quantity]]</f>
        <v>1565.44</v>
      </c>
    </row>
    <row r="370" spans="1:18" x14ac:dyDescent="0.25">
      <c r="A370" s="2" t="s">
        <v>423</v>
      </c>
      <c r="B370" s="2" t="s">
        <v>38</v>
      </c>
      <c r="C370" s="2" t="s">
        <v>61</v>
      </c>
      <c r="D370" s="2" t="s">
        <v>34</v>
      </c>
      <c r="E370" s="2" t="s">
        <v>18</v>
      </c>
      <c r="F370" s="2" t="s">
        <v>56</v>
      </c>
      <c r="G370" s="8">
        <v>77.37</v>
      </c>
      <c r="H370" s="11">
        <v>35.200000000000003</v>
      </c>
      <c r="I370" s="8">
        <v>50.14</v>
      </c>
      <c r="J370" s="3">
        <v>45875</v>
      </c>
      <c r="K370" s="14">
        <v>14</v>
      </c>
      <c r="L370" s="17">
        <v>2.2999999999999998</v>
      </c>
      <c r="M370" s="2" t="b">
        <v>0</v>
      </c>
      <c r="N370" s="2"/>
      <c r="O370" s="2" t="str">
        <f>IF(Table1[[#This Row],[is_returned]]=TRUE,IF(Table1[[#This Row],[return_reason]]="","Error","OK"),"OK")</f>
        <v>OK</v>
      </c>
      <c r="P370" s="8">
        <f>Table1[[#This Row],[original_price]]*Table1[[#This Row],[markdown_percentage]]/100</f>
        <v>27.234240000000003</v>
      </c>
      <c r="Q37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370" s="25">
        <f>Table1[[#This Row],[current_price]]*Table1[[#This Row],[stock_quantity]]</f>
        <v>701.96</v>
      </c>
    </row>
    <row r="371" spans="1:18" x14ac:dyDescent="0.25">
      <c r="A371" s="2" t="s">
        <v>424</v>
      </c>
      <c r="B371" s="2" t="s">
        <v>27</v>
      </c>
      <c r="C371" s="2" t="s">
        <v>48</v>
      </c>
      <c r="D371" s="2" t="s">
        <v>34</v>
      </c>
      <c r="E371" s="2"/>
      <c r="F371" s="2" t="s">
        <v>19</v>
      </c>
      <c r="G371" s="8">
        <v>36.35</v>
      </c>
      <c r="H371" s="11">
        <v>37.6</v>
      </c>
      <c r="I371" s="8">
        <v>22.68</v>
      </c>
      <c r="J371" s="3">
        <v>45875</v>
      </c>
      <c r="K371" s="14">
        <v>49</v>
      </c>
      <c r="L371" s="17">
        <v>4</v>
      </c>
      <c r="M371" s="2" t="b">
        <v>1</v>
      </c>
      <c r="N371" s="2" t="s">
        <v>115</v>
      </c>
      <c r="O371" s="2" t="str">
        <f>IF(Table1[[#This Row],[is_returned]]=TRUE,IF(Table1[[#This Row],[return_reason]]="","Error","OK"),"OK")</f>
        <v>OK</v>
      </c>
      <c r="P371" s="8">
        <f>Table1[[#This Row],[original_price]]*Table1[[#This Row],[markdown_percentage]]/100</f>
        <v>13.667600000000002</v>
      </c>
      <c r="Q37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371" s="25">
        <f>Table1[[#This Row],[current_price]]*Table1[[#This Row],[stock_quantity]]</f>
        <v>1111.32</v>
      </c>
    </row>
    <row r="372" spans="1:18" x14ac:dyDescent="0.25">
      <c r="A372" s="2" t="s">
        <v>425</v>
      </c>
      <c r="B372" s="2" t="s">
        <v>15</v>
      </c>
      <c r="C372" s="2" t="s">
        <v>32</v>
      </c>
      <c r="D372" s="2" t="s">
        <v>23</v>
      </c>
      <c r="E372" s="2" t="s">
        <v>49</v>
      </c>
      <c r="F372" s="2" t="s">
        <v>46</v>
      </c>
      <c r="G372" s="8">
        <v>181.04</v>
      </c>
      <c r="H372" s="11">
        <v>20.2</v>
      </c>
      <c r="I372" s="8">
        <v>144.47</v>
      </c>
      <c r="J372" s="3">
        <v>45875</v>
      </c>
      <c r="K372" s="14">
        <v>17</v>
      </c>
      <c r="L372" s="17"/>
      <c r="M372" s="2" t="b">
        <v>1</v>
      </c>
      <c r="N372" s="2" t="s">
        <v>73</v>
      </c>
      <c r="O372" s="2" t="str">
        <f>IF(Table1[[#This Row],[is_returned]]=TRUE,IF(Table1[[#This Row],[return_reason]]="","Error","OK"),"OK")</f>
        <v>OK</v>
      </c>
      <c r="P372" s="8">
        <f>Table1[[#This Row],[original_price]]*Table1[[#This Row],[markdown_percentage]]/100</f>
        <v>36.570079999999997</v>
      </c>
      <c r="Q37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372" s="25">
        <f>Table1[[#This Row],[current_price]]*Table1[[#This Row],[stock_quantity]]</f>
        <v>2455.9899999999998</v>
      </c>
    </row>
    <row r="373" spans="1:18" x14ac:dyDescent="0.25">
      <c r="A373" s="2" t="s">
        <v>426</v>
      </c>
      <c r="B373" s="2" t="s">
        <v>15</v>
      </c>
      <c r="C373" s="2" t="s">
        <v>16</v>
      </c>
      <c r="D373" s="2" t="s">
        <v>17</v>
      </c>
      <c r="E373" s="2" t="s">
        <v>18</v>
      </c>
      <c r="F373" s="2" t="s">
        <v>28</v>
      </c>
      <c r="G373" s="8">
        <v>158.37</v>
      </c>
      <c r="H373" s="11">
        <v>0</v>
      </c>
      <c r="I373" s="8">
        <v>158.37</v>
      </c>
      <c r="J373" s="3">
        <v>45703</v>
      </c>
      <c r="K373" s="14">
        <v>33</v>
      </c>
      <c r="L373" s="17"/>
      <c r="M373" s="2" t="b">
        <v>0</v>
      </c>
      <c r="N373" s="2"/>
      <c r="O373" s="2" t="str">
        <f>IF(Table1[[#This Row],[is_returned]]=TRUE,IF(Table1[[#This Row],[return_reason]]="","Error","OK"),"OK")</f>
        <v>OK</v>
      </c>
      <c r="P373" s="8">
        <f>Table1[[#This Row],[original_price]]*Table1[[#This Row],[markdown_percentage]]/100</f>
        <v>0</v>
      </c>
      <c r="Q37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373" s="25">
        <f>Table1[[#This Row],[current_price]]*Table1[[#This Row],[stock_quantity]]</f>
        <v>5226.21</v>
      </c>
    </row>
    <row r="374" spans="1:18" x14ac:dyDescent="0.25">
      <c r="A374" s="2" t="s">
        <v>427</v>
      </c>
      <c r="B374" s="2" t="s">
        <v>30</v>
      </c>
      <c r="C374" s="2" t="s">
        <v>75</v>
      </c>
      <c r="D374" s="2" t="s">
        <v>62</v>
      </c>
      <c r="E374" s="2" t="s">
        <v>49</v>
      </c>
      <c r="F374" s="2" t="s">
        <v>66</v>
      </c>
      <c r="G374" s="8">
        <v>91.98</v>
      </c>
      <c r="H374" s="11">
        <v>0</v>
      </c>
      <c r="I374" s="8">
        <v>91.98</v>
      </c>
      <c r="J374" s="3">
        <v>45875</v>
      </c>
      <c r="K374" s="14">
        <v>48</v>
      </c>
      <c r="L374" s="17">
        <v>3.9</v>
      </c>
      <c r="M374" s="2" t="b">
        <v>0</v>
      </c>
      <c r="N374" s="2"/>
      <c r="O374" s="2" t="str">
        <f>IF(Table1[[#This Row],[is_returned]]=TRUE,IF(Table1[[#This Row],[return_reason]]="","Error","OK"),"OK")</f>
        <v>OK</v>
      </c>
      <c r="P374" s="8">
        <f>Table1[[#This Row],[original_price]]*Table1[[#This Row],[markdown_percentage]]/100</f>
        <v>0</v>
      </c>
      <c r="Q37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374" s="25">
        <f>Table1[[#This Row],[current_price]]*Table1[[#This Row],[stock_quantity]]</f>
        <v>4415.04</v>
      </c>
    </row>
    <row r="375" spans="1:18" x14ac:dyDescent="0.25">
      <c r="A375" s="2" t="s">
        <v>428</v>
      </c>
      <c r="B375" s="2" t="s">
        <v>30</v>
      </c>
      <c r="C375" s="2" t="s">
        <v>16</v>
      </c>
      <c r="D375" s="2" t="s">
        <v>23</v>
      </c>
      <c r="E375" s="2" t="s">
        <v>39</v>
      </c>
      <c r="F375" s="2" t="s">
        <v>70</v>
      </c>
      <c r="G375" s="8">
        <v>140.29</v>
      </c>
      <c r="H375" s="11">
        <v>55.3</v>
      </c>
      <c r="I375" s="8">
        <v>62.71</v>
      </c>
      <c r="J375" s="3">
        <v>45875</v>
      </c>
      <c r="K375" s="14">
        <v>5</v>
      </c>
      <c r="L375" s="17">
        <v>4.4000000000000004</v>
      </c>
      <c r="M375" s="2" t="b">
        <v>0</v>
      </c>
      <c r="N375" s="2"/>
      <c r="O375" s="2" t="str">
        <f>IF(Table1[[#This Row],[is_returned]]=TRUE,IF(Table1[[#This Row],[return_reason]]="","Error","OK"),"OK")</f>
        <v>OK</v>
      </c>
      <c r="P375" s="8">
        <f>Table1[[#This Row],[original_price]]*Table1[[#This Row],[markdown_percentage]]/100</f>
        <v>77.580369999999988</v>
      </c>
      <c r="Q37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375" s="25">
        <f>Table1[[#This Row],[current_price]]*Table1[[#This Row],[stock_quantity]]</f>
        <v>313.55</v>
      </c>
    </row>
    <row r="376" spans="1:18" x14ac:dyDescent="0.25">
      <c r="A376" s="2" t="s">
        <v>429</v>
      </c>
      <c r="B376" s="2" t="s">
        <v>21</v>
      </c>
      <c r="C376" s="2" t="s">
        <v>22</v>
      </c>
      <c r="D376" s="2" t="s">
        <v>17</v>
      </c>
      <c r="E376" s="2" t="s">
        <v>18</v>
      </c>
      <c r="F376" s="2" t="s">
        <v>19</v>
      </c>
      <c r="G376" s="8">
        <v>26.01</v>
      </c>
      <c r="H376" s="11">
        <v>0</v>
      </c>
      <c r="I376" s="8">
        <v>26.01</v>
      </c>
      <c r="J376" s="3">
        <v>45711</v>
      </c>
      <c r="K376" s="14">
        <v>9</v>
      </c>
      <c r="L376" s="17">
        <v>4</v>
      </c>
      <c r="M376" s="2" t="b">
        <v>0</v>
      </c>
      <c r="N376" s="2"/>
      <c r="O376" s="2" t="str">
        <f>IF(Table1[[#This Row],[is_returned]]=TRUE,IF(Table1[[#This Row],[return_reason]]="","Error","OK"),"OK")</f>
        <v>OK</v>
      </c>
      <c r="P376" s="8">
        <f>Table1[[#This Row],[original_price]]*Table1[[#This Row],[markdown_percentage]]/100</f>
        <v>0</v>
      </c>
      <c r="Q37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376" s="25">
        <f>Table1[[#This Row],[current_price]]*Table1[[#This Row],[stock_quantity]]</f>
        <v>234.09</v>
      </c>
    </row>
    <row r="377" spans="1:18" x14ac:dyDescent="0.25">
      <c r="A377" s="2" t="s">
        <v>430</v>
      </c>
      <c r="B377" s="2" t="s">
        <v>21</v>
      </c>
      <c r="C377" s="2" t="s">
        <v>75</v>
      </c>
      <c r="D377" s="2" t="s">
        <v>23</v>
      </c>
      <c r="E377" s="2" t="s">
        <v>18</v>
      </c>
      <c r="F377" s="2" t="s">
        <v>44</v>
      </c>
      <c r="G377" s="8">
        <v>51.06</v>
      </c>
      <c r="H377" s="11">
        <v>9.5</v>
      </c>
      <c r="I377" s="8">
        <v>46.21</v>
      </c>
      <c r="J377" s="3">
        <v>45875</v>
      </c>
      <c r="K377" s="14">
        <v>34</v>
      </c>
      <c r="L377" s="17">
        <v>1.1000000000000001</v>
      </c>
      <c r="M377" s="2" t="b">
        <v>0</v>
      </c>
      <c r="N377" s="2"/>
      <c r="O377" s="2" t="str">
        <f>IF(Table1[[#This Row],[is_returned]]=TRUE,IF(Table1[[#This Row],[return_reason]]="","Error","OK"),"OK")</f>
        <v>OK</v>
      </c>
      <c r="P377" s="8">
        <f>Table1[[#This Row],[original_price]]*Table1[[#This Row],[markdown_percentage]]/100</f>
        <v>4.8507000000000007</v>
      </c>
      <c r="Q37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377" s="25">
        <f>Table1[[#This Row],[current_price]]*Table1[[#This Row],[stock_quantity]]</f>
        <v>1571.14</v>
      </c>
    </row>
    <row r="378" spans="1:18" x14ac:dyDescent="0.25">
      <c r="A378" s="2" t="s">
        <v>431</v>
      </c>
      <c r="B378" s="2" t="s">
        <v>15</v>
      </c>
      <c r="C378" s="2" t="s">
        <v>61</v>
      </c>
      <c r="D378" s="2" t="s">
        <v>34</v>
      </c>
      <c r="E378" s="2" t="s">
        <v>55</v>
      </c>
      <c r="F378" s="2" t="s">
        <v>19</v>
      </c>
      <c r="G378" s="8">
        <v>132.91999999999999</v>
      </c>
      <c r="H378" s="11">
        <v>0</v>
      </c>
      <c r="I378" s="8">
        <v>132.91999999999999</v>
      </c>
      <c r="J378" s="3">
        <v>45875</v>
      </c>
      <c r="K378" s="14">
        <v>36</v>
      </c>
      <c r="L378" s="17">
        <v>1.2</v>
      </c>
      <c r="M378" s="2" t="b">
        <v>0</v>
      </c>
      <c r="N378" s="2"/>
      <c r="O378" s="2" t="str">
        <f>IF(Table1[[#This Row],[is_returned]]=TRUE,IF(Table1[[#This Row],[return_reason]]="","Error","OK"),"OK")</f>
        <v>OK</v>
      </c>
      <c r="P378" s="8">
        <f>Table1[[#This Row],[original_price]]*Table1[[#This Row],[markdown_percentage]]/100</f>
        <v>0</v>
      </c>
      <c r="Q37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378" s="25">
        <f>Table1[[#This Row],[current_price]]*Table1[[#This Row],[stock_quantity]]</f>
        <v>4785.12</v>
      </c>
    </row>
    <row r="379" spans="1:18" x14ac:dyDescent="0.25">
      <c r="A379" s="2" t="s">
        <v>432</v>
      </c>
      <c r="B379" s="2" t="s">
        <v>27</v>
      </c>
      <c r="C379" s="2" t="s">
        <v>61</v>
      </c>
      <c r="D379" s="2" t="s">
        <v>34</v>
      </c>
      <c r="E379" s="2"/>
      <c r="F379" s="2" t="s">
        <v>66</v>
      </c>
      <c r="G379" s="8">
        <v>16.57</v>
      </c>
      <c r="H379" s="11">
        <v>0</v>
      </c>
      <c r="I379" s="8">
        <v>16.57</v>
      </c>
      <c r="J379" s="3">
        <v>45875</v>
      </c>
      <c r="K379" s="14">
        <v>17</v>
      </c>
      <c r="L379" s="17"/>
      <c r="M379" s="2" t="b">
        <v>0</v>
      </c>
      <c r="N379" s="2"/>
      <c r="O379" s="2" t="str">
        <f>IF(Table1[[#This Row],[is_returned]]=TRUE,IF(Table1[[#This Row],[return_reason]]="","Error","OK"),"OK")</f>
        <v>OK</v>
      </c>
      <c r="P379" s="8">
        <f>Table1[[#This Row],[original_price]]*Table1[[#This Row],[markdown_percentage]]/100</f>
        <v>0</v>
      </c>
      <c r="Q37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379" s="25">
        <f>Table1[[#This Row],[current_price]]*Table1[[#This Row],[stock_quantity]]</f>
        <v>281.69</v>
      </c>
    </row>
    <row r="380" spans="1:18" x14ac:dyDescent="0.25">
      <c r="A380" s="2" t="s">
        <v>433</v>
      </c>
      <c r="B380" s="2" t="s">
        <v>38</v>
      </c>
      <c r="C380" s="2" t="s">
        <v>75</v>
      </c>
      <c r="D380" s="2" t="s">
        <v>23</v>
      </c>
      <c r="E380" s="2" t="s">
        <v>55</v>
      </c>
      <c r="F380" s="2" t="s">
        <v>28</v>
      </c>
      <c r="G380" s="8">
        <v>78.599999999999994</v>
      </c>
      <c r="H380" s="11">
        <v>45.8</v>
      </c>
      <c r="I380" s="8">
        <v>42.6</v>
      </c>
      <c r="J380" s="3">
        <v>45875</v>
      </c>
      <c r="K380" s="14">
        <v>6</v>
      </c>
      <c r="L380" s="17">
        <v>2.7</v>
      </c>
      <c r="M380" s="2" t="b">
        <v>0</v>
      </c>
      <c r="N380" s="2"/>
      <c r="O380" s="2" t="str">
        <f>IF(Table1[[#This Row],[is_returned]]=TRUE,IF(Table1[[#This Row],[return_reason]]="","Error","OK"),"OK")</f>
        <v>OK</v>
      </c>
      <c r="P380" s="8">
        <f>Table1[[#This Row],[original_price]]*Table1[[#This Row],[markdown_percentage]]/100</f>
        <v>35.998799999999996</v>
      </c>
      <c r="Q38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380" s="25">
        <f>Table1[[#This Row],[current_price]]*Table1[[#This Row],[stock_quantity]]</f>
        <v>255.60000000000002</v>
      </c>
    </row>
    <row r="381" spans="1:18" x14ac:dyDescent="0.25">
      <c r="A381" s="2" t="s">
        <v>434</v>
      </c>
      <c r="B381" s="2" t="s">
        <v>27</v>
      </c>
      <c r="C381" s="2" t="s">
        <v>43</v>
      </c>
      <c r="D381" s="2" t="s">
        <v>62</v>
      </c>
      <c r="E381" s="2"/>
      <c r="F381" s="2" t="s">
        <v>70</v>
      </c>
      <c r="G381" s="8">
        <v>69.38</v>
      </c>
      <c r="H381" s="11">
        <v>0</v>
      </c>
      <c r="I381" s="8">
        <v>69.38</v>
      </c>
      <c r="J381" s="3">
        <v>45875</v>
      </c>
      <c r="K381" s="14">
        <v>43</v>
      </c>
      <c r="L381" s="17">
        <v>2.4</v>
      </c>
      <c r="M381" s="2" t="b">
        <v>0</v>
      </c>
      <c r="N381" s="2"/>
      <c r="O381" s="2" t="str">
        <f>IF(Table1[[#This Row],[is_returned]]=TRUE,IF(Table1[[#This Row],[return_reason]]="","Error","OK"),"OK")</f>
        <v>OK</v>
      </c>
      <c r="P381" s="8">
        <f>Table1[[#This Row],[original_price]]*Table1[[#This Row],[markdown_percentage]]/100</f>
        <v>0</v>
      </c>
      <c r="Q38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381" s="25">
        <f>Table1[[#This Row],[current_price]]*Table1[[#This Row],[stock_quantity]]</f>
        <v>2983.3399999999997</v>
      </c>
    </row>
    <row r="382" spans="1:18" x14ac:dyDescent="0.25">
      <c r="A382" s="2" t="s">
        <v>435</v>
      </c>
      <c r="B382" s="2" t="s">
        <v>27</v>
      </c>
      <c r="C382" s="2" t="s">
        <v>43</v>
      </c>
      <c r="D382" s="2" t="s">
        <v>34</v>
      </c>
      <c r="E382" s="2"/>
      <c r="F382" s="2" t="s">
        <v>25</v>
      </c>
      <c r="G382" s="8">
        <v>23.58</v>
      </c>
      <c r="H382" s="11">
        <v>0</v>
      </c>
      <c r="I382" s="8">
        <v>23.58</v>
      </c>
      <c r="J382" s="3">
        <v>45875</v>
      </c>
      <c r="K382" s="14">
        <v>16</v>
      </c>
      <c r="L382" s="17">
        <v>1.3</v>
      </c>
      <c r="M382" s="2" t="b">
        <v>0</v>
      </c>
      <c r="N382" s="2"/>
      <c r="O382" s="2" t="str">
        <f>IF(Table1[[#This Row],[is_returned]]=TRUE,IF(Table1[[#This Row],[return_reason]]="","Error","OK"),"OK")</f>
        <v>OK</v>
      </c>
      <c r="P382" s="8">
        <f>Table1[[#This Row],[original_price]]*Table1[[#This Row],[markdown_percentage]]/100</f>
        <v>0</v>
      </c>
      <c r="Q38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382" s="25">
        <f>Table1[[#This Row],[current_price]]*Table1[[#This Row],[stock_quantity]]</f>
        <v>377.28</v>
      </c>
    </row>
    <row r="383" spans="1:18" x14ac:dyDescent="0.25">
      <c r="A383" s="2" t="s">
        <v>436</v>
      </c>
      <c r="B383" s="2" t="s">
        <v>21</v>
      </c>
      <c r="C383" s="2" t="s">
        <v>48</v>
      </c>
      <c r="D383" s="2" t="s">
        <v>17</v>
      </c>
      <c r="E383" s="2" t="s">
        <v>55</v>
      </c>
      <c r="F383" s="2" t="s">
        <v>64</v>
      </c>
      <c r="G383" s="8">
        <v>119.91</v>
      </c>
      <c r="H383" s="11">
        <v>27.8</v>
      </c>
      <c r="I383" s="8">
        <v>86.58</v>
      </c>
      <c r="J383" s="3">
        <v>45563</v>
      </c>
      <c r="K383" s="14">
        <v>12</v>
      </c>
      <c r="L383" s="17">
        <v>1.7</v>
      </c>
      <c r="M383" s="2" t="b">
        <v>0</v>
      </c>
      <c r="N383" s="2"/>
      <c r="O383" s="2" t="str">
        <f>IF(Table1[[#This Row],[is_returned]]=TRUE,IF(Table1[[#This Row],[return_reason]]="","Error","OK"),"OK")</f>
        <v>OK</v>
      </c>
      <c r="P383" s="8">
        <f>Table1[[#This Row],[original_price]]*Table1[[#This Row],[markdown_percentage]]/100</f>
        <v>33.334980000000002</v>
      </c>
      <c r="Q38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383" s="25">
        <f>Table1[[#This Row],[current_price]]*Table1[[#This Row],[stock_quantity]]</f>
        <v>1038.96</v>
      </c>
    </row>
    <row r="384" spans="1:18" x14ac:dyDescent="0.25">
      <c r="A384" s="2" t="s">
        <v>437</v>
      </c>
      <c r="B384" s="2" t="s">
        <v>15</v>
      </c>
      <c r="C384" s="2" t="s">
        <v>48</v>
      </c>
      <c r="D384" s="2" t="s">
        <v>62</v>
      </c>
      <c r="E384" s="2" t="s">
        <v>58</v>
      </c>
      <c r="F384" s="2" t="s">
        <v>28</v>
      </c>
      <c r="G384" s="8">
        <v>111.05</v>
      </c>
      <c r="H384" s="11">
        <v>1.4</v>
      </c>
      <c r="I384" s="8">
        <v>109.5</v>
      </c>
      <c r="J384" s="3">
        <v>45875</v>
      </c>
      <c r="K384" s="14">
        <v>7</v>
      </c>
      <c r="L384" s="17">
        <v>2.8</v>
      </c>
      <c r="M384" s="2" t="b">
        <v>0</v>
      </c>
      <c r="N384" s="2"/>
      <c r="O384" s="2" t="str">
        <f>IF(Table1[[#This Row],[is_returned]]=TRUE,IF(Table1[[#This Row],[return_reason]]="","Error","OK"),"OK")</f>
        <v>OK</v>
      </c>
      <c r="P384" s="8">
        <f>Table1[[#This Row],[original_price]]*Table1[[#This Row],[markdown_percentage]]/100</f>
        <v>1.5547</v>
      </c>
      <c r="Q38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384" s="25">
        <f>Table1[[#This Row],[current_price]]*Table1[[#This Row],[stock_quantity]]</f>
        <v>766.5</v>
      </c>
    </row>
    <row r="385" spans="1:18" x14ac:dyDescent="0.25">
      <c r="A385" s="2" t="s">
        <v>438</v>
      </c>
      <c r="B385" s="2" t="s">
        <v>27</v>
      </c>
      <c r="C385" s="2" t="s">
        <v>32</v>
      </c>
      <c r="D385" s="2" t="s">
        <v>62</v>
      </c>
      <c r="E385" s="2"/>
      <c r="F385" s="2" t="s">
        <v>40</v>
      </c>
      <c r="G385" s="8">
        <v>60.22</v>
      </c>
      <c r="H385" s="11">
        <v>0</v>
      </c>
      <c r="I385" s="8">
        <v>60.22</v>
      </c>
      <c r="J385" s="3">
        <v>45875</v>
      </c>
      <c r="K385" s="14">
        <v>6</v>
      </c>
      <c r="L385" s="17">
        <v>2.1</v>
      </c>
      <c r="M385" s="2" t="b">
        <v>0</v>
      </c>
      <c r="N385" s="2"/>
      <c r="O385" s="2" t="str">
        <f>IF(Table1[[#This Row],[is_returned]]=TRUE,IF(Table1[[#This Row],[return_reason]]="","Error","OK"),"OK")</f>
        <v>OK</v>
      </c>
      <c r="P385" s="8">
        <f>Table1[[#This Row],[original_price]]*Table1[[#This Row],[markdown_percentage]]/100</f>
        <v>0</v>
      </c>
      <c r="Q38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385" s="25">
        <f>Table1[[#This Row],[current_price]]*Table1[[#This Row],[stock_quantity]]</f>
        <v>361.32</v>
      </c>
    </row>
    <row r="386" spans="1:18" x14ac:dyDescent="0.25">
      <c r="A386" s="2" t="s">
        <v>439</v>
      </c>
      <c r="B386" s="2" t="s">
        <v>15</v>
      </c>
      <c r="C386" s="2" t="s">
        <v>61</v>
      </c>
      <c r="D386" s="2" t="s">
        <v>23</v>
      </c>
      <c r="E386" s="2" t="s">
        <v>58</v>
      </c>
      <c r="F386" s="2" t="s">
        <v>64</v>
      </c>
      <c r="G386" s="8">
        <v>133.52000000000001</v>
      </c>
      <c r="H386" s="11">
        <v>0</v>
      </c>
      <c r="I386" s="8">
        <v>133.52000000000001</v>
      </c>
      <c r="J386" s="3">
        <v>45875</v>
      </c>
      <c r="K386" s="14">
        <v>27</v>
      </c>
      <c r="L386" s="17">
        <v>3.6</v>
      </c>
      <c r="M386" s="2" t="b">
        <v>0</v>
      </c>
      <c r="N386" s="2"/>
      <c r="O386" s="2" t="str">
        <f>IF(Table1[[#This Row],[is_returned]]=TRUE,IF(Table1[[#This Row],[return_reason]]="","Error","OK"),"OK")</f>
        <v>OK</v>
      </c>
      <c r="P386" s="8">
        <f>Table1[[#This Row],[original_price]]*Table1[[#This Row],[markdown_percentage]]/100</f>
        <v>0</v>
      </c>
      <c r="Q38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386" s="25">
        <f>Table1[[#This Row],[current_price]]*Table1[[#This Row],[stock_quantity]]</f>
        <v>3605.0400000000004</v>
      </c>
    </row>
    <row r="387" spans="1:18" x14ac:dyDescent="0.25">
      <c r="A387" s="2" t="s">
        <v>440</v>
      </c>
      <c r="B387" s="2" t="s">
        <v>42</v>
      </c>
      <c r="C387" s="2" t="s">
        <v>32</v>
      </c>
      <c r="D387" s="2" t="s">
        <v>17</v>
      </c>
      <c r="E387" s="2" t="s">
        <v>18</v>
      </c>
      <c r="F387" s="2" t="s">
        <v>70</v>
      </c>
      <c r="G387" s="8">
        <v>54.97</v>
      </c>
      <c r="H387" s="11">
        <v>49.6</v>
      </c>
      <c r="I387" s="8">
        <v>27.7</v>
      </c>
      <c r="J387" s="3">
        <v>45573</v>
      </c>
      <c r="K387" s="14">
        <v>48</v>
      </c>
      <c r="L387" s="17">
        <v>4.5</v>
      </c>
      <c r="M387" s="2" t="b">
        <v>0</v>
      </c>
      <c r="N387" s="2"/>
      <c r="O387" s="2" t="str">
        <f>IF(Table1[[#This Row],[is_returned]]=TRUE,IF(Table1[[#This Row],[return_reason]]="","Error","OK"),"OK")</f>
        <v>OK</v>
      </c>
      <c r="P387" s="8">
        <f>Table1[[#This Row],[original_price]]*Table1[[#This Row],[markdown_percentage]]/100</f>
        <v>27.265120000000003</v>
      </c>
      <c r="Q38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387" s="25">
        <f>Table1[[#This Row],[current_price]]*Table1[[#This Row],[stock_quantity]]</f>
        <v>1329.6</v>
      </c>
    </row>
    <row r="388" spans="1:18" x14ac:dyDescent="0.25">
      <c r="A388" s="2" t="s">
        <v>441</v>
      </c>
      <c r="B388" s="2" t="s">
        <v>21</v>
      </c>
      <c r="C388" s="2" t="s">
        <v>22</v>
      </c>
      <c r="D388" s="2" t="s">
        <v>23</v>
      </c>
      <c r="E388" s="2" t="s">
        <v>24</v>
      </c>
      <c r="F388" s="2" t="s">
        <v>35</v>
      </c>
      <c r="G388" s="8">
        <v>85.94</v>
      </c>
      <c r="H388" s="11">
        <v>0</v>
      </c>
      <c r="I388" s="8">
        <v>85.94</v>
      </c>
      <c r="J388" s="3">
        <v>45875</v>
      </c>
      <c r="K388" s="14">
        <v>42</v>
      </c>
      <c r="L388" s="17">
        <v>4.3</v>
      </c>
      <c r="M388" s="2" t="b">
        <v>0</v>
      </c>
      <c r="N388" s="2"/>
      <c r="O388" s="2" t="str">
        <f>IF(Table1[[#This Row],[is_returned]]=TRUE,IF(Table1[[#This Row],[return_reason]]="","Error","OK"),"OK")</f>
        <v>OK</v>
      </c>
      <c r="P388" s="8">
        <f>Table1[[#This Row],[original_price]]*Table1[[#This Row],[markdown_percentage]]/100</f>
        <v>0</v>
      </c>
      <c r="Q38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388" s="25">
        <f>Table1[[#This Row],[current_price]]*Table1[[#This Row],[stock_quantity]]</f>
        <v>3609.48</v>
      </c>
    </row>
    <row r="389" spans="1:18" x14ac:dyDescent="0.25">
      <c r="A389" s="2" t="s">
        <v>442</v>
      </c>
      <c r="B389" s="2" t="s">
        <v>27</v>
      </c>
      <c r="C389" s="2" t="s">
        <v>48</v>
      </c>
      <c r="D389" s="2" t="s">
        <v>34</v>
      </c>
      <c r="E389" s="2"/>
      <c r="F389" s="2" t="s">
        <v>28</v>
      </c>
      <c r="G389" s="8">
        <v>24.64</v>
      </c>
      <c r="H389" s="11">
        <v>0</v>
      </c>
      <c r="I389" s="8">
        <v>24.64</v>
      </c>
      <c r="J389" s="3">
        <v>45875</v>
      </c>
      <c r="K389" s="14">
        <v>6</v>
      </c>
      <c r="L389" s="17">
        <v>4.4000000000000004</v>
      </c>
      <c r="M389" s="2" t="b">
        <v>0</v>
      </c>
      <c r="N389" s="2"/>
      <c r="O389" s="2" t="str">
        <f>IF(Table1[[#This Row],[is_returned]]=TRUE,IF(Table1[[#This Row],[return_reason]]="","Error","OK"),"OK")</f>
        <v>OK</v>
      </c>
      <c r="P389" s="8">
        <f>Table1[[#This Row],[original_price]]*Table1[[#This Row],[markdown_percentage]]/100</f>
        <v>0</v>
      </c>
      <c r="Q38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389" s="25">
        <f>Table1[[#This Row],[current_price]]*Table1[[#This Row],[stock_quantity]]</f>
        <v>147.84</v>
      </c>
    </row>
    <row r="390" spans="1:18" x14ac:dyDescent="0.25">
      <c r="A390" s="2" t="s">
        <v>443</v>
      </c>
      <c r="B390" s="2" t="s">
        <v>27</v>
      </c>
      <c r="C390" s="2" t="s">
        <v>32</v>
      </c>
      <c r="D390" s="2" t="s">
        <v>17</v>
      </c>
      <c r="E390" s="2"/>
      <c r="F390" s="2" t="s">
        <v>44</v>
      </c>
      <c r="G390" s="8">
        <v>28.82</v>
      </c>
      <c r="H390" s="11">
        <v>0</v>
      </c>
      <c r="I390" s="8">
        <v>28.82</v>
      </c>
      <c r="J390" s="3">
        <v>45588</v>
      </c>
      <c r="K390" s="14">
        <v>30</v>
      </c>
      <c r="L390" s="17">
        <v>2.8</v>
      </c>
      <c r="M390" s="2" t="b">
        <v>0</v>
      </c>
      <c r="N390" s="2"/>
      <c r="O390" s="2" t="str">
        <f>IF(Table1[[#This Row],[is_returned]]=TRUE,IF(Table1[[#This Row],[return_reason]]="","Error","OK"),"OK")</f>
        <v>OK</v>
      </c>
      <c r="P390" s="8">
        <f>Table1[[#This Row],[original_price]]*Table1[[#This Row],[markdown_percentage]]/100</f>
        <v>0</v>
      </c>
      <c r="Q39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390" s="25">
        <f>Table1[[#This Row],[current_price]]*Table1[[#This Row],[stock_quantity]]</f>
        <v>864.6</v>
      </c>
    </row>
    <row r="391" spans="1:18" x14ac:dyDescent="0.25">
      <c r="A391" s="2" t="s">
        <v>444</v>
      </c>
      <c r="B391" s="2" t="s">
        <v>30</v>
      </c>
      <c r="C391" s="2" t="s">
        <v>75</v>
      </c>
      <c r="D391" s="2" t="s">
        <v>62</v>
      </c>
      <c r="E391" s="2" t="s">
        <v>24</v>
      </c>
      <c r="F391" s="2" t="s">
        <v>25</v>
      </c>
      <c r="G391" s="8">
        <v>79.59</v>
      </c>
      <c r="H391" s="11">
        <v>24.3</v>
      </c>
      <c r="I391" s="8">
        <v>60.25</v>
      </c>
      <c r="J391" s="3">
        <v>45875</v>
      </c>
      <c r="K391" s="14">
        <v>37</v>
      </c>
      <c r="L391" s="17">
        <v>1.7</v>
      </c>
      <c r="M391" s="2" t="b">
        <v>0</v>
      </c>
      <c r="N391" s="2"/>
      <c r="O391" s="2" t="str">
        <f>IF(Table1[[#This Row],[is_returned]]=TRUE,IF(Table1[[#This Row],[return_reason]]="","Error","OK"),"OK")</f>
        <v>OK</v>
      </c>
      <c r="P391" s="8">
        <f>Table1[[#This Row],[original_price]]*Table1[[#This Row],[markdown_percentage]]/100</f>
        <v>19.34037</v>
      </c>
      <c r="Q39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391" s="25">
        <f>Table1[[#This Row],[current_price]]*Table1[[#This Row],[stock_quantity]]</f>
        <v>2229.25</v>
      </c>
    </row>
    <row r="392" spans="1:18" x14ac:dyDescent="0.25">
      <c r="A392" s="2" t="s">
        <v>445</v>
      </c>
      <c r="B392" s="2" t="s">
        <v>42</v>
      </c>
      <c r="C392" s="2" t="s">
        <v>61</v>
      </c>
      <c r="D392" s="2" t="s">
        <v>34</v>
      </c>
      <c r="E392" s="2" t="s">
        <v>18</v>
      </c>
      <c r="F392" s="2" t="s">
        <v>44</v>
      </c>
      <c r="G392" s="8">
        <v>49.44</v>
      </c>
      <c r="H392" s="11">
        <v>0</v>
      </c>
      <c r="I392" s="8">
        <v>49.44</v>
      </c>
      <c r="J392" s="3">
        <v>45875</v>
      </c>
      <c r="K392" s="14">
        <v>19</v>
      </c>
      <c r="L392" s="17">
        <v>3.4</v>
      </c>
      <c r="M392" s="2" t="b">
        <v>0</v>
      </c>
      <c r="N392" s="2"/>
      <c r="O392" s="2" t="str">
        <f>IF(Table1[[#This Row],[is_returned]]=TRUE,IF(Table1[[#This Row],[return_reason]]="","Error","OK"),"OK")</f>
        <v>OK</v>
      </c>
      <c r="P392" s="8">
        <f>Table1[[#This Row],[original_price]]*Table1[[#This Row],[markdown_percentage]]/100</f>
        <v>0</v>
      </c>
      <c r="Q39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392" s="25">
        <f>Table1[[#This Row],[current_price]]*Table1[[#This Row],[stock_quantity]]</f>
        <v>939.3599999999999</v>
      </c>
    </row>
    <row r="393" spans="1:18" x14ac:dyDescent="0.25">
      <c r="A393" s="2" t="s">
        <v>446</v>
      </c>
      <c r="B393" s="2" t="s">
        <v>21</v>
      </c>
      <c r="C393" s="2" t="s">
        <v>43</v>
      </c>
      <c r="D393" s="2" t="s">
        <v>23</v>
      </c>
      <c r="E393" s="2" t="s">
        <v>55</v>
      </c>
      <c r="F393" s="2" t="s">
        <v>44</v>
      </c>
      <c r="G393" s="8">
        <v>41.46</v>
      </c>
      <c r="H393" s="11">
        <v>0</v>
      </c>
      <c r="I393" s="8">
        <v>41.46</v>
      </c>
      <c r="J393" s="3">
        <v>45875</v>
      </c>
      <c r="K393" s="14">
        <v>36</v>
      </c>
      <c r="L393" s="17">
        <v>3.5</v>
      </c>
      <c r="M393" s="2" t="b">
        <v>0</v>
      </c>
      <c r="N393" s="2"/>
      <c r="O393" s="2" t="str">
        <f>IF(Table1[[#This Row],[is_returned]]=TRUE,IF(Table1[[#This Row],[return_reason]]="","Error","OK"),"OK")</f>
        <v>OK</v>
      </c>
      <c r="P393" s="8">
        <f>Table1[[#This Row],[original_price]]*Table1[[#This Row],[markdown_percentage]]/100</f>
        <v>0</v>
      </c>
      <c r="Q39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393" s="25">
        <f>Table1[[#This Row],[current_price]]*Table1[[#This Row],[stock_quantity]]</f>
        <v>1492.56</v>
      </c>
    </row>
    <row r="394" spans="1:18" x14ac:dyDescent="0.25">
      <c r="A394" s="2" t="s">
        <v>447</v>
      </c>
      <c r="B394" s="2" t="s">
        <v>42</v>
      </c>
      <c r="C394" s="2" t="s">
        <v>22</v>
      </c>
      <c r="D394" s="2" t="s">
        <v>34</v>
      </c>
      <c r="E394" s="2" t="s">
        <v>55</v>
      </c>
      <c r="F394" s="2" t="s">
        <v>56</v>
      </c>
      <c r="G394" s="8">
        <v>131.76</v>
      </c>
      <c r="H394" s="11">
        <v>35.4</v>
      </c>
      <c r="I394" s="8">
        <v>85.12</v>
      </c>
      <c r="J394" s="3">
        <v>45875</v>
      </c>
      <c r="K394" s="14">
        <v>21</v>
      </c>
      <c r="L394" s="17">
        <v>4.7</v>
      </c>
      <c r="M394" s="2" t="b">
        <v>0</v>
      </c>
      <c r="N394" s="2"/>
      <c r="O394" s="2" t="str">
        <f>IF(Table1[[#This Row],[is_returned]]=TRUE,IF(Table1[[#This Row],[return_reason]]="","Error","OK"),"OK")</f>
        <v>OK</v>
      </c>
      <c r="P394" s="8">
        <f>Table1[[#This Row],[original_price]]*Table1[[#This Row],[markdown_percentage]]/100</f>
        <v>46.643039999999992</v>
      </c>
      <c r="Q39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394" s="25">
        <f>Table1[[#This Row],[current_price]]*Table1[[#This Row],[stock_quantity]]</f>
        <v>1787.52</v>
      </c>
    </row>
    <row r="395" spans="1:18" x14ac:dyDescent="0.25">
      <c r="A395" s="2" t="s">
        <v>448</v>
      </c>
      <c r="B395" s="2" t="s">
        <v>38</v>
      </c>
      <c r="C395" s="2" t="s">
        <v>43</v>
      </c>
      <c r="D395" s="2" t="s">
        <v>34</v>
      </c>
      <c r="E395" s="2" t="s">
        <v>58</v>
      </c>
      <c r="F395" s="2" t="s">
        <v>44</v>
      </c>
      <c r="G395" s="8">
        <v>56.53</v>
      </c>
      <c r="H395" s="11">
        <v>27.9</v>
      </c>
      <c r="I395" s="8">
        <v>40.76</v>
      </c>
      <c r="J395" s="3">
        <v>45875</v>
      </c>
      <c r="K395" s="14">
        <v>22</v>
      </c>
      <c r="L395" s="17"/>
      <c r="M395" s="2" t="b">
        <v>0</v>
      </c>
      <c r="N395" s="2"/>
      <c r="O395" s="2" t="str">
        <f>IF(Table1[[#This Row],[is_returned]]=TRUE,IF(Table1[[#This Row],[return_reason]]="","Error","OK"),"OK")</f>
        <v>OK</v>
      </c>
      <c r="P395" s="8">
        <f>Table1[[#This Row],[original_price]]*Table1[[#This Row],[markdown_percentage]]/100</f>
        <v>15.77187</v>
      </c>
      <c r="Q39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395" s="25">
        <f>Table1[[#This Row],[current_price]]*Table1[[#This Row],[stock_quantity]]</f>
        <v>896.71999999999991</v>
      </c>
    </row>
    <row r="396" spans="1:18" x14ac:dyDescent="0.25">
      <c r="A396" s="2" t="s">
        <v>449</v>
      </c>
      <c r="B396" s="2" t="s">
        <v>21</v>
      </c>
      <c r="C396" s="2" t="s">
        <v>16</v>
      </c>
      <c r="D396" s="2" t="s">
        <v>23</v>
      </c>
      <c r="E396" s="2"/>
      <c r="F396" s="2" t="s">
        <v>44</v>
      </c>
      <c r="G396" s="8">
        <v>111.72</v>
      </c>
      <c r="H396" s="11">
        <v>33.299999999999997</v>
      </c>
      <c r="I396" s="8">
        <v>74.52</v>
      </c>
      <c r="J396" s="3">
        <v>45875</v>
      </c>
      <c r="K396" s="14">
        <v>47</v>
      </c>
      <c r="L396" s="17">
        <v>2</v>
      </c>
      <c r="M396" s="2" t="b">
        <v>1</v>
      </c>
      <c r="N396" s="2" t="s">
        <v>83</v>
      </c>
      <c r="O396" s="2" t="str">
        <f>IF(Table1[[#This Row],[is_returned]]=TRUE,IF(Table1[[#This Row],[return_reason]]="","Error","OK"),"OK")</f>
        <v>OK</v>
      </c>
      <c r="P396" s="8">
        <f>Table1[[#This Row],[original_price]]*Table1[[#This Row],[markdown_percentage]]/100</f>
        <v>37.202759999999998</v>
      </c>
      <c r="Q39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396" s="25">
        <f>Table1[[#This Row],[current_price]]*Table1[[#This Row],[stock_quantity]]</f>
        <v>3502.4399999999996</v>
      </c>
    </row>
    <row r="397" spans="1:18" x14ac:dyDescent="0.25">
      <c r="A397" s="2" t="s">
        <v>450</v>
      </c>
      <c r="B397" s="2" t="s">
        <v>21</v>
      </c>
      <c r="C397" s="2" t="s">
        <v>16</v>
      </c>
      <c r="D397" s="2" t="s">
        <v>23</v>
      </c>
      <c r="E397" s="2" t="s">
        <v>24</v>
      </c>
      <c r="F397" s="2" t="s">
        <v>56</v>
      </c>
      <c r="G397" s="8">
        <v>99.96</v>
      </c>
      <c r="H397" s="11">
        <v>47.6</v>
      </c>
      <c r="I397" s="8">
        <v>52.38</v>
      </c>
      <c r="J397" s="3">
        <v>45875</v>
      </c>
      <c r="K397" s="14">
        <v>18</v>
      </c>
      <c r="L397" s="17">
        <v>2</v>
      </c>
      <c r="M397" s="2" t="b">
        <v>1</v>
      </c>
      <c r="N397" s="2" t="s">
        <v>83</v>
      </c>
      <c r="O397" s="2" t="str">
        <f>IF(Table1[[#This Row],[is_returned]]=TRUE,IF(Table1[[#This Row],[return_reason]]="","Error","OK"),"OK")</f>
        <v>OK</v>
      </c>
      <c r="P397" s="8">
        <f>Table1[[#This Row],[original_price]]*Table1[[#This Row],[markdown_percentage]]/100</f>
        <v>47.580959999999997</v>
      </c>
      <c r="Q39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397" s="25">
        <f>Table1[[#This Row],[current_price]]*Table1[[#This Row],[stock_quantity]]</f>
        <v>942.84</v>
      </c>
    </row>
    <row r="398" spans="1:18" x14ac:dyDescent="0.25">
      <c r="A398" s="2" t="s">
        <v>451</v>
      </c>
      <c r="B398" s="2" t="s">
        <v>42</v>
      </c>
      <c r="C398" s="2" t="s">
        <v>22</v>
      </c>
      <c r="D398" s="2" t="s">
        <v>34</v>
      </c>
      <c r="E398" s="2" t="s">
        <v>55</v>
      </c>
      <c r="F398" s="2" t="s">
        <v>19</v>
      </c>
      <c r="G398" s="8">
        <v>110.04</v>
      </c>
      <c r="H398" s="11">
        <v>57.1</v>
      </c>
      <c r="I398" s="8">
        <v>47.21</v>
      </c>
      <c r="J398" s="3">
        <v>45875</v>
      </c>
      <c r="K398" s="14">
        <v>0</v>
      </c>
      <c r="L398" s="17">
        <v>4.7</v>
      </c>
      <c r="M398" s="2" t="b">
        <v>0</v>
      </c>
      <c r="N398" s="2"/>
      <c r="O398" s="2" t="str">
        <f>IF(Table1[[#This Row],[is_returned]]=TRUE,IF(Table1[[#This Row],[return_reason]]="","Error","OK"),"OK")</f>
        <v>OK</v>
      </c>
      <c r="P398" s="8">
        <f>Table1[[#This Row],[original_price]]*Table1[[#This Row],[markdown_percentage]]/100</f>
        <v>62.832840000000004</v>
      </c>
      <c r="Q39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398" s="25">
        <f>Table1[[#This Row],[current_price]]*Table1[[#This Row],[stock_quantity]]</f>
        <v>0</v>
      </c>
    </row>
    <row r="399" spans="1:18" x14ac:dyDescent="0.25">
      <c r="A399" s="2" t="s">
        <v>452</v>
      </c>
      <c r="B399" s="2" t="s">
        <v>42</v>
      </c>
      <c r="C399" s="2" t="s">
        <v>75</v>
      </c>
      <c r="D399" s="2" t="s">
        <v>23</v>
      </c>
      <c r="E399" s="2" t="s">
        <v>24</v>
      </c>
      <c r="F399" s="2" t="s">
        <v>44</v>
      </c>
      <c r="G399" s="8">
        <v>141.84</v>
      </c>
      <c r="H399" s="11">
        <v>0</v>
      </c>
      <c r="I399" s="8">
        <v>141.84</v>
      </c>
      <c r="J399" s="3">
        <v>45875</v>
      </c>
      <c r="K399" s="14">
        <v>39</v>
      </c>
      <c r="L399" s="17">
        <v>1.7</v>
      </c>
      <c r="M399" s="2" t="b">
        <v>0</v>
      </c>
      <c r="N399" s="2"/>
      <c r="O399" s="2" t="str">
        <f>IF(Table1[[#This Row],[is_returned]]=TRUE,IF(Table1[[#This Row],[return_reason]]="","Error","OK"),"OK")</f>
        <v>OK</v>
      </c>
      <c r="P399" s="8">
        <f>Table1[[#This Row],[original_price]]*Table1[[#This Row],[markdown_percentage]]/100</f>
        <v>0</v>
      </c>
      <c r="Q39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399" s="25">
        <f>Table1[[#This Row],[current_price]]*Table1[[#This Row],[stock_quantity]]</f>
        <v>5531.76</v>
      </c>
    </row>
    <row r="400" spans="1:18" x14ac:dyDescent="0.25">
      <c r="A400" s="2" t="s">
        <v>453</v>
      </c>
      <c r="B400" s="2" t="s">
        <v>27</v>
      </c>
      <c r="C400" s="2" t="s">
        <v>48</v>
      </c>
      <c r="D400" s="2" t="s">
        <v>23</v>
      </c>
      <c r="E400" s="2"/>
      <c r="F400" s="2" t="s">
        <v>70</v>
      </c>
      <c r="G400" s="8">
        <v>32.630000000000003</v>
      </c>
      <c r="H400" s="11">
        <v>42.9</v>
      </c>
      <c r="I400" s="8">
        <v>18.63</v>
      </c>
      <c r="J400" s="3">
        <v>45875</v>
      </c>
      <c r="K400" s="14">
        <v>5</v>
      </c>
      <c r="L400" s="17">
        <v>1.1000000000000001</v>
      </c>
      <c r="M400" s="2" t="b">
        <v>0</v>
      </c>
      <c r="N400" s="2"/>
      <c r="O400" s="2" t="str">
        <f>IF(Table1[[#This Row],[is_returned]]=TRUE,IF(Table1[[#This Row],[return_reason]]="","Error","OK"),"OK")</f>
        <v>OK</v>
      </c>
      <c r="P400" s="8">
        <f>Table1[[#This Row],[original_price]]*Table1[[#This Row],[markdown_percentage]]/100</f>
        <v>13.99827</v>
      </c>
      <c r="Q40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400" s="25">
        <f>Table1[[#This Row],[current_price]]*Table1[[#This Row],[stock_quantity]]</f>
        <v>93.149999999999991</v>
      </c>
    </row>
    <row r="401" spans="1:18" x14ac:dyDescent="0.25">
      <c r="A401" s="2" t="s">
        <v>454</v>
      </c>
      <c r="B401" s="2" t="s">
        <v>15</v>
      </c>
      <c r="C401" s="2" t="s">
        <v>16</v>
      </c>
      <c r="D401" s="2" t="s">
        <v>17</v>
      </c>
      <c r="E401" s="2" t="s">
        <v>24</v>
      </c>
      <c r="F401" s="2" t="s">
        <v>28</v>
      </c>
      <c r="G401" s="8">
        <v>189.68</v>
      </c>
      <c r="H401" s="11">
        <v>40.799999999999997</v>
      </c>
      <c r="I401" s="8">
        <v>112.29</v>
      </c>
      <c r="J401" s="3">
        <v>45556</v>
      </c>
      <c r="K401" s="14">
        <v>27</v>
      </c>
      <c r="L401" s="17">
        <v>1.8</v>
      </c>
      <c r="M401" s="2" t="b">
        <v>1</v>
      </c>
      <c r="N401" s="2" t="s">
        <v>78</v>
      </c>
      <c r="O401" s="2" t="str">
        <f>IF(Table1[[#This Row],[is_returned]]=TRUE,IF(Table1[[#This Row],[return_reason]]="","Error","OK"),"OK")</f>
        <v>OK</v>
      </c>
      <c r="P401" s="8">
        <f>Table1[[#This Row],[original_price]]*Table1[[#This Row],[markdown_percentage]]/100</f>
        <v>77.389439999999993</v>
      </c>
      <c r="Q40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401" s="25">
        <f>Table1[[#This Row],[current_price]]*Table1[[#This Row],[stock_quantity]]</f>
        <v>3031.8300000000004</v>
      </c>
    </row>
    <row r="402" spans="1:18" x14ac:dyDescent="0.25">
      <c r="A402" s="2" t="s">
        <v>455</v>
      </c>
      <c r="B402" s="2" t="s">
        <v>42</v>
      </c>
      <c r="C402" s="2" t="s">
        <v>53</v>
      </c>
      <c r="D402" s="2" t="s">
        <v>34</v>
      </c>
      <c r="E402" s="2" t="s">
        <v>18</v>
      </c>
      <c r="F402" s="2" t="s">
        <v>25</v>
      </c>
      <c r="G402" s="8">
        <v>150.88999999999999</v>
      </c>
      <c r="H402" s="11">
        <v>46.8</v>
      </c>
      <c r="I402" s="8">
        <v>80.27</v>
      </c>
      <c r="J402" s="3">
        <v>45875</v>
      </c>
      <c r="K402" s="14">
        <v>18</v>
      </c>
      <c r="L402" s="17">
        <v>4.9000000000000004</v>
      </c>
      <c r="M402" s="2" t="b">
        <v>0</v>
      </c>
      <c r="N402" s="2"/>
      <c r="O402" s="2" t="str">
        <f>IF(Table1[[#This Row],[is_returned]]=TRUE,IF(Table1[[#This Row],[return_reason]]="","Error","OK"),"OK")</f>
        <v>OK</v>
      </c>
      <c r="P402" s="8">
        <f>Table1[[#This Row],[original_price]]*Table1[[#This Row],[markdown_percentage]]/100</f>
        <v>70.616519999999994</v>
      </c>
      <c r="Q40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402" s="25">
        <f>Table1[[#This Row],[current_price]]*Table1[[#This Row],[stock_quantity]]</f>
        <v>1444.86</v>
      </c>
    </row>
    <row r="403" spans="1:18" x14ac:dyDescent="0.25">
      <c r="A403" s="2" t="s">
        <v>456</v>
      </c>
      <c r="B403" s="2" t="s">
        <v>27</v>
      </c>
      <c r="C403" s="2" t="s">
        <v>61</v>
      </c>
      <c r="D403" s="2" t="s">
        <v>34</v>
      </c>
      <c r="E403" s="2"/>
      <c r="F403" s="2" t="s">
        <v>64</v>
      </c>
      <c r="G403" s="8">
        <v>42.66</v>
      </c>
      <c r="H403" s="11">
        <v>21.5</v>
      </c>
      <c r="I403" s="8">
        <v>33.49</v>
      </c>
      <c r="J403" s="3">
        <v>45875</v>
      </c>
      <c r="K403" s="14">
        <v>16</v>
      </c>
      <c r="L403" s="17"/>
      <c r="M403" s="2" t="b">
        <v>0</v>
      </c>
      <c r="N403" s="2"/>
      <c r="O403" s="2" t="str">
        <f>IF(Table1[[#This Row],[is_returned]]=TRUE,IF(Table1[[#This Row],[return_reason]]="","Error","OK"),"OK")</f>
        <v>OK</v>
      </c>
      <c r="P403" s="8">
        <f>Table1[[#This Row],[original_price]]*Table1[[#This Row],[markdown_percentage]]/100</f>
        <v>9.1718999999999991</v>
      </c>
      <c r="Q40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403" s="25">
        <f>Table1[[#This Row],[current_price]]*Table1[[#This Row],[stock_quantity]]</f>
        <v>535.84</v>
      </c>
    </row>
    <row r="404" spans="1:18" x14ac:dyDescent="0.25">
      <c r="A404" s="2" t="s">
        <v>457</v>
      </c>
      <c r="B404" s="2" t="s">
        <v>27</v>
      </c>
      <c r="C404" s="2" t="s">
        <v>22</v>
      </c>
      <c r="D404" s="2" t="s">
        <v>34</v>
      </c>
      <c r="E404" s="2"/>
      <c r="F404" s="2" t="s">
        <v>19</v>
      </c>
      <c r="G404" s="8">
        <v>62.05</v>
      </c>
      <c r="H404" s="11">
        <v>0</v>
      </c>
      <c r="I404" s="8">
        <v>62.05</v>
      </c>
      <c r="J404" s="3">
        <v>45875</v>
      </c>
      <c r="K404" s="14">
        <v>50</v>
      </c>
      <c r="L404" s="17">
        <v>1.4</v>
      </c>
      <c r="M404" s="2" t="b">
        <v>1</v>
      </c>
      <c r="N404" s="2" t="s">
        <v>115</v>
      </c>
      <c r="O404" s="2" t="str">
        <f>IF(Table1[[#This Row],[is_returned]]=TRUE,IF(Table1[[#This Row],[return_reason]]="","Error","OK"),"OK")</f>
        <v>OK</v>
      </c>
      <c r="P404" s="8">
        <f>Table1[[#This Row],[original_price]]*Table1[[#This Row],[markdown_percentage]]/100</f>
        <v>0</v>
      </c>
      <c r="Q40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404" s="25">
        <f>Table1[[#This Row],[current_price]]*Table1[[#This Row],[stock_quantity]]</f>
        <v>3102.5</v>
      </c>
    </row>
    <row r="405" spans="1:18" x14ac:dyDescent="0.25">
      <c r="A405" s="2" t="s">
        <v>458</v>
      </c>
      <c r="B405" s="2" t="s">
        <v>27</v>
      </c>
      <c r="C405" s="2" t="s">
        <v>32</v>
      </c>
      <c r="D405" s="2" t="s">
        <v>23</v>
      </c>
      <c r="E405" s="2"/>
      <c r="F405" s="2" t="s">
        <v>46</v>
      </c>
      <c r="G405" s="8">
        <v>74.319999999999993</v>
      </c>
      <c r="H405" s="11">
        <v>0</v>
      </c>
      <c r="I405" s="8">
        <v>74.319999999999993</v>
      </c>
      <c r="J405" s="3">
        <v>45875</v>
      </c>
      <c r="K405" s="14">
        <v>4</v>
      </c>
      <c r="L405" s="17">
        <v>2.2000000000000002</v>
      </c>
      <c r="M405" s="2" t="b">
        <v>0</v>
      </c>
      <c r="N405" s="2"/>
      <c r="O405" s="2" t="str">
        <f>IF(Table1[[#This Row],[is_returned]]=TRUE,IF(Table1[[#This Row],[return_reason]]="","Error","OK"),"OK")</f>
        <v>OK</v>
      </c>
      <c r="P405" s="8">
        <f>Table1[[#This Row],[original_price]]*Table1[[#This Row],[markdown_percentage]]/100</f>
        <v>0</v>
      </c>
      <c r="Q40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405" s="25">
        <f>Table1[[#This Row],[current_price]]*Table1[[#This Row],[stock_quantity]]</f>
        <v>297.27999999999997</v>
      </c>
    </row>
    <row r="406" spans="1:18" x14ac:dyDescent="0.25">
      <c r="A406" s="2" t="s">
        <v>459</v>
      </c>
      <c r="B406" s="2" t="s">
        <v>15</v>
      </c>
      <c r="C406" s="2" t="s">
        <v>22</v>
      </c>
      <c r="D406" s="2" t="s">
        <v>23</v>
      </c>
      <c r="E406" s="2" t="s">
        <v>55</v>
      </c>
      <c r="F406" s="2" t="s">
        <v>64</v>
      </c>
      <c r="G406" s="8">
        <v>217.34</v>
      </c>
      <c r="H406" s="11">
        <v>0</v>
      </c>
      <c r="I406" s="8">
        <v>217.34</v>
      </c>
      <c r="J406" s="3">
        <v>45875</v>
      </c>
      <c r="K406" s="14">
        <v>4</v>
      </c>
      <c r="L406" s="17">
        <v>4.2</v>
      </c>
      <c r="M406" s="2" t="b">
        <v>0</v>
      </c>
      <c r="N406" s="2"/>
      <c r="O406" s="2" t="str">
        <f>IF(Table1[[#This Row],[is_returned]]=TRUE,IF(Table1[[#This Row],[return_reason]]="","Error","OK"),"OK")</f>
        <v>OK</v>
      </c>
      <c r="P406" s="8">
        <f>Table1[[#This Row],[original_price]]*Table1[[#This Row],[markdown_percentage]]/100</f>
        <v>0</v>
      </c>
      <c r="Q40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406" s="25">
        <f>Table1[[#This Row],[current_price]]*Table1[[#This Row],[stock_quantity]]</f>
        <v>869.36</v>
      </c>
    </row>
    <row r="407" spans="1:18" x14ac:dyDescent="0.25">
      <c r="A407" s="2" t="s">
        <v>460</v>
      </c>
      <c r="B407" s="2" t="s">
        <v>21</v>
      </c>
      <c r="C407" s="2" t="s">
        <v>16</v>
      </c>
      <c r="D407" s="2" t="s">
        <v>62</v>
      </c>
      <c r="E407" s="2" t="s">
        <v>18</v>
      </c>
      <c r="F407" s="2" t="s">
        <v>35</v>
      </c>
      <c r="G407" s="8">
        <v>111.14</v>
      </c>
      <c r="H407" s="11">
        <v>56.7</v>
      </c>
      <c r="I407" s="8">
        <v>48.12</v>
      </c>
      <c r="J407" s="3">
        <v>45875</v>
      </c>
      <c r="K407" s="14">
        <v>29</v>
      </c>
      <c r="L407" s="17">
        <v>1.5</v>
      </c>
      <c r="M407" s="2" t="b">
        <v>0</v>
      </c>
      <c r="N407" s="2"/>
      <c r="O407" s="2" t="str">
        <f>IF(Table1[[#This Row],[is_returned]]=TRUE,IF(Table1[[#This Row],[return_reason]]="","Error","OK"),"OK")</f>
        <v>OK</v>
      </c>
      <c r="P407" s="8">
        <f>Table1[[#This Row],[original_price]]*Table1[[#This Row],[markdown_percentage]]/100</f>
        <v>63.016379999999998</v>
      </c>
      <c r="Q40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407" s="25">
        <f>Table1[[#This Row],[current_price]]*Table1[[#This Row],[stock_quantity]]</f>
        <v>1395.48</v>
      </c>
    </row>
    <row r="408" spans="1:18" x14ac:dyDescent="0.25">
      <c r="A408" s="2" t="s">
        <v>461</v>
      </c>
      <c r="B408" s="2" t="s">
        <v>30</v>
      </c>
      <c r="C408" s="2" t="s">
        <v>48</v>
      </c>
      <c r="D408" s="2" t="s">
        <v>23</v>
      </c>
      <c r="E408" s="2" t="s">
        <v>18</v>
      </c>
      <c r="F408" s="2" t="s">
        <v>64</v>
      </c>
      <c r="G408" s="8">
        <v>62.5</v>
      </c>
      <c r="H408" s="11">
        <v>0</v>
      </c>
      <c r="I408" s="8">
        <v>62.5</v>
      </c>
      <c r="J408" s="3">
        <v>45875</v>
      </c>
      <c r="K408" s="14">
        <v>0</v>
      </c>
      <c r="L408" s="17">
        <v>1.9</v>
      </c>
      <c r="M408" s="2" t="b">
        <v>1</v>
      </c>
      <c r="N408" s="2" t="s">
        <v>115</v>
      </c>
      <c r="O408" s="2" t="str">
        <f>IF(Table1[[#This Row],[is_returned]]=TRUE,IF(Table1[[#This Row],[return_reason]]="","Error","OK"),"OK")</f>
        <v>OK</v>
      </c>
      <c r="P408" s="8">
        <f>Table1[[#This Row],[original_price]]*Table1[[#This Row],[markdown_percentage]]/100</f>
        <v>0</v>
      </c>
      <c r="Q40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408" s="25">
        <f>Table1[[#This Row],[current_price]]*Table1[[#This Row],[stock_quantity]]</f>
        <v>0</v>
      </c>
    </row>
    <row r="409" spans="1:18" x14ac:dyDescent="0.25">
      <c r="A409" s="2" t="s">
        <v>462</v>
      </c>
      <c r="B409" s="2" t="s">
        <v>15</v>
      </c>
      <c r="C409" s="2" t="s">
        <v>32</v>
      </c>
      <c r="D409" s="2" t="s">
        <v>23</v>
      </c>
      <c r="E409" s="2" t="s">
        <v>55</v>
      </c>
      <c r="F409" s="2" t="s">
        <v>44</v>
      </c>
      <c r="G409" s="8">
        <v>165.88</v>
      </c>
      <c r="H409" s="11">
        <v>3.4</v>
      </c>
      <c r="I409" s="8">
        <v>160.24</v>
      </c>
      <c r="J409" s="3">
        <v>45875</v>
      </c>
      <c r="K409" s="14">
        <v>42</v>
      </c>
      <c r="L409" s="17">
        <v>2.4</v>
      </c>
      <c r="M409" s="2" t="b">
        <v>0</v>
      </c>
      <c r="N409" s="2"/>
      <c r="O409" s="2" t="str">
        <f>IF(Table1[[#This Row],[is_returned]]=TRUE,IF(Table1[[#This Row],[return_reason]]="","Error","OK"),"OK")</f>
        <v>OK</v>
      </c>
      <c r="P409" s="8">
        <f>Table1[[#This Row],[original_price]]*Table1[[#This Row],[markdown_percentage]]/100</f>
        <v>5.63992</v>
      </c>
      <c r="Q40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409" s="25">
        <f>Table1[[#This Row],[current_price]]*Table1[[#This Row],[stock_quantity]]</f>
        <v>6730.08</v>
      </c>
    </row>
    <row r="410" spans="1:18" x14ac:dyDescent="0.25">
      <c r="A410" s="2" t="s">
        <v>463</v>
      </c>
      <c r="B410" s="2" t="s">
        <v>15</v>
      </c>
      <c r="C410" s="2" t="s">
        <v>61</v>
      </c>
      <c r="D410" s="2" t="s">
        <v>34</v>
      </c>
      <c r="E410" s="2" t="s">
        <v>55</v>
      </c>
      <c r="F410" s="2" t="s">
        <v>70</v>
      </c>
      <c r="G410" s="8">
        <v>179.8</v>
      </c>
      <c r="H410" s="11">
        <v>0</v>
      </c>
      <c r="I410" s="8">
        <v>179.8</v>
      </c>
      <c r="J410" s="3">
        <v>45875</v>
      </c>
      <c r="K410" s="14">
        <v>25</v>
      </c>
      <c r="L410" s="17">
        <v>1.7</v>
      </c>
      <c r="M410" s="2" t="b">
        <v>0</v>
      </c>
      <c r="N410" s="2"/>
      <c r="O410" s="2" t="str">
        <f>IF(Table1[[#This Row],[is_returned]]=TRUE,IF(Table1[[#This Row],[return_reason]]="","Error","OK"),"OK")</f>
        <v>OK</v>
      </c>
      <c r="P410" s="8">
        <f>Table1[[#This Row],[original_price]]*Table1[[#This Row],[markdown_percentage]]/100</f>
        <v>0</v>
      </c>
      <c r="Q41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410" s="25">
        <f>Table1[[#This Row],[current_price]]*Table1[[#This Row],[stock_quantity]]</f>
        <v>4495</v>
      </c>
    </row>
    <row r="411" spans="1:18" x14ac:dyDescent="0.25">
      <c r="A411" s="2" t="s">
        <v>464</v>
      </c>
      <c r="B411" s="2" t="s">
        <v>27</v>
      </c>
      <c r="C411" s="2" t="s">
        <v>16</v>
      </c>
      <c r="D411" s="2" t="s">
        <v>62</v>
      </c>
      <c r="E411" s="2"/>
      <c r="F411" s="2" t="s">
        <v>56</v>
      </c>
      <c r="G411" s="8">
        <v>34.15</v>
      </c>
      <c r="H411" s="11">
        <v>0</v>
      </c>
      <c r="I411" s="8">
        <v>34.15</v>
      </c>
      <c r="J411" s="3">
        <v>45875</v>
      </c>
      <c r="K411" s="14">
        <v>27</v>
      </c>
      <c r="L411" s="17">
        <v>4.0999999999999996</v>
      </c>
      <c r="M411" s="2" t="b">
        <v>0</v>
      </c>
      <c r="N411" s="2"/>
      <c r="O411" s="2" t="str">
        <f>IF(Table1[[#This Row],[is_returned]]=TRUE,IF(Table1[[#This Row],[return_reason]]="","Error","OK"),"OK")</f>
        <v>OK</v>
      </c>
      <c r="P411" s="8">
        <f>Table1[[#This Row],[original_price]]*Table1[[#This Row],[markdown_percentage]]/100</f>
        <v>0</v>
      </c>
      <c r="Q41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411" s="25">
        <f>Table1[[#This Row],[current_price]]*Table1[[#This Row],[stock_quantity]]</f>
        <v>922.05</v>
      </c>
    </row>
    <row r="412" spans="1:18" x14ac:dyDescent="0.25">
      <c r="A412" s="2" t="s">
        <v>465</v>
      </c>
      <c r="B412" s="2" t="s">
        <v>21</v>
      </c>
      <c r="C412" s="2" t="s">
        <v>61</v>
      </c>
      <c r="D412" s="2" t="s">
        <v>17</v>
      </c>
      <c r="E412" s="2" t="s">
        <v>55</v>
      </c>
      <c r="F412" s="2" t="s">
        <v>46</v>
      </c>
      <c r="G412" s="8">
        <v>101.88</v>
      </c>
      <c r="H412" s="11">
        <v>0</v>
      </c>
      <c r="I412" s="8">
        <v>101.88</v>
      </c>
      <c r="J412" s="3">
        <v>45730</v>
      </c>
      <c r="K412" s="14">
        <v>46</v>
      </c>
      <c r="L412" s="17"/>
      <c r="M412" s="2" t="b">
        <v>1</v>
      </c>
      <c r="N412" s="2" t="s">
        <v>73</v>
      </c>
      <c r="O412" s="2" t="str">
        <f>IF(Table1[[#This Row],[is_returned]]=TRUE,IF(Table1[[#This Row],[return_reason]]="","Error","OK"),"OK")</f>
        <v>OK</v>
      </c>
      <c r="P412" s="8">
        <f>Table1[[#This Row],[original_price]]*Table1[[#This Row],[markdown_percentage]]/100</f>
        <v>0</v>
      </c>
      <c r="Q41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412" s="25">
        <f>Table1[[#This Row],[current_price]]*Table1[[#This Row],[stock_quantity]]</f>
        <v>4686.4799999999996</v>
      </c>
    </row>
    <row r="413" spans="1:18" x14ac:dyDescent="0.25">
      <c r="A413" s="2" t="s">
        <v>466</v>
      </c>
      <c r="B413" s="2" t="s">
        <v>30</v>
      </c>
      <c r="C413" s="2" t="s">
        <v>32</v>
      </c>
      <c r="D413" s="2" t="s">
        <v>62</v>
      </c>
      <c r="E413" s="2" t="s">
        <v>18</v>
      </c>
      <c r="F413" s="2" t="s">
        <v>44</v>
      </c>
      <c r="G413" s="8">
        <v>187.58</v>
      </c>
      <c r="H413" s="11">
        <v>0</v>
      </c>
      <c r="I413" s="8">
        <v>187.58</v>
      </c>
      <c r="J413" s="3">
        <v>45875</v>
      </c>
      <c r="K413" s="14">
        <v>46</v>
      </c>
      <c r="L413" s="17">
        <v>2.9</v>
      </c>
      <c r="M413" s="2" t="b">
        <v>0</v>
      </c>
      <c r="N413" s="2"/>
      <c r="O413" s="2" t="str">
        <f>IF(Table1[[#This Row],[is_returned]]=TRUE,IF(Table1[[#This Row],[return_reason]]="","Error","OK"),"OK")</f>
        <v>OK</v>
      </c>
      <c r="P413" s="8">
        <f>Table1[[#This Row],[original_price]]*Table1[[#This Row],[markdown_percentage]]/100</f>
        <v>0</v>
      </c>
      <c r="Q41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413" s="25">
        <f>Table1[[#This Row],[current_price]]*Table1[[#This Row],[stock_quantity]]</f>
        <v>8628.68</v>
      </c>
    </row>
    <row r="414" spans="1:18" x14ac:dyDescent="0.25">
      <c r="A414" s="2" t="s">
        <v>467</v>
      </c>
      <c r="B414" s="2" t="s">
        <v>15</v>
      </c>
      <c r="C414" s="2" t="s">
        <v>53</v>
      </c>
      <c r="D414" s="2" t="s">
        <v>34</v>
      </c>
      <c r="E414" s="2" t="s">
        <v>24</v>
      </c>
      <c r="F414" s="2" t="s">
        <v>25</v>
      </c>
      <c r="G414" s="8">
        <v>145.02000000000001</v>
      </c>
      <c r="H414" s="11">
        <v>0</v>
      </c>
      <c r="I414" s="8">
        <v>145.02000000000001</v>
      </c>
      <c r="J414" s="3">
        <v>45875</v>
      </c>
      <c r="K414" s="14">
        <v>36</v>
      </c>
      <c r="L414" s="17">
        <v>2.6</v>
      </c>
      <c r="M414" s="2" t="b">
        <v>0</v>
      </c>
      <c r="N414" s="2"/>
      <c r="O414" s="2" t="str">
        <f>IF(Table1[[#This Row],[is_returned]]=TRUE,IF(Table1[[#This Row],[return_reason]]="","Error","OK"),"OK")</f>
        <v>OK</v>
      </c>
      <c r="P414" s="8">
        <f>Table1[[#This Row],[original_price]]*Table1[[#This Row],[markdown_percentage]]/100</f>
        <v>0</v>
      </c>
      <c r="Q41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414" s="25">
        <f>Table1[[#This Row],[current_price]]*Table1[[#This Row],[stock_quantity]]</f>
        <v>5220.72</v>
      </c>
    </row>
    <row r="415" spans="1:18" x14ac:dyDescent="0.25">
      <c r="A415" s="2" t="s">
        <v>468</v>
      </c>
      <c r="B415" s="2" t="s">
        <v>38</v>
      </c>
      <c r="C415" s="2" t="s">
        <v>61</v>
      </c>
      <c r="D415" s="2" t="s">
        <v>62</v>
      </c>
      <c r="E415" s="2" t="s">
        <v>55</v>
      </c>
      <c r="F415" s="2" t="s">
        <v>44</v>
      </c>
      <c r="G415" s="8">
        <v>101.61</v>
      </c>
      <c r="H415" s="11">
        <v>26.9</v>
      </c>
      <c r="I415" s="8">
        <v>74.28</v>
      </c>
      <c r="J415" s="3">
        <v>45875</v>
      </c>
      <c r="K415" s="14">
        <v>38</v>
      </c>
      <c r="L415" s="17">
        <v>3.4</v>
      </c>
      <c r="M415" s="2" t="b">
        <v>1</v>
      </c>
      <c r="N415" s="2" t="s">
        <v>78</v>
      </c>
      <c r="O415" s="2" t="str">
        <f>IF(Table1[[#This Row],[is_returned]]=TRUE,IF(Table1[[#This Row],[return_reason]]="","Error","OK"),"OK")</f>
        <v>OK</v>
      </c>
      <c r="P415" s="8">
        <f>Table1[[#This Row],[original_price]]*Table1[[#This Row],[markdown_percentage]]/100</f>
        <v>27.333089999999999</v>
      </c>
      <c r="Q41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415" s="25">
        <f>Table1[[#This Row],[current_price]]*Table1[[#This Row],[stock_quantity]]</f>
        <v>2822.64</v>
      </c>
    </row>
    <row r="416" spans="1:18" x14ac:dyDescent="0.25">
      <c r="A416" s="2" t="s">
        <v>469</v>
      </c>
      <c r="B416" s="2" t="s">
        <v>42</v>
      </c>
      <c r="C416" s="2" t="s">
        <v>48</v>
      </c>
      <c r="D416" s="2" t="s">
        <v>34</v>
      </c>
      <c r="E416" s="2" t="s">
        <v>49</v>
      </c>
      <c r="F416" s="2" t="s">
        <v>56</v>
      </c>
      <c r="G416" s="8">
        <v>71.14</v>
      </c>
      <c r="H416" s="11">
        <v>0</v>
      </c>
      <c r="I416" s="8">
        <v>71.14</v>
      </c>
      <c r="J416" s="3">
        <v>45875</v>
      </c>
      <c r="K416" s="14">
        <v>33</v>
      </c>
      <c r="L416" s="17">
        <v>3.1</v>
      </c>
      <c r="M416" s="2" t="b">
        <v>0</v>
      </c>
      <c r="N416" s="2"/>
      <c r="O416" s="2" t="str">
        <f>IF(Table1[[#This Row],[is_returned]]=TRUE,IF(Table1[[#This Row],[return_reason]]="","Error","OK"),"OK")</f>
        <v>OK</v>
      </c>
      <c r="P416" s="8">
        <f>Table1[[#This Row],[original_price]]*Table1[[#This Row],[markdown_percentage]]/100</f>
        <v>0</v>
      </c>
      <c r="Q41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416" s="25">
        <f>Table1[[#This Row],[current_price]]*Table1[[#This Row],[stock_quantity]]</f>
        <v>2347.62</v>
      </c>
    </row>
    <row r="417" spans="1:18" x14ac:dyDescent="0.25">
      <c r="A417" s="2" t="s">
        <v>470</v>
      </c>
      <c r="B417" s="2" t="s">
        <v>42</v>
      </c>
      <c r="C417" s="2" t="s">
        <v>53</v>
      </c>
      <c r="D417" s="2" t="s">
        <v>62</v>
      </c>
      <c r="E417" s="2" t="s">
        <v>58</v>
      </c>
      <c r="F417" s="2" t="s">
        <v>46</v>
      </c>
      <c r="G417" s="8">
        <v>55.21</v>
      </c>
      <c r="H417" s="11">
        <v>0</v>
      </c>
      <c r="I417" s="8">
        <v>55.21</v>
      </c>
      <c r="J417" s="3">
        <v>45875</v>
      </c>
      <c r="K417" s="14">
        <v>2</v>
      </c>
      <c r="L417" s="17">
        <v>3.8</v>
      </c>
      <c r="M417" s="2" t="b">
        <v>1</v>
      </c>
      <c r="N417" s="2" t="s">
        <v>125</v>
      </c>
      <c r="O417" s="2" t="str">
        <f>IF(Table1[[#This Row],[is_returned]]=TRUE,IF(Table1[[#This Row],[return_reason]]="","Error","OK"),"OK")</f>
        <v>OK</v>
      </c>
      <c r="P417" s="8">
        <f>Table1[[#This Row],[original_price]]*Table1[[#This Row],[markdown_percentage]]/100</f>
        <v>0</v>
      </c>
      <c r="Q41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417" s="25">
        <f>Table1[[#This Row],[current_price]]*Table1[[#This Row],[stock_quantity]]</f>
        <v>110.42</v>
      </c>
    </row>
    <row r="418" spans="1:18" x14ac:dyDescent="0.25">
      <c r="A418" s="2" t="s">
        <v>471</v>
      </c>
      <c r="B418" s="2" t="s">
        <v>21</v>
      </c>
      <c r="C418" s="2" t="s">
        <v>16</v>
      </c>
      <c r="D418" s="2" t="s">
        <v>62</v>
      </c>
      <c r="E418" s="2" t="s">
        <v>49</v>
      </c>
      <c r="F418" s="2" t="s">
        <v>28</v>
      </c>
      <c r="G418" s="8">
        <v>94.96</v>
      </c>
      <c r="H418" s="11">
        <v>35.4</v>
      </c>
      <c r="I418" s="8">
        <v>61.34</v>
      </c>
      <c r="J418" s="3">
        <v>45875</v>
      </c>
      <c r="K418" s="14">
        <v>34</v>
      </c>
      <c r="L418" s="17">
        <v>3.9</v>
      </c>
      <c r="M418" s="2" t="b">
        <v>0</v>
      </c>
      <c r="N418" s="2"/>
      <c r="O418" s="2" t="str">
        <f>IF(Table1[[#This Row],[is_returned]]=TRUE,IF(Table1[[#This Row],[return_reason]]="","Error","OK"),"OK")</f>
        <v>OK</v>
      </c>
      <c r="P418" s="8">
        <f>Table1[[#This Row],[original_price]]*Table1[[#This Row],[markdown_percentage]]/100</f>
        <v>33.615839999999999</v>
      </c>
      <c r="Q41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418" s="25">
        <f>Table1[[#This Row],[current_price]]*Table1[[#This Row],[stock_quantity]]</f>
        <v>2085.56</v>
      </c>
    </row>
    <row r="419" spans="1:18" x14ac:dyDescent="0.25">
      <c r="A419" s="2" t="s">
        <v>472</v>
      </c>
      <c r="B419" s="2" t="s">
        <v>30</v>
      </c>
      <c r="C419" s="2" t="s">
        <v>43</v>
      </c>
      <c r="D419" s="2" t="s">
        <v>17</v>
      </c>
      <c r="E419" s="2" t="s">
        <v>58</v>
      </c>
      <c r="F419" s="2" t="s">
        <v>66</v>
      </c>
      <c r="G419" s="8">
        <v>138.69</v>
      </c>
      <c r="H419" s="11">
        <v>0</v>
      </c>
      <c r="I419" s="8">
        <v>138.69</v>
      </c>
      <c r="J419" s="3">
        <v>45628</v>
      </c>
      <c r="K419" s="14">
        <v>0</v>
      </c>
      <c r="L419" s="17">
        <v>2.9</v>
      </c>
      <c r="M419" s="2" t="b">
        <v>0</v>
      </c>
      <c r="N419" s="2"/>
      <c r="O419" s="2" t="str">
        <f>IF(Table1[[#This Row],[is_returned]]=TRUE,IF(Table1[[#This Row],[return_reason]]="","Error","OK"),"OK")</f>
        <v>OK</v>
      </c>
      <c r="P419" s="8">
        <f>Table1[[#This Row],[original_price]]*Table1[[#This Row],[markdown_percentage]]/100</f>
        <v>0</v>
      </c>
      <c r="Q41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419" s="25">
        <f>Table1[[#This Row],[current_price]]*Table1[[#This Row],[stock_quantity]]</f>
        <v>0</v>
      </c>
    </row>
    <row r="420" spans="1:18" x14ac:dyDescent="0.25">
      <c r="A420" s="2" t="s">
        <v>473</v>
      </c>
      <c r="B420" s="2" t="s">
        <v>15</v>
      </c>
      <c r="C420" s="2" t="s">
        <v>61</v>
      </c>
      <c r="D420" s="2" t="s">
        <v>17</v>
      </c>
      <c r="E420" s="2" t="s">
        <v>49</v>
      </c>
      <c r="F420" s="2" t="s">
        <v>64</v>
      </c>
      <c r="G420" s="8">
        <v>175.7</v>
      </c>
      <c r="H420" s="11">
        <v>0</v>
      </c>
      <c r="I420" s="8">
        <v>175.7</v>
      </c>
      <c r="J420" s="3">
        <v>45711</v>
      </c>
      <c r="K420" s="14">
        <v>20</v>
      </c>
      <c r="L420" s="17">
        <v>3</v>
      </c>
      <c r="M420" s="2" t="b">
        <v>0</v>
      </c>
      <c r="N420" s="2"/>
      <c r="O420" s="2" t="str">
        <f>IF(Table1[[#This Row],[is_returned]]=TRUE,IF(Table1[[#This Row],[return_reason]]="","Error","OK"),"OK")</f>
        <v>OK</v>
      </c>
      <c r="P420" s="8">
        <f>Table1[[#This Row],[original_price]]*Table1[[#This Row],[markdown_percentage]]/100</f>
        <v>0</v>
      </c>
      <c r="Q42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420" s="25">
        <f>Table1[[#This Row],[current_price]]*Table1[[#This Row],[stock_quantity]]</f>
        <v>3514</v>
      </c>
    </row>
    <row r="421" spans="1:18" x14ac:dyDescent="0.25">
      <c r="A421" s="2" t="s">
        <v>474</v>
      </c>
      <c r="B421" s="2" t="s">
        <v>30</v>
      </c>
      <c r="C421" s="2" t="s">
        <v>22</v>
      </c>
      <c r="D421" s="2" t="s">
        <v>62</v>
      </c>
      <c r="E421" s="2" t="s">
        <v>55</v>
      </c>
      <c r="F421" s="2" t="s">
        <v>28</v>
      </c>
      <c r="G421" s="8">
        <v>145.18</v>
      </c>
      <c r="H421" s="11">
        <v>35.700000000000003</v>
      </c>
      <c r="I421" s="8">
        <v>93.35</v>
      </c>
      <c r="J421" s="3">
        <v>45875</v>
      </c>
      <c r="K421" s="14">
        <v>25</v>
      </c>
      <c r="L421" s="17">
        <v>2.2000000000000002</v>
      </c>
      <c r="M421" s="2" t="b">
        <v>0</v>
      </c>
      <c r="N421" s="2"/>
      <c r="O421" s="2" t="str">
        <f>IF(Table1[[#This Row],[is_returned]]=TRUE,IF(Table1[[#This Row],[return_reason]]="","Error","OK"),"OK")</f>
        <v>OK</v>
      </c>
      <c r="P421" s="8">
        <f>Table1[[#This Row],[original_price]]*Table1[[#This Row],[markdown_percentage]]/100</f>
        <v>51.829260000000005</v>
      </c>
      <c r="Q42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421" s="25">
        <f>Table1[[#This Row],[current_price]]*Table1[[#This Row],[stock_quantity]]</f>
        <v>2333.75</v>
      </c>
    </row>
    <row r="422" spans="1:18" x14ac:dyDescent="0.25">
      <c r="A422" s="2" t="s">
        <v>475</v>
      </c>
      <c r="B422" s="2" t="s">
        <v>42</v>
      </c>
      <c r="C422" s="2" t="s">
        <v>43</v>
      </c>
      <c r="D422" s="2" t="s">
        <v>62</v>
      </c>
      <c r="E422" s="2" t="s">
        <v>58</v>
      </c>
      <c r="F422" s="2" t="s">
        <v>28</v>
      </c>
      <c r="G422" s="8">
        <v>169.34</v>
      </c>
      <c r="H422" s="11">
        <v>44.6</v>
      </c>
      <c r="I422" s="8">
        <v>93.81</v>
      </c>
      <c r="J422" s="3">
        <v>45875</v>
      </c>
      <c r="K422" s="14">
        <v>37</v>
      </c>
      <c r="L422" s="17">
        <v>2.7</v>
      </c>
      <c r="M422" s="2" t="b">
        <v>0</v>
      </c>
      <c r="N422" s="2"/>
      <c r="O422" s="2" t="str">
        <f>IF(Table1[[#This Row],[is_returned]]=TRUE,IF(Table1[[#This Row],[return_reason]]="","Error","OK"),"OK")</f>
        <v>OK</v>
      </c>
      <c r="P422" s="8">
        <f>Table1[[#This Row],[original_price]]*Table1[[#This Row],[markdown_percentage]]/100</f>
        <v>75.52564000000001</v>
      </c>
      <c r="Q42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422" s="25">
        <f>Table1[[#This Row],[current_price]]*Table1[[#This Row],[stock_quantity]]</f>
        <v>3470.9700000000003</v>
      </c>
    </row>
    <row r="423" spans="1:18" x14ac:dyDescent="0.25">
      <c r="A423" s="2" t="s">
        <v>476</v>
      </c>
      <c r="B423" s="2" t="s">
        <v>21</v>
      </c>
      <c r="C423" s="2" t="s">
        <v>22</v>
      </c>
      <c r="D423" s="2" t="s">
        <v>62</v>
      </c>
      <c r="E423" s="2" t="s">
        <v>24</v>
      </c>
      <c r="F423" s="2" t="s">
        <v>19</v>
      </c>
      <c r="G423" s="8">
        <v>103.14</v>
      </c>
      <c r="H423" s="11">
        <v>0</v>
      </c>
      <c r="I423" s="8">
        <v>103.14</v>
      </c>
      <c r="J423" s="3">
        <v>45875</v>
      </c>
      <c r="K423" s="14">
        <v>13</v>
      </c>
      <c r="L423" s="17">
        <v>4.5</v>
      </c>
      <c r="M423" s="2" t="b">
        <v>0</v>
      </c>
      <c r="N423" s="2"/>
      <c r="O423" s="2" t="str">
        <f>IF(Table1[[#This Row],[is_returned]]=TRUE,IF(Table1[[#This Row],[return_reason]]="","Error","OK"),"OK")</f>
        <v>OK</v>
      </c>
      <c r="P423" s="8">
        <f>Table1[[#This Row],[original_price]]*Table1[[#This Row],[markdown_percentage]]/100</f>
        <v>0</v>
      </c>
      <c r="Q42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423" s="25">
        <f>Table1[[#This Row],[current_price]]*Table1[[#This Row],[stock_quantity]]</f>
        <v>1340.82</v>
      </c>
    </row>
    <row r="424" spans="1:18" x14ac:dyDescent="0.25">
      <c r="A424" s="2" t="s">
        <v>477</v>
      </c>
      <c r="B424" s="2" t="s">
        <v>21</v>
      </c>
      <c r="C424" s="2" t="s">
        <v>43</v>
      </c>
      <c r="D424" s="2" t="s">
        <v>34</v>
      </c>
      <c r="E424" s="2" t="s">
        <v>58</v>
      </c>
      <c r="F424" s="2" t="s">
        <v>56</v>
      </c>
      <c r="G424" s="8">
        <v>97.47</v>
      </c>
      <c r="H424" s="11">
        <v>32</v>
      </c>
      <c r="I424" s="8">
        <v>66.28</v>
      </c>
      <c r="J424" s="3">
        <v>45875</v>
      </c>
      <c r="K424" s="14">
        <v>27</v>
      </c>
      <c r="L424" s="17">
        <v>3</v>
      </c>
      <c r="M424" s="2" t="b">
        <v>0</v>
      </c>
      <c r="N424" s="2"/>
      <c r="O424" s="2" t="str">
        <f>IF(Table1[[#This Row],[is_returned]]=TRUE,IF(Table1[[#This Row],[return_reason]]="","Error","OK"),"OK")</f>
        <v>OK</v>
      </c>
      <c r="P424" s="8">
        <f>Table1[[#This Row],[original_price]]*Table1[[#This Row],[markdown_percentage]]/100</f>
        <v>31.1904</v>
      </c>
      <c r="Q42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424" s="25">
        <f>Table1[[#This Row],[current_price]]*Table1[[#This Row],[stock_quantity]]</f>
        <v>1789.56</v>
      </c>
    </row>
    <row r="425" spans="1:18" x14ac:dyDescent="0.25">
      <c r="A425" s="2" t="s">
        <v>478</v>
      </c>
      <c r="B425" s="2" t="s">
        <v>42</v>
      </c>
      <c r="C425" s="2" t="s">
        <v>53</v>
      </c>
      <c r="D425" s="2" t="s">
        <v>17</v>
      </c>
      <c r="E425" s="2" t="s">
        <v>58</v>
      </c>
      <c r="F425" s="2" t="s">
        <v>64</v>
      </c>
      <c r="G425" s="8">
        <v>50.69</v>
      </c>
      <c r="H425" s="11">
        <v>26.3</v>
      </c>
      <c r="I425" s="8">
        <v>37.36</v>
      </c>
      <c r="J425" s="3">
        <v>45594</v>
      </c>
      <c r="K425" s="14">
        <v>37</v>
      </c>
      <c r="L425" s="17">
        <v>4.0999999999999996</v>
      </c>
      <c r="M425" s="2" t="b">
        <v>0</v>
      </c>
      <c r="N425" s="2"/>
      <c r="O425" s="2" t="str">
        <f>IF(Table1[[#This Row],[is_returned]]=TRUE,IF(Table1[[#This Row],[return_reason]]="","Error","OK"),"OK")</f>
        <v>OK</v>
      </c>
      <c r="P425" s="8">
        <f>Table1[[#This Row],[original_price]]*Table1[[#This Row],[markdown_percentage]]/100</f>
        <v>13.331469999999999</v>
      </c>
      <c r="Q42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425" s="25">
        <f>Table1[[#This Row],[current_price]]*Table1[[#This Row],[stock_quantity]]</f>
        <v>1382.32</v>
      </c>
    </row>
    <row r="426" spans="1:18" x14ac:dyDescent="0.25">
      <c r="A426" s="2" t="s">
        <v>479</v>
      </c>
      <c r="B426" s="2" t="s">
        <v>15</v>
      </c>
      <c r="C426" s="2" t="s">
        <v>32</v>
      </c>
      <c r="D426" s="2" t="s">
        <v>34</v>
      </c>
      <c r="E426" s="2" t="s">
        <v>18</v>
      </c>
      <c r="F426" s="2" t="s">
        <v>28</v>
      </c>
      <c r="G426" s="8">
        <v>127.75</v>
      </c>
      <c r="H426" s="11">
        <v>0</v>
      </c>
      <c r="I426" s="8">
        <v>127.75</v>
      </c>
      <c r="J426" s="3">
        <v>45875</v>
      </c>
      <c r="K426" s="14">
        <v>32</v>
      </c>
      <c r="L426" s="17">
        <v>3.6</v>
      </c>
      <c r="M426" s="2" t="b">
        <v>0</v>
      </c>
      <c r="N426" s="2"/>
      <c r="O426" s="2" t="str">
        <f>IF(Table1[[#This Row],[is_returned]]=TRUE,IF(Table1[[#This Row],[return_reason]]="","Error","OK"),"OK")</f>
        <v>OK</v>
      </c>
      <c r="P426" s="8">
        <f>Table1[[#This Row],[original_price]]*Table1[[#This Row],[markdown_percentage]]/100</f>
        <v>0</v>
      </c>
      <c r="Q42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426" s="25">
        <f>Table1[[#This Row],[current_price]]*Table1[[#This Row],[stock_quantity]]</f>
        <v>4088</v>
      </c>
    </row>
    <row r="427" spans="1:18" x14ac:dyDescent="0.25">
      <c r="A427" s="2" t="s">
        <v>480</v>
      </c>
      <c r="B427" s="2" t="s">
        <v>21</v>
      </c>
      <c r="C427" s="2" t="s">
        <v>75</v>
      </c>
      <c r="D427" s="2" t="s">
        <v>23</v>
      </c>
      <c r="E427" s="2" t="s">
        <v>18</v>
      </c>
      <c r="F427" s="2" t="s">
        <v>28</v>
      </c>
      <c r="G427" s="8">
        <v>111.64</v>
      </c>
      <c r="H427" s="11">
        <v>0</v>
      </c>
      <c r="I427" s="8">
        <v>111.64</v>
      </c>
      <c r="J427" s="3">
        <v>45875</v>
      </c>
      <c r="K427" s="14">
        <v>13</v>
      </c>
      <c r="L427" s="17">
        <v>4.8</v>
      </c>
      <c r="M427" s="2" t="b">
        <v>0</v>
      </c>
      <c r="N427" s="2"/>
      <c r="O427" s="2" t="str">
        <f>IF(Table1[[#This Row],[is_returned]]=TRUE,IF(Table1[[#This Row],[return_reason]]="","Error","OK"),"OK")</f>
        <v>OK</v>
      </c>
      <c r="P427" s="8">
        <f>Table1[[#This Row],[original_price]]*Table1[[#This Row],[markdown_percentage]]/100</f>
        <v>0</v>
      </c>
      <c r="Q42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427" s="25">
        <f>Table1[[#This Row],[current_price]]*Table1[[#This Row],[stock_quantity]]</f>
        <v>1451.32</v>
      </c>
    </row>
    <row r="428" spans="1:18" x14ac:dyDescent="0.25">
      <c r="A428" s="2" t="s">
        <v>481</v>
      </c>
      <c r="B428" s="2" t="s">
        <v>30</v>
      </c>
      <c r="C428" s="2" t="s">
        <v>22</v>
      </c>
      <c r="D428" s="2" t="s">
        <v>34</v>
      </c>
      <c r="E428" s="2"/>
      <c r="F428" s="2" t="s">
        <v>66</v>
      </c>
      <c r="G428" s="8">
        <v>134.6</v>
      </c>
      <c r="H428" s="11">
        <v>11.6</v>
      </c>
      <c r="I428" s="8">
        <v>118.99</v>
      </c>
      <c r="J428" s="3">
        <v>45875</v>
      </c>
      <c r="K428" s="14">
        <v>47</v>
      </c>
      <c r="L428" s="17">
        <v>3.9</v>
      </c>
      <c r="M428" s="2" t="b">
        <v>0</v>
      </c>
      <c r="N428" s="2"/>
      <c r="O428" s="2" t="str">
        <f>IF(Table1[[#This Row],[is_returned]]=TRUE,IF(Table1[[#This Row],[return_reason]]="","Error","OK"),"OK")</f>
        <v>OK</v>
      </c>
      <c r="P428" s="8">
        <f>Table1[[#This Row],[original_price]]*Table1[[#This Row],[markdown_percentage]]/100</f>
        <v>15.613599999999998</v>
      </c>
      <c r="Q42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428" s="25">
        <f>Table1[[#This Row],[current_price]]*Table1[[#This Row],[stock_quantity]]</f>
        <v>5592.53</v>
      </c>
    </row>
    <row r="429" spans="1:18" x14ac:dyDescent="0.25">
      <c r="A429" s="2" t="s">
        <v>482</v>
      </c>
      <c r="B429" s="2" t="s">
        <v>38</v>
      </c>
      <c r="C429" s="2" t="s">
        <v>16</v>
      </c>
      <c r="D429" s="2" t="s">
        <v>17</v>
      </c>
      <c r="E429" s="2" t="s">
        <v>49</v>
      </c>
      <c r="F429" s="2" t="s">
        <v>66</v>
      </c>
      <c r="G429" s="8">
        <v>56.05</v>
      </c>
      <c r="H429" s="11">
        <v>0</v>
      </c>
      <c r="I429" s="8">
        <v>56.05</v>
      </c>
      <c r="J429" s="3">
        <v>45854</v>
      </c>
      <c r="K429" s="14">
        <v>9</v>
      </c>
      <c r="L429" s="17"/>
      <c r="M429" s="2" t="b">
        <v>0</v>
      </c>
      <c r="N429" s="2"/>
      <c r="O429" s="2" t="str">
        <f>IF(Table1[[#This Row],[is_returned]]=TRUE,IF(Table1[[#This Row],[return_reason]]="","Error","OK"),"OK")</f>
        <v>OK</v>
      </c>
      <c r="P429" s="8">
        <f>Table1[[#This Row],[original_price]]*Table1[[#This Row],[markdown_percentage]]/100</f>
        <v>0</v>
      </c>
      <c r="Q42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429" s="25">
        <f>Table1[[#This Row],[current_price]]*Table1[[#This Row],[stock_quantity]]</f>
        <v>504.45</v>
      </c>
    </row>
    <row r="430" spans="1:18" x14ac:dyDescent="0.25">
      <c r="A430" s="2" t="s">
        <v>483</v>
      </c>
      <c r="B430" s="2" t="s">
        <v>42</v>
      </c>
      <c r="C430" s="2" t="s">
        <v>32</v>
      </c>
      <c r="D430" s="2" t="s">
        <v>34</v>
      </c>
      <c r="E430" s="2" t="s">
        <v>18</v>
      </c>
      <c r="F430" s="2" t="s">
        <v>66</v>
      </c>
      <c r="G430" s="8">
        <v>106.2</v>
      </c>
      <c r="H430" s="11">
        <v>0</v>
      </c>
      <c r="I430" s="8">
        <v>106.2</v>
      </c>
      <c r="J430" s="3">
        <v>45875</v>
      </c>
      <c r="K430" s="14">
        <v>35</v>
      </c>
      <c r="L430" s="17">
        <v>4.5</v>
      </c>
      <c r="M430" s="2" t="b">
        <v>0</v>
      </c>
      <c r="N430" s="2"/>
      <c r="O430" s="2" t="str">
        <f>IF(Table1[[#This Row],[is_returned]]=TRUE,IF(Table1[[#This Row],[return_reason]]="","Error","OK"),"OK")</f>
        <v>OK</v>
      </c>
      <c r="P430" s="8">
        <f>Table1[[#This Row],[original_price]]*Table1[[#This Row],[markdown_percentage]]/100</f>
        <v>0</v>
      </c>
      <c r="Q43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430" s="25">
        <f>Table1[[#This Row],[current_price]]*Table1[[#This Row],[stock_quantity]]</f>
        <v>3717</v>
      </c>
    </row>
    <row r="431" spans="1:18" x14ac:dyDescent="0.25">
      <c r="A431" s="2" t="s">
        <v>484</v>
      </c>
      <c r="B431" s="2" t="s">
        <v>30</v>
      </c>
      <c r="C431" s="2" t="s">
        <v>43</v>
      </c>
      <c r="D431" s="2" t="s">
        <v>34</v>
      </c>
      <c r="E431" s="2"/>
      <c r="F431" s="2" t="s">
        <v>46</v>
      </c>
      <c r="G431" s="8">
        <v>104.26</v>
      </c>
      <c r="H431" s="11">
        <v>20.6</v>
      </c>
      <c r="I431" s="8">
        <v>82.78</v>
      </c>
      <c r="J431" s="3">
        <v>45875</v>
      </c>
      <c r="K431" s="14">
        <v>31</v>
      </c>
      <c r="L431" s="17">
        <v>3</v>
      </c>
      <c r="M431" s="2" t="b">
        <v>0</v>
      </c>
      <c r="N431" s="2"/>
      <c r="O431" s="2" t="str">
        <f>IF(Table1[[#This Row],[is_returned]]=TRUE,IF(Table1[[#This Row],[return_reason]]="","Error","OK"),"OK")</f>
        <v>OK</v>
      </c>
      <c r="P431" s="8">
        <f>Table1[[#This Row],[original_price]]*Table1[[#This Row],[markdown_percentage]]/100</f>
        <v>21.477560000000004</v>
      </c>
      <c r="Q43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431" s="25">
        <f>Table1[[#This Row],[current_price]]*Table1[[#This Row],[stock_quantity]]</f>
        <v>2566.1799999999998</v>
      </c>
    </row>
    <row r="432" spans="1:18" x14ac:dyDescent="0.25">
      <c r="A432" s="2" t="s">
        <v>485</v>
      </c>
      <c r="B432" s="2" t="s">
        <v>27</v>
      </c>
      <c r="C432" s="2" t="s">
        <v>22</v>
      </c>
      <c r="D432" s="2" t="s">
        <v>17</v>
      </c>
      <c r="E432" s="2"/>
      <c r="F432" s="2" t="s">
        <v>66</v>
      </c>
      <c r="G432" s="8">
        <v>24.53</v>
      </c>
      <c r="H432" s="11">
        <v>0</v>
      </c>
      <c r="I432" s="8">
        <v>24.53</v>
      </c>
      <c r="J432" s="3">
        <v>45524</v>
      </c>
      <c r="K432" s="14">
        <v>44</v>
      </c>
      <c r="L432" s="17">
        <v>4.2</v>
      </c>
      <c r="M432" s="2" t="b">
        <v>0</v>
      </c>
      <c r="N432" s="2"/>
      <c r="O432" s="2" t="str">
        <f>IF(Table1[[#This Row],[is_returned]]=TRUE,IF(Table1[[#This Row],[return_reason]]="","Error","OK"),"OK")</f>
        <v>OK</v>
      </c>
      <c r="P432" s="8">
        <f>Table1[[#This Row],[original_price]]*Table1[[#This Row],[markdown_percentage]]/100</f>
        <v>0</v>
      </c>
      <c r="Q43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432" s="25">
        <f>Table1[[#This Row],[current_price]]*Table1[[#This Row],[stock_quantity]]</f>
        <v>1079.3200000000002</v>
      </c>
    </row>
    <row r="433" spans="1:18" x14ac:dyDescent="0.25">
      <c r="A433" s="2" t="s">
        <v>486</v>
      </c>
      <c r="B433" s="2" t="s">
        <v>30</v>
      </c>
      <c r="C433" s="2" t="s">
        <v>43</v>
      </c>
      <c r="D433" s="2" t="s">
        <v>17</v>
      </c>
      <c r="E433" s="2" t="s">
        <v>24</v>
      </c>
      <c r="F433" s="2" t="s">
        <v>46</v>
      </c>
      <c r="G433" s="8">
        <v>131.25</v>
      </c>
      <c r="H433" s="11">
        <v>0</v>
      </c>
      <c r="I433" s="8">
        <v>131.25</v>
      </c>
      <c r="J433" s="3">
        <v>45826</v>
      </c>
      <c r="K433" s="14">
        <v>12</v>
      </c>
      <c r="L433" s="17">
        <v>1.6</v>
      </c>
      <c r="M433" s="2" t="b">
        <v>0</v>
      </c>
      <c r="N433" s="2"/>
      <c r="O433" s="2" t="str">
        <f>IF(Table1[[#This Row],[is_returned]]=TRUE,IF(Table1[[#This Row],[return_reason]]="","Error","OK"),"OK")</f>
        <v>OK</v>
      </c>
      <c r="P433" s="8">
        <f>Table1[[#This Row],[original_price]]*Table1[[#This Row],[markdown_percentage]]/100</f>
        <v>0</v>
      </c>
      <c r="Q43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433" s="25">
        <f>Table1[[#This Row],[current_price]]*Table1[[#This Row],[stock_quantity]]</f>
        <v>1575</v>
      </c>
    </row>
    <row r="434" spans="1:18" x14ac:dyDescent="0.25">
      <c r="A434" s="2" t="s">
        <v>487</v>
      </c>
      <c r="B434" s="2" t="s">
        <v>38</v>
      </c>
      <c r="C434" s="2" t="s">
        <v>75</v>
      </c>
      <c r="D434" s="2" t="s">
        <v>34</v>
      </c>
      <c r="E434" s="2" t="s">
        <v>58</v>
      </c>
      <c r="F434" s="2" t="s">
        <v>19</v>
      </c>
      <c r="G434" s="8">
        <v>72.849999999999994</v>
      </c>
      <c r="H434" s="11">
        <v>0</v>
      </c>
      <c r="I434" s="8">
        <v>72.849999999999994</v>
      </c>
      <c r="J434" s="3">
        <v>45875</v>
      </c>
      <c r="K434" s="14">
        <v>25</v>
      </c>
      <c r="L434" s="17">
        <v>3.8</v>
      </c>
      <c r="M434" s="2" t="b">
        <v>0</v>
      </c>
      <c r="N434" s="2"/>
      <c r="O434" s="2" t="str">
        <f>IF(Table1[[#This Row],[is_returned]]=TRUE,IF(Table1[[#This Row],[return_reason]]="","Error","OK"),"OK")</f>
        <v>OK</v>
      </c>
      <c r="P434" s="8">
        <f>Table1[[#This Row],[original_price]]*Table1[[#This Row],[markdown_percentage]]/100</f>
        <v>0</v>
      </c>
      <c r="Q43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434" s="25">
        <f>Table1[[#This Row],[current_price]]*Table1[[#This Row],[stock_quantity]]</f>
        <v>1821.2499999999998</v>
      </c>
    </row>
    <row r="435" spans="1:18" x14ac:dyDescent="0.25">
      <c r="A435" s="2" t="s">
        <v>488</v>
      </c>
      <c r="B435" s="2" t="s">
        <v>30</v>
      </c>
      <c r="C435" s="2" t="s">
        <v>16</v>
      </c>
      <c r="D435" s="2" t="s">
        <v>23</v>
      </c>
      <c r="E435" s="2" t="s">
        <v>55</v>
      </c>
      <c r="F435" s="2" t="s">
        <v>46</v>
      </c>
      <c r="G435" s="8">
        <v>135.38999999999999</v>
      </c>
      <c r="H435" s="11">
        <v>0</v>
      </c>
      <c r="I435" s="8">
        <v>135.38999999999999</v>
      </c>
      <c r="J435" s="3">
        <v>45875</v>
      </c>
      <c r="K435" s="14">
        <v>26</v>
      </c>
      <c r="L435" s="17">
        <v>3.9</v>
      </c>
      <c r="M435" s="2" t="b">
        <v>0</v>
      </c>
      <c r="N435" s="2"/>
      <c r="O435" s="2" t="str">
        <f>IF(Table1[[#This Row],[is_returned]]=TRUE,IF(Table1[[#This Row],[return_reason]]="","Error","OK"),"OK")</f>
        <v>OK</v>
      </c>
      <c r="P435" s="8">
        <f>Table1[[#This Row],[original_price]]*Table1[[#This Row],[markdown_percentage]]/100</f>
        <v>0</v>
      </c>
      <c r="Q43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435" s="25">
        <f>Table1[[#This Row],[current_price]]*Table1[[#This Row],[stock_quantity]]</f>
        <v>3520.1399999999994</v>
      </c>
    </row>
    <row r="436" spans="1:18" x14ac:dyDescent="0.25">
      <c r="A436" s="2" t="s">
        <v>489</v>
      </c>
      <c r="B436" s="2" t="s">
        <v>30</v>
      </c>
      <c r="C436" s="2" t="s">
        <v>16</v>
      </c>
      <c r="D436" s="2" t="s">
        <v>23</v>
      </c>
      <c r="E436" s="2" t="s">
        <v>18</v>
      </c>
      <c r="F436" s="2" t="s">
        <v>64</v>
      </c>
      <c r="G436" s="8">
        <v>166.94</v>
      </c>
      <c r="H436" s="11">
        <v>4.2</v>
      </c>
      <c r="I436" s="8">
        <v>159.93</v>
      </c>
      <c r="J436" s="3">
        <v>45875</v>
      </c>
      <c r="K436" s="14">
        <v>17</v>
      </c>
      <c r="L436" s="17">
        <v>2.6</v>
      </c>
      <c r="M436" s="2" t="b">
        <v>1</v>
      </c>
      <c r="N436" s="2" t="s">
        <v>36</v>
      </c>
      <c r="O436" s="2" t="str">
        <f>IF(Table1[[#This Row],[is_returned]]=TRUE,IF(Table1[[#This Row],[return_reason]]="","Error","OK"),"OK")</f>
        <v>OK</v>
      </c>
      <c r="P436" s="8">
        <f>Table1[[#This Row],[original_price]]*Table1[[#This Row],[markdown_percentage]]/100</f>
        <v>7.0114800000000006</v>
      </c>
      <c r="Q43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436" s="25">
        <f>Table1[[#This Row],[current_price]]*Table1[[#This Row],[stock_quantity]]</f>
        <v>2718.81</v>
      </c>
    </row>
    <row r="437" spans="1:18" x14ac:dyDescent="0.25">
      <c r="A437" s="2" t="s">
        <v>490</v>
      </c>
      <c r="B437" s="2" t="s">
        <v>30</v>
      </c>
      <c r="C437" s="2" t="s">
        <v>32</v>
      </c>
      <c r="D437" s="2" t="s">
        <v>17</v>
      </c>
      <c r="E437" s="2" t="s">
        <v>18</v>
      </c>
      <c r="F437" s="2" t="s">
        <v>46</v>
      </c>
      <c r="G437" s="8">
        <v>135.36000000000001</v>
      </c>
      <c r="H437" s="11">
        <v>41.7</v>
      </c>
      <c r="I437" s="8">
        <v>78.91</v>
      </c>
      <c r="J437" s="3">
        <v>45646</v>
      </c>
      <c r="K437" s="14">
        <v>17</v>
      </c>
      <c r="L437" s="17">
        <v>4.3</v>
      </c>
      <c r="M437" s="2" t="b">
        <v>0</v>
      </c>
      <c r="N437" s="2"/>
      <c r="O437" s="2" t="str">
        <f>IF(Table1[[#This Row],[is_returned]]=TRUE,IF(Table1[[#This Row],[return_reason]]="","Error","OK"),"OK")</f>
        <v>OK</v>
      </c>
      <c r="P437" s="8">
        <f>Table1[[#This Row],[original_price]]*Table1[[#This Row],[markdown_percentage]]/100</f>
        <v>56.445120000000003</v>
      </c>
      <c r="Q43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437" s="25">
        <f>Table1[[#This Row],[current_price]]*Table1[[#This Row],[stock_quantity]]</f>
        <v>1341.47</v>
      </c>
    </row>
    <row r="438" spans="1:18" x14ac:dyDescent="0.25">
      <c r="A438" s="2" t="s">
        <v>491</v>
      </c>
      <c r="B438" s="2" t="s">
        <v>38</v>
      </c>
      <c r="C438" s="2" t="s">
        <v>53</v>
      </c>
      <c r="D438" s="2" t="s">
        <v>17</v>
      </c>
      <c r="E438" s="2" t="s">
        <v>24</v>
      </c>
      <c r="F438" s="2" t="s">
        <v>44</v>
      </c>
      <c r="G438" s="8">
        <v>96.05</v>
      </c>
      <c r="H438" s="11">
        <v>0</v>
      </c>
      <c r="I438" s="8">
        <v>96.05</v>
      </c>
      <c r="J438" s="3">
        <v>45544</v>
      </c>
      <c r="K438" s="14">
        <v>15</v>
      </c>
      <c r="L438" s="17">
        <v>4</v>
      </c>
      <c r="M438" s="2" t="b">
        <v>0</v>
      </c>
      <c r="N438" s="2"/>
      <c r="O438" s="2" t="str">
        <f>IF(Table1[[#This Row],[is_returned]]=TRUE,IF(Table1[[#This Row],[return_reason]]="","Error","OK"),"OK")</f>
        <v>OK</v>
      </c>
      <c r="P438" s="8">
        <f>Table1[[#This Row],[original_price]]*Table1[[#This Row],[markdown_percentage]]/100</f>
        <v>0</v>
      </c>
      <c r="Q43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438" s="25">
        <f>Table1[[#This Row],[current_price]]*Table1[[#This Row],[stock_quantity]]</f>
        <v>1440.75</v>
      </c>
    </row>
    <row r="439" spans="1:18" x14ac:dyDescent="0.25">
      <c r="A439" s="2" t="s">
        <v>492</v>
      </c>
      <c r="B439" s="2" t="s">
        <v>15</v>
      </c>
      <c r="C439" s="2" t="s">
        <v>48</v>
      </c>
      <c r="D439" s="2" t="s">
        <v>62</v>
      </c>
      <c r="E439" s="2" t="s">
        <v>24</v>
      </c>
      <c r="F439" s="2" t="s">
        <v>19</v>
      </c>
      <c r="G439" s="8">
        <v>116.1</v>
      </c>
      <c r="H439" s="11">
        <v>0</v>
      </c>
      <c r="I439" s="8">
        <v>116.1</v>
      </c>
      <c r="J439" s="3">
        <v>45875</v>
      </c>
      <c r="K439" s="14">
        <v>27</v>
      </c>
      <c r="L439" s="17">
        <v>3.6</v>
      </c>
      <c r="M439" s="2" t="b">
        <v>1</v>
      </c>
      <c r="N439" s="2" t="s">
        <v>115</v>
      </c>
      <c r="O439" s="2" t="str">
        <f>IF(Table1[[#This Row],[is_returned]]=TRUE,IF(Table1[[#This Row],[return_reason]]="","Error","OK"),"OK")</f>
        <v>OK</v>
      </c>
      <c r="P439" s="8">
        <f>Table1[[#This Row],[original_price]]*Table1[[#This Row],[markdown_percentage]]/100</f>
        <v>0</v>
      </c>
      <c r="Q43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439" s="25">
        <f>Table1[[#This Row],[current_price]]*Table1[[#This Row],[stock_quantity]]</f>
        <v>3134.7</v>
      </c>
    </row>
    <row r="440" spans="1:18" x14ac:dyDescent="0.25">
      <c r="A440" s="2" t="s">
        <v>493</v>
      </c>
      <c r="B440" s="2" t="s">
        <v>30</v>
      </c>
      <c r="C440" s="2" t="s">
        <v>43</v>
      </c>
      <c r="D440" s="2" t="s">
        <v>34</v>
      </c>
      <c r="E440" s="2" t="s">
        <v>24</v>
      </c>
      <c r="F440" s="2" t="s">
        <v>28</v>
      </c>
      <c r="G440" s="8">
        <v>91.53</v>
      </c>
      <c r="H440" s="11">
        <v>0</v>
      </c>
      <c r="I440" s="8">
        <v>91.53</v>
      </c>
      <c r="J440" s="3">
        <v>45875</v>
      </c>
      <c r="K440" s="14">
        <v>8</v>
      </c>
      <c r="L440" s="17">
        <v>1.5</v>
      </c>
      <c r="M440" s="2" t="b">
        <v>0</v>
      </c>
      <c r="N440" s="2"/>
      <c r="O440" s="2" t="str">
        <f>IF(Table1[[#This Row],[is_returned]]=TRUE,IF(Table1[[#This Row],[return_reason]]="","Error","OK"),"OK")</f>
        <v>OK</v>
      </c>
      <c r="P440" s="8">
        <f>Table1[[#This Row],[original_price]]*Table1[[#This Row],[markdown_percentage]]/100</f>
        <v>0</v>
      </c>
      <c r="Q44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440" s="25">
        <f>Table1[[#This Row],[current_price]]*Table1[[#This Row],[stock_quantity]]</f>
        <v>732.24</v>
      </c>
    </row>
    <row r="441" spans="1:18" x14ac:dyDescent="0.25">
      <c r="A441" s="2" t="s">
        <v>494</v>
      </c>
      <c r="B441" s="2" t="s">
        <v>38</v>
      </c>
      <c r="C441" s="2" t="s">
        <v>16</v>
      </c>
      <c r="D441" s="2" t="s">
        <v>23</v>
      </c>
      <c r="E441" s="2" t="s">
        <v>55</v>
      </c>
      <c r="F441" s="2" t="s">
        <v>40</v>
      </c>
      <c r="G441" s="8">
        <v>102.16</v>
      </c>
      <c r="H441" s="11">
        <v>0</v>
      </c>
      <c r="I441" s="8">
        <v>102.16</v>
      </c>
      <c r="J441" s="3">
        <v>45875</v>
      </c>
      <c r="K441" s="14">
        <v>50</v>
      </c>
      <c r="L441" s="17"/>
      <c r="M441" s="2" t="b">
        <v>0</v>
      </c>
      <c r="N441" s="2"/>
      <c r="O441" s="2" t="str">
        <f>IF(Table1[[#This Row],[is_returned]]=TRUE,IF(Table1[[#This Row],[return_reason]]="","Error","OK"),"OK")</f>
        <v>OK</v>
      </c>
      <c r="P441" s="8">
        <f>Table1[[#This Row],[original_price]]*Table1[[#This Row],[markdown_percentage]]/100</f>
        <v>0</v>
      </c>
      <c r="Q44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441" s="25">
        <f>Table1[[#This Row],[current_price]]*Table1[[#This Row],[stock_quantity]]</f>
        <v>5108</v>
      </c>
    </row>
    <row r="442" spans="1:18" x14ac:dyDescent="0.25">
      <c r="A442" s="2" t="s">
        <v>495</v>
      </c>
      <c r="B442" s="2" t="s">
        <v>30</v>
      </c>
      <c r="C442" s="2" t="s">
        <v>22</v>
      </c>
      <c r="D442" s="2" t="s">
        <v>23</v>
      </c>
      <c r="E442" s="2" t="s">
        <v>24</v>
      </c>
      <c r="F442" s="2" t="s">
        <v>40</v>
      </c>
      <c r="G442" s="8">
        <v>67.739999999999995</v>
      </c>
      <c r="H442" s="11">
        <v>3.3</v>
      </c>
      <c r="I442" s="8">
        <v>65.5</v>
      </c>
      <c r="J442" s="3">
        <v>45875</v>
      </c>
      <c r="K442" s="14">
        <v>23</v>
      </c>
      <c r="L442" s="17">
        <v>1.5</v>
      </c>
      <c r="M442" s="2" t="b">
        <v>0</v>
      </c>
      <c r="N442" s="2"/>
      <c r="O442" s="2" t="str">
        <f>IF(Table1[[#This Row],[is_returned]]=TRUE,IF(Table1[[#This Row],[return_reason]]="","Error","OK"),"OK")</f>
        <v>OK</v>
      </c>
      <c r="P442" s="8">
        <f>Table1[[#This Row],[original_price]]*Table1[[#This Row],[markdown_percentage]]/100</f>
        <v>2.2354199999999995</v>
      </c>
      <c r="Q44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442" s="25">
        <f>Table1[[#This Row],[current_price]]*Table1[[#This Row],[stock_quantity]]</f>
        <v>1506.5</v>
      </c>
    </row>
    <row r="443" spans="1:18" x14ac:dyDescent="0.25">
      <c r="A443" s="2" t="s">
        <v>496</v>
      </c>
      <c r="B443" s="2" t="s">
        <v>27</v>
      </c>
      <c r="C443" s="2" t="s">
        <v>32</v>
      </c>
      <c r="D443" s="2" t="s">
        <v>23</v>
      </c>
      <c r="E443" s="2"/>
      <c r="F443" s="2" t="s">
        <v>46</v>
      </c>
      <c r="G443" s="8">
        <v>38.340000000000003</v>
      </c>
      <c r="H443" s="11">
        <v>0</v>
      </c>
      <c r="I443" s="8">
        <v>38.340000000000003</v>
      </c>
      <c r="J443" s="3">
        <v>45875</v>
      </c>
      <c r="K443" s="14">
        <v>14</v>
      </c>
      <c r="L443" s="17">
        <v>1.4</v>
      </c>
      <c r="M443" s="2" t="b">
        <v>0</v>
      </c>
      <c r="N443" s="2"/>
      <c r="O443" s="2" t="str">
        <f>IF(Table1[[#This Row],[is_returned]]=TRUE,IF(Table1[[#This Row],[return_reason]]="","Error","OK"),"OK")</f>
        <v>OK</v>
      </c>
      <c r="P443" s="8">
        <f>Table1[[#This Row],[original_price]]*Table1[[#This Row],[markdown_percentage]]/100</f>
        <v>0</v>
      </c>
      <c r="Q44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443" s="25">
        <f>Table1[[#This Row],[current_price]]*Table1[[#This Row],[stock_quantity]]</f>
        <v>536.76</v>
      </c>
    </row>
    <row r="444" spans="1:18" x14ac:dyDescent="0.25">
      <c r="A444" s="2" t="s">
        <v>497</v>
      </c>
      <c r="B444" s="2" t="s">
        <v>27</v>
      </c>
      <c r="C444" s="2" t="s">
        <v>16</v>
      </c>
      <c r="D444" s="2" t="s">
        <v>23</v>
      </c>
      <c r="E444" s="2"/>
      <c r="F444" s="2" t="s">
        <v>40</v>
      </c>
      <c r="G444" s="8">
        <v>60.49</v>
      </c>
      <c r="H444" s="11">
        <v>0</v>
      </c>
      <c r="I444" s="8">
        <v>60.49</v>
      </c>
      <c r="J444" s="3">
        <v>45875</v>
      </c>
      <c r="K444" s="14">
        <v>30</v>
      </c>
      <c r="L444" s="17">
        <v>2.5</v>
      </c>
      <c r="M444" s="2" t="b">
        <v>0</v>
      </c>
      <c r="N444" s="2"/>
      <c r="O444" s="2" t="str">
        <f>IF(Table1[[#This Row],[is_returned]]=TRUE,IF(Table1[[#This Row],[return_reason]]="","Error","OK"),"OK")</f>
        <v>OK</v>
      </c>
      <c r="P444" s="8">
        <f>Table1[[#This Row],[original_price]]*Table1[[#This Row],[markdown_percentage]]/100</f>
        <v>0</v>
      </c>
      <c r="Q44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444" s="25">
        <f>Table1[[#This Row],[current_price]]*Table1[[#This Row],[stock_quantity]]</f>
        <v>1814.7</v>
      </c>
    </row>
    <row r="445" spans="1:18" x14ac:dyDescent="0.25">
      <c r="A445" s="2" t="s">
        <v>498</v>
      </c>
      <c r="B445" s="2" t="s">
        <v>15</v>
      </c>
      <c r="C445" s="2" t="s">
        <v>32</v>
      </c>
      <c r="D445" s="2" t="s">
        <v>17</v>
      </c>
      <c r="E445" s="2" t="s">
        <v>24</v>
      </c>
      <c r="F445" s="2" t="s">
        <v>64</v>
      </c>
      <c r="G445" s="8">
        <v>90.27</v>
      </c>
      <c r="H445" s="11">
        <v>0</v>
      </c>
      <c r="I445" s="8">
        <v>90.27</v>
      </c>
      <c r="J445" s="3">
        <v>45763</v>
      </c>
      <c r="K445" s="14">
        <v>35</v>
      </c>
      <c r="L445" s="17">
        <v>4.2</v>
      </c>
      <c r="M445" s="2" t="b">
        <v>0</v>
      </c>
      <c r="N445" s="2"/>
      <c r="O445" s="2" t="str">
        <f>IF(Table1[[#This Row],[is_returned]]=TRUE,IF(Table1[[#This Row],[return_reason]]="","Error","OK"),"OK")</f>
        <v>OK</v>
      </c>
      <c r="P445" s="8">
        <f>Table1[[#This Row],[original_price]]*Table1[[#This Row],[markdown_percentage]]/100</f>
        <v>0</v>
      </c>
      <c r="Q44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445" s="25">
        <f>Table1[[#This Row],[current_price]]*Table1[[#This Row],[stock_quantity]]</f>
        <v>3159.45</v>
      </c>
    </row>
    <row r="446" spans="1:18" x14ac:dyDescent="0.25">
      <c r="A446" s="2" t="s">
        <v>499</v>
      </c>
      <c r="B446" s="2" t="s">
        <v>27</v>
      </c>
      <c r="C446" s="2" t="s">
        <v>32</v>
      </c>
      <c r="D446" s="2" t="s">
        <v>62</v>
      </c>
      <c r="E446" s="2"/>
      <c r="F446" s="2" t="s">
        <v>19</v>
      </c>
      <c r="G446" s="8">
        <v>45.42</v>
      </c>
      <c r="H446" s="11">
        <v>0</v>
      </c>
      <c r="I446" s="8">
        <v>45.42</v>
      </c>
      <c r="J446" s="3">
        <v>45875</v>
      </c>
      <c r="K446" s="14">
        <v>36</v>
      </c>
      <c r="L446" s="17">
        <v>1.3</v>
      </c>
      <c r="M446" s="2" t="b">
        <v>0</v>
      </c>
      <c r="N446" s="2"/>
      <c r="O446" s="2" t="str">
        <f>IF(Table1[[#This Row],[is_returned]]=TRUE,IF(Table1[[#This Row],[return_reason]]="","Error","OK"),"OK")</f>
        <v>OK</v>
      </c>
      <c r="P446" s="8">
        <f>Table1[[#This Row],[original_price]]*Table1[[#This Row],[markdown_percentage]]/100</f>
        <v>0</v>
      </c>
      <c r="Q44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446" s="25">
        <f>Table1[[#This Row],[current_price]]*Table1[[#This Row],[stock_quantity]]</f>
        <v>1635.1200000000001</v>
      </c>
    </row>
    <row r="447" spans="1:18" x14ac:dyDescent="0.25">
      <c r="A447" s="2" t="s">
        <v>500</v>
      </c>
      <c r="B447" s="2" t="s">
        <v>21</v>
      </c>
      <c r="C447" s="2" t="s">
        <v>53</v>
      </c>
      <c r="D447" s="2" t="s">
        <v>17</v>
      </c>
      <c r="E447" s="2"/>
      <c r="F447" s="2" t="s">
        <v>66</v>
      </c>
      <c r="G447" s="8">
        <v>58.56</v>
      </c>
      <c r="H447" s="11">
        <v>0</v>
      </c>
      <c r="I447" s="8">
        <v>58.56</v>
      </c>
      <c r="J447" s="3">
        <v>45680</v>
      </c>
      <c r="K447" s="14">
        <v>21</v>
      </c>
      <c r="L447" s="17">
        <v>2.2999999999999998</v>
      </c>
      <c r="M447" s="2" t="b">
        <v>0</v>
      </c>
      <c r="N447" s="2"/>
      <c r="O447" s="2" t="str">
        <f>IF(Table1[[#This Row],[is_returned]]=TRUE,IF(Table1[[#This Row],[return_reason]]="","Error","OK"),"OK")</f>
        <v>OK</v>
      </c>
      <c r="P447" s="8">
        <f>Table1[[#This Row],[original_price]]*Table1[[#This Row],[markdown_percentage]]/100</f>
        <v>0</v>
      </c>
      <c r="Q44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447" s="25">
        <f>Table1[[#This Row],[current_price]]*Table1[[#This Row],[stock_quantity]]</f>
        <v>1229.76</v>
      </c>
    </row>
    <row r="448" spans="1:18" x14ac:dyDescent="0.25">
      <c r="A448" s="2" t="s">
        <v>501</v>
      </c>
      <c r="B448" s="2" t="s">
        <v>42</v>
      </c>
      <c r="C448" s="2" t="s">
        <v>48</v>
      </c>
      <c r="D448" s="2" t="s">
        <v>62</v>
      </c>
      <c r="E448" s="2" t="s">
        <v>24</v>
      </c>
      <c r="F448" s="2" t="s">
        <v>25</v>
      </c>
      <c r="G448" s="8">
        <v>167.64</v>
      </c>
      <c r="H448" s="11">
        <v>0</v>
      </c>
      <c r="I448" s="8">
        <v>167.64</v>
      </c>
      <c r="J448" s="3">
        <v>45875</v>
      </c>
      <c r="K448" s="14">
        <v>18</v>
      </c>
      <c r="L448" s="17">
        <v>4.0999999999999996</v>
      </c>
      <c r="M448" s="2" t="b">
        <v>0</v>
      </c>
      <c r="N448" s="2"/>
      <c r="O448" s="2" t="str">
        <f>IF(Table1[[#This Row],[is_returned]]=TRUE,IF(Table1[[#This Row],[return_reason]]="","Error","OK"),"OK")</f>
        <v>OK</v>
      </c>
      <c r="P448" s="8">
        <f>Table1[[#This Row],[original_price]]*Table1[[#This Row],[markdown_percentage]]/100</f>
        <v>0</v>
      </c>
      <c r="Q44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448" s="25">
        <f>Table1[[#This Row],[current_price]]*Table1[[#This Row],[stock_quantity]]</f>
        <v>3017.5199999999995</v>
      </c>
    </row>
    <row r="449" spans="1:18" x14ac:dyDescent="0.25">
      <c r="A449" s="2" t="s">
        <v>502</v>
      </c>
      <c r="B449" s="2" t="s">
        <v>15</v>
      </c>
      <c r="C449" s="2" t="s">
        <v>16</v>
      </c>
      <c r="D449" s="2" t="s">
        <v>34</v>
      </c>
      <c r="E449" s="2" t="s">
        <v>49</v>
      </c>
      <c r="F449" s="2" t="s">
        <v>19</v>
      </c>
      <c r="G449" s="8">
        <v>193.14</v>
      </c>
      <c r="H449" s="11">
        <v>0</v>
      </c>
      <c r="I449" s="8">
        <v>193.14</v>
      </c>
      <c r="J449" s="3">
        <v>45875</v>
      </c>
      <c r="K449" s="14">
        <v>7</v>
      </c>
      <c r="L449" s="17">
        <v>3.5</v>
      </c>
      <c r="M449" s="2" t="b">
        <v>0</v>
      </c>
      <c r="N449" s="2"/>
      <c r="O449" s="2" t="str">
        <f>IF(Table1[[#This Row],[is_returned]]=TRUE,IF(Table1[[#This Row],[return_reason]]="","Error","OK"),"OK")</f>
        <v>OK</v>
      </c>
      <c r="P449" s="8">
        <f>Table1[[#This Row],[original_price]]*Table1[[#This Row],[markdown_percentage]]/100</f>
        <v>0</v>
      </c>
      <c r="Q44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449" s="25">
        <f>Table1[[#This Row],[current_price]]*Table1[[#This Row],[stock_quantity]]</f>
        <v>1351.98</v>
      </c>
    </row>
    <row r="450" spans="1:18" x14ac:dyDescent="0.25">
      <c r="A450" s="2" t="s">
        <v>503</v>
      </c>
      <c r="B450" s="2" t="s">
        <v>27</v>
      </c>
      <c r="C450" s="2" t="s">
        <v>61</v>
      </c>
      <c r="D450" s="2" t="s">
        <v>23</v>
      </c>
      <c r="E450" s="2"/>
      <c r="F450" s="2" t="s">
        <v>40</v>
      </c>
      <c r="G450" s="8">
        <v>60.06</v>
      </c>
      <c r="H450" s="11">
        <v>15.6</v>
      </c>
      <c r="I450" s="8">
        <v>50.69</v>
      </c>
      <c r="J450" s="3">
        <v>45875</v>
      </c>
      <c r="K450" s="14">
        <v>49</v>
      </c>
      <c r="L450" s="17">
        <v>2</v>
      </c>
      <c r="M450" s="2" t="b">
        <v>1</v>
      </c>
      <c r="N450" s="2" t="s">
        <v>36</v>
      </c>
      <c r="O450" s="2" t="str">
        <f>IF(Table1[[#This Row],[is_returned]]=TRUE,IF(Table1[[#This Row],[return_reason]]="","Error","OK"),"OK")</f>
        <v>OK</v>
      </c>
      <c r="P450" s="8">
        <f>Table1[[#This Row],[original_price]]*Table1[[#This Row],[markdown_percentage]]/100</f>
        <v>9.3693600000000004</v>
      </c>
      <c r="Q45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450" s="25">
        <f>Table1[[#This Row],[current_price]]*Table1[[#This Row],[stock_quantity]]</f>
        <v>2483.81</v>
      </c>
    </row>
    <row r="451" spans="1:18" x14ac:dyDescent="0.25">
      <c r="A451" s="2" t="s">
        <v>504</v>
      </c>
      <c r="B451" s="2" t="s">
        <v>38</v>
      </c>
      <c r="C451" s="2" t="s">
        <v>32</v>
      </c>
      <c r="D451" s="2" t="s">
        <v>34</v>
      </c>
      <c r="E451" s="2" t="s">
        <v>58</v>
      </c>
      <c r="F451" s="2" t="s">
        <v>40</v>
      </c>
      <c r="G451" s="8">
        <v>35.369999999999997</v>
      </c>
      <c r="H451" s="11">
        <v>0</v>
      </c>
      <c r="I451" s="8">
        <v>35.369999999999997</v>
      </c>
      <c r="J451" s="3">
        <v>45875</v>
      </c>
      <c r="K451" s="14">
        <v>29</v>
      </c>
      <c r="L451" s="17">
        <v>4.7</v>
      </c>
      <c r="M451" s="2" t="b">
        <v>0</v>
      </c>
      <c r="N451" s="2"/>
      <c r="O451" s="2" t="str">
        <f>IF(Table1[[#This Row],[is_returned]]=TRUE,IF(Table1[[#This Row],[return_reason]]="","Error","OK"),"OK")</f>
        <v>OK</v>
      </c>
      <c r="P451" s="8">
        <f>Table1[[#This Row],[original_price]]*Table1[[#This Row],[markdown_percentage]]/100</f>
        <v>0</v>
      </c>
      <c r="Q45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451" s="25">
        <f>Table1[[#This Row],[current_price]]*Table1[[#This Row],[stock_quantity]]</f>
        <v>1025.73</v>
      </c>
    </row>
    <row r="452" spans="1:18" x14ac:dyDescent="0.25">
      <c r="A452" s="2" t="s">
        <v>505</v>
      </c>
      <c r="B452" s="2" t="s">
        <v>27</v>
      </c>
      <c r="C452" s="2" t="s">
        <v>43</v>
      </c>
      <c r="D452" s="2" t="s">
        <v>62</v>
      </c>
      <c r="E452" s="2"/>
      <c r="F452" s="2" t="s">
        <v>66</v>
      </c>
      <c r="G452" s="8">
        <v>39.85</v>
      </c>
      <c r="H452" s="11">
        <v>0</v>
      </c>
      <c r="I452" s="8">
        <v>39.85</v>
      </c>
      <c r="J452" s="3">
        <v>45875</v>
      </c>
      <c r="K452" s="14">
        <v>28</v>
      </c>
      <c r="L452" s="17">
        <v>2.4</v>
      </c>
      <c r="M452" s="2" t="b">
        <v>0</v>
      </c>
      <c r="N452" s="2"/>
      <c r="O452" s="2" t="str">
        <f>IF(Table1[[#This Row],[is_returned]]=TRUE,IF(Table1[[#This Row],[return_reason]]="","Error","OK"),"OK")</f>
        <v>OK</v>
      </c>
      <c r="P452" s="8">
        <f>Table1[[#This Row],[original_price]]*Table1[[#This Row],[markdown_percentage]]/100</f>
        <v>0</v>
      </c>
      <c r="Q45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452" s="25">
        <f>Table1[[#This Row],[current_price]]*Table1[[#This Row],[stock_quantity]]</f>
        <v>1115.8</v>
      </c>
    </row>
    <row r="453" spans="1:18" x14ac:dyDescent="0.25">
      <c r="A453" s="2" t="s">
        <v>506</v>
      </c>
      <c r="B453" s="2" t="s">
        <v>21</v>
      </c>
      <c r="C453" s="2" t="s">
        <v>16</v>
      </c>
      <c r="D453" s="2" t="s">
        <v>23</v>
      </c>
      <c r="E453" s="2" t="s">
        <v>18</v>
      </c>
      <c r="F453" s="2" t="s">
        <v>28</v>
      </c>
      <c r="G453" s="8">
        <v>85.34</v>
      </c>
      <c r="H453" s="11">
        <v>59.4</v>
      </c>
      <c r="I453" s="8">
        <v>34.65</v>
      </c>
      <c r="J453" s="3">
        <v>45875</v>
      </c>
      <c r="K453" s="14">
        <v>5</v>
      </c>
      <c r="L453" s="17">
        <v>4.9000000000000004</v>
      </c>
      <c r="M453" s="2" t="b">
        <v>0</v>
      </c>
      <c r="N453" s="2"/>
      <c r="O453" s="2" t="str">
        <f>IF(Table1[[#This Row],[is_returned]]=TRUE,IF(Table1[[#This Row],[return_reason]]="","Error","OK"),"OK")</f>
        <v>OK</v>
      </c>
      <c r="P453" s="8">
        <f>Table1[[#This Row],[original_price]]*Table1[[#This Row],[markdown_percentage]]/100</f>
        <v>50.691960000000002</v>
      </c>
      <c r="Q45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453" s="25">
        <f>Table1[[#This Row],[current_price]]*Table1[[#This Row],[stock_quantity]]</f>
        <v>173.25</v>
      </c>
    </row>
    <row r="454" spans="1:18" x14ac:dyDescent="0.25">
      <c r="A454" s="2" t="s">
        <v>507</v>
      </c>
      <c r="B454" s="2" t="s">
        <v>38</v>
      </c>
      <c r="C454" s="2" t="s">
        <v>75</v>
      </c>
      <c r="D454" s="2" t="s">
        <v>34</v>
      </c>
      <c r="E454" s="2" t="s">
        <v>49</v>
      </c>
      <c r="F454" s="2" t="s">
        <v>35</v>
      </c>
      <c r="G454" s="8">
        <v>81.17</v>
      </c>
      <c r="H454" s="11">
        <v>0</v>
      </c>
      <c r="I454" s="8">
        <v>81.17</v>
      </c>
      <c r="J454" s="3">
        <v>45875</v>
      </c>
      <c r="K454" s="14">
        <v>21</v>
      </c>
      <c r="L454" s="17">
        <v>1.2</v>
      </c>
      <c r="M454" s="2" t="b">
        <v>0</v>
      </c>
      <c r="N454" s="2"/>
      <c r="O454" s="2" t="str">
        <f>IF(Table1[[#This Row],[is_returned]]=TRUE,IF(Table1[[#This Row],[return_reason]]="","Error","OK"),"OK")</f>
        <v>OK</v>
      </c>
      <c r="P454" s="8">
        <f>Table1[[#This Row],[original_price]]*Table1[[#This Row],[markdown_percentage]]/100</f>
        <v>0</v>
      </c>
      <c r="Q45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454" s="25">
        <f>Table1[[#This Row],[current_price]]*Table1[[#This Row],[stock_quantity]]</f>
        <v>1704.57</v>
      </c>
    </row>
    <row r="455" spans="1:18" x14ac:dyDescent="0.25">
      <c r="A455" s="2" t="s">
        <v>508</v>
      </c>
      <c r="B455" s="2" t="s">
        <v>27</v>
      </c>
      <c r="C455" s="2" t="s">
        <v>53</v>
      </c>
      <c r="D455" s="2" t="s">
        <v>17</v>
      </c>
      <c r="E455" s="2"/>
      <c r="F455" s="2" t="s">
        <v>35</v>
      </c>
      <c r="G455" s="8">
        <v>16.809999999999999</v>
      </c>
      <c r="H455" s="11">
        <v>0</v>
      </c>
      <c r="I455" s="8">
        <v>16.809999999999999</v>
      </c>
      <c r="J455" s="3">
        <v>45869</v>
      </c>
      <c r="K455" s="14">
        <v>16</v>
      </c>
      <c r="L455" s="17">
        <v>2.8</v>
      </c>
      <c r="M455" s="2" t="b">
        <v>0</v>
      </c>
      <c r="N455" s="2"/>
      <c r="O455" s="2" t="str">
        <f>IF(Table1[[#This Row],[is_returned]]=TRUE,IF(Table1[[#This Row],[return_reason]]="","Error","OK"),"OK")</f>
        <v>OK</v>
      </c>
      <c r="P455" s="8">
        <f>Table1[[#This Row],[original_price]]*Table1[[#This Row],[markdown_percentage]]/100</f>
        <v>0</v>
      </c>
      <c r="Q45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455" s="25">
        <f>Table1[[#This Row],[current_price]]*Table1[[#This Row],[stock_quantity]]</f>
        <v>268.95999999999998</v>
      </c>
    </row>
    <row r="456" spans="1:18" x14ac:dyDescent="0.25">
      <c r="A456" s="2" t="s">
        <v>509</v>
      </c>
      <c r="B456" s="2" t="s">
        <v>21</v>
      </c>
      <c r="C456" s="2" t="s">
        <v>53</v>
      </c>
      <c r="D456" s="2" t="s">
        <v>23</v>
      </c>
      <c r="E456" s="2" t="s">
        <v>18</v>
      </c>
      <c r="F456" s="2" t="s">
        <v>28</v>
      </c>
      <c r="G456" s="8">
        <v>115.71</v>
      </c>
      <c r="H456" s="11">
        <v>55</v>
      </c>
      <c r="I456" s="8">
        <v>52.07</v>
      </c>
      <c r="J456" s="3">
        <v>45875</v>
      </c>
      <c r="K456" s="14">
        <v>6</v>
      </c>
      <c r="L456" s="17">
        <v>1.6</v>
      </c>
      <c r="M456" s="2" t="b">
        <v>0</v>
      </c>
      <c r="N456" s="2"/>
      <c r="O456" s="2" t="str">
        <f>IF(Table1[[#This Row],[is_returned]]=TRUE,IF(Table1[[#This Row],[return_reason]]="","Error","OK"),"OK")</f>
        <v>OK</v>
      </c>
      <c r="P456" s="8">
        <f>Table1[[#This Row],[original_price]]*Table1[[#This Row],[markdown_percentage]]/100</f>
        <v>63.640499999999996</v>
      </c>
      <c r="Q45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456" s="25">
        <f>Table1[[#This Row],[current_price]]*Table1[[#This Row],[stock_quantity]]</f>
        <v>312.42</v>
      </c>
    </row>
    <row r="457" spans="1:18" x14ac:dyDescent="0.25">
      <c r="A457" s="2" t="s">
        <v>510</v>
      </c>
      <c r="B457" s="2" t="s">
        <v>38</v>
      </c>
      <c r="C457" s="2" t="s">
        <v>43</v>
      </c>
      <c r="D457" s="2" t="s">
        <v>62</v>
      </c>
      <c r="E457" s="2" t="s">
        <v>49</v>
      </c>
      <c r="F457" s="2" t="s">
        <v>25</v>
      </c>
      <c r="G457" s="8">
        <v>49.87</v>
      </c>
      <c r="H457" s="11">
        <v>0</v>
      </c>
      <c r="I457" s="8">
        <v>49.87</v>
      </c>
      <c r="J457" s="3">
        <v>45875</v>
      </c>
      <c r="K457" s="14">
        <v>17</v>
      </c>
      <c r="L457" s="17">
        <v>2.1</v>
      </c>
      <c r="M457" s="2" t="b">
        <v>0</v>
      </c>
      <c r="N457" s="2"/>
      <c r="O457" s="2" t="str">
        <f>IF(Table1[[#This Row],[is_returned]]=TRUE,IF(Table1[[#This Row],[return_reason]]="","Error","OK"),"OK")</f>
        <v>OK</v>
      </c>
      <c r="P457" s="8">
        <f>Table1[[#This Row],[original_price]]*Table1[[#This Row],[markdown_percentage]]/100</f>
        <v>0</v>
      </c>
      <c r="Q45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457" s="25">
        <f>Table1[[#This Row],[current_price]]*Table1[[#This Row],[stock_quantity]]</f>
        <v>847.79</v>
      </c>
    </row>
    <row r="458" spans="1:18" x14ac:dyDescent="0.25">
      <c r="A458" s="2" t="s">
        <v>511</v>
      </c>
      <c r="B458" s="2" t="s">
        <v>30</v>
      </c>
      <c r="C458" s="2" t="s">
        <v>43</v>
      </c>
      <c r="D458" s="2" t="s">
        <v>34</v>
      </c>
      <c r="E458" s="2" t="s">
        <v>55</v>
      </c>
      <c r="F458" s="2" t="s">
        <v>56</v>
      </c>
      <c r="G458" s="8">
        <v>107.96</v>
      </c>
      <c r="H458" s="11">
        <v>52.9</v>
      </c>
      <c r="I458" s="8">
        <v>50.85</v>
      </c>
      <c r="J458" s="3">
        <v>45875</v>
      </c>
      <c r="K458" s="14">
        <v>2</v>
      </c>
      <c r="L458" s="17">
        <v>4.9000000000000004</v>
      </c>
      <c r="M458" s="2" t="b">
        <v>0</v>
      </c>
      <c r="N458" s="2"/>
      <c r="O458" s="2" t="str">
        <f>IF(Table1[[#This Row],[is_returned]]=TRUE,IF(Table1[[#This Row],[return_reason]]="","Error","OK"),"OK")</f>
        <v>OK</v>
      </c>
      <c r="P458" s="8">
        <f>Table1[[#This Row],[original_price]]*Table1[[#This Row],[markdown_percentage]]/100</f>
        <v>57.110839999999996</v>
      </c>
      <c r="Q45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458" s="25">
        <f>Table1[[#This Row],[current_price]]*Table1[[#This Row],[stock_quantity]]</f>
        <v>101.7</v>
      </c>
    </row>
    <row r="459" spans="1:18" x14ac:dyDescent="0.25">
      <c r="A459" s="2" t="s">
        <v>512</v>
      </c>
      <c r="B459" s="2" t="s">
        <v>30</v>
      </c>
      <c r="C459" s="2" t="s">
        <v>43</v>
      </c>
      <c r="D459" s="2" t="s">
        <v>62</v>
      </c>
      <c r="E459" s="2" t="s">
        <v>58</v>
      </c>
      <c r="F459" s="2" t="s">
        <v>28</v>
      </c>
      <c r="G459" s="8">
        <v>138.35</v>
      </c>
      <c r="H459" s="11">
        <v>31.7</v>
      </c>
      <c r="I459" s="8">
        <v>94.49</v>
      </c>
      <c r="J459" s="3">
        <v>45875</v>
      </c>
      <c r="K459" s="14">
        <v>3</v>
      </c>
      <c r="L459" s="17">
        <v>2.5</v>
      </c>
      <c r="M459" s="2" t="b">
        <v>0</v>
      </c>
      <c r="N459" s="2"/>
      <c r="O459" s="2" t="str">
        <f>IF(Table1[[#This Row],[is_returned]]=TRUE,IF(Table1[[#This Row],[return_reason]]="","Error","OK"),"OK")</f>
        <v>OK</v>
      </c>
      <c r="P459" s="8">
        <f>Table1[[#This Row],[original_price]]*Table1[[#This Row],[markdown_percentage]]/100</f>
        <v>43.856949999999998</v>
      </c>
      <c r="Q45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459" s="25">
        <f>Table1[[#This Row],[current_price]]*Table1[[#This Row],[stock_quantity]]</f>
        <v>283.46999999999997</v>
      </c>
    </row>
    <row r="460" spans="1:18" x14ac:dyDescent="0.25">
      <c r="A460" s="2" t="s">
        <v>513</v>
      </c>
      <c r="B460" s="2" t="s">
        <v>21</v>
      </c>
      <c r="C460" s="2" t="s">
        <v>61</v>
      </c>
      <c r="D460" s="2" t="s">
        <v>17</v>
      </c>
      <c r="E460" s="2" t="s">
        <v>55</v>
      </c>
      <c r="F460" s="2" t="s">
        <v>19</v>
      </c>
      <c r="G460" s="8">
        <v>32.01</v>
      </c>
      <c r="H460" s="11">
        <v>0</v>
      </c>
      <c r="I460" s="8">
        <v>32.01</v>
      </c>
      <c r="J460" s="3">
        <v>45786</v>
      </c>
      <c r="K460" s="14">
        <v>43</v>
      </c>
      <c r="L460" s="17">
        <v>3.4</v>
      </c>
      <c r="M460" s="2" t="b">
        <v>1</v>
      </c>
      <c r="N460" s="2" t="s">
        <v>125</v>
      </c>
      <c r="O460" s="2" t="str">
        <f>IF(Table1[[#This Row],[is_returned]]=TRUE,IF(Table1[[#This Row],[return_reason]]="","Error","OK"),"OK")</f>
        <v>OK</v>
      </c>
      <c r="P460" s="8">
        <f>Table1[[#This Row],[original_price]]*Table1[[#This Row],[markdown_percentage]]/100</f>
        <v>0</v>
      </c>
      <c r="Q46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460" s="25">
        <f>Table1[[#This Row],[current_price]]*Table1[[#This Row],[stock_quantity]]</f>
        <v>1376.4299999999998</v>
      </c>
    </row>
    <row r="461" spans="1:18" x14ac:dyDescent="0.25">
      <c r="A461" s="2" t="s">
        <v>514</v>
      </c>
      <c r="B461" s="2" t="s">
        <v>42</v>
      </c>
      <c r="C461" s="2" t="s">
        <v>48</v>
      </c>
      <c r="D461" s="2" t="s">
        <v>34</v>
      </c>
      <c r="E461" s="2" t="s">
        <v>55</v>
      </c>
      <c r="F461" s="2" t="s">
        <v>28</v>
      </c>
      <c r="G461" s="8">
        <v>129.08000000000001</v>
      </c>
      <c r="H461" s="11">
        <v>50.6</v>
      </c>
      <c r="I461" s="8">
        <v>63.77</v>
      </c>
      <c r="J461" s="3">
        <v>45875</v>
      </c>
      <c r="K461" s="14">
        <v>10</v>
      </c>
      <c r="L461" s="17">
        <v>4.4000000000000004</v>
      </c>
      <c r="M461" s="2" t="b">
        <v>0</v>
      </c>
      <c r="N461" s="2"/>
      <c r="O461" s="2" t="str">
        <f>IF(Table1[[#This Row],[is_returned]]=TRUE,IF(Table1[[#This Row],[return_reason]]="","Error","OK"),"OK")</f>
        <v>OK</v>
      </c>
      <c r="P461" s="8">
        <f>Table1[[#This Row],[original_price]]*Table1[[#This Row],[markdown_percentage]]/100</f>
        <v>65.314480000000017</v>
      </c>
      <c r="Q46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461" s="25">
        <f>Table1[[#This Row],[current_price]]*Table1[[#This Row],[stock_quantity]]</f>
        <v>637.70000000000005</v>
      </c>
    </row>
    <row r="462" spans="1:18" x14ac:dyDescent="0.25">
      <c r="A462" s="2" t="s">
        <v>515</v>
      </c>
      <c r="B462" s="2" t="s">
        <v>42</v>
      </c>
      <c r="C462" s="2" t="s">
        <v>32</v>
      </c>
      <c r="D462" s="2" t="s">
        <v>23</v>
      </c>
      <c r="E462" s="2" t="s">
        <v>58</v>
      </c>
      <c r="F462" s="2" t="s">
        <v>40</v>
      </c>
      <c r="G462" s="8">
        <v>68.569999999999993</v>
      </c>
      <c r="H462" s="11">
        <v>56.4</v>
      </c>
      <c r="I462" s="8">
        <v>29.9</v>
      </c>
      <c r="J462" s="3">
        <v>45875</v>
      </c>
      <c r="K462" s="14">
        <v>30</v>
      </c>
      <c r="L462" s="17">
        <v>1.8</v>
      </c>
      <c r="M462" s="2" t="b">
        <v>0</v>
      </c>
      <c r="N462" s="2"/>
      <c r="O462" s="2" t="str">
        <f>IF(Table1[[#This Row],[is_returned]]=TRUE,IF(Table1[[#This Row],[return_reason]]="","Error","OK"),"OK")</f>
        <v>OK</v>
      </c>
      <c r="P462" s="8">
        <f>Table1[[#This Row],[original_price]]*Table1[[#This Row],[markdown_percentage]]/100</f>
        <v>38.673479999999998</v>
      </c>
      <c r="Q46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462" s="25">
        <f>Table1[[#This Row],[current_price]]*Table1[[#This Row],[stock_quantity]]</f>
        <v>897</v>
      </c>
    </row>
    <row r="463" spans="1:18" x14ac:dyDescent="0.25">
      <c r="A463" s="2" t="s">
        <v>516</v>
      </c>
      <c r="B463" s="2" t="s">
        <v>27</v>
      </c>
      <c r="C463" s="2" t="s">
        <v>48</v>
      </c>
      <c r="D463" s="2" t="s">
        <v>23</v>
      </c>
      <c r="E463" s="2"/>
      <c r="F463" s="2" t="s">
        <v>40</v>
      </c>
      <c r="G463" s="8">
        <v>46.46</v>
      </c>
      <c r="H463" s="11">
        <v>0</v>
      </c>
      <c r="I463" s="8">
        <v>46.46</v>
      </c>
      <c r="J463" s="3">
        <v>45875</v>
      </c>
      <c r="K463" s="14">
        <v>30</v>
      </c>
      <c r="L463" s="17"/>
      <c r="M463" s="2" t="b">
        <v>0</v>
      </c>
      <c r="N463" s="2"/>
      <c r="O463" s="2" t="str">
        <f>IF(Table1[[#This Row],[is_returned]]=TRUE,IF(Table1[[#This Row],[return_reason]]="","Error","OK"),"OK")</f>
        <v>OK</v>
      </c>
      <c r="P463" s="8">
        <f>Table1[[#This Row],[original_price]]*Table1[[#This Row],[markdown_percentage]]/100</f>
        <v>0</v>
      </c>
      <c r="Q46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463" s="25">
        <f>Table1[[#This Row],[current_price]]*Table1[[#This Row],[stock_quantity]]</f>
        <v>1393.8</v>
      </c>
    </row>
    <row r="464" spans="1:18" x14ac:dyDescent="0.25">
      <c r="A464" s="2" t="s">
        <v>517</v>
      </c>
      <c r="B464" s="2" t="s">
        <v>15</v>
      </c>
      <c r="C464" s="2" t="s">
        <v>32</v>
      </c>
      <c r="D464" s="2" t="s">
        <v>34</v>
      </c>
      <c r="E464" s="2" t="s">
        <v>49</v>
      </c>
      <c r="F464" s="2" t="s">
        <v>35</v>
      </c>
      <c r="G464" s="8">
        <v>124.68</v>
      </c>
      <c r="H464" s="11">
        <v>58.2</v>
      </c>
      <c r="I464" s="8">
        <v>52.12</v>
      </c>
      <c r="J464" s="3">
        <v>45875</v>
      </c>
      <c r="K464" s="14">
        <v>44</v>
      </c>
      <c r="L464" s="17">
        <v>3.2</v>
      </c>
      <c r="M464" s="2" t="b">
        <v>0</v>
      </c>
      <c r="N464" s="2"/>
      <c r="O464" s="2" t="str">
        <f>IF(Table1[[#This Row],[is_returned]]=TRUE,IF(Table1[[#This Row],[return_reason]]="","Error","OK"),"OK")</f>
        <v>OK</v>
      </c>
      <c r="P464" s="8">
        <f>Table1[[#This Row],[original_price]]*Table1[[#This Row],[markdown_percentage]]/100</f>
        <v>72.563760000000016</v>
      </c>
      <c r="Q46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464" s="25">
        <f>Table1[[#This Row],[current_price]]*Table1[[#This Row],[stock_quantity]]</f>
        <v>2293.2799999999997</v>
      </c>
    </row>
    <row r="465" spans="1:18" x14ac:dyDescent="0.25">
      <c r="A465" s="2" t="s">
        <v>518</v>
      </c>
      <c r="B465" s="2" t="s">
        <v>38</v>
      </c>
      <c r="C465" s="2" t="s">
        <v>48</v>
      </c>
      <c r="D465" s="2" t="s">
        <v>17</v>
      </c>
      <c r="E465" s="2" t="s">
        <v>18</v>
      </c>
      <c r="F465" s="2" t="s">
        <v>19</v>
      </c>
      <c r="G465" s="8">
        <v>36.85</v>
      </c>
      <c r="H465" s="11">
        <v>0</v>
      </c>
      <c r="I465" s="8">
        <v>36.85</v>
      </c>
      <c r="J465" s="3">
        <v>45841</v>
      </c>
      <c r="K465" s="14">
        <v>0</v>
      </c>
      <c r="L465" s="17">
        <v>4.4000000000000004</v>
      </c>
      <c r="M465" s="2" t="b">
        <v>0</v>
      </c>
      <c r="N465" s="2"/>
      <c r="O465" s="2" t="str">
        <f>IF(Table1[[#This Row],[is_returned]]=TRUE,IF(Table1[[#This Row],[return_reason]]="","Error","OK"),"OK")</f>
        <v>OK</v>
      </c>
      <c r="P465" s="8">
        <f>Table1[[#This Row],[original_price]]*Table1[[#This Row],[markdown_percentage]]/100</f>
        <v>0</v>
      </c>
      <c r="Q46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465" s="25">
        <f>Table1[[#This Row],[current_price]]*Table1[[#This Row],[stock_quantity]]</f>
        <v>0</v>
      </c>
    </row>
    <row r="466" spans="1:18" x14ac:dyDescent="0.25">
      <c r="A466" s="2" t="s">
        <v>519</v>
      </c>
      <c r="B466" s="2" t="s">
        <v>15</v>
      </c>
      <c r="C466" s="2" t="s">
        <v>53</v>
      </c>
      <c r="D466" s="2" t="s">
        <v>23</v>
      </c>
      <c r="E466" s="2" t="s">
        <v>55</v>
      </c>
      <c r="F466" s="2" t="s">
        <v>28</v>
      </c>
      <c r="G466" s="8">
        <v>229.63</v>
      </c>
      <c r="H466" s="11">
        <v>0.3</v>
      </c>
      <c r="I466" s="8">
        <v>228.94</v>
      </c>
      <c r="J466" s="3">
        <v>45875</v>
      </c>
      <c r="K466" s="14">
        <v>30</v>
      </c>
      <c r="L466" s="17">
        <v>3.4</v>
      </c>
      <c r="M466" s="2" t="b">
        <v>0</v>
      </c>
      <c r="N466" s="2"/>
      <c r="O466" s="2" t="str">
        <f>IF(Table1[[#This Row],[is_returned]]=TRUE,IF(Table1[[#This Row],[return_reason]]="","Error","OK"),"OK")</f>
        <v>OK</v>
      </c>
      <c r="P466" s="8">
        <f>Table1[[#This Row],[original_price]]*Table1[[#This Row],[markdown_percentage]]/100</f>
        <v>0.68889</v>
      </c>
      <c r="Q46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466" s="25">
        <f>Table1[[#This Row],[current_price]]*Table1[[#This Row],[stock_quantity]]</f>
        <v>6868.2</v>
      </c>
    </row>
    <row r="467" spans="1:18" x14ac:dyDescent="0.25">
      <c r="A467" s="2" t="s">
        <v>520</v>
      </c>
      <c r="B467" s="2" t="s">
        <v>21</v>
      </c>
      <c r="C467" s="2" t="s">
        <v>53</v>
      </c>
      <c r="D467" s="2" t="s">
        <v>17</v>
      </c>
      <c r="E467" s="2" t="s">
        <v>39</v>
      </c>
      <c r="F467" s="2" t="s">
        <v>64</v>
      </c>
      <c r="G467" s="8">
        <v>74.09</v>
      </c>
      <c r="H467" s="11">
        <v>0</v>
      </c>
      <c r="I467" s="8">
        <v>74.09</v>
      </c>
      <c r="J467" s="3">
        <v>45542</v>
      </c>
      <c r="K467" s="14">
        <v>35</v>
      </c>
      <c r="L467" s="17">
        <v>3.4</v>
      </c>
      <c r="M467" s="2" t="b">
        <v>0</v>
      </c>
      <c r="N467" s="2"/>
      <c r="O467" s="2" t="str">
        <f>IF(Table1[[#This Row],[is_returned]]=TRUE,IF(Table1[[#This Row],[return_reason]]="","Error","OK"),"OK")</f>
        <v>OK</v>
      </c>
      <c r="P467" s="8">
        <f>Table1[[#This Row],[original_price]]*Table1[[#This Row],[markdown_percentage]]/100</f>
        <v>0</v>
      </c>
      <c r="Q46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467" s="25">
        <f>Table1[[#This Row],[current_price]]*Table1[[#This Row],[stock_quantity]]</f>
        <v>2593.15</v>
      </c>
    </row>
    <row r="468" spans="1:18" x14ac:dyDescent="0.25">
      <c r="A468" s="2" t="s">
        <v>521</v>
      </c>
      <c r="B468" s="2" t="s">
        <v>38</v>
      </c>
      <c r="C468" s="2" t="s">
        <v>32</v>
      </c>
      <c r="D468" s="2" t="s">
        <v>17</v>
      </c>
      <c r="E468" s="2" t="s">
        <v>55</v>
      </c>
      <c r="F468" s="2" t="s">
        <v>70</v>
      </c>
      <c r="G468" s="8">
        <v>27.22</v>
      </c>
      <c r="H468" s="11">
        <v>0</v>
      </c>
      <c r="I468" s="8">
        <v>27.22</v>
      </c>
      <c r="J468" s="3">
        <v>45544</v>
      </c>
      <c r="K468" s="14">
        <v>14</v>
      </c>
      <c r="L468" s="17">
        <v>2.4</v>
      </c>
      <c r="M468" s="2" t="b">
        <v>0</v>
      </c>
      <c r="N468" s="2"/>
      <c r="O468" s="2" t="str">
        <f>IF(Table1[[#This Row],[is_returned]]=TRUE,IF(Table1[[#This Row],[return_reason]]="","Error","OK"),"OK")</f>
        <v>OK</v>
      </c>
      <c r="P468" s="8">
        <f>Table1[[#This Row],[original_price]]*Table1[[#This Row],[markdown_percentage]]/100</f>
        <v>0</v>
      </c>
      <c r="Q46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468" s="25">
        <f>Table1[[#This Row],[current_price]]*Table1[[#This Row],[stock_quantity]]</f>
        <v>381.08</v>
      </c>
    </row>
    <row r="469" spans="1:18" x14ac:dyDescent="0.25">
      <c r="A469" s="2" t="s">
        <v>522</v>
      </c>
      <c r="B469" s="2" t="s">
        <v>21</v>
      </c>
      <c r="C469" s="2" t="s">
        <v>53</v>
      </c>
      <c r="D469" s="2" t="s">
        <v>17</v>
      </c>
      <c r="E469" s="2" t="s">
        <v>24</v>
      </c>
      <c r="F469" s="2" t="s">
        <v>66</v>
      </c>
      <c r="G469" s="8">
        <v>32.64</v>
      </c>
      <c r="H469" s="11">
        <v>1.4</v>
      </c>
      <c r="I469" s="8">
        <v>32.18</v>
      </c>
      <c r="J469" s="3">
        <v>45783</v>
      </c>
      <c r="K469" s="14">
        <v>29</v>
      </c>
      <c r="L469" s="17">
        <v>1.5</v>
      </c>
      <c r="M469" s="2" t="b">
        <v>1</v>
      </c>
      <c r="N469" s="2" t="s">
        <v>115</v>
      </c>
      <c r="O469" s="2" t="str">
        <f>IF(Table1[[#This Row],[is_returned]]=TRUE,IF(Table1[[#This Row],[return_reason]]="","Error","OK"),"OK")</f>
        <v>OK</v>
      </c>
      <c r="P469" s="8">
        <f>Table1[[#This Row],[original_price]]*Table1[[#This Row],[markdown_percentage]]/100</f>
        <v>0.45695999999999998</v>
      </c>
      <c r="Q46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469" s="25">
        <f>Table1[[#This Row],[current_price]]*Table1[[#This Row],[stock_quantity]]</f>
        <v>933.22</v>
      </c>
    </row>
    <row r="470" spans="1:18" x14ac:dyDescent="0.25">
      <c r="A470" s="2" t="s">
        <v>523</v>
      </c>
      <c r="B470" s="2" t="s">
        <v>27</v>
      </c>
      <c r="C470" s="2" t="s">
        <v>16</v>
      </c>
      <c r="D470" s="2" t="s">
        <v>62</v>
      </c>
      <c r="E470" s="2"/>
      <c r="F470" s="2" t="s">
        <v>66</v>
      </c>
      <c r="G470" s="8">
        <v>30.25</v>
      </c>
      <c r="H470" s="11">
        <v>11.8</v>
      </c>
      <c r="I470" s="8">
        <v>26.68</v>
      </c>
      <c r="J470" s="3">
        <v>45875</v>
      </c>
      <c r="K470" s="14">
        <v>30</v>
      </c>
      <c r="L470" s="17">
        <v>3.4</v>
      </c>
      <c r="M470" s="2" t="b">
        <v>0</v>
      </c>
      <c r="N470" s="2"/>
      <c r="O470" s="2" t="str">
        <f>IF(Table1[[#This Row],[is_returned]]=TRUE,IF(Table1[[#This Row],[return_reason]]="","Error","OK"),"OK")</f>
        <v>OK</v>
      </c>
      <c r="P470" s="8">
        <f>Table1[[#This Row],[original_price]]*Table1[[#This Row],[markdown_percentage]]/100</f>
        <v>3.5695000000000006</v>
      </c>
      <c r="Q47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470" s="25">
        <f>Table1[[#This Row],[current_price]]*Table1[[#This Row],[stock_quantity]]</f>
        <v>800.4</v>
      </c>
    </row>
    <row r="471" spans="1:18" x14ac:dyDescent="0.25">
      <c r="A471" s="2" t="s">
        <v>524</v>
      </c>
      <c r="B471" s="2" t="s">
        <v>15</v>
      </c>
      <c r="C471" s="2" t="s">
        <v>22</v>
      </c>
      <c r="D471" s="2" t="s">
        <v>62</v>
      </c>
      <c r="E471" s="2" t="s">
        <v>39</v>
      </c>
      <c r="F471" s="2" t="s">
        <v>70</v>
      </c>
      <c r="G471" s="8">
        <v>180.57</v>
      </c>
      <c r="H471" s="11">
        <v>0</v>
      </c>
      <c r="I471" s="8">
        <v>180.57</v>
      </c>
      <c r="J471" s="3">
        <v>45875</v>
      </c>
      <c r="K471" s="14">
        <v>28</v>
      </c>
      <c r="L471" s="17"/>
      <c r="M471" s="2" t="b">
        <v>0</v>
      </c>
      <c r="N471" s="2"/>
      <c r="O471" s="2" t="str">
        <f>IF(Table1[[#This Row],[is_returned]]=TRUE,IF(Table1[[#This Row],[return_reason]]="","Error","OK"),"OK")</f>
        <v>OK</v>
      </c>
      <c r="P471" s="8">
        <f>Table1[[#This Row],[original_price]]*Table1[[#This Row],[markdown_percentage]]/100</f>
        <v>0</v>
      </c>
      <c r="Q47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471" s="25">
        <f>Table1[[#This Row],[current_price]]*Table1[[#This Row],[stock_quantity]]</f>
        <v>5055.96</v>
      </c>
    </row>
    <row r="472" spans="1:18" x14ac:dyDescent="0.25">
      <c r="A472" s="2" t="s">
        <v>525</v>
      </c>
      <c r="B472" s="2" t="s">
        <v>38</v>
      </c>
      <c r="C472" s="2" t="s">
        <v>22</v>
      </c>
      <c r="D472" s="2" t="s">
        <v>62</v>
      </c>
      <c r="E472" s="2" t="s">
        <v>55</v>
      </c>
      <c r="F472" s="2" t="s">
        <v>35</v>
      </c>
      <c r="G472" s="8">
        <v>96.55</v>
      </c>
      <c r="H472" s="11">
        <v>0</v>
      </c>
      <c r="I472" s="8">
        <v>96.55</v>
      </c>
      <c r="J472" s="3">
        <v>45875</v>
      </c>
      <c r="K472" s="14">
        <v>17</v>
      </c>
      <c r="L472" s="17">
        <v>4.4000000000000004</v>
      </c>
      <c r="M472" s="2" t="b">
        <v>0</v>
      </c>
      <c r="N472" s="2"/>
      <c r="O472" s="2" t="str">
        <f>IF(Table1[[#This Row],[is_returned]]=TRUE,IF(Table1[[#This Row],[return_reason]]="","Error","OK"),"OK")</f>
        <v>OK</v>
      </c>
      <c r="P472" s="8">
        <f>Table1[[#This Row],[original_price]]*Table1[[#This Row],[markdown_percentage]]/100</f>
        <v>0</v>
      </c>
      <c r="Q47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472" s="25">
        <f>Table1[[#This Row],[current_price]]*Table1[[#This Row],[stock_quantity]]</f>
        <v>1641.35</v>
      </c>
    </row>
    <row r="473" spans="1:18" x14ac:dyDescent="0.25">
      <c r="A473" s="2" t="s">
        <v>526</v>
      </c>
      <c r="B473" s="2" t="s">
        <v>38</v>
      </c>
      <c r="C473" s="2" t="s">
        <v>53</v>
      </c>
      <c r="D473" s="2" t="s">
        <v>34</v>
      </c>
      <c r="E473" s="2"/>
      <c r="F473" s="2" t="s">
        <v>25</v>
      </c>
      <c r="G473" s="8">
        <v>68.53</v>
      </c>
      <c r="H473" s="11">
        <v>54.3</v>
      </c>
      <c r="I473" s="8">
        <v>31.32</v>
      </c>
      <c r="J473" s="3">
        <v>45875</v>
      </c>
      <c r="K473" s="14">
        <v>38</v>
      </c>
      <c r="L473" s="17">
        <v>2.9</v>
      </c>
      <c r="M473" s="2" t="b">
        <v>0</v>
      </c>
      <c r="N473" s="2"/>
      <c r="O473" s="2" t="str">
        <f>IF(Table1[[#This Row],[is_returned]]=TRUE,IF(Table1[[#This Row],[return_reason]]="","Error","OK"),"OK")</f>
        <v>OK</v>
      </c>
      <c r="P473" s="8">
        <f>Table1[[#This Row],[original_price]]*Table1[[#This Row],[markdown_percentage]]/100</f>
        <v>37.211790000000001</v>
      </c>
      <c r="Q47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473" s="25">
        <f>Table1[[#This Row],[current_price]]*Table1[[#This Row],[stock_quantity]]</f>
        <v>1190.1600000000001</v>
      </c>
    </row>
    <row r="474" spans="1:18" x14ac:dyDescent="0.25">
      <c r="A474" s="2" t="s">
        <v>527</v>
      </c>
      <c r="B474" s="2" t="s">
        <v>30</v>
      </c>
      <c r="C474" s="2" t="s">
        <v>61</v>
      </c>
      <c r="D474" s="2" t="s">
        <v>34</v>
      </c>
      <c r="E474" s="2" t="s">
        <v>55</v>
      </c>
      <c r="F474" s="2" t="s">
        <v>35</v>
      </c>
      <c r="G474" s="8">
        <v>71.94</v>
      </c>
      <c r="H474" s="11">
        <v>0</v>
      </c>
      <c r="I474" s="8">
        <v>71.94</v>
      </c>
      <c r="J474" s="3">
        <v>45875</v>
      </c>
      <c r="K474" s="14">
        <v>45</v>
      </c>
      <c r="L474" s="17">
        <v>3.3</v>
      </c>
      <c r="M474" s="2" t="b">
        <v>0</v>
      </c>
      <c r="N474" s="2"/>
      <c r="O474" s="2" t="str">
        <f>IF(Table1[[#This Row],[is_returned]]=TRUE,IF(Table1[[#This Row],[return_reason]]="","Error","OK"),"OK")</f>
        <v>OK</v>
      </c>
      <c r="P474" s="8">
        <f>Table1[[#This Row],[original_price]]*Table1[[#This Row],[markdown_percentage]]/100</f>
        <v>0</v>
      </c>
      <c r="Q47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474" s="25">
        <f>Table1[[#This Row],[current_price]]*Table1[[#This Row],[stock_quantity]]</f>
        <v>3237.2999999999997</v>
      </c>
    </row>
    <row r="475" spans="1:18" x14ac:dyDescent="0.25">
      <c r="A475" s="2" t="s">
        <v>528</v>
      </c>
      <c r="B475" s="2" t="s">
        <v>30</v>
      </c>
      <c r="C475" s="2" t="s">
        <v>61</v>
      </c>
      <c r="D475" s="2" t="s">
        <v>34</v>
      </c>
      <c r="E475" s="2" t="s">
        <v>24</v>
      </c>
      <c r="F475" s="2" t="s">
        <v>44</v>
      </c>
      <c r="G475" s="8">
        <v>80.72</v>
      </c>
      <c r="H475" s="11">
        <v>9.9</v>
      </c>
      <c r="I475" s="8">
        <v>72.73</v>
      </c>
      <c r="J475" s="3">
        <v>45875</v>
      </c>
      <c r="K475" s="14">
        <v>37</v>
      </c>
      <c r="L475" s="17">
        <v>2.5</v>
      </c>
      <c r="M475" s="2" t="b">
        <v>0</v>
      </c>
      <c r="N475" s="2"/>
      <c r="O475" s="2" t="str">
        <f>IF(Table1[[#This Row],[is_returned]]=TRUE,IF(Table1[[#This Row],[return_reason]]="","Error","OK"),"OK")</f>
        <v>OK</v>
      </c>
      <c r="P475" s="8">
        <f>Table1[[#This Row],[original_price]]*Table1[[#This Row],[markdown_percentage]]/100</f>
        <v>7.9912800000000006</v>
      </c>
      <c r="Q47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475" s="25">
        <f>Table1[[#This Row],[current_price]]*Table1[[#This Row],[stock_quantity]]</f>
        <v>2691.01</v>
      </c>
    </row>
    <row r="476" spans="1:18" x14ac:dyDescent="0.25">
      <c r="A476" s="2" t="s">
        <v>529</v>
      </c>
      <c r="B476" s="2" t="s">
        <v>15</v>
      </c>
      <c r="C476" s="2" t="s">
        <v>16</v>
      </c>
      <c r="D476" s="2" t="s">
        <v>23</v>
      </c>
      <c r="E476" s="2" t="s">
        <v>24</v>
      </c>
      <c r="F476" s="2" t="s">
        <v>46</v>
      </c>
      <c r="G476" s="8">
        <v>208.8</v>
      </c>
      <c r="H476" s="11">
        <v>0</v>
      </c>
      <c r="I476" s="8">
        <v>208.8</v>
      </c>
      <c r="J476" s="3">
        <v>45875</v>
      </c>
      <c r="K476" s="14">
        <v>13</v>
      </c>
      <c r="L476" s="17">
        <v>1.6</v>
      </c>
      <c r="M476" s="2" t="b">
        <v>0</v>
      </c>
      <c r="N476" s="2"/>
      <c r="O476" s="2" t="str">
        <f>IF(Table1[[#This Row],[is_returned]]=TRUE,IF(Table1[[#This Row],[return_reason]]="","Error","OK"),"OK")</f>
        <v>OK</v>
      </c>
      <c r="P476" s="8">
        <f>Table1[[#This Row],[original_price]]*Table1[[#This Row],[markdown_percentage]]/100</f>
        <v>0</v>
      </c>
      <c r="Q47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476" s="25">
        <f>Table1[[#This Row],[current_price]]*Table1[[#This Row],[stock_quantity]]</f>
        <v>2714.4</v>
      </c>
    </row>
    <row r="477" spans="1:18" x14ac:dyDescent="0.25">
      <c r="A477" s="2" t="s">
        <v>530</v>
      </c>
      <c r="B477" s="2" t="s">
        <v>30</v>
      </c>
      <c r="C477" s="2" t="s">
        <v>43</v>
      </c>
      <c r="D477" s="2" t="s">
        <v>62</v>
      </c>
      <c r="E477" s="2" t="s">
        <v>58</v>
      </c>
      <c r="F477" s="2" t="s">
        <v>64</v>
      </c>
      <c r="G477" s="8">
        <v>158.15</v>
      </c>
      <c r="H477" s="11">
        <v>54.1</v>
      </c>
      <c r="I477" s="8">
        <v>72.59</v>
      </c>
      <c r="J477" s="3">
        <v>45875</v>
      </c>
      <c r="K477" s="14">
        <v>36</v>
      </c>
      <c r="L477" s="17">
        <v>4.5</v>
      </c>
      <c r="M477" s="2" t="b">
        <v>0</v>
      </c>
      <c r="N477" s="2"/>
      <c r="O477" s="2" t="str">
        <f>IF(Table1[[#This Row],[is_returned]]=TRUE,IF(Table1[[#This Row],[return_reason]]="","Error","OK"),"OK")</f>
        <v>OK</v>
      </c>
      <c r="P477" s="8">
        <f>Table1[[#This Row],[original_price]]*Table1[[#This Row],[markdown_percentage]]/100</f>
        <v>85.559150000000002</v>
      </c>
      <c r="Q47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477" s="25">
        <f>Table1[[#This Row],[current_price]]*Table1[[#This Row],[stock_quantity]]</f>
        <v>2613.2400000000002</v>
      </c>
    </row>
    <row r="478" spans="1:18" x14ac:dyDescent="0.25">
      <c r="A478" s="2" t="s">
        <v>531</v>
      </c>
      <c r="B478" s="2" t="s">
        <v>21</v>
      </c>
      <c r="C478" s="2" t="s">
        <v>16</v>
      </c>
      <c r="D478" s="2" t="s">
        <v>34</v>
      </c>
      <c r="E478" s="2" t="s">
        <v>39</v>
      </c>
      <c r="F478" s="2" t="s">
        <v>35</v>
      </c>
      <c r="G478" s="8">
        <v>85.92</v>
      </c>
      <c r="H478" s="11">
        <v>0</v>
      </c>
      <c r="I478" s="8">
        <v>85.92</v>
      </c>
      <c r="J478" s="3">
        <v>45875</v>
      </c>
      <c r="K478" s="14">
        <v>12</v>
      </c>
      <c r="L478" s="17"/>
      <c r="M478" s="2" t="b">
        <v>0</v>
      </c>
      <c r="N478" s="2"/>
      <c r="O478" s="2" t="str">
        <f>IF(Table1[[#This Row],[is_returned]]=TRUE,IF(Table1[[#This Row],[return_reason]]="","Error","OK"),"OK")</f>
        <v>OK</v>
      </c>
      <c r="P478" s="8">
        <f>Table1[[#This Row],[original_price]]*Table1[[#This Row],[markdown_percentage]]/100</f>
        <v>0</v>
      </c>
      <c r="Q47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478" s="25">
        <f>Table1[[#This Row],[current_price]]*Table1[[#This Row],[stock_quantity]]</f>
        <v>1031.04</v>
      </c>
    </row>
    <row r="479" spans="1:18" x14ac:dyDescent="0.25">
      <c r="A479" s="2" t="s">
        <v>532</v>
      </c>
      <c r="B479" s="2" t="s">
        <v>27</v>
      </c>
      <c r="C479" s="2" t="s">
        <v>61</v>
      </c>
      <c r="D479" s="2" t="s">
        <v>17</v>
      </c>
      <c r="E479" s="2"/>
      <c r="F479" s="2" t="s">
        <v>25</v>
      </c>
      <c r="G479" s="8">
        <v>69.59</v>
      </c>
      <c r="H479" s="11">
        <v>0</v>
      </c>
      <c r="I479" s="8">
        <v>69.59</v>
      </c>
      <c r="J479" s="3">
        <v>45561</v>
      </c>
      <c r="K479" s="14">
        <v>38</v>
      </c>
      <c r="L479" s="17">
        <v>1.5</v>
      </c>
      <c r="M479" s="2" t="b">
        <v>0</v>
      </c>
      <c r="N479" s="2"/>
      <c r="O479" s="2" t="str">
        <f>IF(Table1[[#This Row],[is_returned]]=TRUE,IF(Table1[[#This Row],[return_reason]]="","Error","OK"),"OK")</f>
        <v>OK</v>
      </c>
      <c r="P479" s="8">
        <f>Table1[[#This Row],[original_price]]*Table1[[#This Row],[markdown_percentage]]/100</f>
        <v>0</v>
      </c>
      <c r="Q47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479" s="25">
        <f>Table1[[#This Row],[current_price]]*Table1[[#This Row],[stock_quantity]]</f>
        <v>2644.42</v>
      </c>
    </row>
    <row r="480" spans="1:18" x14ac:dyDescent="0.25">
      <c r="A480" s="2" t="s">
        <v>533</v>
      </c>
      <c r="B480" s="2" t="s">
        <v>42</v>
      </c>
      <c r="C480" s="2" t="s">
        <v>16</v>
      </c>
      <c r="D480" s="2" t="s">
        <v>23</v>
      </c>
      <c r="E480" s="2" t="s">
        <v>18</v>
      </c>
      <c r="F480" s="2" t="s">
        <v>19</v>
      </c>
      <c r="G480" s="8">
        <v>136.16999999999999</v>
      </c>
      <c r="H480" s="11">
        <v>19.100000000000001</v>
      </c>
      <c r="I480" s="8">
        <v>110.16</v>
      </c>
      <c r="J480" s="3">
        <v>45875</v>
      </c>
      <c r="K480" s="14">
        <v>14</v>
      </c>
      <c r="L480" s="17"/>
      <c r="M480" s="2" t="b">
        <v>0</v>
      </c>
      <c r="N480" s="2"/>
      <c r="O480" s="2" t="str">
        <f>IF(Table1[[#This Row],[is_returned]]=TRUE,IF(Table1[[#This Row],[return_reason]]="","Error","OK"),"OK")</f>
        <v>OK</v>
      </c>
      <c r="P480" s="8">
        <f>Table1[[#This Row],[original_price]]*Table1[[#This Row],[markdown_percentage]]/100</f>
        <v>26.008469999999999</v>
      </c>
      <c r="Q48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480" s="25">
        <f>Table1[[#This Row],[current_price]]*Table1[[#This Row],[stock_quantity]]</f>
        <v>1542.24</v>
      </c>
    </row>
    <row r="481" spans="1:18" x14ac:dyDescent="0.25">
      <c r="A481" s="2" t="s">
        <v>534</v>
      </c>
      <c r="B481" s="2" t="s">
        <v>30</v>
      </c>
      <c r="C481" s="2" t="s">
        <v>43</v>
      </c>
      <c r="D481" s="2" t="s">
        <v>17</v>
      </c>
      <c r="E481" s="2" t="s">
        <v>55</v>
      </c>
      <c r="F481" s="2" t="s">
        <v>25</v>
      </c>
      <c r="G481" s="8">
        <v>124.26</v>
      </c>
      <c r="H481" s="11">
        <v>0</v>
      </c>
      <c r="I481" s="8">
        <v>124.26</v>
      </c>
      <c r="J481" s="3">
        <v>45512</v>
      </c>
      <c r="K481" s="14">
        <v>44</v>
      </c>
      <c r="L481" s="17">
        <v>4</v>
      </c>
      <c r="M481" s="2" t="b">
        <v>0</v>
      </c>
      <c r="N481" s="2"/>
      <c r="O481" s="2" t="str">
        <f>IF(Table1[[#This Row],[is_returned]]=TRUE,IF(Table1[[#This Row],[return_reason]]="","Error","OK"),"OK")</f>
        <v>OK</v>
      </c>
      <c r="P481" s="8">
        <f>Table1[[#This Row],[original_price]]*Table1[[#This Row],[markdown_percentage]]/100</f>
        <v>0</v>
      </c>
      <c r="Q48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481" s="25">
        <f>Table1[[#This Row],[current_price]]*Table1[[#This Row],[stock_quantity]]</f>
        <v>5467.4400000000005</v>
      </c>
    </row>
    <row r="482" spans="1:18" x14ac:dyDescent="0.25">
      <c r="A482" s="2" t="s">
        <v>535</v>
      </c>
      <c r="B482" s="2" t="s">
        <v>30</v>
      </c>
      <c r="C482" s="2" t="s">
        <v>32</v>
      </c>
      <c r="D482" s="2" t="s">
        <v>23</v>
      </c>
      <c r="E482" s="2" t="s">
        <v>39</v>
      </c>
      <c r="F482" s="2" t="s">
        <v>28</v>
      </c>
      <c r="G482" s="8">
        <v>129.33000000000001</v>
      </c>
      <c r="H482" s="11">
        <v>0</v>
      </c>
      <c r="I482" s="8">
        <v>129.33000000000001</v>
      </c>
      <c r="J482" s="3">
        <v>45875</v>
      </c>
      <c r="K482" s="14">
        <v>15</v>
      </c>
      <c r="L482" s="17">
        <v>3.1</v>
      </c>
      <c r="M482" s="2" t="b">
        <v>0</v>
      </c>
      <c r="N482" s="2"/>
      <c r="O482" s="2" t="str">
        <f>IF(Table1[[#This Row],[is_returned]]=TRUE,IF(Table1[[#This Row],[return_reason]]="","Error","OK"),"OK")</f>
        <v>OK</v>
      </c>
      <c r="P482" s="8">
        <f>Table1[[#This Row],[original_price]]*Table1[[#This Row],[markdown_percentage]]/100</f>
        <v>0</v>
      </c>
      <c r="Q48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482" s="25">
        <f>Table1[[#This Row],[current_price]]*Table1[[#This Row],[stock_quantity]]</f>
        <v>1939.9500000000003</v>
      </c>
    </row>
    <row r="483" spans="1:18" x14ac:dyDescent="0.25">
      <c r="A483" s="2" t="s">
        <v>536</v>
      </c>
      <c r="B483" s="2" t="s">
        <v>42</v>
      </c>
      <c r="C483" s="2" t="s">
        <v>48</v>
      </c>
      <c r="D483" s="2" t="s">
        <v>17</v>
      </c>
      <c r="E483" s="2" t="s">
        <v>39</v>
      </c>
      <c r="F483" s="2" t="s">
        <v>64</v>
      </c>
      <c r="G483" s="8">
        <v>123.93</v>
      </c>
      <c r="H483" s="11">
        <v>30</v>
      </c>
      <c r="I483" s="8">
        <v>86.75</v>
      </c>
      <c r="J483" s="3">
        <v>45869</v>
      </c>
      <c r="K483" s="14">
        <v>39</v>
      </c>
      <c r="L483" s="17">
        <v>1.9</v>
      </c>
      <c r="M483" s="2" t="b">
        <v>0</v>
      </c>
      <c r="N483" s="2"/>
      <c r="O483" s="2" t="str">
        <f>IF(Table1[[#This Row],[is_returned]]=TRUE,IF(Table1[[#This Row],[return_reason]]="","Error","OK"),"OK")</f>
        <v>OK</v>
      </c>
      <c r="P483" s="8">
        <f>Table1[[#This Row],[original_price]]*Table1[[#This Row],[markdown_percentage]]/100</f>
        <v>37.179000000000002</v>
      </c>
      <c r="Q48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483" s="25">
        <f>Table1[[#This Row],[current_price]]*Table1[[#This Row],[stock_quantity]]</f>
        <v>3383.25</v>
      </c>
    </row>
    <row r="484" spans="1:18" x14ac:dyDescent="0.25">
      <c r="A484" s="2" t="s">
        <v>537</v>
      </c>
      <c r="B484" s="2" t="s">
        <v>30</v>
      </c>
      <c r="C484" s="2" t="s">
        <v>16</v>
      </c>
      <c r="D484" s="2" t="s">
        <v>62</v>
      </c>
      <c r="E484" s="2" t="s">
        <v>55</v>
      </c>
      <c r="F484" s="2" t="s">
        <v>56</v>
      </c>
      <c r="G484" s="8">
        <v>62.76</v>
      </c>
      <c r="H484" s="11">
        <v>0</v>
      </c>
      <c r="I484" s="8">
        <v>62.76</v>
      </c>
      <c r="J484" s="3">
        <v>45875</v>
      </c>
      <c r="K484" s="14">
        <v>12</v>
      </c>
      <c r="L484" s="17">
        <v>4.7</v>
      </c>
      <c r="M484" s="2" t="b">
        <v>0</v>
      </c>
      <c r="N484" s="2"/>
      <c r="O484" s="2" t="str">
        <f>IF(Table1[[#This Row],[is_returned]]=TRUE,IF(Table1[[#This Row],[return_reason]]="","Error","OK"),"OK")</f>
        <v>OK</v>
      </c>
      <c r="P484" s="8">
        <f>Table1[[#This Row],[original_price]]*Table1[[#This Row],[markdown_percentage]]/100</f>
        <v>0</v>
      </c>
      <c r="Q48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484" s="25">
        <f>Table1[[#This Row],[current_price]]*Table1[[#This Row],[stock_quantity]]</f>
        <v>753.12</v>
      </c>
    </row>
    <row r="485" spans="1:18" x14ac:dyDescent="0.25">
      <c r="A485" s="2" t="s">
        <v>538</v>
      </c>
      <c r="B485" s="2" t="s">
        <v>30</v>
      </c>
      <c r="C485" s="2" t="s">
        <v>22</v>
      </c>
      <c r="D485" s="2" t="s">
        <v>17</v>
      </c>
      <c r="E485" s="2" t="s">
        <v>55</v>
      </c>
      <c r="F485" s="2" t="s">
        <v>44</v>
      </c>
      <c r="G485" s="8">
        <v>74.540000000000006</v>
      </c>
      <c r="H485" s="11">
        <v>0</v>
      </c>
      <c r="I485" s="8">
        <v>74.540000000000006</v>
      </c>
      <c r="J485" s="3">
        <v>45603</v>
      </c>
      <c r="K485" s="14">
        <v>4</v>
      </c>
      <c r="L485" s="17">
        <v>3.5</v>
      </c>
      <c r="M485" s="2" t="b">
        <v>0</v>
      </c>
      <c r="N485" s="2"/>
      <c r="O485" s="2" t="str">
        <f>IF(Table1[[#This Row],[is_returned]]=TRUE,IF(Table1[[#This Row],[return_reason]]="","Error","OK"),"OK")</f>
        <v>OK</v>
      </c>
      <c r="P485" s="8">
        <f>Table1[[#This Row],[original_price]]*Table1[[#This Row],[markdown_percentage]]/100</f>
        <v>0</v>
      </c>
      <c r="Q48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485" s="25">
        <f>Table1[[#This Row],[current_price]]*Table1[[#This Row],[stock_quantity]]</f>
        <v>298.16000000000003</v>
      </c>
    </row>
    <row r="486" spans="1:18" x14ac:dyDescent="0.25">
      <c r="A486" s="2" t="s">
        <v>539</v>
      </c>
      <c r="B486" s="2" t="s">
        <v>21</v>
      </c>
      <c r="C486" s="2" t="s">
        <v>61</v>
      </c>
      <c r="D486" s="2" t="s">
        <v>62</v>
      </c>
      <c r="E486" s="2" t="s">
        <v>39</v>
      </c>
      <c r="F486" s="2" t="s">
        <v>25</v>
      </c>
      <c r="G486" s="8">
        <v>114.03</v>
      </c>
      <c r="H486" s="11">
        <v>0</v>
      </c>
      <c r="I486" s="8">
        <v>114.03</v>
      </c>
      <c r="J486" s="3">
        <v>45875</v>
      </c>
      <c r="K486" s="14">
        <v>2</v>
      </c>
      <c r="L486" s="17"/>
      <c r="M486" s="2" t="b">
        <v>0</v>
      </c>
      <c r="N486" s="2"/>
      <c r="O486" s="2" t="str">
        <f>IF(Table1[[#This Row],[is_returned]]=TRUE,IF(Table1[[#This Row],[return_reason]]="","Error","OK"),"OK")</f>
        <v>OK</v>
      </c>
      <c r="P486" s="8">
        <f>Table1[[#This Row],[original_price]]*Table1[[#This Row],[markdown_percentage]]/100</f>
        <v>0</v>
      </c>
      <c r="Q48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486" s="25">
        <f>Table1[[#This Row],[current_price]]*Table1[[#This Row],[stock_quantity]]</f>
        <v>228.06</v>
      </c>
    </row>
    <row r="487" spans="1:18" x14ac:dyDescent="0.25">
      <c r="A487" s="2" t="s">
        <v>540</v>
      </c>
      <c r="B487" s="2" t="s">
        <v>27</v>
      </c>
      <c r="C487" s="2" t="s">
        <v>61</v>
      </c>
      <c r="D487" s="2" t="s">
        <v>34</v>
      </c>
      <c r="E487" s="2"/>
      <c r="F487" s="2" t="s">
        <v>35</v>
      </c>
      <c r="G487" s="8">
        <v>20.59</v>
      </c>
      <c r="H487" s="11">
        <v>27.6</v>
      </c>
      <c r="I487" s="8">
        <v>14.91</v>
      </c>
      <c r="J487" s="3">
        <v>45875</v>
      </c>
      <c r="K487" s="14">
        <v>36</v>
      </c>
      <c r="L487" s="17"/>
      <c r="M487" s="2" t="b">
        <v>0</v>
      </c>
      <c r="N487" s="2"/>
      <c r="O487" s="2" t="str">
        <f>IF(Table1[[#This Row],[is_returned]]=TRUE,IF(Table1[[#This Row],[return_reason]]="","Error","OK"),"OK")</f>
        <v>OK</v>
      </c>
      <c r="P487" s="8">
        <f>Table1[[#This Row],[original_price]]*Table1[[#This Row],[markdown_percentage]]/100</f>
        <v>5.6828399999999997</v>
      </c>
      <c r="Q48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487" s="25">
        <f>Table1[[#This Row],[current_price]]*Table1[[#This Row],[stock_quantity]]</f>
        <v>536.76</v>
      </c>
    </row>
    <row r="488" spans="1:18" x14ac:dyDescent="0.25">
      <c r="A488" s="2" t="s">
        <v>541</v>
      </c>
      <c r="B488" s="2" t="s">
        <v>30</v>
      </c>
      <c r="C488" s="2" t="s">
        <v>32</v>
      </c>
      <c r="D488" s="2" t="s">
        <v>62</v>
      </c>
      <c r="E488" s="2" t="s">
        <v>18</v>
      </c>
      <c r="F488" s="2" t="s">
        <v>44</v>
      </c>
      <c r="G488" s="8">
        <v>167.86</v>
      </c>
      <c r="H488" s="11">
        <v>0</v>
      </c>
      <c r="I488" s="8">
        <v>167.86</v>
      </c>
      <c r="J488" s="3">
        <v>45875</v>
      </c>
      <c r="K488" s="14">
        <v>17</v>
      </c>
      <c r="L488" s="17">
        <v>3.2</v>
      </c>
      <c r="M488" s="2" t="b">
        <v>0</v>
      </c>
      <c r="N488" s="2"/>
      <c r="O488" s="2" t="str">
        <f>IF(Table1[[#This Row],[is_returned]]=TRUE,IF(Table1[[#This Row],[return_reason]]="","Error","OK"),"OK")</f>
        <v>OK</v>
      </c>
      <c r="P488" s="8">
        <f>Table1[[#This Row],[original_price]]*Table1[[#This Row],[markdown_percentage]]/100</f>
        <v>0</v>
      </c>
      <c r="Q48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488" s="25">
        <f>Table1[[#This Row],[current_price]]*Table1[[#This Row],[stock_quantity]]</f>
        <v>2853.6200000000003</v>
      </c>
    </row>
    <row r="489" spans="1:18" x14ac:dyDescent="0.25">
      <c r="A489" s="2" t="s">
        <v>542</v>
      </c>
      <c r="B489" s="2" t="s">
        <v>27</v>
      </c>
      <c r="C489" s="2" t="s">
        <v>22</v>
      </c>
      <c r="D489" s="2" t="s">
        <v>34</v>
      </c>
      <c r="E489" s="2"/>
      <c r="F489" s="2" t="s">
        <v>40</v>
      </c>
      <c r="G489" s="8">
        <v>62.2</v>
      </c>
      <c r="H489" s="11">
        <v>37.700000000000003</v>
      </c>
      <c r="I489" s="8">
        <v>38.75</v>
      </c>
      <c r="J489" s="3">
        <v>45875</v>
      </c>
      <c r="K489" s="14">
        <v>16</v>
      </c>
      <c r="L489" s="17">
        <v>3.1</v>
      </c>
      <c r="M489" s="2" t="b">
        <v>0</v>
      </c>
      <c r="N489" s="2"/>
      <c r="O489" s="2" t="str">
        <f>IF(Table1[[#This Row],[is_returned]]=TRUE,IF(Table1[[#This Row],[return_reason]]="","Error","OK"),"OK")</f>
        <v>OK</v>
      </c>
      <c r="P489" s="8">
        <f>Table1[[#This Row],[original_price]]*Table1[[#This Row],[markdown_percentage]]/100</f>
        <v>23.449400000000004</v>
      </c>
      <c r="Q48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489" s="25">
        <f>Table1[[#This Row],[current_price]]*Table1[[#This Row],[stock_quantity]]</f>
        <v>620</v>
      </c>
    </row>
    <row r="490" spans="1:18" x14ac:dyDescent="0.25">
      <c r="A490" s="2" t="s">
        <v>543</v>
      </c>
      <c r="B490" s="2" t="s">
        <v>15</v>
      </c>
      <c r="C490" s="2" t="s">
        <v>32</v>
      </c>
      <c r="D490" s="2" t="s">
        <v>34</v>
      </c>
      <c r="E490" s="2"/>
      <c r="F490" s="2" t="s">
        <v>25</v>
      </c>
      <c r="G490" s="8">
        <v>223.69</v>
      </c>
      <c r="H490" s="11">
        <v>6.3</v>
      </c>
      <c r="I490" s="8">
        <v>209.6</v>
      </c>
      <c r="J490" s="3">
        <v>45875</v>
      </c>
      <c r="K490" s="14">
        <v>18</v>
      </c>
      <c r="L490" s="17">
        <v>1.9</v>
      </c>
      <c r="M490" s="2" t="b">
        <v>0</v>
      </c>
      <c r="N490" s="2"/>
      <c r="O490" s="2" t="str">
        <f>IF(Table1[[#This Row],[is_returned]]=TRUE,IF(Table1[[#This Row],[return_reason]]="","Error","OK"),"OK")</f>
        <v>OK</v>
      </c>
      <c r="P490" s="8">
        <f>Table1[[#This Row],[original_price]]*Table1[[#This Row],[markdown_percentage]]/100</f>
        <v>14.092469999999999</v>
      </c>
      <c r="Q49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490" s="25">
        <f>Table1[[#This Row],[current_price]]*Table1[[#This Row],[stock_quantity]]</f>
        <v>3772.7999999999997</v>
      </c>
    </row>
    <row r="491" spans="1:18" x14ac:dyDescent="0.25">
      <c r="A491" s="2" t="s">
        <v>544</v>
      </c>
      <c r="B491" s="2" t="s">
        <v>27</v>
      </c>
      <c r="C491" s="2" t="s">
        <v>43</v>
      </c>
      <c r="D491" s="2" t="s">
        <v>62</v>
      </c>
      <c r="E491" s="2"/>
      <c r="F491" s="2" t="s">
        <v>44</v>
      </c>
      <c r="G491" s="8">
        <v>67.13</v>
      </c>
      <c r="H491" s="11">
        <v>0</v>
      </c>
      <c r="I491" s="8">
        <v>67.13</v>
      </c>
      <c r="J491" s="3">
        <v>45875</v>
      </c>
      <c r="K491" s="14">
        <v>3</v>
      </c>
      <c r="L491" s="17">
        <v>1.4</v>
      </c>
      <c r="M491" s="2" t="b">
        <v>0</v>
      </c>
      <c r="N491" s="2"/>
      <c r="O491" s="2" t="str">
        <f>IF(Table1[[#This Row],[is_returned]]=TRUE,IF(Table1[[#This Row],[return_reason]]="","Error","OK"),"OK")</f>
        <v>OK</v>
      </c>
      <c r="P491" s="8">
        <f>Table1[[#This Row],[original_price]]*Table1[[#This Row],[markdown_percentage]]/100</f>
        <v>0</v>
      </c>
      <c r="Q49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491" s="25">
        <f>Table1[[#This Row],[current_price]]*Table1[[#This Row],[stock_quantity]]</f>
        <v>201.39</v>
      </c>
    </row>
    <row r="492" spans="1:18" x14ac:dyDescent="0.25">
      <c r="A492" s="2" t="s">
        <v>545</v>
      </c>
      <c r="B492" s="2" t="s">
        <v>42</v>
      </c>
      <c r="C492" s="2" t="s">
        <v>16</v>
      </c>
      <c r="D492" s="2" t="s">
        <v>62</v>
      </c>
      <c r="E492" s="2" t="s">
        <v>58</v>
      </c>
      <c r="F492" s="2" t="s">
        <v>19</v>
      </c>
      <c r="G492" s="8">
        <v>144.81</v>
      </c>
      <c r="H492" s="11">
        <v>33.299999999999997</v>
      </c>
      <c r="I492" s="8">
        <v>96.59</v>
      </c>
      <c r="J492" s="3">
        <v>45875</v>
      </c>
      <c r="K492" s="14">
        <v>33</v>
      </c>
      <c r="L492" s="17">
        <v>2.8</v>
      </c>
      <c r="M492" s="2" t="b">
        <v>0</v>
      </c>
      <c r="N492" s="2"/>
      <c r="O492" s="2" t="str">
        <f>IF(Table1[[#This Row],[is_returned]]=TRUE,IF(Table1[[#This Row],[return_reason]]="","Error","OK"),"OK")</f>
        <v>OK</v>
      </c>
      <c r="P492" s="8">
        <f>Table1[[#This Row],[original_price]]*Table1[[#This Row],[markdown_percentage]]/100</f>
        <v>48.221730000000001</v>
      </c>
      <c r="Q49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492" s="25">
        <f>Table1[[#This Row],[current_price]]*Table1[[#This Row],[stock_quantity]]</f>
        <v>3187.4700000000003</v>
      </c>
    </row>
    <row r="493" spans="1:18" x14ac:dyDescent="0.25">
      <c r="A493" s="2" t="s">
        <v>546</v>
      </c>
      <c r="B493" s="2" t="s">
        <v>15</v>
      </c>
      <c r="C493" s="2" t="s">
        <v>61</v>
      </c>
      <c r="D493" s="2" t="s">
        <v>23</v>
      </c>
      <c r="E493" s="2" t="s">
        <v>55</v>
      </c>
      <c r="F493" s="2" t="s">
        <v>66</v>
      </c>
      <c r="G493" s="8">
        <v>152.93</v>
      </c>
      <c r="H493" s="11">
        <v>53</v>
      </c>
      <c r="I493" s="8">
        <v>71.88</v>
      </c>
      <c r="J493" s="3">
        <v>45875</v>
      </c>
      <c r="K493" s="14">
        <v>2</v>
      </c>
      <c r="L493" s="17">
        <v>4.5999999999999996</v>
      </c>
      <c r="M493" s="2" t="b">
        <v>1</v>
      </c>
      <c r="N493" s="2" t="s">
        <v>115</v>
      </c>
      <c r="O493" s="2" t="str">
        <f>IF(Table1[[#This Row],[is_returned]]=TRUE,IF(Table1[[#This Row],[return_reason]]="","Error","OK"),"OK")</f>
        <v>OK</v>
      </c>
      <c r="P493" s="8">
        <f>Table1[[#This Row],[original_price]]*Table1[[#This Row],[markdown_percentage]]/100</f>
        <v>81.052899999999994</v>
      </c>
      <c r="Q49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493" s="25">
        <f>Table1[[#This Row],[current_price]]*Table1[[#This Row],[stock_quantity]]</f>
        <v>143.76</v>
      </c>
    </row>
    <row r="494" spans="1:18" x14ac:dyDescent="0.25">
      <c r="A494" s="2" t="s">
        <v>547</v>
      </c>
      <c r="B494" s="2" t="s">
        <v>42</v>
      </c>
      <c r="C494" s="2" t="s">
        <v>75</v>
      </c>
      <c r="D494" s="2" t="s">
        <v>62</v>
      </c>
      <c r="E494" s="2" t="s">
        <v>49</v>
      </c>
      <c r="F494" s="2" t="s">
        <v>35</v>
      </c>
      <c r="G494" s="8">
        <v>111.29</v>
      </c>
      <c r="H494" s="11">
        <v>0</v>
      </c>
      <c r="I494" s="8">
        <v>111.29</v>
      </c>
      <c r="J494" s="3">
        <v>45875</v>
      </c>
      <c r="K494" s="14">
        <v>48</v>
      </c>
      <c r="L494" s="17">
        <v>4.9000000000000004</v>
      </c>
      <c r="M494" s="2" t="b">
        <v>0</v>
      </c>
      <c r="N494" s="2"/>
      <c r="O494" s="2" t="str">
        <f>IF(Table1[[#This Row],[is_returned]]=TRUE,IF(Table1[[#This Row],[return_reason]]="","Error","OK"),"OK")</f>
        <v>OK</v>
      </c>
      <c r="P494" s="8">
        <f>Table1[[#This Row],[original_price]]*Table1[[#This Row],[markdown_percentage]]/100</f>
        <v>0</v>
      </c>
      <c r="Q49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494" s="25">
        <f>Table1[[#This Row],[current_price]]*Table1[[#This Row],[stock_quantity]]</f>
        <v>5341.92</v>
      </c>
    </row>
    <row r="495" spans="1:18" x14ac:dyDescent="0.25">
      <c r="A495" s="2" t="s">
        <v>548</v>
      </c>
      <c r="B495" s="2" t="s">
        <v>15</v>
      </c>
      <c r="C495" s="2" t="s">
        <v>32</v>
      </c>
      <c r="D495" s="2" t="s">
        <v>23</v>
      </c>
      <c r="E495" s="2" t="s">
        <v>55</v>
      </c>
      <c r="F495" s="2" t="s">
        <v>25</v>
      </c>
      <c r="G495" s="8">
        <v>159.18</v>
      </c>
      <c r="H495" s="11">
        <v>0</v>
      </c>
      <c r="I495" s="8">
        <v>159.18</v>
      </c>
      <c r="J495" s="3">
        <v>45875</v>
      </c>
      <c r="K495" s="14">
        <v>38</v>
      </c>
      <c r="L495" s="17">
        <v>2.4</v>
      </c>
      <c r="M495" s="2" t="b">
        <v>1</v>
      </c>
      <c r="N495" s="2" t="s">
        <v>83</v>
      </c>
      <c r="O495" s="2" t="str">
        <f>IF(Table1[[#This Row],[is_returned]]=TRUE,IF(Table1[[#This Row],[return_reason]]="","Error","OK"),"OK")</f>
        <v>OK</v>
      </c>
      <c r="P495" s="8">
        <f>Table1[[#This Row],[original_price]]*Table1[[#This Row],[markdown_percentage]]/100</f>
        <v>0</v>
      </c>
      <c r="Q49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495" s="25">
        <f>Table1[[#This Row],[current_price]]*Table1[[#This Row],[stock_quantity]]</f>
        <v>6048.84</v>
      </c>
    </row>
    <row r="496" spans="1:18" x14ac:dyDescent="0.25">
      <c r="A496" s="2" t="s">
        <v>549</v>
      </c>
      <c r="B496" s="2" t="s">
        <v>15</v>
      </c>
      <c r="C496" s="2" t="s">
        <v>16</v>
      </c>
      <c r="D496" s="2" t="s">
        <v>23</v>
      </c>
      <c r="E496" s="2" t="s">
        <v>49</v>
      </c>
      <c r="F496" s="2" t="s">
        <v>35</v>
      </c>
      <c r="G496" s="8">
        <v>215.93</v>
      </c>
      <c r="H496" s="11">
        <v>0</v>
      </c>
      <c r="I496" s="8">
        <v>215.93</v>
      </c>
      <c r="J496" s="3">
        <v>45875</v>
      </c>
      <c r="K496" s="14">
        <v>43</v>
      </c>
      <c r="L496" s="17">
        <v>3.5</v>
      </c>
      <c r="M496" s="2" t="b">
        <v>0</v>
      </c>
      <c r="N496" s="2"/>
      <c r="O496" s="2" t="str">
        <f>IF(Table1[[#This Row],[is_returned]]=TRUE,IF(Table1[[#This Row],[return_reason]]="","Error","OK"),"OK")</f>
        <v>OK</v>
      </c>
      <c r="P496" s="8">
        <f>Table1[[#This Row],[original_price]]*Table1[[#This Row],[markdown_percentage]]/100</f>
        <v>0</v>
      </c>
      <c r="Q49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496" s="25">
        <f>Table1[[#This Row],[current_price]]*Table1[[#This Row],[stock_quantity]]</f>
        <v>9284.99</v>
      </c>
    </row>
    <row r="497" spans="1:18" x14ac:dyDescent="0.25">
      <c r="A497" s="2" t="s">
        <v>550</v>
      </c>
      <c r="B497" s="2" t="s">
        <v>21</v>
      </c>
      <c r="C497" s="2" t="s">
        <v>53</v>
      </c>
      <c r="D497" s="2" t="s">
        <v>17</v>
      </c>
      <c r="E497" s="2"/>
      <c r="F497" s="2" t="s">
        <v>56</v>
      </c>
      <c r="G497" s="8">
        <v>51.69</v>
      </c>
      <c r="H497" s="11">
        <v>33.4</v>
      </c>
      <c r="I497" s="8">
        <v>34.43</v>
      </c>
      <c r="J497" s="3">
        <v>45511</v>
      </c>
      <c r="K497" s="14">
        <v>36</v>
      </c>
      <c r="L497" s="17">
        <v>3.4</v>
      </c>
      <c r="M497" s="2" t="b">
        <v>0</v>
      </c>
      <c r="N497" s="2"/>
      <c r="O497" s="2" t="str">
        <f>IF(Table1[[#This Row],[is_returned]]=TRUE,IF(Table1[[#This Row],[return_reason]]="","Error","OK"),"OK")</f>
        <v>OK</v>
      </c>
      <c r="P497" s="8">
        <f>Table1[[#This Row],[original_price]]*Table1[[#This Row],[markdown_percentage]]/100</f>
        <v>17.26446</v>
      </c>
      <c r="Q49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497" s="25">
        <f>Table1[[#This Row],[current_price]]*Table1[[#This Row],[stock_quantity]]</f>
        <v>1239.48</v>
      </c>
    </row>
    <row r="498" spans="1:18" x14ac:dyDescent="0.25">
      <c r="A498" s="2" t="s">
        <v>551</v>
      </c>
      <c r="B498" s="2" t="s">
        <v>15</v>
      </c>
      <c r="C498" s="2" t="s">
        <v>53</v>
      </c>
      <c r="D498" s="2" t="s">
        <v>62</v>
      </c>
      <c r="E498" s="2" t="s">
        <v>24</v>
      </c>
      <c r="F498" s="2" t="s">
        <v>25</v>
      </c>
      <c r="G498" s="8">
        <v>137.38</v>
      </c>
      <c r="H498" s="11">
        <v>0</v>
      </c>
      <c r="I498" s="8">
        <v>137.38</v>
      </c>
      <c r="J498" s="3">
        <v>45875</v>
      </c>
      <c r="K498" s="14">
        <v>43</v>
      </c>
      <c r="L498" s="17">
        <v>3.5</v>
      </c>
      <c r="M498" s="2" t="b">
        <v>0</v>
      </c>
      <c r="N498" s="2"/>
      <c r="O498" s="2" t="str">
        <f>IF(Table1[[#This Row],[is_returned]]=TRUE,IF(Table1[[#This Row],[return_reason]]="","Error","OK"),"OK")</f>
        <v>OK</v>
      </c>
      <c r="P498" s="8">
        <f>Table1[[#This Row],[original_price]]*Table1[[#This Row],[markdown_percentage]]/100</f>
        <v>0</v>
      </c>
      <c r="Q49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498" s="25">
        <f>Table1[[#This Row],[current_price]]*Table1[[#This Row],[stock_quantity]]</f>
        <v>5907.34</v>
      </c>
    </row>
    <row r="499" spans="1:18" x14ac:dyDescent="0.25">
      <c r="A499" s="2" t="s">
        <v>552</v>
      </c>
      <c r="B499" s="2" t="s">
        <v>38</v>
      </c>
      <c r="C499" s="2" t="s">
        <v>75</v>
      </c>
      <c r="D499" s="2" t="s">
        <v>34</v>
      </c>
      <c r="E499" s="2" t="s">
        <v>49</v>
      </c>
      <c r="F499" s="2" t="s">
        <v>46</v>
      </c>
      <c r="G499" s="8">
        <v>96.7</v>
      </c>
      <c r="H499" s="11">
        <v>38.799999999999997</v>
      </c>
      <c r="I499" s="8">
        <v>59.18</v>
      </c>
      <c r="J499" s="3">
        <v>45875</v>
      </c>
      <c r="K499" s="14">
        <v>46</v>
      </c>
      <c r="L499" s="17">
        <v>1.7</v>
      </c>
      <c r="M499" s="2" t="b">
        <v>0</v>
      </c>
      <c r="N499" s="2"/>
      <c r="O499" s="2" t="str">
        <f>IF(Table1[[#This Row],[is_returned]]=TRUE,IF(Table1[[#This Row],[return_reason]]="","Error","OK"),"OK")</f>
        <v>OK</v>
      </c>
      <c r="P499" s="8">
        <f>Table1[[#This Row],[original_price]]*Table1[[#This Row],[markdown_percentage]]/100</f>
        <v>37.519599999999997</v>
      </c>
      <c r="Q49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499" s="25">
        <f>Table1[[#This Row],[current_price]]*Table1[[#This Row],[stock_quantity]]</f>
        <v>2722.28</v>
      </c>
    </row>
    <row r="500" spans="1:18" x14ac:dyDescent="0.25">
      <c r="A500" s="2" t="s">
        <v>553</v>
      </c>
      <c r="B500" s="2" t="s">
        <v>38</v>
      </c>
      <c r="C500" s="2" t="s">
        <v>48</v>
      </c>
      <c r="D500" s="2" t="s">
        <v>17</v>
      </c>
      <c r="E500" s="2" t="s">
        <v>58</v>
      </c>
      <c r="F500" s="2" t="s">
        <v>66</v>
      </c>
      <c r="G500" s="8">
        <v>58.73</v>
      </c>
      <c r="H500" s="11">
        <v>38.1</v>
      </c>
      <c r="I500" s="8">
        <v>36.35</v>
      </c>
      <c r="J500" s="3">
        <v>45653</v>
      </c>
      <c r="K500" s="14">
        <v>50</v>
      </c>
      <c r="L500" s="17">
        <v>1.2</v>
      </c>
      <c r="M500" s="2" t="b">
        <v>0</v>
      </c>
      <c r="N500" s="2"/>
      <c r="O500" s="2" t="str">
        <f>IF(Table1[[#This Row],[is_returned]]=TRUE,IF(Table1[[#This Row],[return_reason]]="","Error","OK"),"OK")</f>
        <v>OK</v>
      </c>
      <c r="P500" s="8">
        <f>Table1[[#This Row],[original_price]]*Table1[[#This Row],[markdown_percentage]]/100</f>
        <v>22.37613</v>
      </c>
      <c r="Q50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500" s="25">
        <f>Table1[[#This Row],[current_price]]*Table1[[#This Row],[stock_quantity]]</f>
        <v>1817.5</v>
      </c>
    </row>
    <row r="501" spans="1:18" x14ac:dyDescent="0.25">
      <c r="A501" s="2" t="s">
        <v>554</v>
      </c>
      <c r="B501" s="2" t="s">
        <v>15</v>
      </c>
      <c r="C501" s="2" t="s">
        <v>61</v>
      </c>
      <c r="D501" s="2" t="s">
        <v>23</v>
      </c>
      <c r="E501" s="2" t="s">
        <v>39</v>
      </c>
      <c r="F501" s="2" t="s">
        <v>46</v>
      </c>
      <c r="G501" s="8">
        <v>204.68</v>
      </c>
      <c r="H501" s="11">
        <v>0</v>
      </c>
      <c r="I501" s="8">
        <v>204.68</v>
      </c>
      <c r="J501" s="3">
        <v>45875</v>
      </c>
      <c r="K501" s="14">
        <v>33</v>
      </c>
      <c r="L501" s="17">
        <v>3.1</v>
      </c>
      <c r="M501" s="2" t="b">
        <v>0</v>
      </c>
      <c r="N501" s="2"/>
      <c r="O501" s="2" t="str">
        <f>IF(Table1[[#This Row],[is_returned]]=TRUE,IF(Table1[[#This Row],[return_reason]]="","Error","OK"),"OK")</f>
        <v>OK</v>
      </c>
      <c r="P501" s="8">
        <f>Table1[[#This Row],[original_price]]*Table1[[#This Row],[markdown_percentage]]/100</f>
        <v>0</v>
      </c>
      <c r="Q50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501" s="25">
        <f>Table1[[#This Row],[current_price]]*Table1[[#This Row],[stock_quantity]]</f>
        <v>6754.4400000000005</v>
      </c>
    </row>
    <row r="502" spans="1:18" x14ac:dyDescent="0.25">
      <c r="A502" s="2" t="s">
        <v>555</v>
      </c>
      <c r="B502" s="2" t="s">
        <v>38</v>
      </c>
      <c r="C502" s="2" t="s">
        <v>75</v>
      </c>
      <c r="D502" s="2" t="s">
        <v>17</v>
      </c>
      <c r="E502" s="2" t="s">
        <v>24</v>
      </c>
      <c r="F502" s="2" t="s">
        <v>35</v>
      </c>
      <c r="G502" s="8">
        <v>117.26</v>
      </c>
      <c r="H502" s="11">
        <v>0</v>
      </c>
      <c r="I502" s="8">
        <v>117.26</v>
      </c>
      <c r="J502" s="3">
        <v>45560</v>
      </c>
      <c r="K502" s="14">
        <v>29</v>
      </c>
      <c r="L502" s="17"/>
      <c r="M502" s="2" t="b">
        <v>0</v>
      </c>
      <c r="N502" s="2"/>
      <c r="O502" s="2" t="str">
        <f>IF(Table1[[#This Row],[is_returned]]=TRUE,IF(Table1[[#This Row],[return_reason]]="","Error","OK"),"OK")</f>
        <v>OK</v>
      </c>
      <c r="P502" s="8">
        <f>Table1[[#This Row],[original_price]]*Table1[[#This Row],[markdown_percentage]]/100</f>
        <v>0</v>
      </c>
      <c r="Q50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502" s="25">
        <f>Table1[[#This Row],[current_price]]*Table1[[#This Row],[stock_quantity]]</f>
        <v>3400.54</v>
      </c>
    </row>
    <row r="503" spans="1:18" x14ac:dyDescent="0.25">
      <c r="A503" s="2" t="s">
        <v>556</v>
      </c>
      <c r="B503" s="2" t="s">
        <v>15</v>
      </c>
      <c r="C503" s="2" t="s">
        <v>61</v>
      </c>
      <c r="D503" s="2" t="s">
        <v>62</v>
      </c>
      <c r="E503" s="2" t="s">
        <v>49</v>
      </c>
      <c r="F503" s="2" t="s">
        <v>35</v>
      </c>
      <c r="G503" s="8">
        <v>91.95</v>
      </c>
      <c r="H503" s="11">
        <v>0</v>
      </c>
      <c r="I503" s="8">
        <v>91.95</v>
      </c>
      <c r="J503" s="3">
        <v>45875</v>
      </c>
      <c r="K503" s="14">
        <v>1</v>
      </c>
      <c r="L503" s="17">
        <v>2.5</v>
      </c>
      <c r="M503" s="2" t="b">
        <v>0</v>
      </c>
      <c r="N503" s="2"/>
      <c r="O503" s="2" t="str">
        <f>IF(Table1[[#This Row],[is_returned]]=TRUE,IF(Table1[[#This Row],[return_reason]]="","Error","OK"),"OK")</f>
        <v>OK</v>
      </c>
      <c r="P503" s="8">
        <f>Table1[[#This Row],[original_price]]*Table1[[#This Row],[markdown_percentage]]/100</f>
        <v>0</v>
      </c>
      <c r="Q50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503" s="25">
        <f>Table1[[#This Row],[current_price]]*Table1[[#This Row],[stock_quantity]]</f>
        <v>91.95</v>
      </c>
    </row>
    <row r="504" spans="1:18" x14ac:dyDescent="0.25">
      <c r="A504" s="2" t="s">
        <v>557</v>
      </c>
      <c r="B504" s="2" t="s">
        <v>38</v>
      </c>
      <c r="C504" s="2" t="s">
        <v>61</v>
      </c>
      <c r="D504" s="2" t="s">
        <v>34</v>
      </c>
      <c r="E504" s="2" t="s">
        <v>18</v>
      </c>
      <c r="F504" s="2" t="s">
        <v>64</v>
      </c>
      <c r="G504" s="8">
        <v>94.53</v>
      </c>
      <c r="H504" s="11">
        <v>0</v>
      </c>
      <c r="I504" s="8">
        <v>94.53</v>
      </c>
      <c r="J504" s="3">
        <v>45875</v>
      </c>
      <c r="K504" s="14">
        <v>13</v>
      </c>
      <c r="L504" s="17">
        <v>2.4</v>
      </c>
      <c r="M504" s="2" t="b">
        <v>0</v>
      </c>
      <c r="N504" s="2"/>
      <c r="O504" s="2" t="str">
        <f>IF(Table1[[#This Row],[is_returned]]=TRUE,IF(Table1[[#This Row],[return_reason]]="","Error","OK"),"OK")</f>
        <v>OK</v>
      </c>
      <c r="P504" s="8">
        <f>Table1[[#This Row],[original_price]]*Table1[[#This Row],[markdown_percentage]]/100</f>
        <v>0</v>
      </c>
      <c r="Q50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504" s="25">
        <f>Table1[[#This Row],[current_price]]*Table1[[#This Row],[stock_quantity]]</f>
        <v>1228.8900000000001</v>
      </c>
    </row>
    <row r="505" spans="1:18" x14ac:dyDescent="0.25">
      <c r="A505" s="2" t="s">
        <v>558</v>
      </c>
      <c r="B505" s="2" t="s">
        <v>42</v>
      </c>
      <c r="C505" s="2" t="s">
        <v>43</v>
      </c>
      <c r="D505" s="2" t="s">
        <v>34</v>
      </c>
      <c r="E505" s="2" t="s">
        <v>49</v>
      </c>
      <c r="F505" s="2" t="s">
        <v>35</v>
      </c>
      <c r="G505" s="8">
        <v>71.94</v>
      </c>
      <c r="H505" s="11">
        <v>3</v>
      </c>
      <c r="I505" s="8">
        <v>69.78</v>
      </c>
      <c r="J505" s="3">
        <v>45875</v>
      </c>
      <c r="K505" s="14">
        <v>45</v>
      </c>
      <c r="L505" s="17">
        <v>1.4</v>
      </c>
      <c r="M505" s="2" t="b">
        <v>0</v>
      </c>
      <c r="N505" s="2"/>
      <c r="O505" s="2" t="str">
        <f>IF(Table1[[#This Row],[is_returned]]=TRUE,IF(Table1[[#This Row],[return_reason]]="","Error","OK"),"OK")</f>
        <v>OK</v>
      </c>
      <c r="P505" s="8">
        <f>Table1[[#This Row],[original_price]]*Table1[[#This Row],[markdown_percentage]]/100</f>
        <v>2.1581999999999999</v>
      </c>
      <c r="Q50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505" s="25">
        <f>Table1[[#This Row],[current_price]]*Table1[[#This Row],[stock_quantity]]</f>
        <v>3140.1</v>
      </c>
    </row>
    <row r="506" spans="1:18" x14ac:dyDescent="0.25">
      <c r="A506" s="2" t="s">
        <v>559</v>
      </c>
      <c r="B506" s="2" t="s">
        <v>42</v>
      </c>
      <c r="C506" s="2" t="s">
        <v>53</v>
      </c>
      <c r="D506" s="2" t="s">
        <v>23</v>
      </c>
      <c r="E506" s="2" t="s">
        <v>18</v>
      </c>
      <c r="F506" s="2" t="s">
        <v>46</v>
      </c>
      <c r="G506" s="8">
        <v>177.72</v>
      </c>
      <c r="H506" s="11">
        <v>5.9</v>
      </c>
      <c r="I506" s="8">
        <v>167.23</v>
      </c>
      <c r="J506" s="3">
        <v>45875</v>
      </c>
      <c r="K506" s="14">
        <v>47</v>
      </c>
      <c r="L506" s="17"/>
      <c r="M506" s="2" t="b">
        <v>0</v>
      </c>
      <c r="N506" s="2"/>
      <c r="O506" s="2" t="str">
        <f>IF(Table1[[#This Row],[is_returned]]=TRUE,IF(Table1[[#This Row],[return_reason]]="","Error","OK"),"OK")</f>
        <v>OK</v>
      </c>
      <c r="P506" s="8">
        <f>Table1[[#This Row],[original_price]]*Table1[[#This Row],[markdown_percentage]]/100</f>
        <v>10.485480000000001</v>
      </c>
      <c r="Q50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506" s="25">
        <f>Table1[[#This Row],[current_price]]*Table1[[#This Row],[stock_quantity]]</f>
        <v>7859.8099999999995</v>
      </c>
    </row>
    <row r="507" spans="1:18" x14ac:dyDescent="0.25">
      <c r="A507" s="2" t="s">
        <v>560</v>
      </c>
      <c r="B507" s="2" t="s">
        <v>27</v>
      </c>
      <c r="C507" s="2" t="s">
        <v>16</v>
      </c>
      <c r="D507" s="2" t="s">
        <v>62</v>
      </c>
      <c r="E507" s="2"/>
      <c r="F507" s="2" t="s">
        <v>35</v>
      </c>
      <c r="G507" s="8">
        <v>34.4</v>
      </c>
      <c r="H507" s="11">
        <v>0</v>
      </c>
      <c r="I507" s="8">
        <v>34.4</v>
      </c>
      <c r="J507" s="3">
        <v>45875</v>
      </c>
      <c r="K507" s="14">
        <v>43</v>
      </c>
      <c r="L507" s="17">
        <v>3</v>
      </c>
      <c r="M507" s="2" t="b">
        <v>1</v>
      </c>
      <c r="N507" s="2" t="s">
        <v>125</v>
      </c>
      <c r="O507" s="2" t="str">
        <f>IF(Table1[[#This Row],[is_returned]]=TRUE,IF(Table1[[#This Row],[return_reason]]="","Error","OK"),"OK")</f>
        <v>OK</v>
      </c>
      <c r="P507" s="8">
        <f>Table1[[#This Row],[original_price]]*Table1[[#This Row],[markdown_percentage]]/100</f>
        <v>0</v>
      </c>
      <c r="Q50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507" s="25">
        <f>Table1[[#This Row],[current_price]]*Table1[[#This Row],[stock_quantity]]</f>
        <v>1479.2</v>
      </c>
    </row>
    <row r="508" spans="1:18" x14ac:dyDescent="0.25">
      <c r="A508" s="2" t="s">
        <v>561</v>
      </c>
      <c r="B508" s="2" t="s">
        <v>38</v>
      </c>
      <c r="C508" s="2" t="s">
        <v>32</v>
      </c>
      <c r="D508" s="2" t="s">
        <v>17</v>
      </c>
      <c r="E508" s="2" t="s">
        <v>58</v>
      </c>
      <c r="F508" s="2" t="s">
        <v>40</v>
      </c>
      <c r="G508" s="8">
        <v>119.72</v>
      </c>
      <c r="H508" s="11">
        <v>0</v>
      </c>
      <c r="I508" s="8">
        <v>119.72</v>
      </c>
      <c r="J508" s="3">
        <v>45675</v>
      </c>
      <c r="K508" s="14">
        <v>18</v>
      </c>
      <c r="L508" s="17">
        <v>3.7</v>
      </c>
      <c r="M508" s="2" t="b">
        <v>0</v>
      </c>
      <c r="N508" s="2"/>
      <c r="O508" s="2" t="str">
        <f>IF(Table1[[#This Row],[is_returned]]=TRUE,IF(Table1[[#This Row],[return_reason]]="","Error","OK"),"OK")</f>
        <v>OK</v>
      </c>
      <c r="P508" s="8">
        <f>Table1[[#This Row],[original_price]]*Table1[[#This Row],[markdown_percentage]]/100</f>
        <v>0</v>
      </c>
      <c r="Q50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508" s="25">
        <f>Table1[[#This Row],[current_price]]*Table1[[#This Row],[stock_quantity]]</f>
        <v>2154.96</v>
      </c>
    </row>
    <row r="509" spans="1:18" x14ac:dyDescent="0.25">
      <c r="A509" s="2" t="s">
        <v>562</v>
      </c>
      <c r="B509" s="2" t="s">
        <v>27</v>
      </c>
      <c r="C509" s="2" t="s">
        <v>48</v>
      </c>
      <c r="D509" s="2" t="s">
        <v>62</v>
      </c>
      <c r="E509" s="2"/>
      <c r="F509" s="2" t="s">
        <v>70</v>
      </c>
      <c r="G509" s="8">
        <v>44.09</v>
      </c>
      <c r="H509" s="11">
        <v>0</v>
      </c>
      <c r="I509" s="8">
        <v>44.09</v>
      </c>
      <c r="J509" s="3">
        <v>45875</v>
      </c>
      <c r="K509" s="14">
        <v>2</v>
      </c>
      <c r="L509" s="17">
        <v>2</v>
      </c>
      <c r="M509" s="2" t="b">
        <v>0</v>
      </c>
      <c r="N509" s="2"/>
      <c r="O509" s="2" t="str">
        <f>IF(Table1[[#This Row],[is_returned]]=TRUE,IF(Table1[[#This Row],[return_reason]]="","Error","OK"),"OK")</f>
        <v>OK</v>
      </c>
      <c r="P509" s="8">
        <f>Table1[[#This Row],[original_price]]*Table1[[#This Row],[markdown_percentage]]/100</f>
        <v>0</v>
      </c>
      <c r="Q50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509" s="25">
        <f>Table1[[#This Row],[current_price]]*Table1[[#This Row],[stock_quantity]]</f>
        <v>88.18</v>
      </c>
    </row>
    <row r="510" spans="1:18" x14ac:dyDescent="0.25">
      <c r="A510" s="2" t="s">
        <v>563</v>
      </c>
      <c r="B510" s="2" t="s">
        <v>38</v>
      </c>
      <c r="C510" s="2" t="s">
        <v>43</v>
      </c>
      <c r="D510" s="2" t="s">
        <v>17</v>
      </c>
      <c r="E510" s="2" t="s">
        <v>18</v>
      </c>
      <c r="F510" s="2" t="s">
        <v>66</v>
      </c>
      <c r="G510" s="8">
        <v>42.47</v>
      </c>
      <c r="H510" s="11">
        <v>0</v>
      </c>
      <c r="I510" s="8">
        <v>42.47</v>
      </c>
      <c r="J510" s="3">
        <v>45610</v>
      </c>
      <c r="K510" s="14">
        <v>33</v>
      </c>
      <c r="L510" s="17">
        <v>4.5</v>
      </c>
      <c r="M510" s="2" t="b">
        <v>1</v>
      </c>
      <c r="N510" s="2" t="s">
        <v>115</v>
      </c>
      <c r="O510" s="2" t="str">
        <f>IF(Table1[[#This Row],[is_returned]]=TRUE,IF(Table1[[#This Row],[return_reason]]="","Error","OK"),"OK")</f>
        <v>OK</v>
      </c>
      <c r="P510" s="8">
        <f>Table1[[#This Row],[original_price]]*Table1[[#This Row],[markdown_percentage]]/100</f>
        <v>0</v>
      </c>
      <c r="Q51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510" s="25">
        <f>Table1[[#This Row],[current_price]]*Table1[[#This Row],[stock_quantity]]</f>
        <v>1401.51</v>
      </c>
    </row>
    <row r="511" spans="1:18" x14ac:dyDescent="0.25">
      <c r="A511" s="2" t="s">
        <v>564</v>
      </c>
      <c r="B511" s="2" t="s">
        <v>42</v>
      </c>
      <c r="C511" s="2" t="s">
        <v>32</v>
      </c>
      <c r="D511" s="2" t="s">
        <v>62</v>
      </c>
      <c r="E511" s="2" t="s">
        <v>18</v>
      </c>
      <c r="F511" s="2" t="s">
        <v>66</v>
      </c>
      <c r="G511" s="8">
        <v>68.430000000000007</v>
      </c>
      <c r="H511" s="11">
        <v>0</v>
      </c>
      <c r="I511" s="8">
        <v>68.430000000000007</v>
      </c>
      <c r="J511" s="3">
        <v>45875</v>
      </c>
      <c r="K511" s="14">
        <v>16</v>
      </c>
      <c r="L511" s="17"/>
      <c r="M511" s="2" t="b">
        <v>0</v>
      </c>
      <c r="N511" s="2"/>
      <c r="O511" s="2" t="str">
        <f>IF(Table1[[#This Row],[is_returned]]=TRUE,IF(Table1[[#This Row],[return_reason]]="","Error","OK"),"OK")</f>
        <v>OK</v>
      </c>
      <c r="P511" s="8">
        <f>Table1[[#This Row],[original_price]]*Table1[[#This Row],[markdown_percentage]]/100</f>
        <v>0</v>
      </c>
      <c r="Q51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511" s="25">
        <f>Table1[[#This Row],[current_price]]*Table1[[#This Row],[stock_quantity]]</f>
        <v>1094.8800000000001</v>
      </c>
    </row>
    <row r="512" spans="1:18" x14ac:dyDescent="0.25">
      <c r="A512" s="2" t="s">
        <v>565</v>
      </c>
      <c r="B512" s="2" t="s">
        <v>30</v>
      </c>
      <c r="C512" s="2" t="s">
        <v>16</v>
      </c>
      <c r="D512" s="2" t="s">
        <v>34</v>
      </c>
      <c r="E512" s="2" t="s">
        <v>55</v>
      </c>
      <c r="F512" s="2" t="s">
        <v>46</v>
      </c>
      <c r="G512" s="8">
        <v>165.39</v>
      </c>
      <c r="H512" s="11">
        <v>31.8</v>
      </c>
      <c r="I512" s="8">
        <v>112.8</v>
      </c>
      <c r="J512" s="3">
        <v>45875</v>
      </c>
      <c r="K512" s="14">
        <v>9</v>
      </c>
      <c r="L512" s="17">
        <v>4.5999999999999996</v>
      </c>
      <c r="M512" s="2" t="b">
        <v>0</v>
      </c>
      <c r="N512" s="2"/>
      <c r="O512" s="2" t="str">
        <f>IF(Table1[[#This Row],[is_returned]]=TRUE,IF(Table1[[#This Row],[return_reason]]="","Error","OK"),"OK")</f>
        <v>OK</v>
      </c>
      <c r="P512" s="8">
        <f>Table1[[#This Row],[original_price]]*Table1[[#This Row],[markdown_percentage]]/100</f>
        <v>52.59402</v>
      </c>
      <c r="Q51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512" s="25">
        <f>Table1[[#This Row],[current_price]]*Table1[[#This Row],[stock_quantity]]</f>
        <v>1015.1999999999999</v>
      </c>
    </row>
    <row r="513" spans="1:18" x14ac:dyDescent="0.25">
      <c r="A513" s="2" t="s">
        <v>566</v>
      </c>
      <c r="B513" s="2" t="s">
        <v>27</v>
      </c>
      <c r="C513" s="2" t="s">
        <v>53</v>
      </c>
      <c r="D513" s="2" t="s">
        <v>23</v>
      </c>
      <c r="E513" s="2"/>
      <c r="F513" s="2" t="s">
        <v>46</v>
      </c>
      <c r="G513" s="8">
        <v>35.36</v>
      </c>
      <c r="H513" s="11">
        <v>0</v>
      </c>
      <c r="I513" s="8">
        <v>35.36</v>
      </c>
      <c r="J513" s="3">
        <v>45875</v>
      </c>
      <c r="K513" s="14">
        <v>42</v>
      </c>
      <c r="L513" s="17">
        <v>4.5</v>
      </c>
      <c r="M513" s="2" t="b">
        <v>0</v>
      </c>
      <c r="N513" s="2"/>
      <c r="O513" s="2" t="str">
        <f>IF(Table1[[#This Row],[is_returned]]=TRUE,IF(Table1[[#This Row],[return_reason]]="","Error","OK"),"OK")</f>
        <v>OK</v>
      </c>
      <c r="P513" s="8">
        <f>Table1[[#This Row],[original_price]]*Table1[[#This Row],[markdown_percentage]]/100</f>
        <v>0</v>
      </c>
      <c r="Q51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513" s="25">
        <f>Table1[[#This Row],[current_price]]*Table1[[#This Row],[stock_quantity]]</f>
        <v>1485.12</v>
      </c>
    </row>
    <row r="514" spans="1:18" x14ac:dyDescent="0.25">
      <c r="A514" s="2" t="s">
        <v>567</v>
      </c>
      <c r="B514" s="2" t="s">
        <v>42</v>
      </c>
      <c r="C514" s="2" t="s">
        <v>48</v>
      </c>
      <c r="D514" s="2" t="s">
        <v>62</v>
      </c>
      <c r="E514" s="2" t="s">
        <v>58</v>
      </c>
      <c r="F514" s="2" t="s">
        <v>64</v>
      </c>
      <c r="G514" s="8">
        <v>95.73</v>
      </c>
      <c r="H514" s="11">
        <v>0</v>
      </c>
      <c r="I514" s="8">
        <v>95.73</v>
      </c>
      <c r="J514" s="3">
        <v>45875</v>
      </c>
      <c r="K514" s="14">
        <v>6</v>
      </c>
      <c r="L514" s="17">
        <v>4.5999999999999996</v>
      </c>
      <c r="M514" s="2" t="b">
        <v>0</v>
      </c>
      <c r="N514" s="2"/>
      <c r="O514" s="2" t="str">
        <f>IF(Table1[[#This Row],[is_returned]]=TRUE,IF(Table1[[#This Row],[return_reason]]="","Error","OK"),"OK")</f>
        <v>OK</v>
      </c>
      <c r="P514" s="8">
        <f>Table1[[#This Row],[original_price]]*Table1[[#This Row],[markdown_percentage]]/100</f>
        <v>0</v>
      </c>
      <c r="Q51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514" s="25">
        <f>Table1[[#This Row],[current_price]]*Table1[[#This Row],[stock_quantity]]</f>
        <v>574.38</v>
      </c>
    </row>
    <row r="515" spans="1:18" x14ac:dyDescent="0.25">
      <c r="A515" s="2" t="s">
        <v>568</v>
      </c>
      <c r="B515" s="2" t="s">
        <v>27</v>
      </c>
      <c r="C515" s="2" t="s">
        <v>32</v>
      </c>
      <c r="D515" s="2" t="s">
        <v>17</v>
      </c>
      <c r="E515" s="2"/>
      <c r="F515" s="2" t="s">
        <v>70</v>
      </c>
      <c r="G515" s="8">
        <v>72.28</v>
      </c>
      <c r="H515" s="11">
        <v>51.3</v>
      </c>
      <c r="I515" s="8">
        <v>35.200000000000003</v>
      </c>
      <c r="J515" s="3">
        <v>45703</v>
      </c>
      <c r="K515" s="14">
        <v>31</v>
      </c>
      <c r="L515" s="17">
        <v>1.9</v>
      </c>
      <c r="M515" s="2" t="b">
        <v>0</v>
      </c>
      <c r="N515" s="2"/>
      <c r="O515" s="2" t="str">
        <f>IF(Table1[[#This Row],[is_returned]]=TRUE,IF(Table1[[#This Row],[return_reason]]="","Error","OK"),"OK")</f>
        <v>OK</v>
      </c>
      <c r="P515" s="8">
        <f>Table1[[#This Row],[original_price]]*Table1[[#This Row],[markdown_percentage]]/100</f>
        <v>37.079639999999998</v>
      </c>
      <c r="Q51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515" s="25">
        <f>Table1[[#This Row],[current_price]]*Table1[[#This Row],[stock_quantity]]</f>
        <v>1091.2</v>
      </c>
    </row>
    <row r="516" spans="1:18" x14ac:dyDescent="0.25">
      <c r="A516" s="2" t="s">
        <v>569</v>
      </c>
      <c r="B516" s="2" t="s">
        <v>15</v>
      </c>
      <c r="C516" s="2" t="s">
        <v>53</v>
      </c>
      <c r="D516" s="2" t="s">
        <v>62</v>
      </c>
      <c r="E516" s="2"/>
      <c r="F516" s="2" t="s">
        <v>35</v>
      </c>
      <c r="G516" s="8">
        <v>80.349999999999994</v>
      </c>
      <c r="H516" s="11">
        <v>0</v>
      </c>
      <c r="I516" s="8">
        <v>80.349999999999994</v>
      </c>
      <c r="J516" s="3">
        <v>45875</v>
      </c>
      <c r="K516" s="14">
        <v>28</v>
      </c>
      <c r="L516" s="17">
        <v>2.9</v>
      </c>
      <c r="M516" s="2" t="b">
        <v>0</v>
      </c>
      <c r="N516" s="2"/>
      <c r="O516" s="2" t="str">
        <f>IF(Table1[[#This Row],[is_returned]]=TRUE,IF(Table1[[#This Row],[return_reason]]="","Error","OK"),"OK")</f>
        <v>OK</v>
      </c>
      <c r="P516" s="8">
        <f>Table1[[#This Row],[original_price]]*Table1[[#This Row],[markdown_percentage]]/100</f>
        <v>0</v>
      </c>
      <c r="Q51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516" s="25">
        <f>Table1[[#This Row],[current_price]]*Table1[[#This Row],[stock_quantity]]</f>
        <v>2249.7999999999997</v>
      </c>
    </row>
    <row r="517" spans="1:18" x14ac:dyDescent="0.25">
      <c r="A517" s="2" t="s">
        <v>570</v>
      </c>
      <c r="B517" s="2" t="s">
        <v>38</v>
      </c>
      <c r="C517" s="2" t="s">
        <v>32</v>
      </c>
      <c r="D517" s="2" t="s">
        <v>23</v>
      </c>
      <c r="E517" s="2" t="s">
        <v>18</v>
      </c>
      <c r="F517" s="2" t="s">
        <v>40</v>
      </c>
      <c r="G517" s="8">
        <v>119.04</v>
      </c>
      <c r="H517" s="11">
        <v>0</v>
      </c>
      <c r="I517" s="8">
        <v>119.04</v>
      </c>
      <c r="J517" s="3">
        <v>45875</v>
      </c>
      <c r="K517" s="14">
        <v>35</v>
      </c>
      <c r="L517" s="17">
        <v>1.4</v>
      </c>
      <c r="M517" s="2" t="b">
        <v>0</v>
      </c>
      <c r="N517" s="2"/>
      <c r="O517" s="2" t="str">
        <f>IF(Table1[[#This Row],[is_returned]]=TRUE,IF(Table1[[#This Row],[return_reason]]="","Error","OK"),"OK")</f>
        <v>OK</v>
      </c>
      <c r="P517" s="8">
        <f>Table1[[#This Row],[original_price]]*Table1[[#This Row],[markdown_percentage]]/100</f>
        <v>0</v>
      </c>
      <c r="Q51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517" s="25">
        <f>Table1[[#This Row],[current_price]]*Table1[[#This Row],[stock_quantity]]</f>
        <v>4166.4000000000005</v>
      </c>
    </row>
    <row r="518" spans="1:18" x14ac:dyDescent="0.25">
      <c r="A518" s="2" t="s">
        <v>571</v>
      </c>
      <c r="B518" s="2" t="s">
        <v>21</v>
      </c>
      <c r="C518" s="2" t="s">
        <v>61</v>
      </c>
      <c r="D518" s="2" t="s">
        <v>23</v>
      </c>
      <c r="E518" s="2" t="s">
        <v>55</v>
      </c>
      <c r="F518" s="2" t="s">
        <v>70</v>
      </c>
      <c r="G518" s="8">
        <v>60.53</v>
      </c>
      <c r="H518" s="11">
        <v>42.5</v>
      </c>
      <c r="I518" s="8">
        <v>34.799999999999997</v>
      </c>
      <c r="J518" s="3">
        <v>45875</v>
      </c>
      <c r="K518" s="14">
        <v>8</v>
      </c>
      <c r="L518" s="17"/>
      <c r="M518" s="2" t="b">
        <v>1</v>
      </c>
      <c r="N518" s="2" t="s">
        <v>36</v>
      </c>
      <c r="O518" s="2" t="str">
        <f>IF(Table1[[#This Row],[is_returned]]=TRUE,IF(Table1[[#This Row],[return_reason]]="","Error","OK"),"OK")</f>
        <v>OK</v>
      </c>
      <c r="P518" s="8">
        <f>Table1[[#This Row],[original_price]]*Table1[[#This Row],[markdown_percentage]]/100</f>
        <v>25.725250000000003</v>
      </c>
      <c r="Q51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518" s="25">
        <f>Table1[[#This Row],[current_price]]*Table1[[#This Row],[stock_quantity]]</f>
        <v>278.39999999999998</v>
      </c>
    </row>
    <row r="519" spans="1:18" x14ac:dyDescent="0.25">
      <c r="A519" s="2" t="s">
        <v>572</v>
      </c>
      <c r="B519" s="2" t="s">
        <v>15</v>
      </c>
      <c r="C519" s="2" t="s">
        <v>48</v>
      </c>
      <c r="D519" s="2" t="s">
        <v>34</v>
      </c>
      <c r="E519" s="2" t="s">
        <v>58</v>
      </c>
      <c r="F519" s="2" t="s">
        <v>64</v>
      </c>
      <c r="G519" s="8">
        <v>92.54</v>
      </c>
      <c r="H519" s="11">
        <v>43.8</v>
      </c>
      <c r="I519" s="8">
        <v>52.01</v>
      </c>
      <c r="J519" s="3">
        <v>45875</v>
      </c>
      <c r="K519" s="14">
        <v>33</v>
      </c>
      <c r="L519" s="17">
        <v>1.5</v>
      </c>
      <c r="M519" s="2" t="b">
        <v>1</v>
      </c>
      <c r="N519" s="2" t="s">
        <v>78</v>
      </c>
      <c r="O519" s="2" t="str">
        <f>IF(Table1[[#This Row],[is_returned]]=TRUE,IF(Table1[[#This Row],[return_reason]]="","Error","OK"),"OK")</f>
        <v>OK</v>
      </c>
      <c r="P519" s="8">
        <f>Table1[[#This Row],[original_price]]*Table1[[#This Row],[markdown_percentage]]/100</f>
        <v>40.532519999999998</v>
      </c>
      <c r="Q51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519" s="25">
        <f>Table1[[#This Row],[current_price]]*Table1[[#This Row],[stock_quantity]]</f>
        <v>1716.33</v>
      </c>
    </row>
    <row r="520" spans="1:18" x14ac:dyDescent="0.25">
      <c r="A520" s="2" t="s">
        <v>573</v>
      </c>
      <c r="B520" s="2" t="s">
        <v>27</v>
      </c>
      <c r="C520" s="2" t="s">
        <v>22</v>
      </c>
      <c r="D520" s="2" t="s">
        <v>34</v>
      </c>
      <c r="E520" s="2"/>
      <c r="F520" s="2" t="s">
        <v>25</v>
      </c>
      <c r="G520" s="8">
        <v>28.4</v>
      </c>
      <c r="H520" s="11">
        <v>0</v>
      </c>
      <c r="I520" s="8">
        <v>28.4</v>
      </c>
      <c r="J520" s="3">
        <v>45875</v>
      </c>
      <c r="K520" s="14">
        <v>4</v>
      </c>
      <c r="L520" s="17">
        <v>3.1</v>
      </c>
      <c r="M520" s="2" t="b">
        <v>0</v>
      </c>
      <c r="N520" s="2"/>
      <c r="O520" s="2" t="str">
        <f>IF(Table1[[#This Row],[is_returned]]=TRUE,IF(Table1[[#This Row],[return_reason]]="","Error","OK"),"OK")</f>
        <v>OK</v>
      </c>
      <c r="P520" s="8">
        <f>Table1[[#This Row],[original_price]]*Table1[[#This Row],[markdown_percentage]]/100</f>
        <v>0</v>
      </c>
      <c r="Q52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520" s="25">
        <f>Table1[[#This Row],[current_price]]*Table1[[#This Row],[stock_quantity]]</f>
        <v>113.6</v>
      </c>
    </row>
    <row r="521" spans="1:18" x14ac:dyDescent="0.25">
      <c r="A521" s="2" t="s">
        <v>574</v>
      </c>
      <c r="B521" s="2" t="s">
        <v>38</v>
      </c>
      <c r="C521" s="2" t="s">
        <v>16</v>
      </c>
      <c r="D521" s="2" t="s">
        <v>62</v>
      </c>
      <c r="E521" s="2" t="s">
        <v>58</v>
      </c>
      <c r="F521" s="2" t="s">
        <v>40</v>
      </c>
      <c r="G521" s="8">
        <v>91.65</v>
      </c>
      <c r="H521" s="11">
        <v>0</v>
      </c>
      <c r="I521" s="8">
        <v>91.65</v>
      </c>
      <c r="J521" s="3">
        <v>45875</v>
      </c>
      <c r="K521" s="14">
        <v>40</v>
      </c>
      <c r="L521" s="17">
        <v>3.8</v>
      </c>
      <c r="M521" s="2" t="b">
        <v>0</v>
      </c>
      <c r="N521" s="2"/>
      <c r="O521" s="2" t="str">
        <f>IF(Table1[[#This Row],[is_returned]]=TRUE,IF(Table1[[#This Row],[return_reason]]="","Error","OK"),"OK")</f>
        <v>OK</v>
      </c>
      <c r="P521" s="8">
        <f>Table1[[#This Row],[original_price]]*Table1[[#This Row],[markdown_percentage]]/100</f>
        <v>0</v>
      </c>
      <c r="Q52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521" s="25">
        <f>Table1[[#This Row],[current_price]]*Table1[[#This Row],[stock_quantity]]</f>
        <v>3666</v>
      </c>
    </row>
    <row r="522" spans="1:18" x14ac:dyDescent="0.25">
      <c r="A522" s="2" t="s">
        <v>575</v>
      </c>
      <c r="B522" s="2" t="s">
        <v>27</v>
      </c>
      <c r="C522" s="2" t="s">
        <v>43</v>
      </c>
      <c r="D522" s="2" t="s">
        <v>34</v>
      </c>
      <c r="E522" s="2"/>
      <c r="F522" s="2" t="s">
        <v>64</v>
      </c>
      <c r="G522" s="8">
        <v>72.569999999999993</v>
      </c>
      <c r="H522" s="11">
        <v>0</v>
      </c>
      <c r="I522" s="8">
        <v>72.569999999999993</v>
      </c>
      <c r="J522" s="3">
        <v>45875</v>
      </c>
      <c r="K522" s="14">
        <v>27</v>
      </c>
      <c r="L522" s="17">
        <v>2.5</v>
      </c>
      <c r="M522" s="2" t="b">
        <v>0</v>
      </c>
      <c r="N522" s="2"/>
      <c r="O522" s="2" t="str">
        <f>IF(Table1[[#This Row],[is_returned]]=TRUE,IF(Table1[[#This Row],[return_reason]]="","Error","OK"),"OK")</f>
        <v>OK</v>
      </c>
      <c r="P522" s="8">
        <f>Table1[[#This Row],[original_price]]*Table1[[#This Row],[markdown_percentage]]/100</f>
        <v>0</v>
      </c>
      <c r="Q52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522" s="25">
        <f>Table1[[#This Row],[current_price]]*Table1[[#This Row],[stock_quantity]]</f>
        <v>1959.3899999999999</v>
      </c>
    </row>
    <row r="523" spans="1:18" x14ac:dyDescent="0.25">
      <c r="A523" s="2" t="s">
        <v>576</v>
      </c>
      <c r="B523" s="2" t="s">
        <v>38</v>
      </c>
      <c r="C523" s="2" t="s">
        <v>48</v>
      </c>
      <c r="D523" s="2" t="s">
        <v>34</v>
      </c>
      <c r="E523" s="2" t="s">
        <v>24</v>
      </c>
      <c r="F523" s="2" t="s">
        <v>44</v>
      </c>
      <c r="G523" s="8">
        <v>39.049999999999997</v>
      </c>
      <c r="H523" s="11">
        <v>0</v>
      </c>
      <c r="I523" s="8">
        <v>39.049999999999997</v>
      </c>
      <c r="J523" s="3">
        <v>45875</v>
      </c>
      <c r="K523" s="14">
        <v>10</v>
      </c>
      <c r="L523" s="17">
        <v>3.5</v>
      </c>
      <c r="M523" s="2" t="b">
        <v>0</v>
      </c>
      <c r="N523" s="2"/>
      <c r="O523" s="2" t="str">
        <f>IF(Table1[[#This Row],[is_returned]]=TRUE,IF(Table1[[#This Row],[return_reason]]="","Error","OK"),"OK")</f>
        <v>OK</v>
      </c>
      <c r="P523" s="8">
        <f>Table1[[#This Row],[original_price]]*Table1[[#This Row],[markdown_percentage]]/100</f>
        <v>0</v>
      </c>
      <c r="Q52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523" s="25">
        <f>Table1[[#This Row],[current_price]]*Table1[[#This Row],[stock_quantity]]</f>
        <v>390.5</v>
      </c>
    </row>
    <row r="524" spans="1:18" x14ac:dyDescent="0.25">
      <c r="A524" s="2" t="s">
        <v>577</v>
      </c>
      <c r="B524" s="2" t="s">
        <v>42</v>
      </c>
      <c r="C524" s="2" t="s">
        <v>16</v>
      </c>
      <c r="D524" s="2" t="s">
        <v>23</v>
      </c>
      <c r="E524" s="2" t="s">
        <v>39</v>
      </c>
      <c r="F524" s="2" t="s">
        <v>40</v>
      </c>
      <c r="G524" s="8">
        <v>113.21</v>
      </c>
      <c r="H524" s="11">
        <v>0</v>
      </c>
      <c r="I524" s="8">
        <v>113.21</v>
      </c>
      <c r="J524" s="3">
        <v>45875</v>
      </c>
      <c r="K524" s="14">
        <v>12</v>
      </c>
      <c r="L524" s="17">
        <v>4.4000000000000004</v>
      </c>
      <c r="M524" s="2" t="b">
        <v>0</v>
      </c>
      <c r="N524" s="2"/>
      <c r="O524" s="2" t="str">
        <f>IF(Table1[[#This Row],[is_returned]]=TRUE,IF(Table1[[#This Row],[return_reason]]="","Error","OK"),"OK")</f>
        <v>OK</v>
      </c>
      <c r="P524" s="8">
        <f>Table1[[#This Row],[original_price]]*Table1[[#This Row],[markdown_percentage]]/100</f>
        <v>0</v>
      </c>
      <c r="Q52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524" s="25">
        <f>Table1[[#This Row],[current_price]]*Table1[[#This Row],[stock_quantity]]</f>
        <v>1358.52</v>
      </c>
    </row>
    <row r="525" spans="1:18" x14ac:dyDescent="0.25">
      <c r="A525" s="2" t="s">
        <v>578</v>
      </c>
      <c r="B525" s="2" t="s">
        <v>27</v>
      </c>
      <c r="C525" s="2" t="s">
        <v>75</v>
      </c>
      <c r="D525" s="2" t="s">
        <v>17</v>
      </c>
      <c r="E525" s="2"/>
      <c r="F525" s="2" t="s">
        <v>64</v>
      </c>
      <c r="G525" s="8">
        <v>25.34</v>
      </c>
      <c r="H525" s="11">
        <v>0</v>
      </c>
      <c r="I525" s="8">
        <v>25.34</v>
      </c>
      <c r="J525" s="3">
        <v>45869</v>
      </c>
      <c r="K525" s="14">
        <v>17</v>
      </c>
      <c r="L525" s="17">
        <v>3.3</v>
      </c>
      <c r="M525" s="2" t="b">
        <v>0</v>
      </c>
      <c r="N525" s="2"/>
      <c r="O525" s="2" t="str">
        <f>IF(Table1[[#This Row],[is_returned]]=TRUE,IF(Table1[[#This Row],[return_reason]]="","Error","OK"),"OK")</f>
        <v>OK</v>
      </c>
      <c r="P525" s="8">
        <f>Table1[[#This Row],[original_price]]*Table1[[#This Row],[markdown_percentage]]/100</f>
        <v>0</v>
      </c>
      <c r="Q52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525" s="25">
        <f>Table1[[#This Row],[current_price]]*Table1[[#This Row],[stock_quantity]]</f>
        <v>430.78</v>
      </c>
    </row>
    <row r="526" spans="1:18" x14ac:dyDescent="0.25">
      <c r="A526" s="2" t="s">
        <v>579</v>
      </c>
      <c r="B526" s="2" t="s">
        <v>21</v>
      </c>
      <c r="C526" s="2" t="s">
        <v>43</v>
      </c>
      <c r="D526" s="2" t="s">
        <v>17</v>
      </c>
      <c r="E526" s="2" t="s">
        <v>24</v>
      </c>
      <c r="F526" s="2" t="s">
        <v>28</v>
      </c>
      <c r="G526" s="8">
        <v>98.16</v>
      </c>
      <c r="H526" s="11">
        <v>56.7</v>
      </c>
      <c r="I526" s="8">
        <v>42.5</v>
      </c>
      <c r="J526" s="3">
        <v>45693</v>
      </c>
      <c r="K526" s="14">
        <v>44</v>
      </c>
      <c r="L526" s="17">
        <v>2.6</v>
      </c>
      <c r="M526" s="2" t="b">
        <v>0</v>
      </c>
      <c r="N526" s="2"/>
      <c r="O526" s="2" t="str">
        <f>IF(Table1[[#This Row],[is_returned]]=TRUE,IF(Table1[[#This Row],[return_reason]]="","Error","OK"),"OK")</f>
        <v>OK</v>
      </c>
      <c r="P526" s="8">
        <f>Table1[[#This Row],[original_price]]*Table1[[#This Row],[markdown_percentage]]/100</f>
        <v>55.656720000000007</v>
      </c>
      <c r="Q52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526" s="25">
        <f>Table1[[#This Row],[current_price]]*Table1[[#This Row],[stock_quantity]]</f>
        <v>1870</v>
      </c>
    </row>
    <row r="527" spans="1:18" x14ac:dyDescent="0.25">
      <c r="A527" s="2" t="s">
        <v>580</v>
      </c>
      <c r="B527" s="2" t="s">
        <v>21</v>
      </c>
      <c r="C527" s="2" t="s">
        <v>32</v>
      </c>
      <c r="D527" s="2" t="s">
        <v>17</v>
      </c>
      <c r="E527" s="2" t="s">
        <v>55</v>
      </c>
      <c r="F527" s="2" t="s">
        <v>66</v>
      </c>
      <c r="G527" s="8">
        <v>60.54</v>
      </c>
      <c r="H527" s="11">
        <v>0</v>
      </c>
      <c r="I527" s="8">
        <v>60.54</v>
      </c>
      <c r="J527" s="3">
        <v>45757</v>
      </c>
      <c r="K527" s="14">
        <v>35</v>
      </c>
      <c r="L527" s="17">
        <v>1.7</v>
      </c>
      <c r="M527" s="2" t="b">
        <v>0</v>
      </c>
      <c r="N527" s="2"/>
      <c r="O527" s="2" t="str">
        <f>IF(Table1[[#This Row],[is_returned]]=TRUE,IF(Table1[[#This Row],[return_reason]]="","Error","OK"),"OK")</f>
        <v>OK</v>
      </c>
      <c r="P527" s="8">
        <f>Table1[[#This Row],[original_price]]*Table1[[#This Row],[markdown_percentage]]/100</f>
        <v>0</v>
      </c>
      <c r="Q52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527" s="25">
        <f>Table1[[#This Row],[current_price]]*Table1[[#This Row],[stock_quantity]]</f>
        <v>2118.9</v>
      </c>
    </row>
    <row r="528" spans="1:18" x14ac:dyDescent="0.25">
      <c r="A528" s="2" t="s">
        <v>581</v>
      </c>
      <c r="B528" s="2" t="s">
        <v>42</v>
      </c>
      <c r="C528" s="2" t="s">
        <v>16</v>
      </c>
      <c r="D528" s="2" t="s">
        <v>23</v>
      </c>
      <c r="E528" s="2" t="s">
        <v>39</v>
      </c>
      <c r="F528" s="2" t="s">
        <v>25</v>
      </c>
      <c r="G528" s="8">
        <v>132.61000000000001</v>
      </c>
      <c r="H528" s="11">
        <v>7.4</v>
      </c>
      <c r="I528" s="8">
        <v>122.8</v>
      </c>
      <c r="J528" s="3">
        <v>45875</v>
      </c>
      <c r="K528" s="14">
        <v>0</v>
      </c>
      <c r="L528" s="17">
        <v>4.2</v>
      </c>
      <c r="M528" s="2" t="b">
        <v>0</v>
      </c>
      <c r="N528" s="2"/>
      <c r="O528" s="2" t="str">
        <f>IF(Table1[[#This Row],[is_returned]]=TRUE,IF(Table1[[#This Row],[return_reason]]="","Error","OK"),"OK")</f>
        <v>OK</v>
      </c>
      <c r="P528" s="8">
        <f>Table1[[#This Row],[original_price]]*Table1[[#This Row],[markdown_percentage]]/100</f>
        <v>9.8131400000000024</v>
      </c>
      <c r="Q52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528" s="25">
        <f>Table1[[#This Row],[current_price]]*Table1[[#This Row],[stock_quantity]]</f>
        <v>0</v>
      </c>
    </row>
    <row r="529" spans="1:18" x14ac:dyDescent="0.25">
      <c r="A529" s="2" t="s">
        <v>582</v>
      </c>
      <c r="B529" s="2" t="s">
        <v>15</v>
      </c>
      <c r="C529" s="2" t="s">
        <v>53</v>
      </c>
      <c r="D529" s="2" t="s">
        <v>34</v>
      </c>
      <c r="E529" s="2" t="s">
        <v>18</v>
      </c>
      <c r="F529" s="2" t="s">
        <v>25</v>
      </c>
      <c r="G529" s="8">
        <v>234.14</v>
      </c>
      <c r="H529" s="11">
        <v>0</v>
      </c>
      <c r="I529" s="8">
        <v>234.14</v>
      </c>
      <c r="J529" s="3">
        <v>45875</v>
      </c>
      <c r="K529" s="14">
        <v>40</v>
      </c>
      <c r="L529" s="17">
        <v>1.7</v>
      </c>
      <c r="M529" s="2" t="b">
        <v>0</v>
      </c>
      <c r="N529" s="2"/>
      <c r="O529" s="2" t="str">
        <f>IF(Table1[[#This Row],[is_returned]]=TRUE,IF(Table1[[#This Row],[return_reason]]="","Error","OK"),"OK")</f>
        <v>OK</v>
      </c>
      <c r="P529" s="8">
        <f>Table1[[#This Row],[original_price]]*Table1[[#This Row],[markdown_percentage]]/100</f>
        <v>0</v>
      </c>
      <c r="Q52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529" s="25">
        <f>Table1[[#This Row],[current_price]]*Table1[[#This Row],[stock_quantity]]</f>
        <v>9365.5999999999985</v>
      </c>
    </row>
    <row r="530" spans="1:18" x14ac:dyDescent="0.25">
      <c r="A530" s="2" t="s">
        <v>583</v>
      </c>
      <c r="B530" s="2" t="s">
        <v>27</v>
      </c>
      <c r="C530" s="2" t="s">
        <v>48</v>
      </c>
      <c r="D530" s="2" t="s">
        <v>34</v>
      </c>
      <c r="E530" s="2"/>
      <c r="F530" s="2" t="s">
        <v>28</v>
      </c>
      <c r="G530" s="8">
        <v>31.86</v>
      </c>
      <c r="H530" s="11">
        <v>48.2</v>
      </c>
      <c r="I530" s="8">
        <v>16.5</v>
      </c>
      <c r="J530" s="3">
        <v>45875</v>
      </c>
      <c r="K530" s="14">
        <v>32</v>
      </c>
      <c r="L530" s="17">
        <v>4.5</v>
      </c>
      <c r="M530" s="2" t="b">
        <v>0</v>
      </c>
      <c r="N530" s="2"/>
      <c r="O530" s="2" t="str">
        <f>IF(Table1[[#This Row],[is_returned]]=TRUE,IF(Table1[[#This Row],[return_reason]]="","Error","OK"),"OK")</f>
        <v>OK</v>
      </c>
      <c r="P530" s="8">
        <f>Table1[[#This Row],[original_price]]*Table1[[#This Row],[markdown_percentage]]/100</f>
        <v>15.35652</v>
      </c>
      <c r="Q53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530" s="25">
        <f>Table1[[#This Row],[current_price]]*Table1[[#This Row],[stock_quantity]]</f>
        <v>528</v>
      </c>
    </row>
    <row r="531" spans="1:18" x14ac:dyDescent="0.25">
      <c r="A531" s="2" t="s">
        <v>584</v>
      </c>
      <c r="B531" s="2" t="s">
        <v>27</v>
      </c>
      <c r="C531" s="2" t="s">
        <v>22</v>
      </c>
      <c r="D531" s="2" t="s">
        <v>17</v>
      </c>
      <c r="E531" s="2"/>
      <c r="F531" s="2" t="s">
        <v>40</v>
      </c>
      <c r="G531" s="8">
        <v>15.14</v>
      </c>
      <c r="H531" s="11">
        <v>36.700000000000003</v>
      </c>
      <c r="I531" s="8">
        <v>9.58</v>
      </c>
      <c r="J531" s="3">
        <v>45861</v>
      </c>
      <c r="K531" s="14">
        <v>41</v>
      </c>
      <c r="L531" s="17">
        <v>3.8</v>
      </c>
      <c r="M531" s="2" t="b">
        <v>0</v>
      </c>
      <c r="N531" s="2"/>
      <c r="O531" s="2" t="str">
        <f>IF(Table1[[#This Row],[is_returned]]=TRUE,IF(Table1[[#This Row],[return_reason]]="","Error","OK"),"OK")</f>
        <v>OK</v>
      </c>
      <c r="P531" s="8">
        <f>Table1[[#This Row],[original_price]]*Table1[[#This Row],[markdown_percentage]]/100</f>
        <v>5.5563800000000008</v>
      </c>
      <c r="Q53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531" s="25">
        <f>Table1[[#This Row],[current_price]]*Table1[[#This Row],[stock_quantity]]</f>
        <v>392.78000000000003</v>
      </c>
    </row>
    <row r="532" spans="1:18" x14ac:dyDescent="0.25">
      <c r="A532" s="2" t="s">
        <v>585</v>
      </c>
      <c r="B532" s="2" t="s">
        <v>30</v>
      </c>
      <c r="C532" s="2" t="s">
        <v>48</v>
      </c>
      <c r="D532" s="2" t="s">
        <v>23</v>
      </c>
      <c r="E532" s="2" t="s">
        <v>55</v>
      </c>
      <c r="F532" s="2" t="s">
        <v>66</v>
      </c>
      <c r="G532" s="8">
        <v>77.72</v>
      </c>
      <c r="H532" s="11">
        <v>0</v>
      </c>
      <c r="I532" s="8">
        <v>77.72</v>
      </c>
      <c r="J532" s="3">
        <v>45875</v>
      </c>
      <c r="K532" s="14">
        <v>48</v>
      </c>
      <c r="L532" s="17">
        <v>1.1000000000000001</v>
      </c>
      <c r="M532" s="2" t="b">
        <v>0</v>
      </c>
      <c r="N532" s="2"/>
      <c r="O532" s="2" t="str">
        <f>IF(Table1[[#This Row],[is_returned]]=TRUE,IF(Table1[[#This Row],[return_reason]]="","Error","OK"),"OK")</f>
        <v>OK</v>
      </c>
      <c r="P532" s="8">
        <f>Table1[[#This Row],[original_price]]*Table1[[#This Row],[markdown_percentage]]/100</f>
        <v>0</v>
      </c>
      <c r="Q53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532" s="25">
        <f>Table1[[#This Row],[current_price]]*Table1[[#This Row],[stock_quantity]]</f>
        <v>3730.56</v>
      </c>
    </row>
    <row r="533" spans="1:18" x14ac:dyDescent="0.25">
      <c r="A533" s="2" t="s">
        <v>586</v>
      </c>
      <c r="B533" s="2" t="s">
        <v>27</v>
      </c>
      <c r="C533" s="2" t="s">
        <v>16</v>
      </c>
      <c r="D533" s="2" t="s">
        <v>17</v>
      </c>
      <c r="E533" s="2"/>
      <c r="F533" s="2" t="s">
        <v>40</v>
      </c>
      <c r="G533" s="8">
        <v>78.040000000000006</v>
      </c>
      <c r="H533" s="11">
        <v>0</v>
      </c>
      <c r="I533" s="8">
        <v>78.040000000000006</v>
      </c>
      <c r="J533" s="3">
        <v>45756</v>
      </c>
      <c r="K533" s="14">
        <v>38</v>
      </c>
      <c r="L533" s="17">
        <v>4.9000000000000004</v>
      </c>
      <c r="M533" s="2" t="b">
        <v>0</v>
      </c>
      <c r="N533" s="2"/>
      <c r="O533" s="2" t="str">
        <f>IF(Table1[[#This Row],[is_returned]]=TRUE,IF(Table1[[#This Row],[return_reason]]="","Error","OK"),"OK")</f>
        <v>OK</v>
      </c>
      <c r="P533" s="8">
        <f>Table1[[#This Row],[original_price]]*Table1[[#This Row],[markdown_percentage]]/100</f>
        <v>0</v>
      </c>
      <c r="Q53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533" s="25">
        <f>Table1[[#This Row],[current_price]]*Table1[[#This Row],[stock_quantity]]</f>
        <v>2965.5200000000004</v>
      </c>
    </row>
    <row r="534" spans="1:18" x14ac:dyDescent="0.25">
      <c r="A534" s="2" t="s">
        <v>587</v>
      </c>
      <c r="B534" s="2" t="s">
        <v>15</v>
      </c>
      <c r="C534" s="2" t="s">
        <v>61</v>
      </c>
      <c r="D534" s="2" t="s">
        <v>34</v>
      </c>
      <c r="E534" s="2" t="s">
        <v>58</v>
      </c>
      <c r="F534" s="2" t="s">
        <v>70</v>
      </c>
      <c r="G534" s="8">
        <v>169.82</v>
      </c>
      <c r="H534" s="11">
        <v>0</v>
      </c>
      <c r="I534" s="8">
        <v>169.82</v>
      </c>
      <c r="J534" s="3">
        <v>45875</v>
      </c>
      <c r="K534" s="14">
        <v>28</v>
      </c>
      <c r="L534" s="17">
        <v>4</v>
      </c>
      <c r="M534" s="2" t="b">
        <v>0</v>
      </c>
      <c r="N534" s="2"/>
      <c r="O534" s="2" t="str">
        <f>IF(Table1[[#This Row],[is_returned]]=TRUE,IF(Table1[[#This Row],[return_reason]]="","Error","OK"),"OK")</f>
        <v>OK</v>
      </c>
      <c r="P534" s="8">
        <f>Table1[[#This Row],[original_price]]*Table1[[#This Row],[markdown_percentage]]/100</f>
        <v>0</v>
      </c>
      <c r="Q53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534" s="25">
        <f>Table1[[#This Row],[current_price]]*Table1[[#This Row],[stock_quantity]]</f>
        <v>4754.96</v>
      </c>
    </row>
    <row r="535" spans="1:18" x14ac:dyDescent="0.25">
      <c r="A535" s="2" t="s">
        <v>588</v>
      </c>
      <c r="B535" s="2" t="s">
        <v>38</v>
      </c>
      <c r="C535" s="2" t="s">
        <v>48</v>
      </c>
      <c r="D535" s="2" t="s">
        <v>17</v>
      </c>
      <c r="E535" s="2" t="s">
        <v>24</v>
      </c>
      <c r="F535" s="2" t="s">
        <v>35</v>
      </c>
      <c r="G535" s="8">
        <v>94.71</v>
      </c>
      <c r="H535" s="11">
        <v>38.9</v>
      </c>
      <c r="I535" s="8">
        <v>57.87</v>
      </c>
      <c r="J535" s="3">
        <v>45520</v>
      </c>
      <c r="K535" s="14">
        <v>39</v>
      </c>
      <c r="L535" s="17">
        <v>4.7</v>
      </c>
      <c r="M535" s="2" t="b">
        <v>0</v>
      </c>
      <c r="N535" s="2"/>
      <c r="O535" s="2" t="str">
        <f>IF(Table1[[#This Row],[is_returned]]=TRUE,IF(Table1[[#This Row],[return_reason]]="","Error","OK"),"OK")</f>
        <v>OK</v>
      </c>
      <c r="P535" s="8">
        <f>Table1[[#This Row],[original_price]]*Table1[[#This Row],[markdown_percentage]]/100</f>
        <v>36.842189999999995</v>
      </c>
      <c r="Q53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535" s="25">
        <f>Table1[[#This Row],[current_price]]*Table1[[#This Row],[stock_quantity]]</f>
        <v>2256.9299999999998</v>
      </c>
    </row>
    <row r="536" spans="1:18" x14ac:dyDescent="0.25">
      <c r="A536" s="2" t="s">
        <v>589</v>
      </c>
      <c r="B536" s="2" t="s">
        <v>30</v>
      </c>
      <c r="C536" s="2" t="s">
        <v>53</v>
      </c>
      <c r="D536" s="2" t="s">
        <v>17</v>
      </c>
      <c r="E536" s="2" t="s">
        <v>18</v>
      </c>
      <c r="F536" s="2" t="s">
        <v>19</v>
      </c>
      <c r="G536" s="8">
        <v>112.6</v>
      </c>
      <c r="H536" s="11">
        <v>22</v>
      </c>
      <c r="I536" s="8">
        <v>87.83</v>
      </c>
      <c r="J536" s="3">
        <v>45860</v>
      </c>
      <c r="K536" s="14">
        <v>29</v>
      </c>
      <c r="L536" s="17">
        <v>2.1</v>
      </c>
      <c r="M536" s="2" t="b">
        <v>1</v>
      </c>
      <c r="N536" s="2" t="s">
        <v>36</v>
      </c>
      <c r="O536" s="2" t="str">
        <f>IF(Table1[[#This Row],[is_returned]]=TRUE,IF(Table1[[#This Row],[return_reason]]="","Error","OK"),"OK")</f>
        <v>OK</v>
      </c>
      <c r="P536" s="8">
        <f>Table1[[#This Row],[original_price]]*Table1[[#This Row],[markdown_percentage]]/100</f>
        <v>24.771999999999998</v>
      </c>
      <c r="Q53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536" s="25">
        <f>Table1[[#This Row],[current_price]]*Table1[[#This Row],[stock_quantity]]</f>
        <v>2547.0700000000002</v>
      </c>
    </row>
    <row r="537" spans="1:18" x14ac:dyDescent="0.25">
      <c r="A537" s="2" t="s">
        <v>590</v>
      </c>
      <c r="B537" s="2" t="s">
        <v>38</v>
      </c>
      <c r="C537" s="2" t="s">
        <v>16</v>
      </c>
      <c r="D537" s="2" t="s">
        <v>62</v>
      </c>
      <c r="E537" s="2" t="s">
        <v>24</v>
      </c>
      <c r="F537" s="2" t="s">
        <v>66</v>
      </c>
      <c r="G537" s="8">
        <v>104.16</v>
      </c>
      <c r="H537" s="11">
        <v>0</v>
      </c>
      <c r="I537" s="8">
        <v>104.16</v>
      </c>
      <c r="J537" s="3">
        <v>45875</v>
      </c>
      <c r="K537" s="14">
        <v>21</v>
      </c>
      <c r="L537" s="17">
        <v>1.6</v>
      </c>
      <c r="M537" s="2" t="b">
        <v>0</v>
      </c>
      <c r="N537" s="2"/>
      <c r="O537" s="2" t="str">
        <f>IF(Table1[[#This Row],[is_returned]]=TRUE,IF(Table1[[#This Row],[return_reason]]="","Error","OK"),"OK")</f>
        <v>OK</v>
      </c>
      <c r="P537" s="8">
        <f>Table1[[#This Row],[original_price]]*Table1[[#This Row],[markdown_percentage]]/100</f>
        <v>0</v>
      </c>
      <c r="Q53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537" s="25">
        <f>Table1[[#This Row],[current_price]]*Table1[[#This Row],[stock_quantity]]</f>
        <v>2187.36</v>
      </c>
    </row>
    <row r="538" spans="1:18" x14ac:dyDescent="0.25">
      <c r="A538" s="2" t="s">
        <v>591</v>
      </c>
      <c r="B538" s="2" t="s">
        <v>15</v>
      </c>
      <c r="C538" s="2" t="s">
        <v>61</v>
      </c>
      <c r="D538" s="2" t="s">
        <v>23</v>
      </c>
      <c r="E538" s="2" t="s">
        <v>49</v>
      </c>
      <c r="F538" s="2" t="s">
        <v>40</v>
      </c>
      <c r="G538" s="8">
        <v>174.86</v>
      </c>
      <c r="H538" s="11">
        <v>0</v>
      </c>
      <c r="I538" s="8">
        <v>174.86</v>
      </c>
      <c r="J538" s="3">
        <v>45875</v>
      </c>
      <c r="K538" s="14">
        <v>15</v>
      </c>
      <c r="L538" s="17">
        <v>1.7</v>
      </c>
      <c r="M538" s="2" t="b">
        <v>0</v>
      </c>
      <c r="N538" s="2"/>
      <c r="O538" s="2" t="str">
        <f>IF(Table1[[#This Row],[is_returned]]=TRUE,IF(Table1[[#This Row],[return_reason]]="","Error","OK"),"OK")</f>
        <v>OK</v>
      </c>
      <c r="P538" s="8">
        <f>Table1[[#This Row],[original_price]]*Table1[[#This Row],[markdown_percentage]]/100</f>
        <v>0</v>
      </c>
      <c r="Q53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538" s="25">
        <f>Table1[[#This Row],[current_price]]*Table1[[#This Row],[stock_quantity]]</f>
        <v>2622.9</v>
      </c>
    </row>
    <row r="539" spans="1:18" x14ac:dyDescent="0.25">
      <c r="A539" s="2" t="s">
        <v>592</v>
      </c>
      <c r="B539" s="2" t="s">
        <v>15</v>
      </c>
      <c r="C539" s="2" t="s">
        <v>22</v>
      </c>
      <c r="D539" s="2" t="s">
        <v>17</v>
      </c>
      <c r="E539" s="2" t="s">
        <v>24</v>
      </c>
      <c r="F539" s="2" t="s">
        <v>66</v>
      </c>
      <c r="G539" s="8">
        <v>217.89</v>
      </c>
      <c r="H539" s="11">
        <v>49.4</v>
      </c>
      <c r="I539" s="8">
        <v>110.25</v>
      </c>
      <c r="J539" s="3">
        <v>45623</v>
      </c>
      <c r="K539" s="14">
        <v>42</v>
      </c>
      <c r="L539" s="17">
        <v>2.9</v>
      </c>
      <c r="M539" s="2" t="b">
        <v>0</v>
      </c>
      <c r="N539" s="2"/>
      <c r="O539" s="2" t="str">
        <f>IF(Table1[[#This Row],[is_returned]]=TRUE,IF(Table1[[#This Row],[return_reason]]="","Error","OK"),"OK")</f>
        <v>OK</v>
      </c>
      <c r="P539" s="8">
        <f>Table1[[#This Row],[original_price]]*Table1[[#This Row],[markdown_percentage]]/100</f>
        <v>107.63766</v>
      </c>
      <c r="Q53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539" s="25">
        <f>Table1[[#This Row],[current_price]]*Table1[[#This Row],[stock_quantity]]</f>
        <v>4630.5</v>
      </c>
    </row>
    <row r="540" spans="1:18" x14ac:dyDescent="0.25">
      <c r="A540" s="2" t="s">
        <v>593</v>
      </c>
      <c r="B540" s="2" t="s">
        <v>30</v>
      </c>
      <c r="C540" s="2" t="s">
        <v>43</v>
      </c>
      <c r="D540" s="2" t="s">
        <v>23</v>
      </c>
      <c r="E540" s="2" t="s">
        <v>24</v>
      </c>
      <c r="F540" s="2" t="s">
        <v>28</v>
      </c>
      <c r="G540" s="8">
        <v>123.14</v>
      </c>
      <c r="H540" s="11">
        <v>0</v>
      </c>
      <c r="I540" s="8">
        <v>123.14</v>
      </c>
      <c r="J540" s="3">
        <v>45875</v>
      </c>
      <c r="K540" s="14">
        <v>15</v>
      </c>
      <c r="L540" s="17">
        <v>1.8</v>
      </c>
      <c r="M540" s="2" t="b">
        <v>1</v>
      </c>
      <c r="N540" s="2" t="s">
        <v>125</v>
      </c>
      <c r="O540" s="2" t="str">
        <f>IF(Table1[[#This Row],[is_returned]]=TRUE,IF(Table1[[#This Row],[return_reason]]="","Error","OK"),"OK")</f>
        <v>OK</v>
      </c>
      <c r="P540" s="8">
        <f>Table1[[#This Row],[original_price]]*Table1[[#This Row],[markdown_percentage]]/100</f>
        <v>0</v>
      </c>
      <c r="Q54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540" s="25">
        <f>Table1[[#This Row],[current_price]]*Table1[[#This Row],[stock_quantity]]</f>
        <v>1847.1</v>
      </c>
    </row>
    <row r="541" spans="1:18" x14ac:dyDescent="0.25">
      <c r="A541" s="2" t="s">
        <v>594</v>
      </c>
      <c r="B541" s="2" t="s">
        <v>21</v>
      </c>
      <c r="C541" s="2" t="s">
        <v>53</v>
      </c>
      <c r="D541" s="2" t="s">
        <v>23</v>
      </c>
      <c r="E541" s="2" t="s">
        <v>18</v>
      </c>
      <c r="F541" s="2" t="s">
        <v>64</v>
      </c>
      <c r="G541" s="8">
        <v>103.96</v>
      </c>
      <c r="H541" s="11">
        <v>0</v>
      </c>
      <c r="I541" s="8">
        <v>103.96</v>
      </c>
      <c r="J541" s="3">
        <v>45875</v>
      </c>
      <c r="K541" s="14">
        <v>23</v>
      </c>
      <c r="L541" s="17">
        <v>3.3</v>
      </c>
      <c r="M541" s="2" t="b">
        <v>0</v>
      </c>
      <c r="N541" s="2"/>
      <c r="O541" s="2" t="str">
        <f>IF(Table1[[#This Row],[is_returned]]=TRUE,IF(Table1[[#This Row],[return_reason]]="","Error","OK"),"OK")</f>
        <v>OK</v>
      </c>
      <c r="P541" s="8">
        <f>Table1[[#This Row],[original_price]]*Table1[[#This Row],[markdown_percentage]]/100</f>
        <v>0</v>
      </c>
      <c r="Q54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541" s="25">
        <f>Table1[[#This Row],[current_price]]*Table1[[#This Row],[stock_quantity]]</f>
        <v>2391.08</v>
      </c>
    </row>
    <row r="542" spans="1:18" x14ac:dyDescent="0.25">
      <c r="A542" s="2" t="s">
        <v>595</v>
      </c>
      <c r="B542" s="2" t="s">
        <v>42</v>
      </c>
      <c r="C542" s="2" t="s">
        <v>48</v>
      </c>
      <c r="D542" s="2" t="s">
        <v>17</v>
      </c>
      <c r="E542" s="2" t="s">
        <v>18</v>
      </c>
      <c r="F542" s="2" t="s">
        <v>44</v>
      </c>
      <c r="G542" s="8">
        <v>138.44999999999999</v>
      </c>
      <c r="H542" s="11">
        <v>0</v>
      </c>
      <c r="I542" s="8">
        <v>138.44999999999999</v>
      </c>
      <c r="J542" s="3">
        <v>45744</v>
      </c>
      <c r="K542" s="14">
        <v>18</v>
      </c>
      <c r="L542" s="17">
        <v>3.3</v>
      </c>
      <c r="M542" s="2" t="b">
        <v>0</v>
      </c>
      <c r="N542" s="2"/>
      <c r="O542" s="2" t="str">
        <f>IF(Table1[[#This Row],[is_returned]]=TRUE,IF(Table1[[#This Row],[return_reason]]="","Error","OK"),"OK")</f>
        <v>OK</v>
      </c>
      <c r="P542" s="8">
        <f>Table1[[#This Row],[original_price]]*Table1[[#This Row],[markdown_percentage]]/100</f>
        <v>0</v>
      </c>
      <c r="Q54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542" s="25">
        <f>Table1[[#This Row],[current_price]]*Table1[[#This Row],[stock_quantity]]</f>
        <v>2492.1</v>
      </c>
    </row>
    <row r="543" spans="1:18" x14ac:dyDescent="0.25">
      <c r="A543" s="2" t="s">
        <v>596</v>
      </c>
      <c r="B543" s="2" t="s">
        <v>30</v>
      </c>
      <c r="C543" s="2" t="s">
        <v>61</v>
      </c>
      <c r="D543" s="2" t="s">
        <v>62</v>
      </c>
      <c r="E543" s="2" t="s">
        <v>39</v>
      </c>
      <c r="F543" s="2" t="s">
        <v>28</v>
      </c>
      <c r="G543" s="8">
        <v>165.1</v>
      </c>
      <c r="H543" s="11">
        <v>0</v>
      </c>
      <c r="I543" s="8">
        <v>165.1</v>
      </c>
      <c r="J543" s="3">
        <v>45875</v>
      </c>
      <c r="K543" s="14">
        <v>7</v>
      </c>
      <c r="L543" s="17"/>
      <c r="M543" s="2" t="b">
        <v>0</v>
      </c>
      <c r="N543" s="2"/>
      <c r="O543" s="2" t="str">
        <f>IF(Table1[[#This Row],[is_returned]]=TRUE,IF(Table1[[#This Row],[return_reason]]="","Error","OK"),"OK")</f>
        <v>OK</v>
      </c>
      <c r="P543" s="8">
        <f>Table1[[#This Row],[original_price]]*Table1[[#This Row],[markdown_percentage]]/100</f>
        <v>0</v>
      </c>
      <c r="Q54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543" s="25">
        <f>Table1[[#This Row],[current_price]]*Table1[[#This Row],[stock_quantity]]</f>
        <v>1155.7</v>
      </c>
    </row>
    <row r="544" spans="1:18" x14ac:dyDescent="0.25">
      <c r="A544" s="2" t="s">
        <v>597</v>
      </c>
      <c r="B544" s="2" t="s">
        <v>30</v>
      </c>
      <c r="C544" s="2" t="s">
        <v>61</v>
      </c>
      <c r="D544" s="2" t="s">
        <v>23</v>
      </c>
      <c r="E544" s="2" t="s">
        <v>49</v>
      </c>
      <c r="F544" s="2" t="s">
        <v>40</v>
      </c>
      <c r="G544" s="8">
        <v>147.25</v>
      </c>
      <c r="H544" s="11">
        <v>0</v>
      </c>
      <c r="I544" s="8">
        <v>147.25</v>
      </c>
      <c r="J544" s="3">
        <v>45875</v>
      </c>
      <c r="K544" s="14">
        <v>15</v>
      </c>
      <c r="L544" s="17">
        <v>2.7</v>
      </c>
      <c r="M544" s="2" t="b">
        <v>0</v>
      </c>
      <c r="N544" s="2"/>
      <c r="O544" s="2" t="str">
        <f>IF(Table1[[#This Row],[is_returned]]=TRUE,IF(Table1[[#This Row],[return_reason]]="","Error","OK"),"OK")</f>
        <v>OK</v>
      </c>
      <c r="P544" s="8">
        <f>Table1[[#This Row],[original_price]]*Table1[[#This Row],[markdown_percentage]]/100</f>
        <v>0</v>
      </c>
      <c r="Q54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544" s="25">
        <f>Table1[[#This Row],[current_price]]*Table1[[#This Row],[stock_quantity]]</f>
        <v>2208.75</v>
      </c>
    </row>
    <row r="545" spans="1:18" x14ac:dyDescent="0.25">
      <c r="A545" s="2" t="s">
        <v>598</v>
      </c>
      <c r="B545" s="2" t="s">
        <v>30</v>
      </c>
      <c r="C545" s="2" t="s">
        <v>22</v>
      </c>
      <c r="D545" s="2" t="s">
        <v>34</v>
      </c>
      <c r="E545" s="2" t="s">
        <v>24</v>
      </c>
      <c r="F545" s="2" t="s">
        <v>25</v>
      </c>
      <c r="G545" s="8">
        <v>126.23</v>
      </c>
      <c r="H545" s="11">
        <v>0</v>
      </c>
      <c r="I545" s="8">
        <v>126.23</v>
      </c>
      <c r="J545" s="3">
        <v>45875</v>
      </c>
      <c r="K545" s="14">
        <v>48</v>
      </c>
      <c r="L545" s="17">
        <v>2.1</v>
      </c>
      <c r="M545" s="2" t="b">
        <v>0</v>
      </c>
      <c r="N545" s="2"/>
      <c r="O545" s="2" t="str">
        <f>IF(Table1[[#This Row],[is_returned]]=TRUE,IF(Table1[[#This Row],[return_reason]]="","Error","OK"),"OK")</f>
        <v>OK</v>
      </c>
      <c r="P545" s="8">
        <f>Table1[[#This Row],[original_price]]*Table1[[#This Row],[markdown_percentage]]/100</f>
        <v>0</v>
      </c>
      <c r="Q54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545" s="25">
        <f>Table1[[#This Row],[current_price]]*Table1[[#This Row],[stock_quantity]]</f>
        <v>6059.04</v>
      </c>
    </row>
    <row r="546" spans="1:18" x14ac:dyDescent="0.25">
      <c r="A546" s="2" t="s">
        <v>599</v>
      </c>
      <c r="B546" s="2" t="s">
        <v>15</v>
      </c>
      <c r="C546" s="2" t="s">
        <v>53</v>
      </c>
      <c r="D546" s="2" t="s">
        <v>34</v>
      </c>
      <c r="E546" s="2" t="s">
        <v>58</v>
      </c>
      <c r="F546" s="2" t="s">
        <v>64</v>
      </c>
      <c r="G546" s="8">
        <v>229.04</v>
      </c>
      <c r="H546" s="11">
        <v>0</v>
      </c>
      <c r="I546" s="8">
        <v>229.04</v>
      </c>
      <c r="J546" s="3">
        <v>45875</v>
      </c>
      <c r="K546" s="14">
        <v>5</v>
      </c>
      <c r="L546" s="17">
        <v>4.5</v>
      </c>
      <c r="M546" s="2" t="b">
        <v>0</v>
      </c>
      <c r="N546" s="2"/>
      <c r="O546" s="2" t="str">
        <f>IF(Table1[[#This Row],[is_returned]]=TRUE,IF(Table1[[#This Row],[return_reason]]="","Error","OK"),"OK")</f>
        <v>OK</v>
      </c>
      <c r="P546" s="8">
        <f>Table1[[#This Row],[original_price]]*Table1[[#This Row],[markdown_percentage]]/100</f>
        <v>0</v>
      </c>
      <c r="Q54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546" s="25">
        <f>Table1[[#This Row],[current_price]]*Table1[[#This Row],[stock_quantity]]</f>
        <v>1145.2</v>
      </c>
    </row>
    <row r="547" spans="1:18" x14ac:dyDescent="0.25">
      <c r="A547" s="2" t="s">
        <v>600</v>
      </c>
      <c r="B547" s="2" t="s">
        <v>27</v>
      </c>
      <c r="C547" s="2" t="s">
        <v>53</v>
      </c>
      <c r="D547" s="2" t="s">
        <v>23</v>
      </c>
      <c r="E547" s="2"/>
      <c r="F547" s="2" t="s">
        <v>40</v>
      </c>
      <c r="G547" s="8">
        <v>38.65</v>
      </c>
      <c r="H547" s="11">
        <v>32.6</v>
      </c>
      <c r="I547" s="8">
        <v>26.05</v>
      </c>
      <c r="J547" s="3">
        <v>45875</v>
      </c>
      <c r="K547" s="14">
        <v>46</v>
      </c>
      <c r="L547" s="17">
        <v>1.1000000000000001</v>
      </c>
      <c r="M547" s="2" t="b">
        <v>0</v>
      </c>
      <c r="N547" s="2"/>
      <c r="O547" s="2" t="str">
        <f>IF(Table1[[#This Row],[is_returned]]=TRUE,IF(Table1[[#This Row],[return_reason]]="","Error","OK"),"OK")</f>
        <v>OK</v>
      </c>
      <c r="P547" s="8">
        <f>Table1[[#This Row],[original_price]]*Table1[[#This Row],[markdown_percentage]]/100</f>
        <v>12.5999</v>
      </c>
      <c r="Q54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547" s="25">
        <f>Table1[[#This Row],[current_price]]*Table1[[#This Row],[stock_quantity]]</f>
        <v>1198.3</v>
      </c>
    </row>
    <row r="548" spans="1:18" x14ac:dyDescent="0.25">
      <c r="A548" s="2" t="s">
        <v>601</v>
      </c>
      <c r="B548" s="2" t="s">
        <v>38</v>
      </c>
      <c r="C548" s="2" t="s">
        <v>32</v>
      </c>
      <c r="D548" s="2" t="s">
        <v>17</v>
      </c>
      <c r="E548" s="2" t="s">
        <v>55</v>
      </c>
      <c r="F548" s="2" t="s">
        <v>25</v>
      </c>
      <c r="G548" s="8">
        <v>80.819999999999993</v>
      </c>
      <c r="H548" s="11">
        <v>0</v>
      </c>
      <c r="I548" s="8">
        <v>80.819999999999993</v>
      </c>
      <c r="J548" s="3">
        <v>45699</v>
      </c>
      <c r="K548" s="14">
        <v>42</v>
      </c>
      <c r="L548" s="17"/>
      <c r="M548" s="2" t="b">
        <v>0</v>
      </c>
      <c r="N548" s="2"/>
      <c r="O548" s="2" t="str">
        <f>IF(Table1[[#This Row],[is_returned]]=TRUE,IF(Table1[[#This Row],[return_reason]]="","Error","OK"),"OK")</f>
        <v>OK</v>
      </c>
      <c r="P548" s="8">
        <f>Table1[[#This Row],[original_price]]*Table1[[#This Row],[markdown_percentage]]/100</f>
        <v>0</v>
      </c>
      <c r="Q54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548" s="25">
        <f>Table1[[#This Row],[current_price]]*Table1[[#This Row],[stock_quantity]]</f>
        <v>3394.4399999999996</v>
      </c>
    </row>
    <row r="549" spans="1:18" x14ac:dyDescent="0.25">
      <c r="A549" s="2" t="s">
        <v>602</v>
      </c>
      <c r="B549" s="2" t="s">
        <v>27</v>
      </c>
      <c r="C549" s="2" t="s">
        <v>22</v>
      </c>
      <c r="D549" s="2" t="s">
        <v>17</v>
      </c>
      <c r="E549" s="2"/>
      <c r="F549" s="2" t="s">
        <v>56</v>
      </c>
      <c r="G549" s="8">
        <v>56.44</v>
      </c>
      <c r="H549" s="11">
        <v>0</v>
      </c>
      <c r="I549" s="8">
        <v>56.44</v>
      </c>
      <c r="J549" s="3">
        <v>45734</v>
      </c>
      <c r="K549" s="14">
        <v>35</v>
      </c>
      <c r="L549" s="17">
        <v>4</v>
      </c>
      <c r="M549" s="2" t="b">
        <v>0</v>
      </c>
      <c r="N549" s="2"/>
      <c r="O549" s="2" t="str">
        <f>IF(Table1[[#This Row],[is_returned]]=TRUE,IF(Table1[[#This Row],[return_reason]]="","Error","OK"),"OK")</f>
        <v>OK</v>
      </c>
      <c r="P549" s="8">
        <f>Table1[[#This Row],[original_price]]*Table1[[#This Row],[markdown_percentage]]/100</f>
        <v>0</v>
      </c>
      <c r="Q54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549" s="25">
        <f>Table1[[#This Row],[current_price]]*Table1[[#This Row],[stock_quantity]]</f>
        <v>1975.3999999999999</v>
      </c>
    </row>
    <row r="550" spans="1:18" x14ac:dyDescent="0.25">
      <c r="A550" s="2" t="s">
        <v>603</v>
      </c>
      <c r="B550" s="2" t="s">
        <v>42</v>
      </c>
      <c r="C550" s="2" t="s">
        <v>16</v>
      </c>
      <c r="D550" s="2" t="s">
        <v>34</v>
      </c>
      <c r="E550" s="2" t="s">
        <v>58</v>
      </c>
      <c r="F550" s="2" t="s">
        <v>56</v>
      </c>
      <c r="G550" s="8">
        <v>121.3</v>
      </c>
      <c r="H550" s="11">
        <v>0</v>
      </c>
      <c r="I550" s="8">
        <v>121.3</v>
      </c>
      <c r="J550" s="3">
        <v>45875</v>
      </c>
      <c r="K550" s="14">
        <v>33</v>
      </c>
      <c r="L550" s="17">
        <v>2.2999999999999998</v>
      </c>
      <c r="M550" s="2" t="b">
        <v>0</v>
      </c>
      <c r="N550" s="2"/>
      <c r="O550" s="2" t="str">
        <f>IF(Table1[[#This Row],[is_returned]]=TRUE,IF(Table1[[#This Row],[return_reason]]="","Error","OK"),"OK")</f>
        <v>OK</v>
      </c>
      <c r="P550" s="8">
        <f>Table1[[#This Row],[original_price]]*Table1[[#This Row],[markdown_percentage]]/100</f>
        <v>0</v>
      </c>
      <c r="Q55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550" s="25">
        <f>Table1[[#This Row],[current_price]]*Table1[[#This Row],[stock_quantity]]</f>
        <v>4002.9</v>
      </c>
    </row>
    <row r="551" spans="1:18" x14ac:dyDescent="0.25">
      <c r="A551" s="2" t="s">
        <v>604</v>
      </c>
      <c r="B551" s="2" t="s">
        <v>38</v>
      </c>
      <c r="C551" s="2" t="s">
        <v>61</v>
      </c>
      <c r="D551" s="2" t="s">
        <v>34</v>
      </c>
      <c r="E551" s="2"/>
      <c r="F551" s="2" t="s">
        <v>28</v>
      </c>
      <c r="G551" s="8">
        <v>101.98</v>
      </c>
      <c r="H551" s="11">
        <v>28.4</v>
      </c>
      <c r="I551" s="8">
        <v>73.02</v>
      </c>
      <c r="J551" s="3">
        <v>45875</v>
      </c>
      <c r="K551" s="14">
        <v>40</v>
      </c>
      <c r="L551" s="17">
        <v>4.5</v>
      </c>
      <c r="M551" s="2" t="b">
        <v>0</v>
      </c>
      <c r="N551" s="2"/>
      <c r="O551" s="2" t="str">
        <f>IF(Table1[[#This Row],[is_returned]]=TRUE,IF(Table1[[#This Row],[return_reason]]="","Error","OK"),"OK")</f>
        <v>OK</v>
      </c>
      <c r="P551" s="8">
        <f>Table1[[#This Row],[original_price]]*Table1[[#This Row],[markdown_percentage]]/100</f>
        <v>28.962319999999998</v>
      </c>
      <c r="Q55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551" s="25">
        <f>Table1[[#This Row],[current_price]]*Table1[[#This Row],[stock_quantity]]</f>
        <v>2920.7999999999997</v>
      </c>
    </row>
    <row r="552" spans="1:18" x14ac:dyDescent="0.25">
      <c r="A552" s="2" t="s">
        <v>605</v>
      </c>
      <c r="B552" s="2" t="s">
        <v>38</v>
      </c>
      <c r="C552" s="2" t="s">
        <v>32</v>
      </c>
      <c r="D552" s="2" t="s">
        <v>17</v>
      </c>
      <c r="E552" s="2" t="s">
        <v>24</v>
      </c>
      <c r="F552" s="2" t="s">
        <v>19</v>
      </c>
      <c r="G552" s="8">
        <v>89.99</v>
      </c>
      <c r="H552" s="11">
        <v>0</v>
      </c>
      <c r="I552" s="8">
        <v>89.99</v>
      </c>
      <c r="J552" s="3">
        <v>45716</v>
      </c>
      <c r="K552" s="14">
        <v>26</v>
      </c>
      <c r="L552" s="17">
        <v>4.0999999999999996</v>
      </c>
      <c r="M552" s="2" t="b">
        <v>0</v>
      </c>
      <c r="N552" s="2"/>
      <c r="O552" s="2" t="str">
        <f>IF(Table1[[#This Row],[is_returned]]=TRUE,IF(Table1[[#This Row],[return_reason]]="","Error","OK"),"OK")</f>
        <v>OK</v>
      </c>
      <c r="P552" s="8">
        <f>Table1[[#This Row],[original_price]]*Table1[[#This Row],[markdown_percentage]]/100</f>
        <v>0</v>
      </c>
      <c r="Q55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552" s="25">
        <f>Table1[[#This Row],[current_price]]*Table1[[#This Row],[stock_quantity]]</f>
        <v>2339.7399999999998</v>
      </c>
    </row>
    <row r="553" spans="1:18" x14ac:dyDescent="0.25">
      <c r="A553" s="2" t="s">
        <v>606</v>
      </c>
      <c r="B553" s="2" t="s">
        <v>30</v>
      </c>
      <c r="C553" s="2" t="s">
        <v>75</v>
      </c>
      <c r="D553" s="2" t="s">
        <v>62</v>
      </c>
      <c r="E553" s="2" t="s">
        <v>49</v>
      </c>
      <c r="F553" s="2" t="s">
        <v>46</v>
      </c>
      <c r="G553" s="8">
        <v>64.31</v>
      </c>
      <c r="H553" s="11">
        <v>34.5</v>
      </c>
      <c r="I553" s="8">
        <v>42.12</v>
      </c>
      <c r="J553" s="3">
        <v>45875</v>
      </c>
      <c r="K553" s="14">
        <v>48</v>
      </c>
      <c r="L553" s="17">
        <v>4.5</v>
      </c>
      <c r="M553" s="2" t="b">
        <v>0</v>
      </c>
      <c r="N553" s="2"/>
      <c r="O553" s="2" t="str">
        <f>IF(Table1[[#This Row],[is_returned]]=TRUE,IF(Table1[[#This Row],[return_reason]]="","Error","OK"),"OK")</f>
        <v>OK</v>
      </c>
      <c r="P553" s="8">
        <f>Table1[[#This Row],[original_price]]*Table1[[#This Row],[markdown_percentage]]/100</f>
        <v>22.186950000000003</v>
      </c>
      <c r="Q55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553" s="25">
        <f>Table1[[#This Row],[current_price]]*Table1[[#This Row],[stock_quantity]]</f>
        <v>2021.7599999999998</v>
      </c>
    </row>
    <row r="554" spans="1:18" x14ac:dyDescent="0.25">
      <c r="A554" s="2" t="s">
        <v>607</v>
      </c>
      <c r="B554" s="2" t="s">
        <v>42</v>
      </c>
      <c r="C554" s="2" t="s">
        <v>16</v>
      </c>
      <c r="D554" s="2" t="s">
        <v>17</v>
      </c>
      <c r="E554" s="2" t="s">
        <v>24</v>
      </c>
      <c r="F554" s="2" t="s">
        <v>56</v>
      </c>
      <c r="G554" s="8">
        <v>168.92</v>
      </c>
      <c r="H554" s="11">
        <v>0</v>
      </c>
      <c r="I554" s="8">
        <v>168.92</v>
      </c>
      <c r="J554" s="3">
        <v>45852</v>
      </c>
      <c r="K554" s="14">
        <v>11</v>
      </c>
      <c r="L554" s="17">
        <v>4.4000000000000004</v>
      </c>
      <c r="M554" s="2" t="b">
        <v>0</v>
      </c>
      <c r="N554" s="2"/>
      <c r="O554" s="2" t="str">
        <f>IF(Table1[[#This Row],[is_returned]]=TRUE,IF(Table1[[#This Row],[return_reason]]="","Error","OK"),"OK")</f>
        <v>OK</v>
      </c>
      <c r="P554" s="8">
        <f>Table1[[#This Row],[original_price]]*Table1[[#This Row],[markdown_percentage]]/100</f>
        <v>0</v>
      </c>
      <c r="Q55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554" s="25">
        <f>Table1[[#This Row],[current_price]]*Table1[[#This Row],[stock_quantity]]</f>
        <v>1858.12</v>
      </c>
    </row>
    <row r="555" spans="1:18" x14ac:dyDescent="0.25">
      <c r="A555" s="2" t="s">
        <v>608</v>
      </c>
      <c r="B555" s="2" t="s">
        <v>38</v>
      </c>
      <c r="C555" s="2" t="s">
        <v>61</v>
      </c>
      <c r="D555" s="2" t="s">
        <v>62</v>
      </c>
      <c r="E555" s="2" t="s">
        <v>18</v>
      </c>
      <c r="F555" s="2" t="s">
        <v>64</v>
      </c>
      <c r="G555" s="8">
        <v>86.46</v>
      </c>
      <c r="H555" s="11">
        <v>49.5</v>
      </c>
      <c r="I555" s="8">
        <v>43.66</v>
      </c>
      <c r="J555" s="3">
        <v>45875</v>
      </c>
      <c r="K555" s="14">
        <v>19</v>
      </c>
      <c r="L555" s="17">
        <v>4.3</v>
      </c>
      <c r="M555" s="2" t="b">
        <v>0</v>
      </c>
      <c r="N555" s="2"/>
      <c r="O555" s="2" t="str">
        <f>IF(Table1[[#This Row],[is_returned]]=TRUE,IF(Table1[[#This Row],[return_reason]]="","Error","OK"),"OK")</f>
        <v>OK</v>
      </c>
      <c r="P555" s="8">
        <f>Table1[[#This Row],[original_price]]*Table1[[#This Row],[markdown_percentage]]/100</f>
        <v>42.797699999999992</v>
      </c>
      <c r="Q55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555" s="25">
        <f>Table1[[#This Row],[current_price]]*Table1[[#This Row],[stock_quantity]]</f>
        <v>829.54</v>
      </c>
    </row>
    <row r="556" spans="1:18" x14ac:dyDescent="0.25">
      <c r="A556" s="2" t="s">
        <v>609</v>
      </c>
      <c r="B556" s="2" t="s">
        <v>21</v>
      </c>
      <c r="C556" s="2" t="s">
        <v>75</v>
      </c>
      <c r="D556" s="2" t="s">
        <v>23</v>
      </c>
      <c r="E556" s="2" t="s">
        <v>55</v>
      </c>
      <c r="F556" s="2" t="s">
        <v>19</v>
      </c>
      <c r="G556" s="8">
        <v>36.840000000000003</v>
      </c>
      <c r="H556" s="11">
        <v>18.899999999999999</v>
      </c>
      <c r="I556" s="8">
        <v>29.88</v>
      </c>
      <c r="J556" s="3">
        <v>45875</v>
      </c>
      <c r="K556" s="14">
        <v>39</v>
      </c>
      <c r="L556" s="17">
        <v>1.2</v>
      </c>
      <c r="M556" s="2" t="b">
        <v>0</v>
      </c>
      <c r="N556" s="2"/>
      <c r="O556" s="2" t="str">
        <f>IF(Table1[[#This Row],[is_returned]]=TRUE,IF(Table1[[#This Row],[return_reason]]="","Error","OK"),"OK")</f>
        <v>OK</v>
      </c>
      <c r="P556" s="8">
        <f>Table1[[#This Row],[original_price]]*Table1[[#This Row],[markdown_percentage]]/100</f>
        <v>6.9627600000000003</v>
      </c>
      <c r="Q55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556" s="25">
        <f>Table1[[#This Row],[current_price]]*Table1[[#This Row],[stock_quantity]]</f>
        <v>1165.32</v>
      </c>
    </row>
    <row r="557" spans="1:18" x14ac:dyDescent="0.25">
      <c r="A557" s="2" t="s">
        <v>610</v>
      </c>
      <c r="B557" s="2" t="s">
        <v>21</v>
      </c>
      <c r="C557" s="2" t="s">
        <v>53</v>
      </c>
      <c r="D557" s="2" t="s">
        <v>17</v>
      </c>
      <c r="E557" s="2" t="s">
        <v>55</v>
      </c>
      <c r="F557" s="2" t="s">
        <v>25</v>
      </c>
      <c r="G557" s="8">
        <v>38.5</v>
      </c>
      <c r="H557" s="11">
        <v>0</v>
      </c>
      <c r="I557" s="8">
        <v>38.5</v>
      </c>
      <c r="J557" s="3">
        <v>45722</v>
      </c>
      <c r="K557" s="14">
        <v>2</v>
      </c>
      <c r="L557" s="17">
        <v>3.2</v>
      </c>
      <c r="M557" s="2" t="b">
        <v>0</v>
      </c>
      <c r="N557" s="2"/>
      <c r="O557" s="2" t="str">
        <f>IF(Table1[[#This Row],[is_returned]]=TRUE,IF(Table1[[#This Row],[return_reason]]="","Error","OK"),"OK")</f>
        <v>OK</v>
      </c>
      <c r="P557" s="8">
        <f>Table1[[#This Row],[original_price]]*Table1[[#This Row],[markdown_percentage]]/100</f>
        <v>0</v>
      </c>
      <c r="Q55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557" s="25">
        <f>Table1[[#This Row],[current_price]]*Table1[[#This Row],[stock_quantity]]</f>
        <v>77</v>
      </c>
    </row>
    <row r="558" spans="1:18" x14ac:dyDescent="0.25">
      <c r="A558" s="2" t="s">
        <v>611</v>
      </c>
      <c r="B558" s="2" t="s">
        <v>38</v>
      </c>
      <c r="C558" s="2" t="s">
        <v>43</v>
      </c>
      <c r="D558" s="2" t="s">
        <v>23</v>
      </c>
      <c r="E558" s="2"/>
      <c r="F558" s="2" t="s">
        <v>56</v>
      </c>
      <c r="G558" s="8">
        <v>68.02</v>
      </c>
      <c r="H558" s="11">
        <v>37.700000000000003</v>
      </c>
      <c r="I558" s="8">
        <v>42.38</v>
      </c>
      <c r="J558" s="3">
        <v>45875</v>
      </c>
      <c r="K558" s="14">
        <v>40</v>
      </c>
      <c r="L558" s="17">
        <v>2.1</v>
      </c>
      <c r="M558" s="2" t="b">
        <v>0</v>
      </c>
      <c r="N558" s="2"/>
      <c r="O558" s="2" t="str">
        <f>IF(Table1[[#This Row],[is_returned]]=TRUE,IF(Table1[[#This Row],[return_reason]]="","Error","OK"),"OK")</f>
        <v>OK</v>
      </c>
      <c r="P558" s="8">
        <f>Table1[[#This Row],[original_price]]*Table1[[#This Row],[markdown_percentage]]/100</f>
        <v>25.643540000000002</v>
      </c>
      <c r="Q55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558" s="25">
        <f>Table1[[#This Row],[current_price]]*Table1[[#This Row],[stock_quantity]]</f>
        <v>1695.2</v>
      </c>
    </row>
    <row r="559" spans="1:18" x14ac:dyDescent="0.25">
      <c r="A559" s="2" t="s">
        <v>612</v>
      </c>
      <c r="B559" s="2" t="s">
        <v>42</v>
      </c>
      <c r="C559" s="2" t="s">
        <v>22</v>
      </c>
      <c r="D559" s="2" t="s">
        <v>34</v>
      </c>
      <c r="E559" s="2" t="s">
        <v>58</v>
      </c>
      <c r="F559" s="2" t="s">
        <v>70</v>
      </c>
      <c r="G559" s="8">
        <v>117.23</v>
      </c>
      <c r="H559" s="11">
        <v>0</v>
      </c>
      <c r="I559" s="8">
        <v>117.23</v>
      </c>
      <c r="J559" s="3">
        <v>45875</v>
      </c>
      <c r="K559" s="14">
        <v>30</v>
      </c>
      <c r="L559" s="17"/>
      <c r="M559" s="2" t="b">
        <v>1</v>
      </c>
      <c r="N559" s="2" t="s">
        <v>115</v>
      </c>
      <c r="O559" s="2" t="str">
        <f>IF(Table1[[#This Row],[is_returned]]=TRUE,IF(Table1[[#This Row],[return_reason]]="","Error","OK"),"OK")</f>
        <v>OK</v>
      </c>
      <c r="P559" s="8">
        <f>Table1[[#This Row],[original_price]]*Table1[[#This Row],[markdown_percentage]]/100</f>
        <v>0</v>
      </c>
      <c r="Q55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559" s="25">
        <f>Table1[[#This Row],[current_price]]*Table1[[#This Row],[stock_quantity]]</f>
        <v>3516.9</v>
      </c>
    </row>
    <row r="560" spans="1:18" x14ac:dyDescent="0.25">
      <c r="A560" s="2" t="s">
        <v>613</v>
      </c>
      <c r="B560" s="2" t="s">
        <v>21</v>
      </c>
      <c r="C560" s="2" t="s">
        <v>53</v>
      </c>
      <c r="D560" s="2" t="s">
        <v>17</v>
      </c>
      <c r="E560" s="2" t="s">
        <v>39</v>
      </c>
      <c r="F560" s="2" t="s">
        <v>64</v>
      </c>
      <c r="G560" s="8">
        <v>79.33</v>
      </c>
      <c r="H560" s="11">
        <v>0</v>
      </c>
      <c r="I560" s="8">
        <v>79.33</v>
      </c>
      <c r="J560" s="3">
        <v>45687</v>
      </c>
      <c r="K560" s="14">
        <v>10</v>
      </c>
      <c r="L560" s="17">
        <v>3.4</v>
      </c>
      <c r="M560" s="2" t="b">
        <v>1</v>
      </c>
      <c r="N560" s="2" t="s">
        <v>115</v>
      </c>
      <c r="O560" s="2" t="str">
        <f>IF(Table1[[#This Row],[is_returned]]=TRUE,IF(Table1[[#This Row],[return_reason]]="","Error","OK"),"OK")</f>
        <v>OK</v>
      </c>
      <c r="P560" s="8">
        <f>Table1[[#This Row],[original_price]]*Table1[[#This Row],[markdown_percentage]]/100</f>
        <v>0</v>
      </c>
      <c r="Q56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560" s="25">
        <f>Table1[[#This Row],[current_price]]*Table1[[#This Row],[stock_quantity]]</f>
        <v>793.3</v>
      </c>
    </row>
    <row r="561" spans="1:18" x14ac:dyDescent="0.25">
      <c r="A561" s="2" t="s">
        <v>614</v>
      </c>
      <c r="B561" s="2" t="s">
        <v>38</v>
      </c>
      <c r="C561" s="2" t="s">
        <v>43</v>
      </c>
      <c r="D561" s="2" t="s">
        <v>62</v>
      </c>
      <c r="E561" s="2" t="s">
        <v>24</v>
      </c>
      <c r="F561" s="2" t="s">
        <v>46</v>
      </c>
      <c r="G561" s="8">
        <v>75.819999999999993</v>
      </c>
      <c r="H561" s="11">
        <v>42.7</v>
      </c>
      <c r="I561" s="8">
        <v>43.44</v>
      </c>
      <c r="J561" s="3">
        <v>45875</v>
      </c>
      <c r="K561" s="14">
        <v>11</v>
      </c>
      <c r="L561" s="17">
        <v>2</v>
      </c>
      <c r="M561" s="2" t="b">
        <v>0</v>
      </c>
      <c r="N561" s="2"/>
      <c r="O561" s="2" t="str">
        <f>IF(Table1[[#This Row],[is_returned]]=TRUE,IF(Table1[[#This Row],[return_reason]]="","Error","OK"),"OK")</f>
        <v>OK</v>
      </c>
      <c r="P561" s="8">
        <f>Table1[[#This Row],[original_price]]*Table1[[#This Row],[markdown_percentage]]/100</f>
        <v>32.375140000000002</v>
      </c>
      <c r="Q56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561" s="25">
        <f>Table1[[#This Row],[current_price]]*Table1[[#This Row],[stock_quantity]]</f>
        <v>477.84</v>
      </c>
    </row>
    <row r="562" spans="1:18" x14ac:dyDescent="0.25">
      <c r="A562" s="2" t="s">
        <v>615</v>
      </c>
      <c r="B562" s="2" t="s">
        <v>42</v>
      </c>
      <c r="C562" s="2" t="s">
        <v>53</v>
      </c>
      <c r="D562" s="2" t="s">
        <v>17</v>
      </c>
      <c r="E562" s="2" t="s">
        <v>58</v>
      </c>
      <c r="F562" s="2" t="s">
        <v>35</v>
      </c>
      <c r="G562" s="8">
        <v>141.41999999999999</v>
      </c>
      <c r="H562" s="11">
        <v>0</v>
      </c>
      <c r="I562" s="8">
        <v>141.41999999999999</v>
      </c>
      <c r="J562" s="3">
        <v>45741</v>
      </c>
      <c r="K562" s="14">
        <v>10</v>
      </c>
      <c r="L562" s="17">
        <v>2.5</v>
      </c>
      <c r="M562" s="2" t="b">
        <v>0</v>
      </c>
      <c r="N562" s="2"/>
      <c r="O562" s="2" t="str">
        <f>IF(Table1[[#This Row],[is_returned]]=TRUE,IF(Table1[[#This Row],[return_reason]]="","Error","OK"),"OK")</f>
        <v>OK</v>
      </c>
      <c r="P562" s="8">
        <f>Table1[[#This Row],[original_price]]*Table1[[#This Row],[markdown_percentage]]/100</f>
        <v>0</v>
      </c>
      <c r="Q56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562" s="25">
        <f>Table1[[#This Row],[current_price]]*Table1[[#This Row],[stock_quantity]]</f>
        <v>1414.1999999999998</v>
      </c>
    </row>
    <row r="563" spans="1:18" x14ac:dyDescent="0.25">
      <c r="A563" s="2" t="s">
        <v>616</v>
      </c>
      <c r="B563" s="2" t="s">
        <v>30</v>
      </c>
      <c r="C563" s="2" t="s">
        <v>22</v>
      </c>
      <c r="D563" s="2" t="s">
        <v>17</v>
      </c>
      <c r="E563" s="2" t="s">
        <v>24</v>
      </c>
      <c r="F563" s="2" t="s">
        <v>28</v>
      </c>
      <c r="G563" s="8">
        <v>124.2</v>
      </c>
      <c r="H563" s="11">
        <v>0</v>
      </c>
      <c r="I563" s="8">
        <v>124.2</v>
      </c>
      <c r="J563" s="3">
        <v>45532</v>
      </c>
      <c r="K563" s="14">
        <v>24</v>
      </c>
      <c r="L563" s="17">
        <v>1</v>
      </c>
      <c r="M563" s="2" t="b">
        <v>0</v>
      </c>
      <c r="N563" s="2"/>
      <c r="O563" s="2" t="str">
        <f>IF(Table1[[#This Row],[is_returned]]=TRUE,IF(Table1[[#This Row],[return_reason]]="","Error","OK"),"OK")</f>
        <v>OK</v>
      </c>
      <c r="P563" s="8">
        <f>Table1[[#This Row],[original_price]]*Table1[[#This Row],[markdown_percentage]]/100</f>
        <v>0</v>
      </c>
      <c r="Q56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563" s="25">
        <f>Table1[[#This Row],[current_price]]*Table1[[#This Row],[stock_quantity]]</f>
        <v>2980.8</v>
      </c>
    </row>
    <row r="564" spans="1:18" x14ac:dyDescent="0.25">
      <c r="A564" s="2" t="s">
        <v>617</v>
      </c>
      <c r="B564" s="2" t="s">
        <v>38</v>
      </c>
      <c r="C564" s="2" t="s">
        <v>75</v>
      </c>
      <c r="D564" s="2" t="s">
        <v>23</v>
      </c>
      <c r="E564" s="2" t="s">
        <v>24</v>
      </c>
      <c r="F564" s="2" t="s">
        <v>64</v>
      </c>
      <c r="G564" s="8">
        <v>48.42</v>
      </c>
      <c r="H564" s="11">
        <v>0</v>
      </c>
      <c r="I564" s="8">
        <v>48.42</v>
      </c>
      <c r="J564" s="3">
        <v>45875</v>
      </c>
      <c r="K564" s="14">
        <v>6</v>
      </c>
      <c r="L564" s="17">
        <v>4.3</v>
      </c>
      <c r="M564" s="2" t="b">
        <v>0</v>
      </c>
      <c r="N564" s="2"/>
      <c r="O564" s="2" t="str">
        <f>IF(Table1[[#This Row],[is_returned]]=TRUE,IF(Table1[[#This Row],[return_reason]]="","Error","OK"),"OK")</f>
        <v>OK</v>
      </c>
      <c r="P564" s="8">
        <f>Table1[[#This Row],[original_price]]*Table1[[#This Row],[markdown_percentage]]/100</f>
        <v>0</v>
      </c>
      <c r="Q56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564" s="25">
        <f>Table1[[#This Row],[current_price]]*Table1[[#This Row],[stock_quantity]]</f>
        <v>290.52</v>
      </c>
    </row>
    <row r="565" spans="1:18" x14ac:dyDescent="0.25">
      <c r="A565" s="2" t="s">
        <v>618</v>
      </c>
      <c r="B565" s="2" t="s">
        <v>42</v>
      </c>
      <c r="C565" s="2" t="s">
        <v>48</v>
      </c>
      <c r="D565" s="2" t="s">
        <v>34</v>
      </c>
      <c r="E565" s="2" t="s">
        <v>55</v>
      </c>
      <c r="F565" s="2" t="s">
        <v>40</v>
      </c>
      <c r="G565" s="8">
        <v>119.4</v>
      </c>
      <c r="H565" s="11">
        <v>0</v>
      </c>
      <c r="I565" s="8">
        <v>119.4</v>
      </c>
      <c r="J565" s="3">
        <v>45875</v>
      </c>
      <c r="K565" s="14">
        <v>45</v>
      </c>
      <c r="L565" s="17">
        <v>4.2</v>
      </c>
      <c r="M565" s="2" t="b">
        <v>0</v>
      </c>
      <c r="N565" s="2"/>
      <c r="O565" s="2" t="str">
        <f>IF(Table1[[#This Row],[is_returned]]=TRUE,IF(Table1[[#This Row],[return_reason]]="","Error","OK"),"OK")</f>
        <v>OK</v>
      </c>
      <c r="P565" s="8">
        <f>Table1[[#This Row],[original_price]]*Table1[[#This Row],[markdown_percentage]]/100</f>
        <v>0</v>
      </c>
      <c r="Q56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565" s="25">
        <f>Table1[[#This Row],[current_price]]*Table1[[#This Row],[stock_quantity]]</f>
        <v>5373</v>
      </c>
    </row>
    <row r="566" spans="1:18" x14ac:dyDescent="0.25">
      <c r="A566" s="2" t="s">
        <v>619</v>
      </c>
      <c r="B566" s="2" t="s">
        <v>30</v>
      </c>
      <c r="C566" s="2" t="s">
        <v>43</v>
      </c>
      <c r="D566" s="2" t="s">
        <v>62</v>
      </c>
      <c r="E566" s="2" t="s">
        <v>58</v>
      </c>
      <c r="F566" s="2" t="s">
        <v>70</v>
      </c>
      <c r="G566" s="8">
        <v>186.07</v>
      </c>
      <c r="H566" s="11">
        <v>0</v>
      </c>
      <c r="I566" s="8">
        <v>186.07</v>
      </c>
      <c r="J566" s="3">
        <v>45875</v>
      </c>
      <c r="K566" s="14">
        <v>41</v>
      </c>
      <c r="L566" s="17">
        <v>2.6</v>
      </c>
      <c r="M566" s="2" t="b">
        <v>0</v>
      </c>
      <c r="N566" s="2"/>
      <c r="O566" s="2" t="str">
        <f>IF(Table1[[#This Row],[is_returned]]=TRUE,IF(Table1[[#This Row],[return_reason]]="","Error","OK"),"OK")</f>
        <v>OK</v>
      </c>
      <c r="P566" s="8">
        <f>Table1[[#This Row],[original_price]]*Table1[[#This Row],[markdown_percentage]]/100</f>
        <v>0</v>
      </c>
      <c r="Q56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566" s="25">
        <f>Table1[[#This Row],[current_price]]*Table1[[#This Row],[stock_quantity]]</f>
        <v>7628.87</v>
      </c>
    </row>
    <row r="567" spans="1:18" x14ac:dyDescent="0.25">
      <c r="A567" s="2" t="s">
        <v>620</v>
      </c>
      <c r="B567" s="2" t="s">
        <v>30</v>
      </c>
      <c r="C567" s="2" t="s">
        <v>43</v>
      </c>
      <c r="D567" s="2" t="s">
        <v>62</v>
      </c>
      <c r="E567" s="2" t="s">
        <v>18</v>
      </c>
      <c r="F567" s="2" t="s">
        <v>70</v>
      </c>
      <c r="G567" s="8">
        <v>109.46</v>
      </c>
      <c r="H567" s="11">
        <v>0</v>
      </c>
      <c r="I567" s="8">
        <v>109.46</v>
      </c>
      <c r="J567" s="3">
        <v>45875</v>
      </c>
      <c r="K567" s="14">
        <v>38</v>
      </c>
      <c r="L567" s="17">
        <v>4.0999999999999996</v>
      </c>
      <c r="M567" s="2" t="b">
        <v>0</v>
      </c>
      <c r="N567" s="2"/>
      <c r="O567" s="2" t="str">
        <f>IF(Table1[[#This Row],[is_returned]]=TRUE,IF(Table1[[#This Row],[return_reason]]="","Error","OK"),"OK")</f>
        <v>OK</v>
      </c>
      <c r="P567" s="8">
        <f>Table1[[#This Row],[original_price]]*Table1[[#This Row],[markdown_percentage]]/100</f>
        <v>0</v>
      </c>
      <c r="Q56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567" s="25">
        <f>Table1[[#This Row],[current_price]]*Table1[[#This Row],[stock_quantity]]</f>
        <v>4159.4799999999996</v>
      </c>
    </row>
    <row r="568" spans="1:18" x14ac:dyDescent="0.25">
      <c r="A568" s="2" t="s">
        <v>621</v>
      </c>
      <c r="B568" s="2" t="s">
        <v>42</v>
      </c>
      <c r="C568" s="2" t="s">
        <v>61</v>
      </c>
      <c r="D568" s="2" t="s">
        <v>23</v>
      </c>
      <c r="E568" s="2" t="s">
        <v>39</v>
      </c>
      <c r="F568" s="2" t="s">
        <v>40</v>
      </c>
      <c r="G568" s="8">
        <v>116.18</v>
      </c>
      <c r="H568" s="11">
        <v>42.7</v>
      </c>
      <c r="I568" s="8">
        <v>66.569999999999993</v>
      </c>
      <c r="J568" s="3">
        <v>45875</v>
      </c>
      <c r="K568" s="14">
        <v>3</v>
      </c>
      <c r="L568" s="17">
        <v>3.5</v>
      </c>
      <c r="M568" s="2" t="b">
        <v>0</v>
      </c>
      <c r="N568" s="2"/>
      <c r="O568" s="2" t="str">
        <f>IF(Table1[[#This Row],[is_returned]]=TRUE,IF(Table1[[#This Row],[return_reason]]="","Error","OK"),"OK")</f>
        <v>OK</v>
      </c>
      <c r="P568" s="8">
        <f>Table1[[#This Row],[original_price]]*Table1[[#This Row],[markdown_percentage]]/100</f>
        <v>49.608860000000007</v>
      </c>
      <c r="Q56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568" s="25">
        <f>Table1[[#This Row],[current_price]]*Table1[[#This Row],[stock_quantity]]</f>
        <v>199.70999999999998</v>
      </c>
    </row>
    <row r="569" spans="1:18" x14ac:dyDescent="0.25">
      <c r="A569" s="2" t="s">
        <v>622</v>
      </c>
      <c r="B569" s="2" t="s">
        <v>27</v>
      </c>
      <c r="C569" s="2" t="s">
        <v>16</v>
      </c>
      <c r="D569" s="2" t="s">
        <v>23</v>
      </c>
      <c r="E569" s="2"/>
      <c r="F569" s="2" t="s">
        <v>46</v>
      </c>
      <c r="G569" s="8">
        <v>41.29</v>
      </c>
      <c r="H569" s="11">
        <v>26.3</v>
      </c>
      <c r="I569" s="8">
        <v>30.43</v>
      </c>
      <c r="J569" s="3">
        <v>45875</v>
      </c>
      <c r="K569" s="14">
        <v>5</v>
      </c>
      <c r="L569" s="17">
        <v>4.7</v>
      </c>
      <c r="M569" s="2" t="b">
        <v>0</v>
      </c>
      <c r="N569" s="2"/>
      <c r="O569" s="2" t="str">
        <f>IF(Table1[[#This Row],[is_returned]]=TRUE,IF(Table1[[#This Row],[return_reason]]="","Error","OK"),"OK")</f>
        <v>OK</v>
      </c>
      <c r="P569" s="8">
        <f>Table1[[#This Row],[original_price]]*Table1[[#This Row],[markdown_percentage]]/100</f>
        <v>10.859269999999999</v>
      </c>
      <c r="Q56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569" s="25">
        <f>Table1[[#This Row],[current_price]]*Table1[[#This Row],[stock_quantity]]</f>
        <v>152.15</v>
      </c>
    </row>
    <row r="570" spans="1:18" x14ac:dyDescent="0.25">
      <c r="A570" s="2" t="s">
        <v>623</v>
      </c>
      <c r="B570" s="2" t="s">
        <v>21</v>
      </c>
      <c r="C570" s="2" t="s">
        <v>22</v>
      </c>
      <c r="D570" s="2" t="s">
        <v>23</v>
      </c>
      <c r="E570" s="2" t="s">
        <v>39</v>
      </c>
      <c r="F570" s="2" t="s">
        <v>46</v>
      </c>
      <c r="G570" s="8">
        <v>94.68</v>
      </c>
      <c r="H570" s="11">
        <v>45</v>
      </c>
      <c r="I570" s="8">
        <v>52.07</v>
      </c>
      <c r="J570" s="3">
        <v>45875</v>
      </c>
      <c r="K570" s="14">
        <v>47</v>
      </c>
      <c r="L570" s="17">
        <v>2.6</v>
      </c>
      <c r="M570" s="2" t="b">
        <v>0</v>
      </c>
      <c r="N570" s="2"/>
      <c r="O570" s="2" t="str">
        <f>IF(Table1[[#This Row],[is_returned]]=TRUE,IF(Table1[[#This Row],[return_reason]]="","Error","OK"),"OK")</f>
        <v>OK</v>
      </c>
      <c r="P570" s="8">
        <f>Table1[[#This Row],[original_price]]*Table1[[#This Row],[markdown_percentage]]/100</f>
        <v>42.606000000000002</v>
      </c>
      <c r="Q57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570" s="25">
        <f>Table1[[#This Row],[current_price]]*Table1[[#This Row],[stock_quantity]]</f>
        <v>2447.29</v>
      </c>
    </row>
    <row r="571" spans="1:18" x14ac:dyDescent="0.25">
      <c r="A571" s="2" t="s">
        <v>624</v>
      </c>
      <c r="B571" s="2" t="s">
        <v>27</v>
      </c>
      <c r="C571" s="2" t="s">
        <v>16</v>
      </c>
      <c r="D571" s="2" t="s">
        <v>17</v>
      </c>
      <c r="E571" s="2"/>
      <c r="F571" s="2" t="s">
        <v>35</v>
      </c>
      <c r="G571" s="8">
        <v>48.55</v>
      </c>
      <c r="H571" s="11">
        <v>32.700000000000003</v>
      </c>
      <c r="I571" s="8">
        <v>32.67</v>
      </c>
      <c r="J571" s="3">
        <v>45566</v>
      </c>
      <c r="K571" s="14">
        <v>39</v>
      </c>
      <c r="L571" s="17">
        <v>2.8</v>
      </c>
      <c r="M571" s="2" t="b">
        <v>0</v>
      </c>
      <c r="N571" s="2"/>
      <c r="O571" s="2" t="str">
        <f>IF(Table1[[#This Row],[is_returned]]=TRUE,IF(Table1[[#This Row],[return_reason]]="","Error","OK"),"OK")</f>
        <v>OK</v>
      </c>
      <c r="P571" s="8">
        <f>Table1[[#This Row],[original_price]]*Table1[[#This Row],[markdown_percentage]]/100</f>
        <v>15.87585</v>
      </c>
      <c r="Q57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571" s="25">
        <f>Table1[[#This Row],[current_price]]*Table1[[#This Row],[stock_quantity]]</f>
        <v>1274.1300000000001</v>
      </c>
    </row>
    <row r="572" spans="1:18" x14ac:dyDescent="0.25">
      <c r="A572" s="2" t="s">
        <v>625</v>
      </c>
      <c r="B572" s="2" t="s">
        <v>21</v>
      </c>
      <c r="C572" s="2" t="s">
        <v>61</v>
      </c>
      <c r="D572" s="2" t="s">
        <v>62</v>
      </c>
      <c r="E572" s="2" t="s">
        <v>58</v>
      </c>
      <c r="F572" s="2" t="s">
        <v>66</v>
      </c>
      <c r="G572" s="8">
        <v>75.22</v>
      </c>
      <c r="H572" s="11">
        <v>0</v>
      </c>
      <c r="I572" s="8">
        <v>75.22</v>
      </c>
      <c r="J572" s="3">
        <v>45875</v>
      </c>
      <c r="K572" s="14">
        <v>22</v>
      </c>
      <c r="L572" s="17">
        <v>2.1</v>
      </c>
      <c r="M572" s="2" t="b">
        <v>1</v>
      </c>
      <c r="N572" s="2" t="s">
        <v>73</v>
      </c>
      <c r="O572" s="2" t="str">
        <f>IF(Table1[[#This Row],[is_returned]]=TRUE,IF(Table1[[#This Row],[return_reason]]="","Error","OK"),"OK")</f>
        <v>OK</v>
      </c>
      <c r="P572" s="8">
        <f>Table1[[#This Row],[original_price]]*Table1[[#This Row],[markdown_percentage]]/100</f>
        <v>0</v>
      </c>
      <c r="Q57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572" s="25">
        <f>Table1[[#This Row],[current_price]]*Table1[[#This Row],[stock_quantity]]</f>
        <v>1654.84</v>
      </c>
    </row>
    <row r="573" spans="1:18" x14ac:dyDescent="0.25">
      <c r="A573" s="2" t="s">
        <v>626</v>
      </c>
      <c r="B573" s="2" t="s">
        <v>30</v>
      </c>
      <c r="C573" s="2" t="s">
        <v>48</v>
      </c>
      <c r="D573" s="2" t="s">
        <v>62</v>
      </c>
      <c r="E573" s="2" t="s">
        <v>55</v>
      </c>
      <c r="F573" s="2" t="s">
        <v>35</v>
      </c>
      <c r="G573" s="8">
        <v>98.95</v>
      </c>
      <c r="H573" s="11">
        <v>30.3</v>
      </c>
      <c r="I573" s="8">
        <v>68.97</v>
      </c>
      <c r="J573" s="3">
        <v>45875</v>
      </c>
      <c r="K573" s="14">
        <v>16</v>
      </c>
      <c r="L573" s="17"/>
      <c r="M573" s="2" t="b">
        <v>0</v>
      </c>
      <c r="N573" s="2"/>
      <c r="O573" s="2" t="str">
        <f>IF(Table1[[#This Row],[is_returned]]=TRUE,IF(Table1[[#This Row],[return_reason]]="","Error","OK"),"OK")</f>
        <v>OK</v>
      </c>
      <c r="P573" s="8">
        <f>Table1[[#This Row],[original_price]]*Table1[[#This Row],[markdown_percentage]]/100</f>
        <v>29.981849999999998</v>
      </c>
      <c r="Q57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573" s="25">
        <f>Table1[[#This Row],[current_price]]*Table1[[#This Row],[stock_quantity]]</f>
        <v>1103.52</v>
      </c>
    </row>
    <row r="574" spans="1:18" x14ac:dyDescent="0.25">
      <c r="A574" s="2" t="s">
        <v>627</v>
      </c>
      <c r="B574" s="2" t="s">
        <v>21</v>
      </c>
      <c r="C574" s="2" t="s">
        <v>48</v>
      </c>
      <c r="D574" s="2" t="s">
        <v>17</v>
      </c>
      <c r="E574" s="2" t="s">
        <v>18</v>
      </c>
      <c r="F574" s="2" t="s">
        <v>70</v>
      </c>
      <c r="G574" s="8">
        <v>39.56</v>
      </c>
      <c r="H574" s="11">
        <v>0</v>
      </c>
      <c r="I574" s="8">
        <v>39.56</v>
      </c>
      <c r="J574" s="3">
        <v>45678</v>
      </c>
      <c r="K574" s="14">
        <v>15</v>
      </c>
      <c r="L574" s="17"/>
      <c r="M574" s="2" t="b">
        <v>0</v>
      </c>
      <c r="N574" s="2"/>
      <c r="O574" s="2" t="str">
        <f>IF(Table1[[#This Row],[is_returned]]=TRUE,IF(Table1[[#This Row],[return_reason]]="","Error","OK"),"OK")</f>
        <v>OK</v>
      </c>
      <c r="P574" s="8">
        <f>Table1[[#This Row],[original_price]]*Table1[[#This Row],[markdown_percentage]]/100</f>
        <v>0</v>
      </c>
      <c r="Q57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574" s="25">
        <f>Table1[[#This Row],[current_price]]*Table1[[#This Row],[stock_quantity]]</f>
        <v>593.40000000000009</v>
      </c>
    </row>
    <row r="575" spans="1:18" x14ac:dyDescent="0.25">
      <c r="A575" s="2" t="s">
        <v>628</v>
      </c>
      <c r="B575" s="2" t="s">
        <v>15</v>
      </c>
      <c r="C575" s="2" t="s">
        <v>22</v>
      </c>
      <c r="D575" s="2" t="s">
        <v>23</v>
      </c>
      <c r="E575" s="2" t="s">
        <v>39</v>
      </c>
      <c r="F575" s="2" t="s">
        <v>35</v>
      </c>
      <c r="G575" s="8">
        <v>153.88</v>
      </c>
      <c r="H575" s="11">
        <v>0</v>
      </c>
      <c r="I575" s="8">
        <v>153.88</v>
      </c>
      <c r="J575" s="3">
        <v>45875</v>
      </c>
      <c r="K575" s="14">
        <v>42</v>
      </c>
      <c r="L575" s="17">
        <v>2.2000000000000002</v>
      </c>
      <c r="M575" s="2" t="b">
        <v>0</v>
      </c>
      <c r="N575" s="2"/>
      <c r="O575" s="2" t="str">
        <f>IF(Table1[[#This Row],[is_returned]]=TRUE,IF(Table1[[#This Row],[return_reason]]="","Error","OK"),"OK")</f>
        <v>OK</v>
      </c>
      <c r="P575" s="8">
        <f>Table1[[#This Row],[original_price]]*Table1[[#This Row],[markdown_percentage]]/100</f>
        <v>0</v>
      </c>
      <c r="Q57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575" s="25">
        <f>Table1[[#This Row],[current_price]]*Table1[[#This Row],[stock_quantity]]</f>
        <v>6462.96</v>
      </c>
    </row>
    <row r="576" spans="1:18" x14ac:dyDescent="0.25">
      <c r="A576" s="2" t="s">
        <v>629</v>
      </c>
      <c r="B576" s="2" t="s">
        <v>27</v>
      </c>
      <c r="C576" s="2" t="s">
        <v>53</v>
      </c>
      <c r="D576" s="2" t="s">
        <v>62</v>
      </c>
      <c r="E576" s="2"/>
      <c r="F576" s="2" t="s">
        <v>56</v>
      </c>
      <c r="G576" s="8">
        <v>68.87</v>
      </c>
      <c r="H576" s="11">
        <v>0</v>
      </c>
      <c r="I576" s="8">
        <v>68.87</v>
      </c>
      <c r="J576" s="3">
        <v>45875</v>
      </c>
      <c r="K576" s="14">
        <v>9</v>
      </c>
      <c r="L576" s="17">
        <v>1.1000000000000001</v>
      </c>
      <c r="M576" s="2" t="b">
        <v>0</v>
      </c>
      <c r="N576" s="2"/>
      <c r="O576" s="2" t="str">
        <f>IF(Table1[[#This Row],[is_returned]]=TRUE,IF(Table1[[#This Row],[return_reason]]="","Error","OK"),"OK")</f>
        <v>OK</v>
      </c>
      <c r="P576" s="8">
        <f>Table1[[#This Row],[original_price]]*Table1[[#This Row],[markdown_percentage]]/100</f>
        <v>0</v>
      </c>
      <c r="Q57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576" s="25">
        <f>Table1[[#This Row],[current_price]]*Table1[[#This Row],[stock_quantity]]</f>
        <v>619.83000000000004</v>
      </c>
    </row>
    <row r="577" spans="1:18" x14ac:dyDescent="0.25">
      <c r="A577" s="2" t="s">
        <v>630</v>
      </c>
      <c r="B577" s="2" t="s">
        <v>38</v>
      </c>
      <c r="C577" s="2" t="s">
        <v>53</v>
      </c>
      <c r="D577" s="2" t="s">
        <v>34</v>
      </c>
      <c r="E577" s="2" t="s">
        <v>58</v>
      </c>
      <c r="F577" s="2" t="s">
        <v>25</v>
      </c>
      <c r="G577" s="8">
        <v>25.56</v>
      </c>
      <c r="H577" s="11">
        <v>38.9</v>
      </c>
      <c r="I577" s="8">
        <v>15.62</v>
      </c>
      <c r="J577" s="3">
        <v>45875</v>
      </c>
      <c r="K577" s="14">
        <v>48</v>
      </c>
      <c r="L577" s="17"/>
      <c r="M577" s="2" t="b">
        <v>0</v>
      </c>
      <c r="N577" s="2"/>
      <c r="O577" s="2" t="str">
        <f>IF(Table1[[#This Row],[is_returned]]=TRUE,IF(Table1[[#This Row],[return_reason]]="","Error","OK"),"OK")</f>
        <v>OK</v>
      </c>
      <c r="P577" s="8">
        <f>Table1[[#This Row],[original_price]]*Table1[[#This Row],[markdown_percentage]]/100</f>
        <v>9.9428399999999986</v>
      </c>
      <c r="Q57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577" s="25">
        <f>Table1[[#This Row],[current_price]]*Table1[[#This Row],[stock_quantity]]</f>
        <v>749.76</v>
      </c>
    </row>
    <row r="578" spans="1:18" x14ac:dyDescent="0.25">
      <c r="A578" s="2" t="s">
        <v>631</v>
      </c>
      <c r="B578" s="2" t="s">
        <v>15</v>
      </c>
      <c r="C578" s="2" t="s">
        <v>48</v>
      </c>
      <c r="D578" s="2" t="s">
        <v>34</v>
      </c>
      <c r="E578" s="2" t="s">
        <v>49</v>
      </c>
      <c r="F578" s="2" t="s">
        <v>35</v>
      </c>
      <c r="G578" s="8">
        <v>246.49</v>
      </c>
      <c r="H578" s="11">
        <v>0</v>
      </c>
      <c r="I578" s="8">
        <v>246.49</v>
      </c>
      <c r="J578" s="3">
        <v>45875</v>
      </c>
      <c r="K578" s="14">
        <v>20</v>
      </c>
      <c r="L578" s="17">
        <v>4.8</v>
      </c>
      <c r="M578" s="2" t="b">
        <v>0</v>
      </c>
      <c r="N578" s="2"/>
      <c r="O578" s="2" t="str">
        <f>IF(Table1[[#This Row],[is_returned]]=TRUE,IF(Table1[[#This Row],[return_reason]]="","Error","OK"),"OK")</f>
        <v>OK</v>
      </c>
      <c r="P578" s="8">
        <f>Table1[[#This Row],[original_price]]*Table1[[#This Row],[markdown_percentage]]/100</f>
        <v>0</v>
      </c>
      <c r="Q57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578" s="25">
        <f>Table1[[#This Row],[current_price]]*Table1[[#This Row],[stock_quantity]]</f>
        <v>4929.8</v>
      </c>
    </row>
    <row r="579" spans="1:18" x14ac:dyDescent="0.25">
      <c r="A579" s="2" t="s">
        <v>632</v>
      </c>
      <c r="B579" s="2" t="s">
        <v>27</v>
      </c>
      <c r="C579" s="2" t="s">
        <v>48</v>
      </c>
      <c r="D579" s="2" t="s">
        <v>34</v>
      </c>
      <c r="E579" s="2"/>
      <c r="F579" s="2" t="s">
        <v>46</v>
      </c>
      <c r="G579" s="8">
        <v>52.41</v>
      </c>
      <c r="H579" s="11">
        <v>0</v>
      </c>
      <c r="I579" s="8">
        <v>52.41</v>
      </c>
      <c r="J579" s="3">
        <v>45875</v>
      </c>
      <c r="K579" s="14">
        <v>14</v>
      </c>
      <c r="L579" s="17"/>
      <c r="M579" s="2" t="b">
        <v>0</v>
      </c>
      <c r="N579" s="2"/>
      <c r="O579" s="2" t="str">
        <f>IF(Table1[[#This Row],[is_returned]]=TRUE,IF(Table1[[#This Row],[return_reason]]="","Error","OK"),"OK")</f>
        <v>OK</v>
      </c>
      <c r="P579" s="8">
        <f>Table1[[#This Row],[original_price]]*Table1[[#This Row],[markdown_percentage]]/100</f>
        <v>0</v>
      </c>
      <c r="Q57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579" s="25">
        <f>Table1[[#This Row],[current_price]]*Table1[[#This Row],[stock_quantity]]</f>
        <v>733.74</v>
      </c>
    </row>
    <row r="580" spans="1:18" x14ac:dyDescent="0.25">
      <c r="A580" s="2" t="s">
        <v>633</v>
      </c>
      <c r="B580" s="2" t="s">
        <v>21</v>
      </c>
      <c r="C580" s="2" t="s">
        <v>16</v>
      </c>
      <c r="D580" s="2" t="s">
        <v>62</v>
      </c>
      <c r="E580" s="2" t="s">
        <v>58</v>
      </c>
      <c r="F580" s="2" t="s">
        <v>64</v>
      </c>
      <c r="G580" s="8">
        <v>33.770000000000003</v>
      </c>
      <c r="H580" s="11">
        <v>0</v>
      </c>
      <c r="I580" s="8">
        <v>33.770000000000003</v>
      </c>
      <c r="J580" s="3">
        <v>45875</v>
      </c>
      <c r="K580" s="14">
        <v>12</v>
      </c>
      <c r="L580" s="17">
        <v>3.8</v>
      </c>
      <c r="M580" s="2" t="b">
        <v>0</v>
      </c>
      <c r="N580" s="2"/>
      <c r="O580" s="2" t="str">
        <f>IF(Table1[[#This Row],[is_returned]]=TRUE,IF(Table1[[#This Row],[return_reason]]="","Error","OK"),"OK")</f>
        <v>OK</v>
      </c>
      <c r="P580" s="8">
        <f>Table1[[#This Row],[original_price]]*Table1[[#This Row],[markdown_percentage]]/100</f>
        <v>0</v>
      </c>
      <c r="Q58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580" s="25">
        <f>Table1[[#This Row],[current_price]]*Table1[[#This Row],[stock_quantity]]</f>
        <v>405.24</v>
      </c>
    </row>
    <row r="581" spans="1:18" x14ac:dyDescent="0.25">
      <c r="A581" s="2" t="s">
        <v>634</v>
      </c>
      <c r="B581" s="2" t="s">
        <v>30</v>
      </c>
      <c r="C581" s="2" t="s">
        <v>48</v>
      </c>
      <c r="D581" s="2" t="s">
        <v>62</v>
      </c>
      <c r="E581" s="2" t="s">
        <v>58</v>
      </c>
      <c r="F581" s="2" t="s">
        <v>25</v>
      </c>
      <c r="G581" s="8">
        <v>96.7</v>
      </c>
      <c r="H581" s="11">
        <v>0</v>
      </c>
      <c r="I581" s="8">
        <v>96.7</v>
      </c>
      <c r="J581" s="3">
        <v>45875</v>
      </c>
      <c r="K581" s="14">
        <v>28</v>
      </c>
      <c r="L581" s="17">
        <v>3</v>
      </c>
      <c r="M581" s="2" t="b">
        <v>0</v>
      </c>
      <c r="N581" s="2"/>
      <c r="O581" s="2" t="str">
        <f>IF(Table1[[#This Row],[is_returned]]=TRUE,IF(Table1[[#This Row],[return_reason]]="","Error","OK"),"OK")</f>
        <v>OK</v>
      </c>
      <c r="P581" s="8">
        <f>Table1[[#This Row],[original_price]]*Table1[[#This Row],[markdown_percentage]]/100</f>
        <v>0</v>
      </c>
      <c r="Q58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581" s="25">
        <f>Table1[[#This Row],[current_price]]*Table1[[#This Row],[stock_quantity]]</f>
        <v>2707.6</v>
      </c>
    </row>
    <row r="582" spans="1:18" x14ac:dyDescent="0.25">
      <c r="A582" s="2" t="s">
        <v>635</v>
      </c>
      <c r="B582" s="2" t="s">
        <v>42</v>
      </c>
      <c r="C582" s="2" t="s">
        <v>48</v>
      </c>
      <c r="D582" s="2" t="s">
        <v>17</v>
      </c>
      <c r="E582" s="2" t="s">
        <v>58</v>
      </c>
      <c r="F582" s="2" t="s">
        <v>19</v>
      </c>
      <c r="G582" s="8">
        <v>95.81</v>
      </c>
      <c r="H582" s="11">
        <v>0</v>
      </c>
      <c r="I582" s="8">
        <v>95.81</v>
      </c>
      <c r="J582" s="3">
        <v>45786</v>
      </c>
      <c r="K582" s="14">
        <v>47</v>
      </c>
      <c r="L582" s="17">
        <v>4.9000000000000004</v>
      </c>
      <c r="M582" s="2" t="b">
        <v>0</v>
      </c>
      <c r="N582" s="2"/>
      <c r="O582" s="2" t="str">
        <f>IF(Table1[[#This Row],[is_returned]]=TRUE,IF(Table1[[#This Row],[return_reason]]="","Error","OK"),"OK")</f>
        <v>OK</v>
      </c>
      <c r="P582" s="8">
        <f>Table1[[#This Row],[original_price]]*Table1[[#This Row],[markdown_percentage]]/100</f>
        <v>0</v>
      </c>
      <c r="Q58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582" s="25">
        <f>Table1[[#This Row],[current_price]]*Table1[[#This Row],[stock_quantity]]</f>
        <v>4503.07</v>
      </c>
    </row>
    <row r="583" spans="1:18" x14ac:dyDescent="0.25">
      <c r="A583" s="2" t="s">
        <v>636</v>
      </c>
      <c r="B583" s="2" t="s">
        <v>21</v>
      </c>
      <c r="C583" s="2" t="s">
        <v>61</v>
      </c>
      <c r="D583" s="2" t="s">
        <v>34</v>
      </c>
      <c r="E583" s="2" t="s">
        <v>58</v>
      </c>
      <c r="F583" s="2" t="s">
        <v>70</v>
      </c>
      <c r="G583" s="8">
        <v>41.58</v>
      </c>
      <c r="H583" s="11">
        <v>0</v>
      </c>
      <c r="I583" s="8">
        <v>41.58</v>
      </c>
      <c r="J583" s="3">
        <v>45875</v>
      </c>
      <c r="K583" s="14">
        <v>3</v>
      </c>
      <c r="L583" s="17">
        <v>1.6</v>
      </c>
      <c r="M583" s="2" t="b">
        <v>0</v>
      </c>
      <c r="N583" s="2"/>
      <c r="O583" s="2" t="str">
        <f>IF(Table1[[#This Row],[is_returned]]=TRUE,IF(Table1[[#This Row],[return_reason]]="","Error","OK"),"OK")</f>
        <v>OK</v>
      </c>
      <c r="P583" s="8">
        <f>Table1[[#This Row],[original_price]]*Table1[[#This Row],[markdown_percentage]]/100</f>
        <v>0</v>
      </c>
      <c r="Q58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583" s="25">
        <f>Table1[[#This Row],[current_price]]*Table1[[#This Row],[stock_quantity]]</f>
        <v>124.74</v>
      </c>
    </row>
    <row r="584" spans="1:18" x14ac:dyDescent="0.25">
      <c r="A584" s="2" t="s">
        <v>637</v>
      </c>
      <c r="B584" s="2" t="s">
        <v>21</v>
      </c>
      <c r="C584" s="2" t="s">
        <v>22</v>
      </c>
      <c r="D584" s="2" t="s">
        <v>62</v>
      </c>
      <c r="E584" s="2" t="s">
        <v>18</v>
      </c>
      <c r="F584" s="2" t="s">
        <v>40</v>
      </c>
      <c r="G584" s="8">
        <v>46.67</v>
      </c>
      <c r="H584" s="11">
        <v>6.6</v>
      </c>
      <c r="I584" s="8">
        <v>43.59</v>
      </c>
      <c r="J584" s="3">
        <v>45875</v>
      </c>
      <c r="K584" s="14">
        <v>35</v>
      </c>
      <c r="L584" s="17">
        <v>1.3</v>
      </c>
      <c r="M584" s="2" t="b">
        <v>1</v>
      </c>
      <c r="N584" s="2" t="s">
        <v>83</v>
      </c>
      <c r="O584" s="2" t="str">
        <f>IF(Table1[[#This Row],[is_returned]]=TRUE,IF(Table1[[#This Row],[return_reason]]="","Error","OK"),"OK")</f>
        <v>OK</v>
      </c>
      <c r="P584" s="8">
        <f>Table1[[#This Row],[original_price]]*Table1[[#This Row],[markdown_percentage]]/100</f>
        <v>3.0802199999999997</v>
      </c>
      <c r="Q58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584" s="25">
        <f>Table1[[#This Row],[current_price]]*Table1[[#This Row],[stock_quantity]]</f>
        <v>1525.65</v>
      </c>
    </row>
    <row r="585" spans="1:18" x14ac:dyDescent="0.25">
      <c r="A585" s="2" t="s">
        <v>638</v>
      </c>
      <c r="B585" s="2" t="s">
        <v>38</v>
      </c>
      <c r="C585" s="2" t="s">
        <v>16</v>
      </c>
      <c r="D585" s="2" t="s">
        <v>23</v>
      </c>
      <c r="E585" s="2" t="s">
        <v>24</v>
      </c>
      <c r="F585" s="2" t="s">
        <v>56</v>
      </c>
      <c r="G585" s="8">
        <v>25.98</v>
      </c>
      <c r="H585" s="11">
        <v>59.4</v>
      </c>
      <c r="I585" s="8">
        <v>10.55</v>
      </c>
      <c r="J585" s="3">
        <v>45875</v>
      </c>
      <c r="K585" s="14">
        <v>40</v>
      </c>
      <c r="L585" s="17"/>
      <c r="M585" s="2" t="b">
        <v>0</v>
      </c>
      <c r="N585" s="2"/>
      <c r="O585" s="2" t="str">
        <f>IF(Table1[[#This Row],[is_returned]]=TRUE,IF(Table1[[#This Row],[return_reason]]="","Error","OK"),"OK")</f>
        <v>OK</v>
      </c>
      <c r="P585" s="8">
        <f>Table1[[#This Row],[original_price]]*Table1[[#This Row],[markdown_percentage]]/100</f>
        <v>15.432119999999999</v>
      </c>
      <c r="Q58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585" s="25">
        <f>Table1[[#This Row],[current_price]]*Table1[[#This Row],[stock_quantity]]</f>
        <v>422</v>
      </c>
    </row>
    <row r="586" spans="1:18" x14ac:dyDescent="0.25">
      <c r="A586" s="2" t="s">
        <v>639</v>
      </c>
      <c r="B586" s="2" t="s">
        <v>15</v>
      </c>
      <c r="C586" s="2" t="s">
        <v>22</v>
      </c>
      <c r="D586" s="2" t="s">
        <v>62</v>
      </c>
      <c r="E586" s="2" t="s">
        <v>24</v>
      </c>
      <c r="F586" s="2" t="s">
        <v>56</v>
      </c>
      <c r="G586" s="8">
        <v>204.82</v>
      </c>
      <c r="H586" s="11">
        <v>14</v>
      </c>
      <c r="I586" s="8">
        <v>176.15</v>
      </c>
      <c r="J586" s="3">
        <v>45875</v>
      </c>
      <c r="K586" s="14">
        <v>27</v>
      </c>
      <c r="L586" s="17">
        <v>3.8</v>
      </c>
      <c r="M586" s="2" t="b">
        <v>0</v>
      </c>
      <c r="N586" s="2"/>
      <c r="O586" s="2" t="str">
        <f>IF(Table1[[#This Row],[is_returned]]=TRUE,IF(Table1[[#This Row],[return_reason]]="","Error","OK"),"OK")</f>
        <v>OK</v>
      </c>
      <c r="P586" s="8">
        <f>Table1[[#This Row],[original_price]]*Table1[[#This Row],[markdown_percentage]]/100</f>
        <v>28.674800000000001</v>
      </c>
      <c r="Q58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586" s="25">
        <f>Table1[[#This Row],[current_price]]*Table1[[#This Row],[stock_quantity]]</f>
        <v>4756.05</v>
      </c>
    </row>
    <row r="587" spans="1:18" x14ac:dyDescent="0.25">
      <c r="A587" s="2" t="s">
        <v>640</v>
      </c>
      <c r="B587" s="2" t="s">
        <v>21</v>
      </c>
      <c r="C587" s="2" t="s">
        <v>16</v>
      </c>
      <c r="D587" s="2" t="s">
        <v>23</v>
      </c>
      <c r="E587" s="2" t="s">
        <v>49</v>
      </c>
      <c r="F587" s="2" t="s">
        <v>25</v>
      </c>
      <c r="G587" s="8">
        <v>43.43</v>
      </c>
      <c r="H587" s="11">
        <v>47.1</v>
      </c>
      <c r="I587" s="8">
        <v>22.97</v>
      </c>
      <c r="J587" s="3">
        <v>45875</v>
      </c>
      <c r="K587" s="14">
        <v>44</v>
      </c>
      <c r="L587" s="17">
        <v>4.7</v>
      </c>
      <c r="M587" s="2" t="b">
        <v>0</v>
      </c>
      <c r="N587" s="2"/>
      <c r="O587" s="2" t="str">
        <f>IF(Table1[[#This Row],[is_returned]]=TRUE,IF(Table1[[#This Row],[return_reason]]="","Error","OK"),"OK")</f>
        <v>OK</v>
      </c>
      <c r="P587" s="8">
        <f>Table1[[#This Row],[original_price]]*Table1[[#This Row],[markdown_percentage]]/100</f>
        <v>20.45553</v>
      </c>
      <c r="Q58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587" s="25">
        <f>Table1[[#This Row],[current_price]]*Table1[[#This Row],[stock_quantity]]</f>
        <v>1010.68</v>
      </c>
    </row>
    <row r="588" spans="1:18" x14ac:dyDescent="0.25">
      <c r="A588" s="2" t="s">
        <v>641</v>
      </c>
      <c r="B588" s="2" t="s">
        <v>27</v>
      </c>
      <c r="C588" s="2" t="s">
        <v>48</v>
      </c>
      <c r="D588" s="2" t="s">
        <v>62</v>
      </c>
      <c r="E588" s="2"/>
      <c r="F588" s="2" t="s">
        <v>44</v>
      </c>
      <c r="G588" s="8">
        <v>40.5</v>
      </c>
      <c r="H588" s="11">
        <v>40.5</v>
      </c>
      <c r="I588" s="8">
        <v>24.1</v>
      </c>
      <c r="J588" s="3">
        <v>45875</v>
      </c>
      <c r="K588" s="14">
        <v>25</v>
      </c>
      <c r="L588" s="17">
        <v>2.9</v>
      </c>
      <c r="M588" s="2" t="b">
        <v>0</v>
      </c>
      <c r="N588" s="2"/>
      <c r="O588" s="2" t="str">
        <f>IF(Table1[[#This Row],[is_returned]]=TRUE,IF(Table1[[#This Row],[return_reason]]="","Error","OK"),"OK")</f>
        <v>OK</v>
      </c>
      <c r="P588" s="8">
        <f>Table1[[#This Row],[original_price]]*Table1[[#This Row],[markdown_percentage]]/100</f>
        <v>16.4025</v>
      </c>
      <c r="Q58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588" s="25">
        <f>Table1[[#This Row],[current_price]]*Table1[[#This Row],[stock_quantity]]</f>
        <v>602.5</v>
      </c>
    </row>
    <row r="589" spans="1:18" x14ac:dyDescent="0.25">
      <c r="A589" s="2" t="s">
        <v>642</v>
      </c>
      <c r="B589" s="2" t="s">
        <v>38</v>
      </c>
      <c r="C589" s="2" t="s">
        <v>75</v>
      </c>
      <c r="D589" s="2" t="s">
        <v>23</v>
      </c>
      <c r="E589" s="2" t="s">
        <v>58</v>
      </c>
      <c r="F589" s="2" t="s">
        <v>19</v>
      </c>
      <c r="G589" s="8">
        <v>73.59</v>
      </c>
      <c r="H589" s="11">
        <v>16.600000000000001</v>
      </c>
      <c r="I589" s="8">
        <v>61.37</v>
      </c>
      <c r="J589" s="3">
        <v>45875</v>
      </c>
      <c r="K589" s="14">
        <v>34</v>
      </c>
      <c r="L589" s="17">
        <v>4</v>
      </c>
      <c r="M589" s="2" t="b">
        <v>0</v>
      </c>
      <c r="N589" s="2"/>
      <c r="O589" s="2" t="str">
        <f>IF(Table1[[#This Row],[is_returned]]=TRUE,IF(Table1[[#This Row],[return_reason]]="","Error","OK"),"OK")</f>
        <v>OK</v>
      </c>
      <c r="P589" s="8">
        <f>Table1[[#This Row],[original_price]]*Table1[[#This Row],[markdown_percentage]]/100</f>
        <v>12.21594</v>
      </c>
      <c r="Q58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589" s="25">
        <f>Table1[[#This Row],[current_price]]*Table1[[#This Row],[stock_quantity]]</f>
        <v>2086.58</v>
      </c>
    </row>
    <row r="590" spans="1:18" x14ac:dyDescent="0.25">
      <c r="A590" s="2" t="s">
        <v>643</v>
      </c>
      <c r="B590" s="2" t="s">
        <v>27</v>
      </c>
      <c r="C590" s="2" t="s">
        <v>53</v>
      </c>
      <c r="D590" s="2" t="s">
        <v>62</v>
      </c>
      <c r="E590" s="2"/>
      <c r="F590" s="2" t="s">
        <v>64</v>
      </c>
      <c r="G590" s="8">
        <v>17.670000000000002</v>
      </c>
      <c r="H590" s="11">
        <v>0</v>
      </c>
      <c r="I590" s="8">
        <v>17.670000000000002</v>
      </c>
      <c r="J590" s="3">
        <v>45875</v>
      </c>
      <c r="K590" s="14">
        <v>29</v>
      </c>
      <c r="L590" s="17">
        <v>4.3</v>
      </c>
      <c r="M590" s="2" t="b">
        <v>0</v>
      </c>
      <c r="N590" s="2"/>
      <c r="O590" s="2" t="str">
        <f>IF(Table1[[#This Row],[is_returned]]=TRUE,IF(Table1[[#This Row],[return_reason]]="","Error","OK"),"OK")</f>
        <v>OK</v>
      </c>
      <c r="P590" s="8">
        <f>Table1[[#This Row],[original_price]]*Table1[[#This Row],[markdown_percentage]]/100</f>
        <v>0</v>
      </c>
      <c r="Q59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590" s="25">
        <f>Table1[[#This Row],[current_price]]*Table1[[#This Row],[stock_quantity]]</f>
        <v>512.43000000000006</v>
      </c>
    </row>
    <row r="591" spans="1:18" x14ac:dyDescent="0.25">
      <c r="A591" s="2" t="s">
        <v>644</v>
      </c>
      <c r="B591" s="2" t="s">
        <v>42</v>
      </c>
      <c r="C591" s="2" t="s">
        <v>61</v>
      </c>
      <c r="D591" s="2" t="s">
        <v>23</v>
      </c>
      <c r="E591" s="2" t="s">
        <v>39</v>
      </c>
      <c r="F591" s="2" t="s">
        <v>46</v>
      </c>
      <c r="G591" s="8">
        <v>70.010000000000005</v>
      </c>
      <c r="H591" s="11">
        <v>28</v>
      </c>
      <c r="I591" s="8">
        <v>50.41</v>
      </c>
      <c r="J591" s="3">
        <v>45875</v>
      </c>
      <c r="K591" s="14">
        <v>23</v>
      </c>
      <c r="L591" s="17"/>
      <c r="M591" s="2" t="b">
        <v>0</v>
      </c>
      <c r="N591" s="2"/>
      <c r="O591" s="2" t="str">
        <f>IF(Table1[[#This Row],[is_returned]]=TRUE,IF(Table1[[#This Row],[return_reason]]="","Error","OK"),"OK")</f>
        <v>OK</v>
      </c>
      <c r="P591" s="8">
        <f>Table1[[#This Row],[original_price]]*Table1[[#This Row],[markdown_percentage]]/100</f>
        <v>19.602800000000002</v>
      </c>
      <c r="Q59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591" s="25">
        <f>Table1[[#This Row],[current_price]]*Table1[[#This Row],[stock_quantity]]</f>
        <v>1159.4299999999998</v>
      </c>
    </row>
    <row r="592" spans="1:18" x14ac:dyDescent="0.25">
      <c r="A592" s="2" t="s">
        <v>645</v>
      </c>
      <c r="B592" s="2" t="s">
        <v>30</v>
      </c>
      <c r="C592" s="2" t="s">
        <v>43</v>
      </c>
      <c r="D592" s="2" t="s">
        <v>34</v>
      </c>
      <c r="E592" s="2" t="s">
        <v>55</v>
      </c>
      <c r="F592" s="2" t="s">
        <v>19</v>
      </c>
      <c r="G592" s="8">
        <v>79.319999999999993</v>
      </c>
      <c r="H592" s="11">
        <v>33.700000000000003</v>
      </c>
      <c r="I592" s="8">
        <v>52.59</v>
      </c>
      <c r="J592" s="3">
        <v>45875</v>
      </c>
      <c r="K592" s="14">
        <v>38</v>
      </c>
      <c r="L592" s="17">
        <v>3</v>
      </c>
      <c r="M592" s="2" t="b">
        <v>1</v>
      </c>
      <c r="N592" s="2" t="s">
        <v>73</v>
      </c>
      <c r="O592" s="2" t="str">
        <f>IF(Table1[[#This Row],[is_returned]]=TRUE,IF(Table1[[#This Row],[return_reason]]="","Error","OK"),"OK")</f>
        <v>OK</v>
      </c>
      <c r="P592" s="8">
        <f>Table1[[#This Row],[original_price]]*Table1[[#This Row],[markdown_percentage]]/100</f>
        <v>26.730839999999997</v>
      </c>
      <c r="Q59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592" s="25">
        <f>Table1[[#This Row],[current_price]]*Table1[[#This Row],[stock_quantity]]</f>
        <v>1998.42</v>
      </c>
    </row>
    <row r="593" spans="1:18" x14ac:dyDescent="0.25">
      <c r="A593" s="2" t="s">
        <v>646</v>
      </c>
      <c r="B593" s="2" t="s">
        <v>27</v>
      </c>
      <c r="C593" s="2" t="s">
        <v>16</v>
      </c>
      <c r="D593" s="2" t="s">
        <v>62</v>
      </c>
      <c r="E593" s="2"/>
      <c r="F593" s="2" t="s">
        <v>56</v>
      </c>
      <c r="G593" s="8">
        <v>45.24</v>
      </c>
      <c r="H593" s="11">
        <v>0</v>
      </c>
      <c r="I593" s="8">
        <v>45.24</v>
      </c>
      <c r="J593" s="3">
        <v>45875</v>
      </c>
      <c r="K593" s="14">
        <v>20</v>
      </c>
      <c r="L593" s="17">
        <v>3</v>
      </c>
      <c r="M593" s="2" t="b">
        <v>1</v>
      </c>
      <c r="N593" s="2" t="s">
        <v>83</v>
      </c>
      <c r="O593" s="2" t="str">
        <f>IF(Table1[[#This Row],[is_returned]]=TRUE,IF(Table1[[#This Row],[return_reason]]="","Error","OK"),"OK")</f>
        <v>OK</v>
      </c>
      <c r="P593" s="8">
        <f>Table1[[#This Row],[original_price]]*Table1[[#This Row],[markdown_percentage]]/100</f>
        <v>0</v>
      </c>
      <c r="Q59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593" s="25">
        <f>Table1[[#This Row],[current_price]]*Table1[[#This Row],[stock_quantity]]</f>
        <v>904.80000000000007</v>
      </c>
    </row>
    <row r="594" spans="1:18" x14ac:dyDescent="0.25">
      <c r="A594" s="2" t="s">
        <v>647</v>
      </c>
      <c r="B594" s="2" t="s">
        <v>21</v>
      </c>
      <c r="C594" s="2" t="s">
        <v>48</v>
      </c>
      <c r="D594" s="2" t="s">
        <v>62</v>
      </c>
      <c r="E594" s="2" t="s">
        <v>49</v>
      </c>
      <c r="F594" s="2" t="s">
        <v>19</v>
      </c>
      <c r="G594" s="8">
        <v>63.51</v>
      </c>
      <c r="H594" s="11">
        <v>13.6</v>
      </c>
      <c r="I594" s="8">
        <v>54.87</v>
      </c>
      <c r="J594" s="3">
        <v>45875</v>
      </c>
      <c r="K594" s="14">
        <v>19</v>
      </c>
      <c r="L594" s="17"/>
      <c r="M594" s="2" t="b">
        <v>0</v>
      </c>
      <c r="N594" s="2"/>
      <c r="O594" s="2" t="str">
        <f>IF(Table1[[#This Row],[is_returned]]=TRUE,IF(Table1[[#This Row],[return_reason]]="","Error","OK"),"OK")</f>
        <v>OK</v>
      </c>
      <c r="P594" s="8">
        <f>Table1[[#This Row],[original_price]]*Table1[[#This Row],[markdown_percentage]]/100</f>
        <v>8.6373599999999993</v>
      </c>
      <c r="Q59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594" s="25">
        <f>Table1[[#This Row],[current_price]]*Table1[[#This Row],[stock_quantity]]</f>
        <v>1042.53</v>
      </c>
    </row>
    <row r="595" spans="1:18" x14ac:dyDescent="0.25">
      <c r="A595" s="2" t="s">
        <v>648</v>
      </c>
      <c r="B595" s="2" t="s">
        <v>38</v>
      </c>
      <c r="C595" s="2" t="s">
        <v>53</v>
      </c>
      <c r="D595" s="2" t="s">
        <v>23</v>
      </c>
      <c r="E595" s="2" t="s">
        <v>49</v>
      </c>
      <c r="F595" s="2" t="s">
        <v>35</v>
      </c>
      <c r="G595" s="8">
        <v>55.23</v>
      </c>
      <c r="H595" s="11">
        <v>33.6</v>
      </c>
      <c r="I595" s="8">
        <v>36.67</v>
      </c>
      <c r="J595" s="3">
        <v>45875</v>
      </c>
      <c r="K595" s="14">
        <v>9</v>
      </c>
      <c r="L595" s="17"/>
      <c r="M595" s="2" t="b">
        <v>0</v>
      </c>
      <c r="N595" s="2"/>
      <c r="O595" s="2" t="str">
        <f>IF(Table1[[#This Row],[is_returned]]=TRUE,IF(Table1[[#This Row],[return_reason]]="","Error","OK"),"OK")</f>
        <v>OK</v>
      </c>
      <c r="P595" s="8">
        <f>Table1[[#This Row],[original_price]]*Table1[[#This Row],[markdown_percentage]]/100</f>
        <v>18.557280000000002</v>
      </c>
      <c r="Q59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595" s="25">
        <f>Table1[[#This Row],[current_price]]*Table1[[#This Row],[stock_quantity]]</f>
        <v>330.03000000000003</v>
      </c>
    </row>
    <row r="596" spans="1:18" x14ac:dyDescent="0.25">
      <c r="A596" s="2" t="s">
        <v>649</v>
      </c>
      <c r="B596" s="2" t="s">
        <v>42</v>
      </c>
      <c r="C596" s="2" t="s">
        <v>32</v>
      </c>
      <c r="D596" s="2" t="s">
        <v>34</v>
      </c>
      <c r="E596" s="2" t="s">
        <v>58</v>
      </c>
      <c r="F596" s="2" t="s">
        <v>64</v>
      </c>
      <c r="G596" s="8">
        <v>137.59</v>
      </c>
      <c r="H596" s="11">
        <v>0</v>
      </c>
      <c r="I596" s="8">
        <v>137.59</v>
      </c>
      <c r="J596" s="3">
        <v>45875</v>
      </c>
      <c r="K596" s="14">
        <v>18</v>
      </c>
      <c r="L596" s="17"/>
      <c r="M596" s="2" t="b">
        <v>0</v>
      </c>
      <c r="N596" s="2"/>
      <c r="O596" s="2" t="str">
        <f>IF(Table1[[#This Row],[is_returned]]=TRUE,IF(Table1[[#This Row],[return_reason]]="","Error","OK"),"OK")</f>
        <v>OK</v>
      </c>
      <c r="P596" s="8">
        <f>Table1[[#This Row],[original_price]]*Table1[[#This Row],[markdown_percentage]]/100</f>
        <v>0</v>
      </c>
      <c r="Q59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596" s="25">
        <f>Table1[[#This Row],[current_price]]*Table1[[#This Row],[stock_quantity]]</f>
        <v>2476.62</v>
      </c>
    </row>
    <row r="597" spans="1:18" x14ac:dyDescent="0.25">
      <c r="A597" s="2" t="s">
        <v>650</v>
      </c>
      <c r="B597" s="2" t="s">
        <v>30</v>
      </c>
      <c r="C597" s="2" t="s">
        <v>48</v>
      </c>
      <c r="D597" s="2" t="s">
        <v>34</v>
      </c>
      <c r="E597" s="2"/>
      <c r="F597" s="2" t="s">
        <v>35</v>
      </c>
      <c r="G597" s="8">
        <v>65.8</v>
      </c>
      <c r="H597" s="11">
        <v>0</v>
      </c>
      <c r="I597" s="8">
        <v>65.8</v>
      </c>
      <c r="J597" s="3">
        <v>45875</v>
      </c>
      <c r="K597" s="14">
        <v>46</v>
      </c>
      <c r="L597" s="17">
        <v>3.2</v>
      </c>
      <c r="M597" s="2" t="b">
        <v>0</v>
      </c>
      <c r="N597" s="2"/>
      <c r="O597" s="2" t="str">
        <f>IF(Table1[[#This Row],[is_returned]]=TRUE,IF(Table1[[#This Row],[return_reason]]="","Error","OK"),"OK")</f>
        <v>OK</v>
      </c>
      <c r="P597" s="8">
        <f>Table1[[#This Row],[original_price]]*Table1[[#This Row],[markdown_percentage]]/100</f>
        <v>0</v>
      </c>
      <c r="Q59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597" s="25">
        <f>Table1[[#This Row],[current_price]]*Table1[[#This Row],[stock_quantity]]</f>
        <v>3026.7999999999997</v>
      </c>
    </row>
    <row r="598" spans="1:18" x14ac:dyDescent="0.25">
      <c r="A598" s="2" t="s">
        <v>651</v>
      </c>
      <c r="B598" s="2" t="s">
        <v>30</v>
      </c>
      <c r="C598" s="2" t="s">
        <v>22</v>
      </c>
      <c r="D598" s="2" t="s">
        <v>23</v>
      </c>
      <c r="E598" s="2" t="s">
        <v>18</v>
      </c>
      <c r="F598" s="2" t="s">
        <v>44</v>
      </c>
      <c r="G598" s="8">
        <v>88.42</v>
      </c>
      <c r="H598" s="11">
        <v>0</v>
      </c>
      <c r="I598" s="8">
        <v>88.42</v>
      </c>
      <c r="J598" s="3">
        <v>45875</v>
      </c>
      <c r="K598" s="14">
        <v>44</v>
      </c>
      <c r="L598" s="17">
        <v>3.4</v>
      </c>
      <c r="M598" s="2" t="b">
        <v>1</v>
      </c>
      <c r="N598" s="2" t="s">
        <v>78</v>
      </c>
      <c r="O598" s="2" t="str">
        <f>IF(Table1[[#This Row],[is_returned]]=TRUE,IF(Table1[[#This Row],[return_reason]]="","Error","OK"),"OK")</f>
        <v>OK</v>
      </c>
      <c r="P598" s="8">
        <f>Table1[[#This Row],[original_price]]*Table1[[#This Row],[markdown_percentage]]/100</f>
        <v>0</v>
      </c>
      <c r="Q59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598" s="25">
        <f>Table1[[#This Row],[current_price]]*Table1[[#This Row],[stock_quantity]]</f>
        <v>3890.48</v>
      </c>
    </row>
    <row r="599" spans="1:18" x14ac:dyDescent="0.25">
      <c r="A599" s="2" t="s">
        <v>652</v>
      </c>
      <c r="B599" s="2" t="s">
        <v>42</v>
      </c>
      <c r="C599" s="2" t="s">
        <v>43</v>
      </c>
      <c r="D599" s="2" t="s">
        <v>34</v>
      </c>
      <c r="E599" s="2" t="s">
        <v>58</v>
      </c>
      <c r="F599" s="2" t="s">
        <v>19</v>
      </c>
      <c r="G599" s="8">
        <v>75.540000000000006</v>
      </c>
      <c r="H599" s="11">
        <v>0</v>
      </c>
      <c r="I599" s="8">
        <v>75.540000000000006</v>
      </c>
      <c r="J599" s="3">
        <v>45875</v>
      </c>
      <c r="K599" s="14">
        <v>6</v>
      </c>
      <c r="L599" s="17">
        <v>4.5999999999999996</v>
      </c>
      <c r="M599" s="2" t="b">
        <v>0</v>
      </c>
      <c r="N599" s="2"/>
      <c r="O599" s="2" t="str">
        <f>IF(Table1[[#This Row],[is_returned]]=TRUE,IF(Table1[[#This Row],[return_reason]]="","Error","OK"),"OK")</f>
        <v>OK</v>
      </c>
      <c r="P599" s="8">
        <f>Table1[[#This Row],[original_price]]*Table1[[#This Row],[markdown_percentage]]/100</f>
        <v>0</v>
      </c>
      <c r="Q59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599" s="25">
        <f>Table1[[#This Row],[current_price]]*Table1[[#This Row],[stock_quantity]]</f>
        <v>453.24</v>
      </c>
    </row>
    <row r="600" spans="1:18" x14ac:dyDescent="0.25">
      <c r="A600" s="2" t="s">
        <v>653</v>
      </c>
      <c r="B600" s="2" t="s">
        <v>30</v>
      </c>
      <c r="C600" s="2" t="s">
        <v>48</v>
      </c>
      <c r="D600" s="2" t="s">
        <v>17</v>
      </c>
      <c r="E600" s="2" t="s">
        <v>24</v>
      </c>
      <c r="F600" s="2" t="s">
        <v>35</v>
      </c>
      <c r="G600" s="8">
        <v>185.13</v>
      </c>
      <c r="H600" s="11">
        <v>0</v>
      </c>
      <c r="I600" s="8">
        <v>185.13</v>
      </c>
      <c r="J600" s="3">
        <v>45786</v>
      </c>
      <c r="K600" s="14">
        <v>49</v>
      </c>
      <c r="L600" s="17">
        <v>4.9000000000000004</v>
      </c>
      <c r="M600" s="2" t="b">
        <v>0</v>
      </c>
      <c r="N600" s="2"/>
      <c r="O600" s="2" t="str">
        <f>IF(Table1[[#This Row],[is_returned]]=TRUE,IF(Table1[[#This Row],[return_reason]]="","Error","OK"),"OK")</f>
        <v>OK</v>
      </c>
      <c r="P600" s="8">
        <f>Table1[[#This Row],[original_price]]*Table1[[#This Row],[markdown_percentage]]/100</f>
        <v>0</v>
      </c>
      <c r="Q60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600" s="25">
        <f>Table1[[#This Row],[current_price]]*Table1[[#This Row],[stock_quantity]]</f>
        <v>9071.369999999999</v>
      </c>
    </row>
    <row r="601" spans="1:18" x14ac:dyDescent="0.25">
      <c r="A601" s="2" t="s">
        <v>654</v>
      </c>
      <c r="B601" s="2" t="s">
        <v>15</v>
      </c>
      <c r="C601" s="2" t="s">
        <v>43</v>
      </c>
      <c r="D601" s="2" t="s">
        <v>34</v>
      </c>
      <c r="E601" s="2" t="s">
        <v>24</v>
      </c>
      <c r="F601" s="2" t="s">
        <v>28</v>
      </c>
      <c r="G601" s="8">
        <v>132.58000000000001</v>
      </c>
      <c r="H601" s="11">
        <v>0</v>
      </c>
      <c r="I601" s="8">
        <v>132.58000000000001</v>
      </c>
      <c r="J601" s="3">
        <v>45875</v>
      </c>
      <c r="K601" s="14">
        <v>45</v>
      </c>
      <c r="L601" s="17">
        <v>1.6</v>
      </c>
      <c r="M601" s="2" t="b">
        <v>0</v>
      </c>
      <c r="N601" s="2"/>
      <c r="O601" s="2" t="str">
        <f>IF(Table1[[#This Row],[is_returned]]=TRUE,IF(Table1[[#This Row],[return_reason]]="","Error","OK"),"OK")</f>
        <v>OK</v>
      </c>
      <c r="P601" s="8">
        <f>Table1[[#This Row],[original_price]]*Table1[[#This Row],[markdown_percentage]]/100</f>
        <v>0</v>
      </c>
      <c r="Q60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601" s="25">
        <f>Table1[[#This Row],[current_price]]*Table1[[#This Row],[stock_quantity]]</f>
        <v>5966.1</v>
      </c>
    </row>
    <row r="602" spans="1:18" x14ac:dyDescent="0.25">
      <c r="A602" s="2" t="s">
        <v>655</v>
      </c>
      <c r="B602" s="2" t="s">
        <v>38</v>
      </c>
      <c r="C602" s="2" t="s">
        <v>16</v>
      </c>
      <c r="D602" s="2" t="s">
        <v>34</v>
      </c>
      <c r="E602" s="2" t="s">
        <v>58</v>
      </c>
      <c r="F602" s="2" t="s">
        <v>35</v>
      </c>
      <c r="G602" s="8">
        <v>93.38</v>
      </c>
      <c r="H602" s="11">
        <v>0</v>
      </c>
      <c r="I602" s="8">
        <v>93.38</v>
      </c>
      <c r="J602" s="3">
        <v>45875</v>
      </c>
      <c r="K602" s="14">
        <v>7</v>
      </c>
      <c r="L602" s="17">
        <v>3.5</v>
      </c>
      <c r="M602" s="2" t="b">
        <v>0</v>
      </c>
      <c r="N602" s="2"/>
      <c r="O602" s="2" t="str">
        <f>IF(Table1[[#This Row],[is_returned]]=TRUE,IF(Table1[[#This Row],[return_reason]]="","Error","OK"),"OK")</f>
        <v>OK</v>
      </c>
      <c r="P602" s="8">
        <f>Table1[[#This Row],[original_price]]*Table1[[#This Row],[markdown_percentage]]/100</f>
        <v>0</v>
      </c>
      <c r="Q60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602" s="25">
        <f>Table1[[#This Row],[current_price]]*Table1[[#This Row],[stock_quantity]]</f>
        <v>653.66</v>
      </c>
    </row>
    <row r="603" spans="1:18" x14ac:dyDescent="0.25">
      <c r="A603" s="2" t="s">
        <v>656</v>
      </c>
      <c r="B603" s="2" t="s">
        <v>27</v>
      </c>
      <c r="C603" s="2" t="s">
        <v>53</v>
      </c>
      <c r="D603" s="2" t="s">
        <v>34</v>
      </c>
      <c r="E603" s="2"/>
      <c r="F603" s="2" t="s">
        <v>28</v>
      </c>
      <c r="G603" s="8">
        <v>47.28</v>
      </c>
      <c r="H603" s="11">
        <v>0</v>
      </c>
      <c r="I603" s="8">
        <v>47.28</v>
      </c>
      <c r="J603" s="3">
        <v>45875</v>
      </c>
      <c r="K603" s="14">
        <v>38</v>
      </c>
      <c r="L603" s="17">
        <v>4.2</v>
      </c>
      <c r="M603" s="2" t="b">
        <v>0</v>
      </c>
      <c r="N603" s="2"/>
      <c r="O603" s="2" t="str">
        <f>IF(Table1[[#This Row],[is_returned]]=TRUE,IF(Table1[[#This Row],[return_reason]]="","Error","OK"),"OK")</f>
        <v>OK</v>
      </c>
      <c r="P603" s="8">
        <f>Table1[[#This Row],[original_price]]*Table1[[#This Row],[markdown_percentage]]/100</f>
        <v>0</v>
      </c>
      <c r="Q60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603" s="25">
        <f>Table1[[#This Row],[current_price]]*Table1[[#This Row],[stock_quantity]]</f>
        <v>1796.64</v>
      </c>
    </row>
    <row r="604" spans="1:18" x14ac:dyDescent="0.25">
      <c r="A604" s="2" t="s">
        <v>657</v>
      </c>
      <c r="B604" s="2" t="s">
        <v>38</v>
      </c>
      <c r="C604" s="2" t="s">
        <v>32</v>
      </c>
      <c r="D604" s="2" t="s">
        <v>17</v>
      </c>
      <c r="E604" s="2" t="s">
        <v>24</v>
      </c>
      <c r="F604" s="2" t="s">
        <v>46</v>
      </c>
      <c r="G604" s="8">
        <v>59.88</v>
      </c>
      <c r="H604" s="11">
        <v>0</v>
      </c>
      <c r="I604" s="8">
        <v>59.88</v>
      </c>
      <c r="J604" s="3">
        <v>45577</v>
      </c>
      <c r="K604" s="14">
        <v>33</v>
      </c>
      <c r="L604" s="17">
        <v>2.9</v>
      </c>
      <c r="M604" s="2" t="b">
        <v>0</v>
      </c>
      <c r="N604" s="2"/>
      <c r="O604" s="2" t="str">
        <f>IF(Table1[[#This Row],[is_returned]]=TRUE,IF(Table1[[#This Row],[return_reason]]="","Error","OK"),"OK")</f>
        <v>OK</v>
      </c>
      <c r="P604" s="8">
        <f>Table1[[#This Row],[original_price]]*Table1[[#This Row],[markdown_percentage]]/100</f>
        <v>0</v>
      </c>
      <c r="Q60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604" s="25">
        <f>Table1[[#This Row],[current_price]]*Table1[[#This Row],[stock_quantity]]</f>
        <v>1976.0400000000002</v>
      </c>
    </row>
    <row r="605" spans="1:18" x14ac:dyDescent="0.25">
      <c r="A605" s="2" t="s">
        <v>658</v>
      </c>
      <c r="B605" s="2" t="s">
        <v>42</v>
      </c>
      <c r="C605" s="2" t="s">
        <v>48</v>
      </c>
      <c r="D605" s="2" t="s">
        <v>23</v>
      </c>
      <c r="E605" s="2" t="s">
        <v>49</v>
      </c>
      <c r="F605" s="2" t="s">
        <v>28</v>
      </c>
      <c r="G605" s="8">
        <v>140.07</v>
      </c>
      <c r="H605" s="11">
        <v>0</v>
      </c>
      <c r="I605" s="8">
        <v>140.07</v>
      </c>
      <c r="J605" s="3">
        <v>45875</v>
      </c>
      <c r="K605" s="14">
        <v>15</v>
      </c>
      <c r="L605" s="17">
        <v>2.7</v>
      </c>
      <c r="M605" s="2" t="b">
        <v>0</v>
      </c>
      <c r="N605" s="2"/>
      <c r="O605" s="2" t="str">
        <f>IF(Table1[[#This Row],[is_returned]]=TRUE,IF(Table1[[#This Row],[return_reason]]="","Error","OK"),"OK")</f>
        <v>OK</v>
      </c>
      <c r="P605" s="8">
        <f>Table1[[#This Row],[original_price]]*Table1[[#This Row],[markdown_percentage]]/100</f>
        <v>0</v>
      </c>
      <c r="Q60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605" s="25">
        <f>Table1[[#This Row],[current_price]]*Table1[[#This Row],[stock_quantity]]</f>
        <v>2101.0499999999997</v>
      </c>
    </row>
    <row r="606" spans="1:18" x14ac:dyDescent="0.25">
      <c r="A606" s="2" t="s">
        <v>659</v>
      </c>
      <c r="B606" s="2" t="s">
        <v>27</v>
      </c>
      <c r="C606" s="2" t="s">
        <v>22</v>
      </c>
      <c r="D606" s="2" t="s">
        <v>23</v>
      </c>
      <c r="E606" s="2"/>
      <c r="F606" s="2" t="s">
        <v>28</v>
      </c>
      <c r="G606" s="8">
        <v>66.599999999999994</v>
      </c>
      <c r="H606" s="11">
        <v>0</v>
      </c>
      <c r="I606" s="8">
        <v>66.599999999999994</v>
      </c>
      <c r="J606" s="3">
        <v>45875</v>
      </c>
      <c r="K606" s="14">
        <v>47</v>
      </c>
      <c r="L606" s="17">
        <v>4</v>
      </c>
      <c r="M606" s="2" t="b">
        <v>0</v>
      </c>
      <c r="N606" s="2"/>
      <c r="O606" s="2" t="str">
        <f>IF(Table1[[#This Row],[is_returned]]=TRUE,IF(Table1[[#This Row],[return_reason]]="","Error","OK"),"OK")</f>
        <v>OK</v>
      </c>
      <c r="P606" s="8">
        <f>Table1[[#This Row],[original_price]]*Table1[[#This Row],[markdown_percentage]]/100</f>
        <v>0</v>
      </c>
      <c r="Q60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606" s="25">
        <f>Table1[[#This Row],[current_price]]*Table1[[#This Row],[stock_quantity]]</f>
        <v>3130.2</v>
      </c>
    </row>
    <row r="607" spans="1:18" x14ac:dyDescent="0.25">
      <c r="A607" s="2" t="s">
        <v>660</v>
      </c>
      <c r="B607" s="2" t="s">
        <v>27</v>
      </c>
      <c r="C607" s="2" t="s">
        <v>61</v>
      </c>
      <c r="D607" s="2" t="s">
        <v>62</v>
      </c>
      <c r="E607" s="2"/>
      <c r="F607" s="2" t="s">
        <v>66</v>
      </c>
      <c r="G607" s="8">
        <v>39.82</v>
      </c>
      <c r="H607" s="11">
        <v>35.4</v>
      </c>
      <c r="I607" s="8">
        <v>25.72</v>
      </c>
      <c r="J607" s="3">
        <v>45875</v>
      </c>
      <c r="K607" s="14">
        <v>9</v>
      </c>
      <c r="L607" s="17">
        <v>4.5999999999999996</v>
      </c>
      <c r="M607" s="2" t="b">
        <v>0</v>
      </c>
      <c r="N607" s="2"/>
      <c r="O607" s="2" t="str">
        <f>IF(Table1[[#This Row],[is_returned]]=TRUE,IF(Table1[[#This Row],[return_reason]]="","Error","OK"),"OK")</f>
        <v>OK</v>
      </c>
      <c r="P607" s="8">
        <f>Table1[[#This Row],[original_price]]*Table1[[#This Row],[markdown_percentage]]/100</f>
        <v>14.09628</v>
      </c>
      <c r="Q60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607" s="25">
        <f>Table1[[#This Row],[current_price]]*Table1[[#This Row],[stock_quantity]]</f>
        <v>231.48</v>
      </c>
    </row>
    <row r="608" spans="1:18" x14ac:dyDescent="0.25">
      <c r="A608" s="2" t="s">
        <v>661</v>
      </c>
      <c r="B608" s="2" t="s">
        <v>27</v>
      </c>
      <c r="C608" s="2" t="s">
        <v>16</v>
      </c>
      <c r="D608" s="2" t="s">
        <v>34</v>
      </c>
      <c r="E608" s="2"/>
      <c r="F608" s="2" t="s">
        <v>19</v>
      </c>
      <c r="G608" s="8">
        <v>70.739999999999995</v>
      </c>
      <c r="H608" s="11">
        <v>0</v>
      </c>
      <c r="I608" s="8">
        <v>70.739999999999995</v>
      </c>
      <c r="J608" s="3">
        <v>45875</v>
      </c>
      <c r="K608" s="14">
        <v>49</v>
      </c>
      <c r="L608" s="17">
        <v>1.8</v>
      </c>
      <c r="M608" s="2" t="b">
        <v>0</v>
      </c>
      <c r="N608" s="2"/>
      <c r="O608" s="2" t="str">
        <f>IF(Table1[[#This Row],[is_returned]]=TRUE,IF(Table1[[#This Row],[return_reason]]="","Error","OK"),"OK")</f>
        <v>OK</v>
      </c>
      <c r="P608" s="8">
        <f>Table1[[#This Row],[original_price]]*Table1[[#This Row],[markdown_percentage]]/100</f>
        <v>0</v>
      </c>
      <c r="Q60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608" s="25">
        <f>Table1[[#This Row],[current_price]]*Table1[[#This Row],[stock_quantity]]</f>
        <v>3466.2599999999998</v>
      </c>
    </row>
    <row r="609" spans="1:18" x14ac:dyDescent="0.25">
      <c r="A609" s="2" t="s">
        <v>662</v>
      </c>
      <c r="B609" s="2" t="s">
        <v>42</v>
      </c>
      <c r="C609" s="2" t="s">
        <v>16</v>
      </c>
      <c r="D609" s="2" t="s">
        <v>17</v>
      </c>
      <c r="E609" s="2" t="s">
        <v>58</v>
      </c>
      <c r="F609" s="2" t="s">
        <v>19</v>
      </c>
      <c r="G609" s="8">
        <v>95.33</v>
      </c>
      <c r="H609" s="11">
        <v>0</v>
      </c>
      <c r="I609" s="8">
        <v>95.33</v>
      </c>
      <c r="J609" s="3">
        <v>45815</v>
      </c>
      <c r="K609" s="14">
        <v>36</v>
      </c>
      <c r="L609" s="17"/>
      <c r="M609" s="2" t="b">
        <v>1</v>
      </c>
      <c r="N609" s="2" t="s">
        <v>83</v>
      </c>
      <c r="O609" s="2" t="str">
        <f>IF(Table1[[#This Row],[is_returned]]=TRUE,IF(Table1[[#This Row],[return_reason]]="","Error","OK"),"OK")</f>
        <v>OK</v>
      </c>
      <c r="P609" s="8">
        <f>Table1[[#This Row],[original_price]]*Table1[[#This Row],[markdown_percentage]]/100</f>
        <v>0</v>
      </c>
      <c r="Q60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609" s="25">
        <f>Table1[[#This Row],[current_price]]*Table1[[#This Row],[stock_quantity]]</f>
        <v>3431.88</v>
      </c>
    </row>
    <row r="610" spans="1:18" x14ac:dyDescent="0.25">
      <c r="A610" s="2" t="s">
        <v>663</v>
      </c>
      <c r="B610" s="2" t="s">
        <v>27</v>
      </c>
      <c r="C610" s="2" t="s">
        <v>75</v>
      </c>
      <c r="D610" s="2" t="s">
        <v>17</v>
      </c>
      <c r="E610" s="2"/>
      <c r="F610" s="2" t="s">
        <v>19</v>
      </c>
      <c r="G610" s="8">
        <v>32.619999999999997</v>
      </c>
      <c r="H610" s="11">
        <v>29.1</v>
      </c>
      <c r="I610" s="8">
        <v>23.13</v>
      </c>
      <c r="J610" s="3">
        <v>45865</v>
      </c>
      <c r="K610" s="14">
        <v>9</v>
      </c>
      <c r="L610" s="17">
        <v>1.4</v>
      </c>
      <c r="M610" s="2" t="b">
        <v>0</v>
      </c>
      <c r="N610" s="2"/>
      <c r="O610" s="2" t="str">
        <f>IF(Table1[[#This Row],[is_returned]]=TRUE,IF(Table1[[#This Row],[return_reason]]="","Error","OK"),"OK")</f>
        <v>OK</v>
      </c>
      <c r="P610" s="8">
        <f>Table1[[#This Row],[original_price]]*Table1[[#This Row],[markdown_percentage]]/100</f>
        <v>9.4924199999999992</v>
      </c>
      <c r="Q61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610" s="25">
        <f>Table1[[#This Row],[current_price]]*Table1[[#This Row],[stock_quantity]]</f>
        <v>208.17</v>
      </c>
    </row>
    <row r="611" spans="1:18" x14ac:dyDescent="0.25">
      <c r="A611" s="2" t="s">
        <v>664</v>
      </c>
      <c r="B611" s="2" t="s">
        <v>38</v>
      </c>
      <c r="C611" s="2" t="s">
        <v>43</v>
      </c>
      <c r="D611" s="2" t="s">
        <v>62</v>
      </c>
      <c r="E611" s="2" t="s">
        <v>18</v>
      </c>
      <c r="F611" s="2" t="s">
        <v>66</v>
      </c>
      <c r="G611" s="8">
        <v>41.07</v>
      </c>
      <c r="H611" s="11">
        <v>0</v>
      </c>
      <c r="I611" s="8">
        <v>41.07</v>
      </c>
      <c r="J611" s="3">
        <v>45875</v>
      </c>
      <c r="K611" s="14">
        <v>10</v>
      </c>
      <c r="L611" s="17">
        <v>4.8</v>
      </c>
      <c r="M611" s="2" t="b">
        <v>0</v>
      </c>
      <c r="N611" s="2"/>
      <c r="O611" s="2" t="str">
        <f>IF(Table1[[#This Row],[is_returned]]=TRUE,IF(Table1[[#This Row],[return_reason]]="","Error","OK"),"OK")</f>
        <v>OK</v>
      </c>
      <c r="P611" s="8">
        <f>Table1[[#This Row],[original_price]]*Table1[[#This Row],[markdown_percentage]]/100</f>
        <v>0</v>
      </c>
      <c r="Q61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611" s="25">
        <f>Table1[[#This Row],[current_price]]*Table1[[#This Row],[stock_quantity]]</f>
        <v>410.7</v>
      </c>
    </row>
    <row r="612" spans="1:18" x14ac:dyDescent="0.25">
      <c r="A612" s="2" t="s">
        <v>665</v>
      </c>
      <c r="B612" s="2" t="s">
        <v>38</v>
      </c>
      <c r="C612" s="2" t="s">
        <v>16</v>
      </c>
      <c r="D612" s="2" t="s">
        <v>23</v>
      </c>
      <c r="E612" s="2" t="s">
        <v>18</v>
      </c>
      <c r="F612" s="2" t="s">
        <v>40</v>
      </c>
      <c r="G612" s="8">
        <v>43.1</v>
      </c>
      <c r="H612" s="11">
        <v>0</v>
      </c>
      <c r="I612" s="8">
        <v>43.1</v>
      </c>
      <c r="J612" s="3">
        <v>45875</v>
      </c>
      <c r="K612" s="14">
        <v>34</v>
      </c>
      <c r="L612" s="17">
        <v>4.9000000000000004</v>
      </c>
      <c r="M612" s="2" t="b">
        <v>0</v>
      </c>
      <c r="N612" s="2"/>
      <c r="O612" s="2" t="str">
        <f>IF(Table1[[#This Row],[is_returned]]=TRUE,IF(Table1[[#This Row],[return_reason]]="","Error","OK"),"OK")</f>
        <v>OK</v>
      </c>
      <c r="P612" s="8">
        <f>Table1[[#This Row],[original_price]]*Table1[[#This Row],[markdown_percentage]]/100</f>
        <v>0</v>
      </c>
      <c r="Q61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612" s="25">
        <f>Table1[[#This Row],[current_price]]*Table1[[#This Row],[stock_quantity]]</f>
        <v>1465.4</v>
      </c>
    </row>
    <row r="613" spans="1:18" x14ac:dyDescent="0.25">
      <c r="A613" s="2" t="s">
        <v>666</v>
      </c>
      <c r="B613" s="2" t="s">
        <v>15</v>
      </c>
      <c r="C613" s="2" t="s">
        <v>53</v>
      </c>
      <c r="D613" s="2" t="s">
        <v>23</v>
      </c>
      <c r="E613" s="2" t="s">
        <v>49</v>
      </c>
      <c r="F613" s="2" t="s">
        <v>64</v>
      </c>
      <c r="G613" s="8">
        <v>102.03</v>
      </c>
      <c r="H613" s="11">
        <v>27.9</v>
      </c>
      <c r="I613" s="8">
        <v>73.56</v>
      </c>
      <c r="J613" s="3">
        <v>45875</v>
      </c>
      <c r="K613" s="14">
        <v>21</v>
      </c>
      <c r="L613" s="17">
        <v>2.2000000000000002</v>
      </c>
      <c r="M613" s="2" t="b">
        <v>1</v>
      </c>
      <c r="N613" s="2" t="s">
        <v>73</v>
      </c>
      <c r="O613" s="2" t="str">
        <f>IF(Table1[[#This Row],[is_returned]]=TRUE,IF(Table1[[#This Row],[return_reason]]="","Error","OK"),"OK")</f>
        <v>OK</v>
      </c>
      <c r="P613" s="8">
        <f>Table1[[#This Row],[original_price]]*Table1[[#This Row],[markdown_percentage]]/100</f>
        <v>28.466369999999998</v>
      </c>
      <c r="Q61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613" s="25">
        <f>Table1[[#This Row],[current_price]]*Table1[[#This Row],[stock_quantity]]</f>
        <v>1544.76</v>
      </c>
    </row>
    <row r="614" spans="1:18" x14ac:dyDescent="0.25">
      <c r="A614" s="2" t="s">
        <v>667</v>
      </c>
      <c r="B614" s="2" t="s">
        <v>27</v>
      </c>
      <c r="C614" s="2" t="s">
        <v>43</v>
      </c>
      <c r="D614" s="2" t="s">
        <v>23</v>
      </c>
      <c r="E614" s="2"/>
      <c r="F614" s="2" t="s">
        <v>19</v>
      </c>
      <c r="G614" s="8">
        <v>54.11</v>
      </c>
      <c r="H614" s="11">
        <v>0</v>
      </c>
      <c r="I614" s="8">
        <v>54.11</v>
      </c>
      <c r="J614" s="3">
        <v>45875</v>
      </c>
      <c r="K614" s="14">
        <v>15</v>
      </c>
      <c r="L614" s="17">
        <v>2.6</v>
      </c>
      <c r="M614" s="2" t="b">
        <v>0</v>
      </c>
      <c r="N614" s="2"/>
      <c r="O614" s="2" t="str">
        <f>IF(Table1[[#This Row],[is_returned]]=TRUE,IF(Table1[[#This Row],[return_reason]]="","Error","OK"),"OK")</f>
        <v>OK</v>
      </c>
      <c r="P614" s="8">
        <f>Table1[[#This Row],[original_price]]*Table1[[#This Row],[markdown_percentage]]/100</f>
        <v>0</v>
      </c>
      <c r="Q61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614" s="25">
        <f>Table1[[#This Row],[current_price]]*Table1[[#This Row],[stock_quantity]]</f>
        <v>811.65</v>
      </c>
    </row>
    <row r="615" spans="1:18" x14ac:dyDescent="0.25">
      <c r="A615" s="2" t="s">
        <v>668</v>
      </c>
      <c r="B615" s="2" t="s">
        <v>27</v>
      </c>
      <c r="C615" s="2" t="s">
        <v>43</v>
      </c>
      <c r="D615" s="2" t="s">
        <v>23</v>
      </c>
      <c r="E615" s="2"/>
      <c r="F615" s="2" t="s">
        <v>66</v>
      </c>
      <c r="G615" s="8">
        <v>43.5</v>
      </c>
      <c r="H615" s="11">
        <v>0</v>
      </c>
      <c r="I615" s="8">
        <v>43.5</v>
      </c>
      <c r="J615" s="3">
        <v>45875</v>
      </c>
      <c r="K615" s="14">
        <v>35</v>
      </c>
      <c r="L615" s="17">
        <v>2.8</v>
      </c>
      <c r="M615" s="2" t="b">
        <v>0</v>
      </c>
      <c r="N615" s="2"/>
      <c r="O615" s="2" t="str">
        <f>IF(Table1[[#This Row],[is_returned]]=TRUE,IF(Table1[[#This Row],[return_reason]]="","Error","OK"),"OK")</f>
        <v>OK</v>
      </c>
      <c r="P615" s="8">
        <f>Table1[[#This Row],[original_price]]*Table1[[#This Row],[markdown_percentage]]/100</f>
        <v>0</v>
      </c>
      <c r="Q61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615" s="25">
        <f>Table1[[#This Row],[current_price]]*Table1[[#This Row],[stock_quantity]]</f>
        <v>1522.5</v>
      </c>
    </row>
    <row r="616" spans="1:18" x14ac:dyDescent="0.25">
      <c r="A616" s="2" t="s">
        <v>669</v>
      </c>
      <c r="B616" s="2" t="s">
        <v>27</v>
      </c>
      <c r="C616" s="2" t="s">
        <v>32</v>
      </c>
      <c r="D616" s="2" t="s">
        <v>23</v>
      </c>
      <c r="E616" s="2"/>
      <c r="F616" s="2" t="s">
        <v>25</v>
      </c>
      <c r="G616" s="8">
        <v>66</v>
      </c>
      <c r="H616" s="11">
        <v>0</v>
      </c>
      <c r="I616" s="8">
        <v>66</v>
      </c>
      <c r="J616" s="3">
        <v>45875</v>
      </c>
      <c r="K616" s="14">
        <v>19</v>
      </c>
      <c r="L616" s="17">
        <v>2.6</v>
      </c>
      <c r="M616" s="2" t="b">
        <v>0</v>
      </c>
      <c r="N616" s="2"/>
      <c r="O616" s="2" t="str">
        <f>IF(Table1[[#This Row],[is_returned]]=TRUE,IF(Table1[[#This Row],[return_reason]]="","Error","OK"),"OK")</f>
        <v>OK</v>
      </c>
      <c r="P616" s="8">
        <f>Table1[[#This Row],[original_price]]*Table1[[#This Row],[markdown_percentage]]/100</f>
        <v>0</v>
      </c>
      <c r="Q61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616" s="25">
        <f>Table1[[#This Row],[current_price]]*Table1[[#This Row],[stock_quantity]]</f>
        <v>1254</v>
      </c>
    </row>
    <row r="617" spans="1:18" x14ac:dyDescent="0.25">
      <c r="A617" s="2" t="s">
        <v>670</v>
      </c>
      <c r="B617" s="2" t="s">
        <v>38</v>
      </c>
      <c r="C617" s="2" t="s">
        <v>32</v>
      </c>
      <c r="D617" s="2" t="s">
        <v>62</v>
      </c>
      <c r="E617" s="2" t="s">
        <v>58</v>
      </c>
      <c r="F617" s="2" t="s">
        <v>35</v>
      </c>
      <c r="G617" s="8">
        <v>38.85</v>
      </c>
      <c r="H617" s="11">
        <v>0</v>
      </c>
      <c r="I617" s="8">
        <v>38.85</v>
      </c>
      <c r="J617" s="3">
        <v>45875</v>
      </c>
      <c r="K617" s="14">
        <v>10</v>
      </c>
      <c r="L617" s="17">
        <v>3.8</v>
      </c>
      <c r="M617" s="2" t="b">
        <v>0</v>
      </c>
      <c r="N617" s="2"/>
      <c r="O617" s="2" t="str">
        <f>IF(Table1[[#This Row],[is_returned]]=TRUE,IF(Table1[[#This Row],[return_reason]]="","Error","OK"),"OK")</f>
        <v>OK</v>
      </c>
      <c r="P617" s="8">
        <f>Table1[[#This Row],[original_price]]*Table1[[#This Row],[markdown_percentage]]/100</f>
        <v>0</v>
      </c>
      <c r="Q61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617" s="25">
        <f>Table1[[#This Row],[current_price]]*Table1[[#This Row],[stock_quantity]]</f>
        <v>388.5</v>
      </c>
    </row>
    <row r="618" spans="1:18" x14ac:dyDescent="0.25">
      <c r="A618" s="2" t="s">
        <v>671</v>
      </c>
      <c r="B618" s="2" t="s">
        <v>27</v>
      </c>
      <c r="C618" s="2" t="s">
        <v>16</v>
      </c>
      <c r="D618" s="2" t="s">
        <v>62</v>
      </c>
      <c r="E618" s="2"/>
      <c r="F618" s="2" t="s">
        <v>56</v>
      </c>
      <c r="G618" s="8">
        <v>61.29</v>
      </c>
      <c r="H618" s="11">
        <v>0</v>
      </c>
      <c r="I618" s="8">
        <v>61.29</v>
      </c>
      <c r="J618" s="3">
        <v>45875</v>
      </c>
      <c r="K618" s="14">
        <v>15</v>
      </c>
      <c r="L618" s="17">
        <v>4</v>
      </c>
      <c r="M618" s="2" t="b">
        <v>0</v>
      </c>
      <c r="N618" s="2"/>
      <c r="O618" s="2" t="str">
        <f>IF(Table1[[#This Row],[is_returned]]=TRUE,IF(Table1[[#This Row],[return_reason]]="","Error","OK"),"OK")</f>
        <v>OK</v>
      </c>
      <c r="P618" s="8">
        <f>Table1[[#This Row],[original_price]]*Table1[[#This Row],[markdown_percentage]]/100</f>
        <v>0</v>
      </c>
      <c r="Q61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618" s="25">
        <f>Table1[[#This Row],[current_price]]*Table1[[#This Row],[stock_quantity]]</f>
        <v>919.35</v>
      </c>
    </row>
    <row r="619" spans="1:18" x14ac:dyDescent="0.25">
      <c r="A619" s="2" t="s">
        <v>672</v>
      </c>
      <c r="B619" s="2" t="s">
        <v>38</v>
      </c>
      <c r="C619" s="2" t="s">
        <v>48</v>
      </c>
      <c r="D619" s="2" t="s">
        <v>17</v>
      </c>
      <c r="E619" s="2" t="s">
        <v>55</v>
      </c>
      <c r="F619" s="2" t="s">
        <v>56</v>
      </c>
      <c r="G619" s="8">
        <v>90.66</v>
      </c>
      <c r="H619" s="11">
        <v>0</v>
      </c>
      <c r="I619" s="8">
        <v>90.66</v>
      </c>
      <c r="J619" s="3">
        <v>45736</v>
      </c>
      <c r="K619" s="14">
        <v>49</v>
      </c>
      <c r="L619" s="17">
        <v>2.4</v>
      </c>
      <c r="M619" s="2" t="b">
        <v>1</v>
      </c>
      <c r="N619" s="2" t="s">
        <v>36</v>
      </c>
      <c r="O619" s="2" t="str">
        <f>IF(Table1[[#This Row],[is_returned]]=TRUE,IF(Table1[[#This Row],[return_reason]]="","Error","OK"),"OK")</f>
        <v>OK</v>
      </c>
      <c r="P619" s="8">
        <f>Table1[[#This Row],[original_price]]*Table1[[#This Row],[markdown_percentage]]/100</f>
        <v>0</v>
      </c>
      <c r="Q61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619" s="25">
        <f>Table1[[#This Row],[current_price]]*Table1[[#This Row],[stock_quantity]]</f>
        <v>4442.34</v>
      </c>
    </row>
    <row r="620" spans="1:18" x14ac:dyDescent="0.25">
      <c r="A620" s="2" t="s">
        <v>673</v>
      </c>
      <c r="B620" s="2" t="s">
        <v>42</v>
      </c>
      <c r="C620" s="2" t="s">
        <v>43</v>
      </c>
      <c r="D620" s="2" t="s">
        <v>34</v>
      </c>
      <c r="E620" s="2" t="s">
        <v>18</v>
      </c>
      <c r="F620" s="2" t="s">
        <v>46</v>
      </c>
      <c r="G620" s="8">
        <v>119.96</v>
      </c>
      <c r="H620" s="11">
        <v>0</v>
      </c>
      <c r="I620" s="8">
        <v>119.96</v>
      </c>
      <c r="J620" s="3">
        <v>45875</v>
      </c>
      <c r="K620" s="14">
        <v>5</v>
      </c>
      <c r="L620" s="17">
        <v>5</v>
      </c>
      <c r="M620" s="2" t="b">
        <v>0</v>
      </c>
      <c r="N620" s="2"/>
      <c r="O620" s="2" t="str">
        <f>IF(Table1[[#This Row],[is_returned]]=TRUE,IF(Table1[[#This Row],[return_reason]]="","Error","OK"),"OK")</f>
        <v>OK</v>
      </c>
      <c r="P620" s="8">
        <f>Table1[[#This Row],[original_price]]*Table1[[#This Row],[markdown_percentage]]/100</f>
        <v>0</v>
      </c>
      <c r="Q62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620" s="25">
        <f>Table1[[#This Row],[current_price]]*Table1[[#This Row],[stock_quantity]]</f>
        <v>599.79999999999995</v>
      </c>
    </row>
    <row r="621" spans="1:18" x14ac:dyDescent="0.25">
      <c r="A621" s="2" t="s">
        <v>674</v>
      </c>
      <c r="B621" s="2" t="s">
        <v>30</v>
      </c>
      <c r="C621" s="2" t="s">
        <v>75</v>
      </c>
      <c r="D621" s="2" t="s">
        <v>34</v>
      </c>
      <c r="E621" s="2" t="s">
        <v>49</v>
      </c>
      <c r="F621" s="2" t="s">
        <v>19</v>
      </c>
      <c r="G621" s="8">
        <v>130.21</v>
      </c>
      <c r="H621" s="11">
        <v>0</v>
      </c>
      <c r="I621" s="8">
        <v>130.21</v>
      </c>
      <c r="J621" s="3">
        <v>45875</v>
      </c>
      <c r="K621" s="14">
        <v>50</v>
      </c>
      <c r="L621" s="17">
        <v>4.7</v>
      </c>
      <c r="M621" s="2" t="b">
        <v>0</v>
      </c>
      <c r="N621" s="2"/>
      <c r="O621" s="2" t="str">
        <f>IF(Table1[[#This Row],[is_returned]]=TRUE,IF(Table1[[#This Row],[return_reason]]="","Error","OK"),"OK")</f>
        <v>OK</v>
      </c>
      <c r="P621" s="8">
        <f>Table1[[#This Row],[original_price]]*Table1[[#This Row],[markdown_percentage]]/100</f>
        <v>0</v>
      </c>
      <c r="Q62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621" s="25">
        <f>Table1[[#This Row],[current_price]]*Table1[[#This Row],[stock_quantity]]</f>
        <v>6510.5</v>
      </c>
    </row>
    <row r="622" spans="1:18" x14ac:dyDescent="0.25">
      <c r="A622" s="2" t="s">
        <v>675</v>
      </c>
      <c r="B622" s="2" t="s">
        <v>21</v>
      </c>
      <c r="C622" s="2" t="s">
        <v>32</v>
      </c>
      <c r="D622" s="2" t="s">
        <v>23</v>
      </c>
      <c r="E622" s="2" t="s">
        <v>55</v>
      </c>
      <c r="F622" s="2" t="s">
        <v>19</v>
      </c>
      <c r="G622" s="8">
        <v>49.68</v>
      </c>
      <c r="H622" s="11">
        <v>0</v>
      </c>
      <c r="I622" s="8">
        <v>49.68</v>
      </c>
      <c r="J622" s="3">
        <v>45875</v>
      </c>
      <c r="K622" s="14">
        <v>15</v>
      </c>
      <c r="L622" s="17">
        <v>2.8</v>
      </c>
      <c r="M622" s="2" t="b">
        <v>0</v>
      </c>
      <c r="N622" s="2"/>
      <c r="O622" s="2" t="str">
        <f>IF(Table1[[#This Row],[is_returned]]=TRUE,IF(Table1[[#This Row],[return_reason]]="","Error","OK"),"OK")</f>
        <v>OK</v>
      </c>
      <c r="P622" s="8">
        <f>Table1[[#This Row],[original_price]]*Table1[[#This Row],[markdown_percentage]]/100</f>
        <v>0</v>
      </c>
      <c r="Q62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622" s="25">
        <f>Table1[[#This Row],[current_price]]*Table1[[#This Row],[stock_quantity]]</f>
        <v>745.2</v>
      </c>
    </row>
    <row r="623" spans="1:18" x14ac:dyDescent="0.25">
      <c r="A623" s="2" t="s">
        <v>676</v>
      </c>
      <c r="B623" s="2" t="s">
        <v>27</v>
      </c>
      <c r="C623" s="2" t="s">
        <v>16</v>
      </c>
      <c r="D623" s="2" t="s">
        <v>17</v>
      </c>
      <c r="E623" s="2"/>
      <c r="F623" s="2" t="s">
        <v>66</v>
      </c>
      <c r="G623" s="8">
        <v>46.58</v>
      </c>
      <c r="H623" s="11">
        <v>0</v>
      </c>
      <c r="I623" s="8">
        <v>46.58</v>
      </c>
      <c r="J623" s="3">
        <v>45560</v>
      </c>
      <c r="K623" s="14">
        <v>42</v>
      </c>
      <c r="L623" s="17">
        <v>1.7</v>
      </c>
      <c r="M623" s="2" t="b">
        <v>0</v>
      </c>
      <c r="N623" s="2"/>
      <c r="O623" s="2" t="str">
        <f>IF(Table1[[#This Row],[is_returned]]=TRUE,IF(Table1[[#This Row],[return_reason]]="","Error","OK"),"OK")</f>
        <v>OK</v>
      </c>
      <c r="P623" s="8">
        <f>Table1[[#This Row],[original_price]]*Table1[[#This Row],[markdown_percentage]]/100</f>
        <v>0</v>
      </c>
      <c r="Q62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623" s="25">
        <f>Table1[[#This Row],[current_price]]*Table1[[#This Row],[stock_quantity]]</f>
        <v>1956.36</v>
      </c>
    </row>
    <row r="624" spans="1:18" x14ac:dyDescent="0.25">
      <c r="A624" s="2" t="s">
        <v>677</v>
      </c>
      <c r="B624" s="2" t="s">
        <v>27</v>
      </c>
      <c r="C624" s="2" t="s">
        <v>43</v>
      </c>
      <c r="D624" s="2" t="s">
        <v>62</v>
      </c>
      <c r="E624" s="2"/>
      <c r="F624" s="2" t="s">
        <v>70</v>
      </c>
      <c r="G624" s="8">
        <v>69.88</v>
      </c>
      <c r="H624" s="11">
        <v>0</v>
      </c>
      <c r="I624" s="8">
        <v>69.88</v>
      </c>
      <c r="J624" s="3">
        <v>45875</v>
      </c>
      <c r="K624" s="14">
        <v>8</v>
      </c>
      <c r="L624" s="17">
        <v>2.8</v>
      </c>
      <c r="M624" s="2" t="b">
        <v>0</v>
      </c>
      <c r="N624" s="2"/>
      <c r="O624" s="2" t="str">
        <f>IF(Table1[[#This Row],[is_returned]]=TRUE,IF(Table1[[#This Row],[return_reason]]="","Error","OK"),"OK")</f>
        <v>OK</v>
      </c>
      <c r="P624" s="8">
        <f>Table1[[#This Row],[original_price]]*Table1[[#This Row],[markdown_percentage]]/100</f>
        <v>0</v>
      </c>
      <c r="Q62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624" s="25">
        <f>Table1[[#This Row],[current_price]]*Table1[[#This Row],[stock_quantity]]</f>
        <v>559.04</v>
      </c>
    </row>
    <row r="625" spans="1:18" x14ac:dyDescent="0.25">
      <c r="A625" s="2" t="s">
        <v>678</v>
      </c>
      <c r="B625" s="2" t="s">
        <v>27</v>
      </c>
      <c r="C625" s="2" t="s">
        <v>75</v>
      </c>
      <c r="D625" s="2" t="s">
        <v>34</v>
      </c>
      <c r="E625" s="2"/>
      <c r="F625" s="2" t="s">
        <v>46</v>
      </c>
      <c r="G625" s="8">
        <v>32.15</v>
      </c>
      <c r="H625" s="11">
        <v>0</v>
      </c>
      <c r="I625" s="8">
        <v>32.15</v>
      </c>
      <c r="J625" s="3">
        <v>45875</v>
      </c>
      <c r="K625" s="14">
        <v>17</v>
      </c>
      <c r="L625" s="17">
        <v>1.9</v>
      </c>
      <c r="M625" s="2" t="b">
        <v>1</v>
      </c>
      <c r="N625" s="2" t="s">
        <v>83</v>
      </c>
      <c r="O625" s="2" t="str">
        <f>IF(Table1[[#This Row],[is_returned]]=TRUE,IF(Table1[[#This Row],[return_reason]]="","Error","OK"),"OK")</f>
        <v>OK</v>
      </c>
      <c r="P625" s="8">
        <f>Table1[[#This Row],[original_price]]*Table1[[#This Row],[markdown_percentage]]/100</f>
        <v>0</v>
      </c>
      <c r="Q62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625" s="25">
        <f>Table1[[#This Row],[current_price]]*Table1[[#This Row],[stock_quantity]]</f>
        <v>546.54999999999995</v>
      </c>
    </row>
    <row r="626" spans="1:18" x14ac:dyDescent="0.25">
      <c r="A626" s="2" t="s">
        <v>679</v>
      </c>
      <c r="B626" s="2" t="s">
        <v>38</v>
      </c>
      <c r="C626" s="2" t="s">
        <v>75</v>
      </c>
      <c r="D626" s="2" t="s">
        <v>62</v>
      </c>
      <c r="E626" s="2" t="s">
        <v>39</v>
      </c>
      <c r="F626" s="2" t="s">
        <v>28</v>
      </c>
      <c r="G626" s="8">
        <v>36.340000000000003</v>
      </c>
      <c r="H626" s="11">
        <v>0</v>
      </c>
      <c r="I626" s="8">
        <v>36.340000000000003</v>
      </c>
      <c r="J626" s="3">
        <v>45875</v>
      </c>
      <c r="K626" s="14">
        <v>6</v>
      </c>
      <c r="L626" s="17">
        <v>4.5</v>
      </c>
      <c r="M626" s="2" t="b">
        <v>1</v>
      </c>
      <c r="N626" s="2" t="s">
        <v>78</v>
      </c>
      <c r="O626" s="2" t="str">
        <f>IF(Table1[[#This Row],[is_returned]]=TRUE,IF(Table1[[#This Row],[return_reason]]="","Error","OK"),"OK")</f>
        <v>OK</v>
      </c>
      <c r="P626" s="8">
        <f>Table1[[#This Row],[original_price]]*Table1[[#This Row],[markdown_percentage]]/100</f>
        <v>0</v>
      </c>
      <c r="Q62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626" s="25">
        <f>Table1[[#This Row],[current_price]]*Table1[[#This Row],[stock_quantity]]</f>
        <v>218.04000000000002</v>
      </c>
    </row>
    <row r="627" spans="1:18" x14ac:dyDescent="0.25">
      <c r="A627" s="2" t="s">
        <v>680</v>
      </c>
      <c r="B627" s="2" t="s">
        <v>38</v>
      </c>
      <c r="C627" s="2" t="s">
        <v>43</v>
      </c>
      <c r="D627" s="2" t="s">
        <v>34</v>
      </c>
      <c r="E627" s="2" t="s">
        <v>58</v>
      </c>
      <c r="F627" s="2" t="s">
        <v>56</v>
      </c>
      <c r="G627" s="8">
        <v>93.01</v>
      </c>
      <c r="H627" s="11">
        <v>0</v>
      </c>
      <c r="I627" s="8">
        <v>93.01</v>
      </c>
      <c r="J627" s="3">
        <v>45875</v>
      </c>
      <c r="K627" s="14">
        <v>34</v>
      </c>
      <c r="L627" s="17">
        <v>1.4</v>
      </c>
      <c r="M627" s="2" t="b">
        <v>0</v>
      </c>
      <c r="N627" s="2"/>
      <c r="O627" s="2" t="str">
        <f>IF(Table1[[#This Row],[is_returned]]=TRUE,IF(Table1[[#This Row],[return_reason]]="","Error","OK"),"OK")</f>
        <v>OK</v>
      </c>
      <c r="P627" s="8">
        <f>Table1[[#This Row],[original_price]]*Table1[[#This Row],[markdown_percentage]]/100</f>
        <v>0</v>
      </c>
      <c r="Q62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627" s="25">
        <f>Table1[[#This Row],[current_price]]*Table1[[#This Row],[stock_quantity]]</f>
        <v>3162.34</v>
      </c>
    </row>
    <row r="628" spans="1:18" x14ac:dyDescent="0.25">
      <c r="A628" s="2" t="s">
        <v>681</v>
      </c>
      <c r="B628" s="2" t="s">
        <v>21</v>
      </c>
      <c r="C628" s="2" t="s">
        <v>61</v>
      </c>
      <c r="D628" s="2" t="s">
        <v>23</v>
      </c>
      <c r="E628" s="2" t="s">
        <v>39</v>
      </c>
      <c r="F628" s="2" t="s">
        <v>70</v>
      </c>
      <c r="G628" s="8">
        <v>75</v>
      </c>
      <c r="H628" s="11">
        <v>0</v>
      </c>
      <c r="I628" s="8">
        <v>75</v>
      </c>
      <c r="J628" s="3">
        <v>45875</v>
      </c>
      <c r="K628" s="14">
        <v>19</v>
      </c>
      <c r="L628" s="17">
        <v>1.6</v>
      </c>
      <c r="M628" s="2" t="b">
        <v>0</v>
      </c>
      <c r="N628" s="2"/>
      <c r="O628" s="2" t="str">
        <f>IF(Table1[[#This Row],[is_returned]]=TRUE,IF(Table1[[#This Row],[return_reason]]="","Error","OK"),"OK")</f>
        <v>OK</v>
      </c>
      <c r="P628" s="8">
        <f>Table1[[#This Row],[original_price]]*Table1[[#This Row],[markdown_percentage]]/100</f>
        <v>0</v>
      </c>
      <c r="Q62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628" s="25">
        <f>Table1[[#This Row],[current_price]]*Table1[[#This Row],[stock_quantity]]</f>
        <v>1425</v>
      </c>
    </row>
    <row r="629" spans="1:18" x14ac:dyDescent="0.25">
      <c r="A629" s="2" t="s">
        <v>682</v>
      </c>
      <c r="B629" s="2" t="s">
        <v>15</v>
      </c>
      <c r="C629" s="2" t="s">
        <v>16</v>
      </c>
      <c r="D629" s="2" t="s">
        <v>34</v>
      </c>
      <c r="E629" s="2" t="s">
        <v>58</v>
      </c>
      <c r="F629" s="2" t="s">
        <v>44</v>
      </c>
      <c r="G629" s="8">
        <v>81.63</v>
      </c>
      <c r="H629" s="11">
        <v>12.4</v>
      </c>
      <c r="I629" s="8">
        <v>71.510000000000005</v>
      </c>
      <c r="J629" s="3">
        <v>45875</v>
      </c>
      <c r="K629" s="14">
        <v>3</v>
      </c>
      <c r="L629" s="17"/>
      <c r="M629" s="2" t="b">
        <v>0</v>
      </c>
      <c r="N629" s="2"/>
      <c r="O629" s="2" t="str">
        <f>IF(Table1[[#This Row],[is_returned]]=TRUE,IF(Table1[[#This Row],[return_reason]]="","Error","OK"),"OK")</f>
        <v>OK</v>
      </c>
      <c r="P629" s="8">
        <f>Table1[[#This Row],[original_price]]*Table1[[#This Row],[markdown_percentage]]/100</f>
        <v>10.122120000000001</v>
      </c>
      <c r="Q62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629" s="25">
        <f>Table1[[#This Row],[current_price]]*Table1[[#This Row],[stock_quantity]]</f>
        <v>214.53000000000003</v>
      </c>
    </row>
    <row r="630" spans="1:18" x14ac:dyDescent="0.25">
      <c r="A630" s="2" t="s">
        <v>683</v>
      </c>
      <c r="B630" s="2" t="s">
        <v>38</v>
      </c>
      <c r="C630" s="2" t="s">
        <v>22</v>
      </c>
      <c r="D630" s="2" t="s">
        <v>17</v>
      </c>
      <c r="E630" s="2" t="s">
        <v>18</v>
      </c>
      <c r="F630" s="2" t="s">
        <v>40</v>
      </c>
      <c r="G630" s="8">
        <v>109.81</v>
      </c>
      <c r="H630" s="11">
        <v>0</v>
      </c>
      <c r="I630" s="8">
        <v>109.81</v>
      </c>
      <c r="J630" s="3">
        <v>45862</v>
      </c>
      <c r="K630" s="14">
        <v>17</v>
      </c>
      <c r="L630" s="17">
        <v>1.9</v>
      </c>
      <c r="M630" s="2" t="b">
        <v>0</v>
      </c>
      <c r="N630" s="2"/>
      <c r="O630" s="2" t="str">
        <f>IF(Table1[[#This Row],[is_returned]]=TRUE,IF(Table1[[#This Row],[return_reason]]="","Error","OK"),"OK")</f>
        <v>OK</v>
      </c>
      <c r="P630" s="8">
        <f>Table1[[#This Row],[original_price]]*Table1[[#This Row],[markdown_percentage]]/100</f>
        <v>0</v>
      </c>
      <c r="Q63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630" s="25">
        <f>Table1[[#This Row],[current_price]]*Table1[[#This Row],[stock_quantity]]</f>
        <v>1866.77</v>
      </c>
    </row>
    <row r="631" spans="1:18" x14ac:dyDescent="0.25">
      <c r="A631" s="2" t="s">
        <v>684</v>
      </c>
      <c r="B631" s="2" t="s">
        <v>38</v>
      </c>
      <c r="C631" s="2" t="s">
        <v>53</v>
      </c>
      <c r="D631" s="2" t="s">
        <v>34</v>
      </c>
      <c r="E631" s="2"/>
      <c r="F631" s="2" t="s">
        <v>28</v>
      </c>
      <c r="G631" s="8">
        <v>47.7</v>
      </c>
      <c r="H631" s="11">
        <v>0</v>
      </c>
      <c r="I631" s="8">
        <v>47.7</v>
      </c>
      <c r="J631" s="3">
        <v>45875</v>
      </c>
      <c r="K631" s="14">
        <v>14</v>
      </c>
      <c r="L631" s="17">
        <v>2.2999999999999998</v>
      </c>
      <c r="M631" s="2" t="b">
        <v>0</v>
      </c>
      <c r="N631" s="2"/>
      <c r="O631" s="2" t="str">
        <f>IF(Table1[[#This Row],[is_returned]]=TRUE,IF(Table1[[#This Row],[return_reason]]="","Error","OK"),"OK")</f>
        <v>OK</v>
      </c>
      <c r="P631" s="8">
        <f>Table1[[#This Row],[original_price]]*Table1[[#This Row],[markdown_percentage]]/100</f>
        <v>0</v>
      </c>
      <c r="Q63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631" s="25">
        <f>Table1[[#This Row],[current_price]]*Table1[[#This Row],[stock_quantity]]</f>
        <v>667.80000000000007</v>
      </c>
    </row>
    <row r="632" spans="1:18" x14ac:dyDescent="0.25">
      <c r="A632" s="2" t="s">
        <v>685</v>
      </c>
      <c r="B632" s="2" t="s">
        <v>21</v>
      </c>
      <c r="C632" s="2" t="s">
        <v>32</v>
      </c>
      <c r="D632" s="2" t="s">
        <v>23</v>
      </c>
      <c r="E632" s="2" t="s">
        <v>39</v>
      </c>
      <c r="F632" s="2" t="s">
        <v>19</v>
      </c>
      <c r="G632" s="8">
        <v>96.08</v>
      </c>
      <c r="H632" s="11">
        <v>0</v>
      </c>
      <c r="I632" s="8">
        <v>96.08</v>
      </c>
      <c r="J632" s="3">
        <v>45875</v>
      </c>
      <c r="K632" s="14">
        <v>7</v>
      </c>
      <c r="L632" s="17">
        <v>2.5</v>
      </c>
      <c r="M632" s="2" t="b">
        <v>0</v>
      </c>
      <c r="N632" s="2"/>
      <c r="O632" s="2" t="str">
        <f>IF(Table1[[#This Row],[is_returned]]=TRUE,IF(Table1[[#This Row],[return_reason]]="","Error","OK"),"OK")</f>
        <v>OK</v>
      </c>
      <c r="P632" s="8">
        <f>Table1[[#This Row],[original_price]]*Table1[[#This Row],[markdown_percentage]]/100</f>
        <v>0</v>
      </c>
      <c r="Q63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632" s="25">
        <f>Table1[[#This Row],[current_price]]*Table1[[#This Row],[stock_quantity]]</f>
        <v>672.56</v>
      </c>
    </row>
    <row r="633" spans="1:18" x14ac:dyDescent="0.25">
      <c r="A633" s="2" t="s">
        <v>686</v>
      </c>
      <c r="B633" s="2" t="s">
        <v>21</v>
      </c>
      <c r="C633" s="2" t="s">
        <v>48</v>
      </c>
      <c r="D633" s="2" t="s">
        <v>23</v>
      </c>
      <c r="E633" s="2" t="s">
        <v>55</v>
      </c>
      <c r="F633" s="2" t="s">
        <v>70</v>
      </c>
      <c r="G633" s="8">
        <v>28</v>
      </c>
      <c r="H633" s="11">
        <v>2.6</v>
      </c>
      <c r="I633" s="8">
        <v>27.27</v>
      </c>
      <c r="J633" s="3">
        <v>45875</v>
      </c>
      <c r="K633" s="14">
        <v>2</v>
      </c>
      <c r="L633" s="17"/>
      <c r="M633" s="2" t="b">
        <v>0</v>
      </c>
      <c r="N633" s="2"/>
      <c r="O633" s="2" t="str">
        <f>IF(Table1[[#This Row],[is_returned]]=TRUE,IF(Table1[[#This Row],[return_reason]]="","Error","OK"),"OK")</f>
        <v>OK</v>
      </c>
      <c r="P633" s="8">
        <f>Table1[[#This Row],[original_price]]*Table1[[#This Row],[markdown_percentage]]/100</f>
        <v>0.72799999999999998</v>
      </c>
      <c r="Q63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633" s="25">
        <f>Table1[[#This Row],[current_price]]*Table1[[#This Row],[stock_quantity]]</f>
        <v>54.54</v>
      </c>
    </row>
    <row r="634" spans="1:18" x14ac:dyDescent="0.25">
      <c r="A634" s="2" t="s">
        <v>687</v>
      </c>
      <c r="B634" s="2" t="s">
        <v>38</v>
      </c>
      <c r="C634" s="2" t="s">
        <v>16</v>
      </c>
      <c r="D634" s="2" t="s">
        <v>23</v>
      </c>
      <c r="E634" s="2" t="s">
        <v>39</v>
      </c>
      <c r="F634" s="2" t="s">
        <v>70</v>
      </c>
      <c r="G634" s="8">
        <v>52.43</v>
      </c>
      <c r="H634" s="11">
        <v>6.4</v>
      </c>
      <c r="I634" s="8">
        <v>49.07</v>
      </c>
      <c r="J634" s="3">
        <v>45875</v>
      </c>
      <c r="K634" s="14">
        <v>42</v>
      </c>
      <c r="L634" s="17">
        <v>2.6</v>
      </c>
      <c r="M634" s="2" t="b">
        <v>0</v>
      </c>
      <c r="N634" s="2"/>
      <c r="O634" s="2" t="str">
        <f>IF(Table1[[#This Row],[is_returned]]=TRUE,IF(Table1[[#This Row],[return_reason]]="","Error","OK"),"OK")</f>
        <v>OK</v>
      </c>
      <c r="P634" s="8">
        <f>Table1[[#This Row],[original_price]]*Table1[[#This Row],[markdown_percentage]]/100</f>
        <v>3.3555200000000003</v>
      </c>
      <c r="Q63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634" s="25">
        <f>Table1[[#This Row],[current_price]]*Table1[[#This Row],[stock_quantity]]</f>
        <v>2060.94</v>
      </c>
    </row>
    <row r="635" spans="1:18" x14ac:dyDescent="0.25">
      <c r="A635" s="2" t="s">
        <v>688</v>
      </c>
      <c r="B635" s="2" t="s">
        <v>27</v>
      </c>
      <c r="C635" s="2" t="s">
        <v>61</v>
      </c>
      <c r="D635" s="2" t="s">
        <v>62</v>
      </c>
      <c r="E635" s="2"/>
      <c r="F635" s="2" t="s">
        <v>25</v>
      </c>
      <c r="G635" s="8">
        <v>67.95</v>
      </c>
      <c r="H635" s="11">
        <v>18.3</v>
      </c>
      <c r="I635" s="8">
        <v>55.52</v>
      </c>
      <c r="J635" s="3">
        <v>45875</v>
      </c>
      <c r="K635" s="14">
        <v>37</v>
      </c>
      <c r="L635" s="17"/>
      <c r="M635" s="2" t="b">
        <v>0</v>
      </c>
      <c r="N635" s="2"/>
      <c r="O635" s="2" t="str">
        <f>IF(Table1[[#This Row],[is_returned]]=TRUE,IF(Table1[[#This Row],[return_reason]]="","Error","OK"),"OK")</f>
        <v>OK</v>
      </c>
      <c r="P635" s="8">
        <f>Table1[[#This Row],[original_price]]*Table1[[#This Row],[markdown_percentage]]/100</f>
        <v>12.434850000000001</v>
      </c>
      <c r="Q63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635" s="25">
        <f>Table1[[#This Row],[current_price]]*Table1[[#This Row],[stock_quantity]]</f>
        <v>2054.2400000000002</v>
      </c>
    </row>
    <row r="636" spans="1:18" x14ac:dyDescent="0.25">
      <c r="A636" s="2" t="s">
        <v>689</v>
      </c>
      <c r="B636" s="2" t="s">
        <v>42</v>
      </c>
      <c r="C636" s="2" t="s">
        <v>53</v>
      </c>
      <c r="D636" s="2" t="s">
        <v>34</v>
      </c>
      <c r="E636" s="2"/>
      <c r="F636" s="2" t="s">
        <v>19</v>
      </c>
      <c r="G636" s="8">
        <v>131.91999999999999</v>
      </c>
      <c r="H636" s="11">
        <v>0</v>
      </c>
      <c r="I636" s="8">
        <v>131.91999999999999</v>
      </c>
      <c r="J636" s="3">
        <v>45875</v>
      </c>
      <c r="K636" s="14">
        <v>10</v>
      </c>
      <c r="L636" s="17">
        <v>2.5</v>
      </c>
      <c r="M636" s="2" t="b">
        <v>0</v>
      </c>
      <c r="N636" s="2"/>
      <c r="O636" s="2" t="str">
        <f>IF(Table1[[#This Row],[is_returned]]=TRUE,IF(Table1[[#This Row],[return_reason]]="","Error","OK"),"OK")</f>
        <v>OK</v>
      </c>
      <c r="P636" s="8">
        <f>Table1[[#This Row],[original_price]]*Table1[[#This Row],[markdown_percentage]]/100</f>
        <v>0</v>
      </c>
      <c r="Q63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636" s="25">
        <f>Table1[[#This Row],[current_price]]*Table1[[#This Row],[stock_quantity]]</f>
        <v>1319.1999999999998</v>
      </c>
    </row>
    <row r="637" spans="1:18" x14ac:dyDescent="0.25">
      <c r="A637" s="2" t="s">
        <v>690</v>
      </c>
      <c r="B637" s="2" t="s">
        <v>15</v>
      </c>
      <c r="C637" s="2" t="s">
        <v>53</v>
      </c>
      <c r="D637" s="2" t="s">
        <v>17</v>
      </c>
      <c r="E637" s="2" t="s">
        <v>55</v>
      </c>
      <c r="F637" s="2" t="s">
        <v>35</v>
      </c>
      <c r="G637" s="8">
        <v>205.77</v>
      </c>
      <c r="H637" s="11">
        <v>0</v>
      </c>
      <c r="I637" s="8">
        <v>205.77</v>
      </c>
      <c r="J637" s="3">
        <v>45688</v>
      </c>
      <c r="K637" s="14">
        <v>38</v>
      </c>
      <c r="L637" s="17">
        <v>1</v>
      </c>
      <c r="M637" s="2" t="b">
        <v>0</v>
      </c>
      <c r="N637" s="2"/>
      <c r="O637" s="2" t="str">
        <f>IF(Table1[[#This Row],[is_returned]]=TRUE,IF(Table1[[#This Row],[return_reason]]="","Error","OK"),"OK")</f>
        <v>OK</v>
      </c>
      <c r="P637" s="8">
        <f>Table1[[#This Row],[original_price]]*Table1[[#This Row],[markdown_percentage]]/100</f>
        <v>0</v>
      </c>
      <c r="Q63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637" s="25">
        <f>Table1[[#This Row],[current_price]]*Table1[[#This Row],[stock_quantity]]</f>
        <v>7819.26</v>
      </c>
    </row>
    <row r="638" spans="1:18" x14ac:dyDescent="0.25">
      <c r="A638" s="2" t="s">
        <v>691</v>
      </c>
      <c r="B638" s="2" t="s">
        <v>21</v>
      </c>
      <c r="C638" s="2" t="s">
        <v>22</v>
      </c>
      <c r="D638" s="2" t="s">
        <v>23</v>
      </c>
      <c r="E638" s="2" t="s">
        <v>18</v>
      </c>
      <c r="F638" s="2" t="s">
        <v>35</v>
      </c>
      <c r="G638" s="8">
        <v>97.88</v>
      </c>
      <c r="H638" s="11">
        <v>11.3</v>
      </c>
      <c r="I638" s="8">
        <v>86.82</v>
      </c>
      <c r="J638" s="3">
        <v>45875</v>
      </c>
      <c r="K638" s="14">
        <v>27</v>
      </c>
      <c r="L638" s="17">
        <v>1.3</v>
      </c>
      <c r="M638" s="2" t="b">
        <v>0</v>
      </c>
      <c r="N638" s="2"/>
      <c r="O638" s="2" t="str">
        <f>IF(Table1[[#This Row],[is_returned]]=TRUE,IF(Table1[[#This Row],[return_reason]]="","Error","OK"),"OK")</f>
        <v>OK</v>
      </c>
      <c r="P638" s="8">
        <f>Table1[[#This Row],[original_price]]*Table1[[#This Row],[markdown_percentage]]/100</f>
        <v>11.060440000000002</v>
      </c>
      <c r="Q63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638" s="25">
        <f>Table1[[#This Row],[current_price]]*Table1[[#This Row],[stock_quantity]]</f>
        <v>2344.14</v>
      </c>
    </row>
    <row r="639" spans="1:18" x14ac:dyDescent="0.25">
      <c r="A639" s="2" t="s">
        <v>692</v>
      </c>
      <c r="B639" s="2" t="s">
        <v>30</v>
      </c>
      <c r="C639" s="2" t="s">
        <v>16</v>
      </c>
      <c r="D639" s="2" t="s">
        <v>62</v>
      </c>
      <c r="E639" s="2" t="s">
        <v>24</v>
      </c>
      <c r="F639" s="2" t="s">
        <v>40</v>
      </c>
      <c r="G639" s="8">
        <v>109.55</v>
      </c>
      <c r="H639" s="11">
        <v>0</v>
      </c>
      <c r="I639" s="8">
        <v>109.55</v>
      </c>
      <c r="J639" s="3">
        <v>45875</v>
      </c>
      <c r="K639" s="14">
        <v>32</v>
      </c>
      <c r="L639" s="17">
        <v>1.4</v>
      </c>
      <c r="M639" s="2" t="b">
        <v>0</v>
      </c>
      <c r="N639" s="2"/>
      <c r="O639" s="2" t="str">
        <f>IF(Table1[[#This Row],[is_returned]]=TRUE,IF(Table1[[#This Row],[return_reason]]="","Error","OK"),"OK")</f>
        <v>OK</v>
      </c>
      <c r="P639" s="8">
        <f>Table1[[#This Row],[original_price]]*Table1[[#This Row],[markdown_percentage]]/100</f>
        <v>0</v>
      </c>
      <c r="Q63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639" s="25">
        <f>Table1[[#This Row],[current_price]]*Table1[[#This Row],[stock_quantity]]</f>
        <v>3505.6</v>
      </c>
    </row>
    <row r="640" spans="1:18" x14ac:dyDescent="0.25">
      <c r="A640" s="2" t="s">
        <v>693</v>
      </c>
      <c r="B640" s="2" t="s">
        <v>38</v>
      </c>
      <c r="C640" s="2" t="s">
        <v>16</v>
      </c>
      <c r="D640" s="2" t="s">
        <v>34</v>
      </c>
      <c r="E640" s="2" t="s">
        <v>24</v>
      </c>
      <c r="F640" s="2" t="s">
        <v>40</v>
      </c>
      <c r="G640" s="8">
        <v>52.94</v>
      </c>
      <c r="H640" s="11">
        <v>10.6</v>
      </c>
      <c r="I640" s="8">
        <v>47.33</v>
      </c>
      <c r="J640" s="3">
        <v>45875</v>
      </c>
      <c r="K640" s="14">
        <v>50</v>
      </c>
      <c r="L640" s="17">
        <v>2.7</v>
      </c>
      <c r="M640" s="2" t="b">
        <v>0</v>
      </c>
      <c r="N640" s="2"/>
      <c r="O640" s="2" t="str">
        <f>IF(Table1[[#This Row],[is_returned]]=TRUE,IF(Table1[[#This Row],[return_reason]]="","Error","OK"),"OK")</f>
        <v>OK</v>
      </c>
      <c r="P640" s="8">
        <f>Table1[[#This Row],[original_price]]*Table1[[#This Row],[markdown_percentage]]/100</f>
        <v>5.6116399999999995</v>
      </c>
      <c r="Q64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640" s="25">
        <f>Table1[[#This Row],[current_price]]*Table1[[#This Row],[stock_quantity]]</f>
        <v>2366.5</v>
      </c>
    </row>
    <row r="641" spans="1:18" x14ac:dyDescent="0.25">
      <c r="A641" s="2" t="s">
        <v>694</v>
      </c>
      <c r="B641" s="2" t="s">
        <v>38</v>
      </c>
      <c r="C641" s="2" t="s">
        <v>32</v>
      </c>
      <c r="D641" s="2" t="s">
        <v>23</v>
      </c>
      <c r="E641" s="2" t="s">
        <v>55</v>
      </c>
      <c r="F641" s="2" t="s">
        <v>25</v>
      </c>
      <c r="G641" s="8">
        <v>70.83</v>
      </c>
      <c r="H641" s="11">
        <v>18</v>
      </c>
      <c r="I641" s="8">
        <v>58.08</v>
      </c>
      <c r="J641" s="3">
        <v>45875</v>
      </c>
      <c r="K641" s="14">
        <v>21</v>
      </c>
      <c r="L641" s="17">
        <v>2.9</v>
      </c>
      <c r="M641" s="2" t="b">
        <v>0</v>
      </c>
      <c r="N641" s="2"/>
      <c r="O641" s="2" t="str">
        <f>IF(Table1[[#This Row],[is_returned]]=TRUE,IF(Table1[[#This Row],[return_reason]]="","Error","OK"),"OK")</f>
        <v>OK</v>
      </c>
      <c r="P641" s="8">
        <f>Table1[[#This Row],[original_price]]*Table1[[#This Row],[markdown_percentage]]/100</f>
        <v>12.749400000000001</v>
      </c>
      <c r="Q64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641" s="25">
        <f>Table1[[#This Row],[current_price]]*Table1[[#This Row],[stock_quantity]]</f>
        <v>1219.68</v>
      </c>
    </row>
    <row r="642" spans="1:18" x14ac:dyDescent="0.25">
      <c r="A642" s="2" t="s">
        <v>695</v>
      </c>
      <c r="B642" s="2" t="s">
        <v>42</v>
      </c>
      <c r="C642" s="2" t="s">
        <v>43</v>
      </c>
      <c r="D642" s="2" t="s">
        <v>34</v>
      </c>
      <c r="E642" s="2" t="s">
        <v>24</v>
      </c>
      <c r="F642" s="2" t="s">
        <v>64</v>
      </c>
      <c r="G642" s="8">
        <v>53.17</v>
      </c>
      <c r="H642" s="11">
        <v>0</v>
      </c>
      <c r="I642" s="8">
        <v>53.17</v>
      </c>
      <c r="J642" s="3">
        <v>45875</v>
      </c>
      <c r="K642" s="14">
        <v>14</v>
      </c>
      <c r="L642" s="17">
        <v>4.5</v>
      </c>
      <c r="M642" s="2" t="b">
        <v>1</v>
      </c>
      <c r="N642" s="2" t="s">
        <v>115</v>
      </c>
      <c r="O642" s="2" t="str">
        <f>IF(Table1[[#This Row],[is_returned]]=TRUE,IF(Table1[[#This Row],[return_reason]]="","Error","OK"),"OK")</f>
        <v>OK</v>
      </c>
      <c r="P642" s="8">
        <f>Table1[[#This Row],[original_price]]*Table1[[#This Row],[markdown_percentage]]/100</f>
        <v>0</v>
      </c>
      <c r="Q64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642" s="25">
        <f>Table1[[#This Row],[current_price]]*Table1[[#This Row],[stock_quantity]]</f>
        <v>744.38</v>
      </c>
    </row>
    <row r="643" spans="1:18" x14ac:dyDescent="0.25">
      <c r="A643" s="2" t="s">
        <v>696</v>
      </c>
      <c r="B643" s="2" t="s">
        <v>38</v>
      </c>
      <c r="C643" s="2" t="s">
        <v>32</v>
      </c>
      <c r="D643" s="2" t="s">
        <v>62</v>
      </c>
      <c r="E643" s="2" t="s">
        <v>55</v>
      </c>
      <c r="F643" s="2" t="s">
        <v>56</v>
      </c>
      <c r="G643" s="8">
        <v>119.56</v>
      </c>
      <c r="H643" s="11">
        <v>46.2</v>
      </c>
      <c r="I643" s="8">
        <v>64.319999999999993</v>
      </c>
      <c r="J643" s="3">
        <v>45875</v>
      </c>
      <c r="K643" s="14">
        <v>14</v>
      </c>
      <c r="L643" s="17"/>
      <c r="M643" s="2" t="b">
        <v>0</v>
      </c>
      <c r="N643" s="2"/>
      <c r="O643" s="2" t="str">
        <f>IF(Table1[[#This Row],[is_returned]]=TRUE,IF(Table1[[#This Row],[return_reason]]="","Error","OK"),"OK")</f>
        <v>OK</v>
      </c>
      <c r="P643" s="8">
        <f>Table1[[#This Row],[original_price]]*Table1[[#This Row],[markdown_percentage]]/100</f>
        <v>55.236720000000005</v>
      </c>
      <c r="Q64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643" s="25">
        <f>Table1[[#This Row],[current_price]]*Table1[[#This Row],[stock_quantity]]</f>
        <v>900.4799999999999</v>
      </c>
    </row>
    <row r="644" spans="1:18" x14ac:dyDescent="0.25">
      <c r="A644" s="2" t="s">
        <v>697</v>
      </c>
      <c r="B644" s="2" t="s">
        <v>42</v>
      </c>
      <c r="C644" s="2" t="s">
        <v>43</v>
      </c>
      <c r="D644" s="2" t="s">
        <v>23</v>
      </c>
      <c r="E644" s="2" t="s">
        <v>39</v>
      </c>
      <c r="F644" s="2" t="s">
        <v>44</v>
      </c>
      <c r="G644" s="8">
        <v>144.43</v>
      </c>
      <c r="H644" s="11">
        <v>0</v>
      </c>
      <c r="I644" s="8">
        <v>144.43</v>
      </c>
      <c r="J644" s="3">
        <v>45875</v>
      </c>
      <c r="K644" s="14">
        <v>41</v>
      </c>
      <c r="L644" s="17">
        <v>3.6</v>
      </c>
      <c r="M644" s="2" t="b">
        <v>0</v>
      </c>
      <c r="N644" s="2"/>
      <c r="O644" s="2" t="str">
        <f>IF(Table1[[#This Row],[is_returned]]=TRUE,IF(Table1[[#This Row],[return_reason]]="","Error","OK"),"OK")</f>
        <v>OK</v>
      </c>
      <c r="P644" s="8">
        <f>Table1[[#This Row],[original_price]]*Table1[[#This Row],[markdown_percentage]]/100</f>
        <v>0</v>
      </c>
      <c r="Q64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644" s="25">
        <f>Table1[[#This Row],[current_price]]*Table1[[#This Row],[stock_quantity]]</f>
        <v>5921.63</v>
      </c>
    </row>
    <row r="645" spans="1:18" x14ac:dyDescent="0.25">
      <c r="A645" s="2" t="s">
        <v>698</v>
      </c>
      <c r="B645" s="2" t="s">
        <v>15</v>
      </c>
      <c r="C645" s="2" t="s">
        <v>43</v>
      </c>
      <c r="D645" s="2" t="s">
        <v>17</v>
      </c>
      <c r="E645" s="2" t="s">
        <v>39</v>
      </c>
      <c r="F645" s="2" t="s">
        <v>66</v>
      </c>
      <c r="G645" s="8">
        <v>172.93</v>
      </c>
      <c r="H645" s="11">
        <v>0</v>
      </c>
      <c r="I645" s="8">
        <v>172.93</v>
      </c>
      <c r="J645" s="3">
        <v>45759</v>
      </c>
      <c r="K645" s="14">
        <v>43</v>
      </c>
      <c r="L645" s="17">
        <v>4.7</v>
      </c>
      <c r="M645" s="2" t="b">
        <v>1</v>
      </c>
      <c r="N645" s="2" t="s">
        <v>83</v>
      </c>
      <c r="O645" s="2" t="str">
        <f>IF(Table1[[#This Row],[is_returned]]=TRUE,IF(Table1[[#This Row],[return_reason]]="","Error","OK"),"OK")</f>
        <v>OK</v>
      </c>
      <c r="P645" s="8">
        <f>Table1[[#This Row],[original_price]]*Table1[[#This Row],[markdown_percentage]]/100</f>
        <v>0</v>
      </c>
      <c r="Q64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645" s="25">
        <f>Table1[[#This Row],[current_price]]*Table1[[#This Row],[stock_quantity]]</f>
        <v>7435.9900000000007</v>
      </c>
    </row>
    <row r="646" spans="1:18" x14ac:dyDescent="0.25">
      <c r="A646" s="2" t="s">
        <v>699</v>
      </c>
      <c r="B646" s="2" t="s">
        <v>15</v>
      </c>
      <c r="C646" s="2" t="s">
        <v>61</v>
      </c>
      <c r="D646" s="2" t="s">
        <v>23</v>
      </c>
      <c r="E646" s="2" t="s">
        <v>18</v>
      </c>
      <c r="F646" s="2" t="s">
        <v>56</v>
      </c>
      <c r="G646" s="8">
        <v>191.95</v>
      </c>
      <c r="H646" s="11">
        <v>40.4</v>
      </c>
      <c r="I646" s="8">
        <v>114.4</v>
      </c>
      <c r="J646" s="3">
        <v>45875</v>
      </c>
      <c r="K646" s="14">
        <v>21</v>
      </c>
      <c r="L646" s="17">
        <v>2.9</v>
      </c>
      <c r="M646" s="2" t="b">
        <v>0</v>
      </c>
      <c r="N646" s="2"/>
      <c r="O646" s="2" t="str">
        <f>IF(Table1[[#This Row],[is_returned]]=TRUE,IF(Table1[[#This Row],[return_reason]]="","Error","OK"),"OK")</f>
        <v>OK</v>
      </c>
      <c r="P646" s="8">
        <f>Table1[[#This Row],[original_price]]*Table1[[#This Row],[markdown_percentage]]/100</f>
        <v>77.547799999999995</v>
      </c>
      <c r="Q64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646" s="25">
        <f>Table1[[#This Row],[current_price]]*Table1[[#This Row],[stock_quantity]]</f>
        <v>2402.4</v>
      </c>
    </row>
    <row r="647" spans="1:18" x14ac:dyDescent="0.25">
      <c r="A647" s="2" t="s">
        <v>700</v>
      </c>
      <c r="B647" s="2" t="s">
        <v>42</v>
      </c>
      <c r="C647" s="2" t="s">
        <v>48</v>
      </c>
      <c r="D647" s="2" t="s">
        <v>23</v>
      </c>
      <c r="E647" s="2" t="s">
        <v>58</v>
      </c>
      <c r="F647" s="2" t="s">
        <v>28</v>
      </c>
      <c r="G647" s="8">
        <v>128.56</v>
      </c>
      <c r="H647" s="11">
        <v>0</v>
      </c>
      <c r="I647" s="8">
        <v>128.56</v>
      </c>
      <c r="J647" s="3">
        <v>45875</v>
      </c>
      <c r="K647" s="14">
        <v>45</v>
      </c>
      <c r="L647" s="17">
        <v>2.4</v>
      </c>
      <c r="M647" s="2" t="b">
        <v>0</v>
      </c>
      <c r="N647" s="2"/>
      <c r="O647" s="2" t="str">
        <f>IF(Table1[[#This Row],[is_returned]]=TRUE,IF(Table1[[#This Row],[return_reason]]="","Error","OK"),"OK")</f>
        <v>OK</v>
      </c>
      <c r="P647" s="8">
        <f>Table1[[#This Row],[original_price]]*Table1[[#This Row],[markdown_percentage]]/100</f>
        <v>0</v>
      </c>
      <c r="Q64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647" s="25">
        <f>Table1[[#This Row],[current_price]]*Table1[[#This Row],[stock_quantity]]</f>
        <v>5785.2</v>
      </c>
    </row>
    <row r="648" spans="1:18" x14ac:dyDescent="0.25">
      <c r="A648" s="2" t="s">
        <v>701</v>
      </c>
      <c r="B648" s="2" t="s">
        <v>42</v>
      </c>
      <c r="C648" s="2" t="s">
        <v>48</v>
      </c>
      <c r="D648" s="2" t="s">
        <v>62</v>
      </c>
      <c r="E648" s="2" t="s">
        <v>24</v>
      </c>
      <c r="F648" s="2" t="s">
        <v>35</v>
      </c>
      <c r="G648" s="8">
        <v>123.08</v>
      </c>
      <c r="H648" s="11">
        <v>53</v>
      </c>
      <c r="I648" s="8">
        <v>57.85</v>
      </c>
      <c r="J648" s="3">
        <v>45875</v>
      </c>
      <c r="K648" s="14">
        <v>38</v>
      </c>
      <c r="L648" s="17">
        <v>2.5</v>
      </c>
      <c r="M648" s="2" t="b">
        <v>0</v>
      </c>
      <c r="N648" s="2"/>
      <c r="O648" s="2" t="str">
        <f>IF(Table1[[#This Row],[is_returned]]=TRUE,IF(Table1[[#This Row],[return_reason]]="","Error","OK"),"OK")</f>
        <v>OK</v>
      </c>
      <c r="P648" s="8">
        <f>Table1[[#This Row],[original_price]]*Table1[[#This Row],[markdown_percentage]]/100</f>
        <v>65.232399999999998</v>
      </c>
      <c r="Q64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648" s="25">
        <f>Table1[[#This Row],[current_price]]*Table1[[#This Row],[stock_quantity]]</f>
        <v>2198.3000000000002</v>
      </c>
    </row>
    <row r="649" spans="1:18" x14ac:dyDescent="0.25">
      <c r="A649" s="2" t="s">
        <v>702</v>
      </c>
      <c r="B649" s="2" t="s">
        <v>15</v>
      </c>
      <c r="C649" s="2" t="s">
        <v>53</v>
      </c>
      <c r="D649" s="2" t="s">
        <v>17</v>
      </c>
      <c r="E649" s="2" t="s">
        <v>39</v>
      </c>
      <c r="F649" s="2" t="s">
        <v>66</v>
      </c>
      <c r="G649" s="8">
        <v>119.78</v>
      </c>
      <c r="H649" s="11">
        <v>0</v>
      </c>
      <c r="I649" s="8">
        <v>119.78</v>
      </c>
      <c r="J649" s="3">
        <v>45751</v>
      </c>
      <c r="K649" s="14">
        <v>22</v>
      </c>
      <c r="L649" s="17">
        <v>1.5</v>
      </c>
      <c r="M649" s="2" t="b">
        <v>1</v>
      </c>
      <c r="N649" s="2" t="s">
        <v>36</v>
      </c>
      <c r="O649" s="2" t="str">
        <f>IF(Table1[[#This Row],[is_returned]]=TRUE,IF(Table1[[#This Row],[return_reason]]="","Error","OK"),"OK")</f>
        <v>OK</v>
      </c>
      <c r="P649" s="8">
        <f>Table1[[#This Row],[original_price]]*Table1[[#This Row],[markdown_percentage]]/100</f>
        <v>0</v>
      </c>
      <c r="Q64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649" s="25">
        <f>Table1[[#This Row],[current_price]]*Table1[[#This Row],[stock_quantity]]</f>
        <v>2635.16</v>
      </c>
    </row>
    <row r="650" spans="1:18" x14ac:dyDescent="0.25">
      <c r="A650" s="2" t="s">
        <v>703</v>
      </c>
      <c r="B650" s="2" t="s">
        <v>38</v>
      </c>
      <c r="C650" s="2" t="s">
        <v>32</v>
      </c>
      <c r="D650" s="2" t="s">
        <v>62</v>
      </c>
      <c r="E650" s="2" t="s">
        <v>55</v>
      </c>
      <c r="F650" s="2" t="s">
        <v>35</v>
      </c>
      <c r="G650" s="8">
        <v>110.6</v>
      </c>
      <c r="H650" s="11">
        <v>0</v>
      </c>
      <c r="I650" s="8">
        <v>110.6</v>
      </c>
      <c r="J650" s="3">
        <v>45875</v>
      </c>
      <c r="K650" s="14">
        <v>19</v>
      </c>
      <c r="L650" s="17"/>
      <c r="M650" s="2" t="b">
        <v>1</v>
      </c>
      <c r="N650" s="2" t="s">
        <v>36</v>
      </c>
      <c r="O650" s="2" t="str">
        <f>IF(Table1[[#This Row],[is_returned]]=TRUE,IF(Table1[[#This Row],[return_reason]]="","Error","OK"),"OK")</f>
        <v>OK</v>
      </c>
      <c r="P650" s="8">
        <f>Table1[[#This Row],[original_price]]*Table1[[#This Row],[markdown_percentage]]/100</f>
        <v>0</v>
      </c>
      <c r="Q65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650" s="25">
        <f>Table1[[#This Row],[current_price]]*Table1[[#This Row],[stock_quantity]]</f>
        <v>2101.4</v>
      </c>
    </row>
    <row r="651" spans="1:18" x14ac:dyDescent="0.25">
      <c r="A651" s="2" t="s">
        <v>704</v>
      </c>
      <c r="B651" s="2" t="s">
        <v>21</v>
      </c>
      <c r="C651" s="2" t="s">
        <v>16</v>
      </c>
      <c r="D651" s="2" t="s">
        <v>17</v>
      </c>
      <c r="E651" s="2" t="s">
        <v>39</v>
      </c>
      <c r="F651" s="2" t="s">
        <v>66</v>
      </c>
      <c r="G651" s="8">
        <v>58.16</v>
      </c>
      <c r="H651" s="11">
        <v>0</v>
      </c>
      <c r="I651" s="8">
        <v>58.16</v>
      </c>
      <c r="J651" s="3">
        <v>45840</v>
      </c>
      <c r="K651" s="14">
        <v>29</v>
      </c>
      <c r="L651" s="17">
        <v>4.0999999999999996</v>
      </c>
      <c r="M651" s="2" t="b">
        <v>0</v>
      </c>
      <c r="N651" s="2"/>
      <c r="O651" s="2" t="str">
        <f>IF(Table1[[#This Row],[is_returned]]=TRUE,IF(Table1[[#This Row],[return_reason]]="","Error","OK"),"OK")</f>
        <v>OK</v>
      </c>
      <c r="P651" s="8">
        <f>Table1[[#This Row],[original_price]]*Table1[[#This Row],[markdown_percentage]]/100</f>
        <v>0</v>
      </c>
      <c r="Q65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651" s="25">
        <f>Table1[[#This Row],[current_price]]*Table1[[#This Row],[stock_quantity]]</f>
        <v>1686.6399999999999</v>
      </c>
    </row>
    <row r="652" spans="1:18" x14ac:dyDescent="0.25">
      <c r="A652" s="2" t="s">
        <v>705</v>
      </c>
      <c r="B652" s="2" t="s">
        <v>15</v>
      </c>
      <c r="C652" s="2" t="s">
        <v>43</v>
      </c>
      <c r="D652" s="2" t="s">
        <v>34</v>
      </c>
      <c r="E652" s="2" t="s">
        <v>39</v>
      </c>
      <c r="F652" s="2" t="s">
        <v>46</v>
      </c>
      <c r="G652" s="8">
        <v>208.82</v>
      </c>
      <c r="H652" s="11">
        <v>0</v>
      </c>
      <c r="I652" s="8">
        <v>208.82</v>
      </c>
      <c r="J652" s="3">
        <v>45875</v>
      </c>
      <c r="K652" s="14">
        <v>45</v>
      </c>
      <c r="L652" s="17">
        <v>1.8</v>
      </c>
      <c r="M652" s="2" t="b">
        <v>0</v>
      </c>
      <c r="N652" s="2"/>
      <c r="O652" s="2" t="str">
        <f>IF(Table1[[#This Row],[is_returned]]=TRUE,IF(Table1[[#This Row],[return_reason]]="","Error","OK"),"OK")</f>
        <v>OK</v>
      </c>
      <c r="P652" s="8">
        <f>Table1[[#This Row],[original_price]]*Table1[[#This Row],[markdown_percentage]]/100</f>
        <v>0</v>
      </c>
      <c r="Q65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652" s="25">
        <f>Table1[[#This Row],[current_price]]*Table1[[#This Row],[stock_quantity]]</f>
        <v>9396.9</v>
      </c>
    </row>
    <row r="653" spans="1:18" x14ac:dyDescent="0.25">
      <c r="A653" s="2" t="s">
        <v>706</v>
      </c>
      <c r="B653" s="2" t="s">
        <v>30</v>
      </c>
      <c r="C653" s="2" t="s">
        <v>53</v>
      </c>
      <c r="D653" s="2" t="s">
        <v>23</v>
      </c>
      <c r="E653" s="2" t="s">
        <v>58</v>
      </c>
      <c r="F653" s="2" t="s">
        <v>28</v>
      </c>
      <c r="G653" s="8">
        <v>192.74</v>
      </c>
      <c r="H653" s="11">
        <v>0</v>
      </c>
      <c r="I653" s="8">
        <v>192.74</v>
      </c>
      <c r="J653" s="3">
        <v>45875</v>
      </c>
      <c r="K653" s="14">
        <v>43</v>
      </c>
      <c r="L653" s="17">
        <v>4.3</v>
      </c>
      <c r="M653" s="2" t="b">
        <v>0</v>
      </c>
      <c r="N653" s="2"/>
      <c r="O653" s="2" t="str">
        <f>IF(Table1[[#This Row],[is_returned]]=TRUE,IF(Table1[[#This Row],[return_reason]]="","Error","OK"),"OK")</f>
        <v>OK</v>
      </c>
      <c r="P653" s="8">
        <f>Table1[[#This Row],[original_price]]*Table1[[#This Row],[markdown_percentage]]/100</f>
        <v>0</v>
      </c>
      <c r="Q65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653" s="25">
        <f>Table1[[#This Row],[current_price]]*Table1[[#This Row],[stock_quantity]]</f>
        <v>8287.82</v>
      </c>
    </row>
    <row r="654" spans="1:18" x14ac:dyDescent="0.25">
      <c r="A654" s="2" t="s">
        <v>707</v>
      </c>
      <c r="B654" s="2" t="s">
        <v>27</v>
      </c>
      <c r="C654" s="2" t="s">
        <v>61</v>
      </c>
      <c r="D654" s="2" t="s">
        <v>34</v>
      </c>
      <c r="E654" s="2"/>
      <c r="F654" s="2" t="s">
        <v>19</v>
      </c>
      <c r="G654" s="8">
        <v>71.819999999999993</v>
      </c>
      <c r="H654" s="11">
        <v>18.399999999999999</v>
      </c>
      <c r="I654" s="8">
        <v>58.61</v>
      </c>
      <c r="J654" s="3">
        <v>45875</v>
      </c>
      <c r="K654" s="14">
        <v>50</v>
      </c>
      <c r="L654" s="17">
        <v>1.9</v>
      </c>
      <c r="M654" s="2" t="b">
        <v>0</v>
      </c>
      <c r="N654" s="2"/>
      <c r="O654" s="2" t="str">
        <f>IF(Table1[[#This Row],[is_returned]]=TRUE,IF(Table1[[#This Row],[return_reason]]="","Error","OK"),"OK")</f>
        <v>OK</v>
      </c>
      <c r="P654" s="8">
        <f>Table1[[#This Row],[original_price]]*Table1[[#This Row],[markdown_percentage]]/100</f>
        <v>13.214879999999999</v>
      </c>
      <c r="Q65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654" s="25">
        <f>Table1[[#This Row],[current_price]]*Table1[[#This Row],[stock_quantity]]</f>
        <v>2930.5</v>
      </c>
    </row>
    <row r="655" spans="1:18" x14ac:dyDescent="0.25">
      <c r="A655" s="2" t="s">
        <v>708</v>
      </c>
      <c r="B655" s="2" t="s">
        <v>30</v>
      </c>
      <c r="C655" s="2" t="s">
        <v>16</v>
      </c>
      <c r="D655" s="2" t="s">
        <v>62</v>
      </c>
      <c r="E655" s="2" t="s">
        <v>55</v>
      </c>
      <c r="F655" s="2" t="s">
        <v>19</v>
      </c>
      <c r="G655" s="8">
        <v>145.4</v>
      </c>
      <c r="H655" s="11">
        <v>0</v>
      </c>
      <c r="I655" s="8">
        <v>145.4</v>
      </c>
      <c r="J655" s="3">
        <v>45875</v>
      </c>
      <c r="K655" s="14">
        <v>14</v>
      </c>
      <c r="L655" s="17">
        <v>2</v>
      </c>
      <c r="M655" s="2" t="b">
        <v>0</v>
      </c>
      <c r="N655" s="2"/>
      <c r="O655" s="2" t="str">
        <f>IF(Table1[[#This Row],[is_returned]]=TRUE,IF(Table1[[#This Row],[return_reason]]="","Error","OK"),"OK")</f>
        <v>OK</v>
      </c>
      <c r="P655" s="8">
        <f>Table1[[#This Row],[original_price]]*Table1[[#This Row],[markdown_percentage]]/100</f>
        <v>0</v>
      </c>
      <c r="Q65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655" s="25">
        <f>Table1[[#This Row],[current_price]]*Table1[[#This Row],[stock_quantity]]</f>
        <v>2035.6000000000001</v>
      </c>
    </row>
    <row r="656" spans="1:18" x14ac:dyDescent="0.25">
      <c r="A656" s="2" t="s">
        <v>709</v>
      </c>
      <c r="B656" s="2" t="s">
        <v>38</v>
      </c>
      <c r="C656" s="2" t="s">
        <v>43</v>
      </c>
      <c r="D656" s="2" t="s">
        <v>62</v>
      </c>
      <c r="E656" s="2" t="s">
        <v>49</v>
      </c>
      <c r="F656" s="2" t="s">
        <v>70</v>
      </c>
      <c r="G656" s="8">
        <v>51.94</v>
      </c>
      <c r="H656" s="11">
        <v>0</v>
      </c>
      <c r="I656" s="8">
        <v>51.94</v>
      </c>
      <c r="J656" s="3">
        <v>45875</v>
      </c>
      <c r="K656" s="14">
        <v>9</v>
      </c>
      <c r="L656" s="17">
        <v>3.2</v>
      </c>
      <c r="M656" s="2" t="b">
        <v>0</v>
      </c>
      <c r="N656" s="2"/>
      <c r="O656" s="2" t="str">
        <f>IF(Table1[[#This Row],[is_returned]]=TRUE,IF(Table1[[#This Row],[return_reason]]="","Error","OK"),"OK")</f>
        <v>OK</v>
      </c>
      <c r="P656" s="8">
        <f>Table1[[#This Row],[original_price]]*Table1[[#This Row],[markdown_percentage]]/100</f>
        <v>0</v>
      </c>
      <c r="Q65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656" s="25">
        <f>Table1[[#This Row],[current_price]]*Table1[[#This Row],[stock_quantity]]</f>
        <v>467.46</v>
      </c>
    </row>
    <row r="657" spans="1:18" x14ac:dyDescent="0.25">
      <c r="A657" s="2" t="s">
        <v>710</v>
      </c>
      <c r="B657" s="2" t="s">
        <v>27</v>
      </c>
      <c r="C657" s="2" t="s">
        <v>53</v>
      </c>
      <c r="D657" s="2" t="s">
        <v>17</v>
      </c>
      <c r="E657" s="2"/>
      <c r="F657" s="2" t="s">
        <v>28</v>
      </c>
      <c r="G657" s="8">
        <v>77.48</v>
      </c>
      <c r="H657" s="11">
        <v>0</v>
      </c>
      <c r="I657" s="8">
        <v>77.48</v>
      </c>
      <c r="J657" s="3">
        <v>45572</v>
      </c>
      <c r="K657" s="14">
        <v>49</v>
      </c>
      <c r="L657" s="17">
        <v>3.3</v>
      </c>
      <c r="M657" s="2" t="b">
        <v>1</v>
      </c>
      <c r="N657" s="2" t="s">
        <v>83</v>
      </c>
      <c r="O657" s="2" t="str">
        <f>IF(Table1[[#This Row],[is_returned]]=TRUE,IF(Table1[[#This Row],[return_reason]]="","Error","OK"),"OK")</f>
        <v>OK</v>
      </c>
      <c r="P657" s="8">
        <f>Table1[[#This Row],[original_price]]*Table1[[#This Row],[markdown_percentage]]/100</f>
        <v>0</v>
      </c>
      <c r="Q65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657" s="25">
        <f>Table1[[#This Row],[current_price]]*Table1[[#This Row],[stock_quantity]]</f>
        <v>3796.52</v>
      </c>
    </row>
    <row r="658" spans="1:18" x14ac:dyDescent="0.25">
      <c r="A658" s="2" t="s">
        <v>711</v>
      </c>
      <c r="B658" s="2" t="s">
        <v>42</v>
      </c>
      <c r="C658" s="2" t="s">
        <v>43</v>
      </c>
      <c r="D658" s="2" t="s">
        <v>62</v>
      </c>
      <c r="E658" s="2" t="s">
        <v>24</v>
      </c>
      <c r="F658" s="2" t="s">
        <v>28</v>
      </c>
      <c r="G658" s="8">
        <v>59.66</v>
      </c>
      <c r="H658" s="11">
        <v>45.2</v>
      </c>
      <c r="I658" s="8">
        <v>32.69</v>
      </c>
      <c r="J658" s="3">
        <v>45875</v>
      </c>
      <c r="K658" s="14">
        <v>14</v>
      </c>
      <c r="L658" s="17">
        <v>2.6</v>
      </c>
      <c r="M658" s="2" t="b">
        <v>0</v>
      </c>
      <c r="N658" s="2"/>
      <c r="O658" s="2" t="str">
        <f>IF(Table1[[#This Row],[is_returned]]=TRUE,IF(Table1[[#This Row],[return_reason]]="","Error","OK"),"OK")</f>
        <v>OK</v>
      </c>
      <c r="P658" s="8">
        <f>Table1[[#This Row],[original_price]]*Table1[[#This Row],[markdown_percentage]]/100</f>
        <v>26.96632</v>
      </c>
      <c r="Q65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658" s="25">
        <f>Table1[[#This Row],[current_price]]*Table1[[#This Row],[stock_quantity]]</f>
        <v>457.65999999999997</v>
      </c>
    </row>
    <row r="659" spans="1:18" x14ac:dyDescent="0.25">
      <c r="A659" s="2" t="s">
        <v>712</v>
      </c>
      <c r="B659" s="2" t="s">
        <v>38</v>
      </c>
      <c r="C659" s="2" t="s">
        <v>22</v>
      </c>
      <c r="D659" s="2" t="s">
        <v>62</v>
      </c>
      <c r="E659" s="2" t="s">
        <v>39</v>
      </c>
      <c r="F659" s="2" t="s">
        <v>19</v>
      </c>
      <c r="G659" s="8">
        <v>102.07</v>
      </c>
      <c r="H659" s="11">
        <v>0</v>
      </c>
      <c r="I659" s="8">
        <v>102.07</v>
      </c>
      <c r="J659" s="3">
        <v>45875</v>
      </c>
      <c r="K659" s="14">
        <v>26</v>
      </c>
      <c r="L659" s="17"/>
      <c r="M659" s="2" t="b">
        <v>1</v>
      </c>
      <c r="N659" s="2" t="s">
        <v>36</v>
      </c>
      <c r="O659" s="2" t="str">
        <f>IF(Table1[[#This Row],[is_returned]]=TRUE,IF(Table1[[#This Row],[return_reason]]="","Error","OK"),"OK")</f>
        <v>OK</v>
      </c>
      <c r="P659" s="8">
        <f>Table1[[#This Row],[original_price]]*Table1[[#This Row],[markdown_percentage]]/100</f>
        <v>0</v>
      </c>
      <c r="Q65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659" s="25">
        <f>Table1[[#This Row],[current_price]]*Table1[[#This Row],[stock_quantity]]</f>
        <v>2653.8199999999997</v>
      </c>
    </row>
    <row r="660" spans="1:18" x14ac:dyDescent="0.25">
      <c r="A660" s="2" t="s">
        <v>713</v>
      </c>
      <c r="B660" s="2" t="s">
        <v>27</v>
      </c>
      <c r="C660" s="2" t="s">
        <v>32</v>
      </c>
      <c r="D660" s="2" t="s">
        <v>17</v>
      </c>
      <c r="E660" s="2"/>
      <c r="F660" s="2" t="s">
        <v>40</v>
      </c>
      <c r="G660" s="8">
        <v>48.57</v>
      </c>
      <c r="H660" s="11">
        <v>0</v>
      </c>
      <c r="I660" s="8">
        <v>48.57</v>
      </c>
      <c r="J660" s="3">
        <v>45632</v>
      </c>
      <c r="K660" s="14">
        <v>12</v>
      </c>
      <c r="L660" s="17">
        <v>4.7</v>
      </c>
      <c r="M660" s="2" t="b">
        <v>0</v>
      </c>
      <c r="N660" s="2"/>
      <c r="O660" s="2" t="str">
        <f>IF(Table1[[#This Row],[is_returned]]=TRUE,IF(Table1[[#This Row],[return_reason]]="","Error","OK"),"OK")</f>
        <v>OK</v>
      </c>
      <c r="P660" s="8">
        <f>Table1[[#This Row],[original_price]]*Table1[[#This Row],[markdown_percentage]]/100</f>
        <v>0</v>
      </c>
      <c r="Q66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660" s="25">
        <f>Table1[[#This Row],[current_price]]*Table1[[#This Row],[stock_quantity]]</f>
        <v>582.84</v>
      </c>
    </row>
    <row r="661" spans="1:18" x14ac:dyDescent="0.25">
      <c r="A661" s="2" t="s">
        <v>714</v>
      </c>
      <c r="B661" s="2" t="s">
        <v>30</v>
      </c>
      <c r="C661" s="2" t="s">
        <v>61</v>
      </c>
      <c r="D661" s="2" t="s">
        <v>62</v>
      </c>
      <c r="E661" s="2" t="s">
        <v>58</v>
      </c>
      <c r="F661" s="2" t="s">
        <v>64</v>
      </c>
      <c r="G661" s="8">
        <v>121.55</v>
      </c>
      <c r="H661" s="11">
        <v>0</v>
      </c>
      <c r="I661" s="8">
        <v>121.55</v>
      </c>
      <c r="J661" s="3">
        <v>45875</v>
      </c>
      <c r="K661" s="14">
        <v>16</v>
      </c>
      <c r="L661" s="17"/>
      <c r="M661" s="2" t="b">
        <v>1</v>
      </c>
      <c r="N661" s="2" t="s">
        <v>78</v>
      </c>
      <c r="O661" s="2" t="str">
        <f>IF(Table1[[#This Row],[is_returned]]=TRUE,IF(Table1[[#This Row],[return_reason]]="","Error","OK"),"OK")</f>
        <v>OK</v>
      </c>
      <c r="P661" s="8">
        <f>Table1[[#This Row],[original_price]]*Table1[[#This Row],[markdown_percentage]]/100</f>
        <v>0</v>
      </c>
      <c r="Q66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661" s="25">
        <f>Table1[[#This Row],[current_price]]*Table1[[#This Row],[stock_quantity]]</f>
        <v>1944.8</v>
      </c>
    </row>
    <row r="662" spans="1:18" x14ac:dyDescent="0.25">
      <c r="A662" s="2" t="s">
        <v>715</v>
      </c>
      <c r="B662" s="2" t="s">
        <v>27</v>
      </c>
      <c r="C662" s="2" t="s">
        <v>53</v>
      </c>
      <c r="D662" s="2" t="s">
        <v>23</v>
      </c>
      <c r="E662" s="2"/>
      <c r="F662" s="2" t="s">
        <v>64</v>
      </c>
      <c r="G662" s="8">
        <v>59.22</v>
      </c>
      <c r="H662" s="11">
        <v>44.8</v>
      </c>
      <c r="I662" s="8">
        <v>32.69</v>
      </c>
      <c r="J662" s="3">
        <v>45875</v>
      </c>
      <c r="K662" s="14">
        <v>21</v>
      </c>
      <c r="L662" s="17">
        <v>2</v>
      </c>
      <c r="M662" s="2" t="b">
        <v>0</v>
      </c>
      <c r="N662" s="2"/>
      <c r="O662" s="2" t="str">
        <f>IF(Table1[[#This Row],[is_returned]]=TRUE,IF(Table1[[#This Row],[return_reason]]="","Error","OK"),"OK")</f>
        <v>OK</v>
      </c>
      <c r="P662" s="8">
        <f>Table1[[#This Row],[original_price]]*Table1[[#This Row],[markdown_percentage]]/100</f>
        <v>26.530559999999994</v>
      </c>
      <c r="Q66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662" s="25">
        <f>Table1[[#This Row],[current_price]]*Table1[[#This Row],[stock_quantity]]</f>
        <v>686.49</v>
      </c>
    </row>
    <row r="663" spans="1:18" x14ac:dyDescent="0.25">
      <c r="A663" s="2" t="s">
        <v>716</v>
      </c>
      <c r="B663" s="2" t="s">
        <v>21</v>
      </c>
      <c r="C663" s="2" t="s">
        <v>53</v>
      </c>
      <c r="D663" s="2" t="s">
        <v>17</v>
      </c>
      <c r="E663" s="2" t="s">
        <v>55</v>
      </c>
      <c r="F663" s="2" t="s">
        <v>56</v>
      </c>
      <c r="G663" s="8">
        <v>58.5</v>
      </c>
      <c r="H663" s="11">
        <v>2.1</v>
      </c>
      <c r="I663" s="8">
        <v>57.27</v>
      </c>
      <c r="J663" s="3">
        <v>45800</v>
      </c>
      <c r="K663" s="14">
        <v>24</v>
      </c>
      <c r="L663" s="17">
        <v>3.9</v>
      </c>
      <c r="M663" s="2" t="b">
        <v>0</v>
      </c>
      <c r="N663" s="2"/>
      <c r="O663" s="2" t="str">
        <f>IF(Table1[[#This Row],[is_returned]]=TRUE,IF(Table1[[#This Row],[return_reason]]="","Error","OK"),"OK")</f>
        <v>OK</v>
      </c>
      <c r="P663" s="8">
        <f>Table1[[#This Row],[original_price]]*Table1[[#This Row],[markdown_percentage]]/100</f>
        <v>1.2285000000000001</v>
      </c>
      <c r="Q66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663" s="25">
        <f>Table1[[#This Row],[current_price]]*Table1[[#This Row],[stock_quantity]]</f>
        <v>1374.48</v>
      </c>
    </row>
    <row r="664" spans="1:18" x14ac:dyDescent="0.25">
      <c r="A664" s="2" t="s">
        <v>717</v>
      </c>
      <c r="B664" s="2" t="s">
        <v>27</v>
      </c>
      <c r="C664" s="2" t="s">
        <v>75</v>
      </c>
      <c r="D664" s="2" t="s">
        <v>34</v>
      </c>
      <c r="E664" s="2"/>
      <c r="F664" s="2" t="s">
        <v>46</v>
      </c>
      <c r="G664" s="8">
        <v>73.849999999999994</v>
      </c>
      <c r="H664" s="11">
        <v>0</v>
      </c>
      <c r="I664" s="8">
        <v>73.849999999999994</v>
      </c>
      <c r="J664" s="3">
        <v>45875</v>
      </c>
      <c r="K664" s="14">
        <v>46</v>
      </c>
      <c r="L664" s="17">
        <v>2</v>
      </c>
      <c r="M664" s="2" t="b">
        <v>0</v>
      </c>
      <c r="N664" s="2"/>
      <c r="O664" s="2" t="str">
        <f>IF(Table1[[#This Row],[is_returned]]=TRUE,IF(Table1[[#This Row],[return_reason]]="","Error","OK"),"OK")</f>
        <v>OK</v>
      </c>
      <c r="P664" s="8">
        <f>Table1[[#This Row],[original_price]]*Table1[[#This Row],[markdown_percentage]]/100</f>
        <v>0</v>
      </c>
      <c r="Q66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664" s="25">
        <f>Table1[[#This Row],[current_price]]*Table1[[#This Row],[stock_quantity]]</f>
        <v>3397.1</v>
      </c>
    </row>
    <row r="665" spans="1:18" x14ac:dyDescent="0.25">
      <c r="A665" s="2" t="s">
        <v>718</v>
      </c>
      <c r="B665" s="2" t="s">
        <v>38</v>
      </c>
      <c r="C665" s="2" t="s">
        <v>48</v>
      </c>
      <c r="D665" s="2" t="s">
        <v>62</v>
      </c>
      <c r="E665" s="2" t="s">
        <v>49</v>
      </c>
      <c r="F665" s="2" t="s">
        <v>19</v>
      </c>
      <c r="G665" s="8">
        <v>114.32</v>
      </c>
      <c r="H665" s="11">
        <v>36.5</v>
      </c>
      <c r="I665" s="8">
        <v>72.59</v>
      </c>
      <c r="J665" s="3">
        <v>45875</v>
      </c>
      <c r="K665" s="14">
        <v>41</v>
      </c>
      <c r="L665" s="17">
        <v>4.0999999999999996</v>
      </c>
      <c r="M665" s="2" t="b">
        <v>0</v>
      </c>
      <c r="N665" s="2"/>
      <c r="O665" s="2" t="str">
        <f>IF(Table1[[#This Row],[is_returned]]=TRUE,IF(Table1[[#This Row],[return_reason]]="","Error","OK"),"OK")</f>
        <v>OK</v>
      </c>
      <c r="P665" s="8">
        <f>Table1[[#This Row],[original_price]]*Table1[[#This Row],[markdown_percentage]]/100</f>
        <v>41.726799999999997</v>
      </c>
      <c r="Q66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665" s="25">
        <f>Table1[[#This Row],[current_price]]*Table1[[#This Row],[stock_quantity]]</f>
        <v>2976.19</v>
      </c>
    </row>
    <row r="666" spans="1:18" x14ac:dyDescent="0.25">
      <c r="A666" s="2" t="s">
        <v>719</v>
      </c>
      <c r="B666" s="2" t="s">
        <v>38</v>
      </c>
      <c r="C666" s="2" t="s">
        <v>75</v>
      </c>
      <c r="D666" s="2" t="s">
        <v>62</v>
      </c>
      <c r="E666" s="2" t="s">
        <v>55</v>
      </c>
      <c r="F666" s="2" t="s">
        <v>40</v>
      </c>
      <c r="G666" s="8">
        <v>91.4</v>
      </c>
      <c r="H666" s="11">
        <v>11</v>
      </c>
      <c r="I666" s="8">
        <v>81.349999999999994</v>
      </c>
      <c r="J666" s="3">
        <v>45875</v>
      </c>
      <c r="K666" s="14">
        <v>18</v>
      </c>
      <c r="L666" s="17">
        <v>1.6</v>
      </c>
      <c r="M666" s="2" t="b">
        <v>0</v>
      </c>
      <c r="N666" s="2"/>
      <c r="O666" s="2" t="str">
        <f>IF(Table1[[#This Row],[is_returned]]=TRUE,IF(Table1[[#This Row],[return_reason]]="","Error","OK"),"OK")</f>
        <v>OK</v>
      </c>
      <c r="P666" s="8">
        <f>Table1[[#This Row],[original_price]]*Table1[[#This Row],[markdown_percentage]]/100</f>
        <v>10.054</v>
      </c>
      <c r="Q66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666" s="25">
        <f>Table1[[#This Row],[current_price]]*Table1[[#This Row],[stock_quantity]]</f>
        <v>1464.3</v>
      </c>
    </row>
    <row r="667" spans="1:18" x14ac:dyDescent="0.25">
      <c r="A667" s="2" t="s">
        <v>720</v>
      </c>
      <c r="B667" s="2" t="s">
        <v>27</v>
      </c>
      <c r="C667" s="2" t="s">
        <v>75</v>
      </c>
      <c r="D667" s="2" t="s">
        <v>23</v>
      </c>
      <c r="E667" s="2"/>
      <c r="F667" s="2" t="s">
        <v>64</v>
      </c>
      <c r="G667" s="8">
        <v>69.77</v>
      </c>
      <c r="H667" s="11">
        <v>0</v>
      </c>
      <c r="I667" s="8">
        <v>69.77</v>
      </c>
      <c r="J667" s="3">
        <v>45875</v>
      </c>
      <c r="K667" s="14">
        <v>30</v>
      </c>
      <c r="L667" s="17"/>
      <c r="M667" s="2" t="b">
        <v>1</v>
      </c>
      <c r="N667" s="2" t="s">
        <v>36</v>
      </c>
      <c r="O667" s="2" t="str">
        <f>IF(Table1[[#This Row],[is_returned]]=TRUE,IF(Table1[[#This Row],[return_reason]]="","Error","OK"),"OK")</f>
        <v>OK</v>
      </c>
      <c r="P667" s="8">
        <f>Table1[[#This Row],[original_price]]*Table1[[#This Row],[markdown_percentage]]/100</f>
        <v>0</v>
      </c>
      <c r="Q66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667" s="25">
        <f>Table1[[#This Row],[current_price]]*Table1[[#This Row],[stock_quantity]]</f>
        <v>2093.1</v>
      </c>
    </row>
    <row r="668" spans="1:18" x14ac:dyDescent="0.25">
      <c r="A668" s="2" t="s">
        <v>721</v>
      </c>
      <c r="B668" s="2" t="s">
        <v>21</v>
      </c>
      <c r="C668" s="2" t="s">
        <v>48</v>
      </c>
      <c r="D668" s="2" t="s">
        <v>62</v>
      </c>
      <c r="E668" s="2" t="s">
        <v>24</v>
      </c>
      <c r="F668" s="2" t="s">
        <v>28</v>
      </c>
      <c r="G668" s="8">
        <v>72.95</v>
      </c>
      <c r="H668" s="11">
        <v>0</v>
      </c>
      <c r="I668" s="8">
        <v>72.95</v>
      </c>
      <c r="J668" s="3">
        <v>45875</v>
      </c>
      <c r="K668" s="14">
        <v>27</v>
      </c>
      <c r="L668" s="17">
        <v>4.8</v>
      </c>
      <c r="M668" s="2" t="b">
        <v>0</v>
      </c>
      <c r="N668" s="2"/>
      <c r="O668" s="2" t="str">
        <f>IF(Table1[[#This Row],[is_returned]]=TRUE,IF(Table1[[#This Row],[return_reason]]="","Error","OK"),"OK")</f>
        <v>OK</v>
      </c>
      <c r="P668" s="8">
        <f>Table1[[#This Row],[original_price]]*Table1[[#This Row],[markdown_percentage]]/100</f>
        <v>0</v>
      </c>
      <c r="Q66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668" s="25">
        <f>Table1[[#This Row],[current_price]]*Table1[[#This Row],[stock_quantity]]</f>
        <v>1969.65</v>
      </c>
    </row>
    <row r="669" spans="1:18" x14ac:dyDescent="0.25">
      <c r="A669" s="2" t="s">
        <v>722</v>
      </c>
      <c r="B669" s="2" t="s">
        <v>38</v>
      </c>
      <c r="C669" s="2" t="s">
        <v>53</v>
      </c>
      <c r="D669" s="2" t="s">
        <v>62</v>
      </c>
      <c r="E669" s="2" t="s">
        <v>18</v>
      </c>
      <c r="F669" s="2" t="s">
        <v>56</v>
      </c>
      <c r="G669" s="8">
        <v>63.99</v>
      </c>
      <c r="H669" s="11">
        <v>42.2</v>
      </c>
      <c r="I669" s="8">
        <v>36.99</v>
      </c>
      <c r="J669" s="3">
        <v>45875</v>
      </c>
      <c r="K669" s="14">
        <v>35</v>
      </c>
      <c r="L669" s="17">
        <v>3.2</v>
      </c>
      <c r="M669" s="2" t="b">
        <v>0</v>
      </c>
      <c r="N669" s="2"/>
      <c r="O669" s="2" t="str">
        <f>IF(Table1[[#This Row],[is_returned]]=TRUE,IF(Table1[[#This Row],[return_reason]]="","Error","OK"),"OK")</f>
        <v>OK</v>
      </c>
      <c r="P669" s="8">
        <f>Table1[[#This Row],[original_price]]*Table1[[#This Row],[markdown_percentage]]/100</f>
        <v>27.003780000000003</v>
      </c>
      <c r="Q66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669" s="25">
        <f>Table1[[#This Row],[current_price]]*Table1[[#This Row],[stock_quantity]]</f>
        <v>1294.6500000000001</v>
      </c>
    </row>
    <row r="670" spans="1:18" x14ac:dyDescent="0.25">
      <c r="A670" s="2" t="s">
        <v>723</v>
      </c>
      <c r="B670" s="2" t="s">
        <v>42</v>
      </c>
      <c r="C670" s="2" t="s">
        <v>32</v>
      </c>
      <c r="D670" s="2" t="s">
        <v>62</v>
      </c>
      <c r="E670" s="2" t="s">
        <v>18</v>
      </c>
      <c r="F670" s="2" t="s">
        <v>44</v>
      </c>
      <c r="G670" s="8">
        <v>74.84</v>
      </c>
      <c r="H670" s="11">
        <v>51.9</v>
      </c>
      <c r="I670" s="8">
        <v>36</v>
      </c>
      <c r="J670" s="3">
        <v>45875</v>
      </c>
      <c r="K670" s="14">
        <v>35</v>
      </c>
      <c r="L670" s="17">
        <v>2.5</v>
      </c>
      <c r="M670" s="2" t="b">
        <v>0</v>
      </c>
      <c r="N670" s="2"/>
      <c r="O670" s="2" t="str">
        <f>IF(Table1[[#This Row],[is_returned]]=TRUE,IF(Table1[[#This Row],[return_reason]]="","Error","OK"),"OK")</f>
        <v>OK</v>
      </c>
      <c r="P670" s="8">
        <f>Table1[[#This Row],[original_price]]*Table1[[#This Row],[markdown_percentage]]/100</f>
        <v>38.84196</v>
      </c>
      <c r="Q67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670" s="25">
        <f>Table1[[#This Row],[current_price]]*Table1[[#This Row],[stock_quantity]]</f>
        <v>1260</v>
      </c>
    </row>
    <row r="671" spans="1:18" x14ac:dyDescent="0.25">
      <c r="A671" s="2" t="s">
        <v>724</v>
      </c>
      <c r="B671" s="2" t="s">
        <v>15</v>
      </c>
      <c r="C671" s="2" t="s">
        <v>48</v>
      </c>
      <c r="D671" s="2" t="s">
        <v>17</v>
      </c>
      <c r="E671" s="2" t="s">
        <v>55</v>
      </c>
      <c r="F671" s="2" t="s">
        <v>28</v>
      </c>
      <c r="G671" s="8">
        <v>158.84</v>
      </c>
      <c r="H671" s="11">
        <v>0</v>
      </c>
      <c r="I671" s="8">
        <v>158.84</v>
      </c>
      <c r="J671" s="3">
        <v>45763</v>
      </c>
      <c r="K671" s="14">
        <v>30</v>
      </c>
      <c r="L671" s="17">
        <v>4.5999999999999996</v>
      </c>
      <c r="M671" s="2" t="b">
        <v>0</v>
      </c>
      <c r="N671" s="2"/>
      <c r="O671" s="2" t="str">
        <f>IF(Table1[[#This Row],[is_returned]]=TRUE,IF(Table1[[#This Row],[return_reason]]="","Error","OK"),"OK")</f>
        <v>OK</v>
      </c>
      <c r="P671" s="8">
        <f>Table1[[#This Row],[original_price]]*Table1[[#This Row],[markdown_percentage]]/100</f>
        <v>0</v>
      </c>
      <c r="Q67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671" s="25">
        <f>Table1[[#This Row],[current_price]]*Table1[[#This Row],[stock_quantity]]</f>
        <v>4765.2</v>
      </c>
    </row>
    <row r="672" spans="1:18" x14ac:dyDescent="0.25">
      <c r="A672" s="2" t="s">
        <v>725</v>
      </c>
      <c r="B672" s="2" t="s">
        <v>30</v>
      </c>
      <c r="C672" s="2" t="s">
        <v>43</v>
      </c>
      <c r="D672" s="2" t="s">
        <v>17</v>
      </c>
      <c r="E672" s="2" t="s">
        <v>58</v>
      </c>
      <c r="F672" s="2" t="s">
        <v>70</v>
      </c>
      <c r="G672" s="8">
        <v>96.36</v>
      </c>
      <c r="H672" s="11">
        <v>58.6</v>
      </c>
      <c r="I672" s="8">
        <v>39.89</v>
      </c>
      <c r="J672" s="3">
        <v>45698</v>
      </c>
      <c r="K672" s="14">
        <v>16</v>
      </c>
      <c r="L672" s="17">
        <v>3.9</v>
      </c>
      <c r="M672" s="2" t="b">
        <v>0</v>
      </c>
      <c r="N672" s="2"/>
      <c r="O672" s="2" t="str">
        <f>IF(Table1[[#This Row],[is_returned]]=TRUE,IF(Table1[[#This Row],[return_reason]]="","Error","OK"),"OK")</f>
        <v>OK</v>
      </c>
      <c r="P672" s="8">
        <f>Table1[[#This Row],[original_price]]*Table1[[#This Row],[markdown_percentage]]/100</f>
        <v>56.46696</v>
      </c>
      <c r="Q67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672" s="25">
        <f>Table1[[#This Row],[current_price]]*Table1[[#This Row],[stock_quantity]]</f>
        <v>638.24</v>
      </c>
    </row>
    <row r="673" spans="1:18" x14ac:dyDescent="0.25">
      <c r="A673" s="2" t="s">
        <v>726</v>
      </c>
      <c r="B673" s="2" t="s">
        <v>38</v>
      </c>
      <c r="C673" s="2" t="s">
        <v>48</v>
      </c>
      <c r="D673" s="2" t="s">
        <v>17</v>
      </c>
      <c r="E673" s="2" t="s">
        <v>55</v>
      </c>
      <c r="F673" s="2" t="s">
        <v>66</v>
      </c>
      <c r="G673" s="8">
        <v>51.06</v>
      </c>
      <c r="H673" s="11">
        <v>13.9</v>
      </c>
      <c r="I673" s="8">
        <v>43.96</v>
      </c>
      <c r="J673" s="3">
        <v>45520</v>
      </c>
      <c r="K673" s="14">
        <v>16</v>
      </c>
      <c r="L673" s="17">
        <v>1.3</v>
      </c>
      <c r="M673" s="2" t="b">
        <v>0</v>
      </c>
      <c r="N673" s="2"/>
      <c r="O673" s="2" t="str">
        <f>IF(Table1[[#This Row],[is_returned]]=TRUE,IF(Table1[[#This Row],[return_reason]]="","Error","OK"),"OK")</f>
        <v>OK</v>
      </c>
      <c r="P673" s="8">
        <f>Table1[[#This Row],[original_price]]*Table1[[#This Row],[markdown_percentage]]/100</f>
        <v>7.09734</v>
      </c>
      <c r="Q67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673" s="25">
        <f>Table1[[#This Row],[current_price]]*Table1[[#This Row],[stock_quantity]]</f>
        <v>703.36</v>
      </c>
    </row>
    <row r="674" spans="1:18" x14ac:dyDescent="0.25">
      <c r="A674" s="2" t="s">
        <v>727</v>
      </c>
      <c r="B674" s="2" t="s">
        <v>38</v>
      </c>
      <c r="C674" s="2" t="s">
        <v>32</v>
      </c>
      <c r="D674" s="2" t="s">
        <v>62</v>
      </c>
      <c r="E674" s="2" t="s">
        <v>24</v>
      </c>
      <c r="F674" s="2" t="s">
        <v>64</v>
      </c>
      <c r="G674" s="8">
        <v>49.75</v>
      </c>
      <c r="H674" s="11">
        <v>26.4</v>
      </c>
      <c r="I674" s="8">
        <v>36.619999999999997</v>
      </c>
      <c r="J674" s="3">
        <v>45875</v>
      </c>
      <c r="K674" s="14">
        <v>24</v>
      </c>
      <c r="L674" s="17">
        <v>3.8</v>
      </c>
      <c r="M674" s="2" t="b">
        <v>0</v>
      </c>
      <c r="N674" s="2"/>
      <c r="O674" s="2" t="str">
        <f>IF(Table1[[#This Row],[is_returned]]=TRUE,IF(Table1[[#This Row],[return_reason]]="","Error","OK"),"OK")</f>
        <v>OK</v>
      </c>
      <c r="P674" s="8">
        <f>Table1[[#This Row],[original_price]]*Table1[[#This Row],[markdown_percentage]]/100</f>
        <v>13.133999999999999</v>
      </c>
      <c r="Q67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674" s="25">
        <f>Table1[[#This Row],[current_price]]*Table1[[#This Row],[stock_quantity]]</f>
        <v>878.87999999999988</v>
      </c>
    </row>
    <row r="675" spans="1:18" x14ac:dyDescent="0.25">
      <c r="A675" s="2" t="s">
        <v>728</v>
      </c>
      <c r="B675" s="2" t="s">
        <v>42</v>
      </c>
      <c r="C675" s="2" t="s">
        <v>43</v>
      </c>
      <c r="D675" s="2" t="s">
        <v>17</v>
      </c>
      <c r="E675" s="2" t="s">
        <v>55</v>
      </c>
      <c r="F675" s="2" t="s">
        <v>25</v>
      </c>
      <c r="G675" s="8">
        <v>148.97999999999999</v>
      </c>
      <c r="H675" s="11">
        <v>0</v>
      </c>
      <c r="I675" s="8">
        <v>148.97999999999999</v>
      </c>
      <c r="J675" s="3">
        <v>45591</v>
      </c>
      <c r="K675" s="14">
        <v>11</v>
      </c>
      <c r="L675" s="17">
        <v>2.2000000000000002</v>
      </c>
      <c r="M675" s="2" t="b">
        <v>1</v>
      </c>
      <c r="N675" s="2" t="s">
        <v>125</v>
      </c>
      <c r="O675" s="2" t="str">
        <f>IF(Table1[[#This Row],[is_returned]]=TRUE,IF(Table1[[#This Row],[return_reason]]="","Error","OK"),"OK")</f>
        <v>OK</v>
      </c>
      <c r="P675" s="8">
        <f>Table1[[#This Row],[original_price]]*Table1[[#This Row],[markdown_percentage]]/100</f>
        <v>0</v>
      </c>
      <c r="Q67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675" s="25">
        <f>Table1[[#This Row],[current_price]]*Table1[[#This Row],[stock_quantity]]</f>
        <v>1638.78</v>
      </c>
    </row>
    <row r="676" spans="1:18" x14ac:dyDescent="0.25">
      <c r="A676" s="2" t="s">
        <v>729</v>
      </c>
      <c r="B676" s="2" t="s">
        <v>27</v>
      </c>
      <c r="C676" s="2" t="s">
        <v>61</v>
      </c>
      <c r="D676" s="2" t="s">
        <v>23</v>
      </c>
      <c r="E676" s="2"/>
      <c r="F676" s="2" t="s">
        <v>40</v>
      </c>
      <c r="G676" s="8">
        <v>72.239999999999995</v>
      </c>
      <c r="H676" s="11">
        <v>0</v>
      </c>
      <c r="I676" s="8">
        <v>72.239999999999995</v>
      </c>
      <c r="J676" s="3">
        <v>45875</v>
      </c>
      <c r="K676" s="14">
        <v>35</v>
      </c>
      <c r="L676" s="17">
        <v>4.0999999999999996</v>
      </c>
      <c r="M676" s="2" t="b">
        <v>0</v>
      </c>
      <c r="N676" s="2"/>
      <c r="O676" s="2" t="str">
        <f>IF(Table1[[#This Row],[is_returned]]=TRUE,IF(Table1[[#This Row],[return_reason]]="","Error","OK"),"OK")</f>
        <v>OK</v>
      </c>
      <c r="P676" s="8">
        <f>Table1[[#This Row],[original_price]]*Table1[[#This Row],[markdown_percentage]]/100</f>
        <v>0</v>
      </c>
      <c r="Q67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676" s="25">
        <f>Table1[[#This Row],[current_price]]*Table1[[#This Row],[stock_quantity]]</f>
        <v>2528.3999999999996</v>
      </c>
    </row>
    <row r="677" spans="1:18" x14ac:dyDescent="0.25">
      <c r="A677" s="2" t="s">
        <v>730</v>
      </c>
      <c r="B677" s="2" t="s">
        <v>21</v>
      </c>
      <c r="C677" s="2" t="s">
        <v>43</v>
      </c>
      <c r="D677" s="2" t="s">
        <v>23</v>
      </c>
      <c r="E677" s="2" t="s">
        <v>55</v>
      </c>
      <c r="F677" s="2" t="s">
        <v>44</v>
      </c>
      <c r="G677" s="8">
        <v>94.92</v>
      </c>
      <c r="H677" s="11">
        <v>0</v>
      </c>
      <c r="I677" s="8">
        <v>94.92</v>
      </c>
      <c r="J677" s="3">
        <v>45875</v>
      </c>
      <c r="K677" s="14">
        <v>5</v>
      </c>
      <c r="L677" s="17">
        <v>3.3</v>
      </c>
      <c r="M677" s="2" t="b">
        <v>0</v>
      </c>
      <c r="N677" s="2"/>
      <c r="O677" s="2" t="str">
        <f>IF(Table1[[#This Row],[is_returned]]=TRUE,IF(Table1[[#This Row],[return_reason]]="","Error","OK"),"OK")</f>
        <v>OK</v>
      </c>
      <c r="P677" s="8">
        <f>Table1[[#This Row],[original_price]]*Table1[[#This Row],[markdown_percentage]]/100</f>
        <v>0</v>
      </c>
      <c r="Q67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677" s="25">
        <f>Table1[[#This Row],[current_price]]*Table1[[#This Row],[stock_quantity]]</f>
        <v>474.6</v>
      </c>
    </row>
    <row r="678" spans="1:18" x14ac:dyDescent="0.25">
      <c r="A678" s="2" t="s">
        <v>731</v>
      </c>
      <c r="B678" s="2" t="s">
        <v>15</v>
      </c>
      <c r="C678" s="2" t="s">
        <v>32</v>
      </c>
      <c r="D678" s="2" t="s">
        <v>34</v>
      </c>
      <c r="E678" s="2" t="s">
        <v>49</v>
      </c>
      <c r="F678" s="2" t="s">
        <v>70</v>
      </c>
      <c r="G678" s="8">
        <v>91.08</v>
      </c>
      <c r="H678" s="11">
        <v>0</v>
      </c>
      <c r="I678" s="8">
        <v>91.08</v>
      </c>
      <c r="J678" s="3">
        <v>45875</v>
      </c>
      <c r="K678" s="14">
        <v>47</v>
      </c>
      <c r="L678" s="17">
        <v>4.9000000000000004</v>
      </c>
      <c r="M678" s="2" t="b">
        <v>0</v>
      </c>
      <c r="N678" s="2"/>
      <c r="O678" s="2" t="str">
        <f>IF(Table1[[#This Row],[is_returned]]=TRUE,IF(Table1[[#This Row],[return_reason]]="","Error","OK"),"OK")</f>
        <v>OK</v>
      </c>
      <c r="P678" s="8">
        <f>Table1[[#This Row],[original_price]]*Table1[[#This Row],[markdown_percentage]]/100</f>
        <v>0</v>
      </c>
      <c r="Q67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678" s="25">
        <f>Table1[[#This Row],[current_price]]*Table1[[#This Row],[stock_quantity]]</f>
        <v>4280.76</v>
      </c>
    </row>
    <row r="679" spans="1:18" x14ac:dyDescent="0.25">
      <c r="A679" s="2" t="s">
        <v>732</v>
      </c>
      <c r="B679" s="2" t="s">
        <v>27</v>
      </c>
      <c r="C679" s="2" t="s">
        <v>32</v>
      </c>
      <c r="D679" s="2" t="s">
        <v>34</v>
      </c>
      <c r="E679" s="2"/>
      <c r="F679" s="2" t="s">
        <v>70</v>
      </c>
      <c r="G679" s="8">
        <v>49.72</v>
      </c>
      <c r="H679" s="11">
        <v>58.3</v>
      </c>
      <c r="I679" s="8">
        <v>20.73</v>
      </c>
      <c r="J679" s="3">
        <v>45875</v>
      </c>
      <c r="K679" s="14">
        <v>4</v>
      </c>
      <c r="L679" s="17">
        <v>1.6</v>
      </c>
      <c r="M679" s="2" t="b">
        <v>0</v>
      </c>
      <c r="N679" s="2"/>
      <c r="O679" s="2" t="str">
        <f>IF(Table1[[#This Row],[is_returned]]=TRUE,IF(Table1[[#This Row],[return_reason]]="","Error","OK"),"OK")</f>
        <v>OK</v>
      </c>
      <c r="P679" s="8">
        <f>Table1[[#This Row],[original_price]]*Table1[[#This Row],[markdown_percentage]]/100</f>
        <v>28.98676</v>
      </c>
      <c r="Q67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679" s="25">
        <f>Table1[[#This Row],[current_price]]*Table1[[#This Row],[stock_quantity]]</f>
        <v>82.92</v>
      </c>
    </row>
    <row r="680" spans="1:18" x14ac:dyDescent="0.25">
      <c r="A680" s="2" t="s">
        <v>733</v>
      </c>
      <c r="B680" s="2" t="s">
        <v>27</v>
      </c>
      <c r="C680" s="2" t="s">
        <v>61</v>
      </c>
      <c r="D680" s="2" t="s">
        <v>23</v>
      </c>
      <c r="E680" s="2"/>
      <c r="F680" s="2" t="s">
        <v>66</v>
      </c>
      <c r="G680" s="8">
        <v>23.09</v>
      </c>
      <c r="H680" s="11">
        <v>7.1</v>
      </c>
      <c r="I680" s="8">
        <v>21.45</v>
      </c>
      <c r="J680" s="3">
        <v>45875</v>
      </c>
      <c r="K680" s="14">
        <v>11</v>
      </c>
      <c r="L680" s="17">
        <v>1.2</v>
      </c>
      <c r="M680" s="2" t="b">
        <v>0</v>
      </c>
      <c r="N680" s="2"/>
      <c r="O680" s="2" t="str">
        <f>IF(Table1[[#This Row],[is_returned]]=TRUE,IF(Table1[[#This Row],[return_reason]]="","Error","OK"),"OK")</f>
        <v>OK</v>
      </c>
      <c r="P680" s="8">
        <f>Table1[[#This Row],[original_price]]*Table1[[#This Row],[markdown_percentage]]/100</f>
        <v>1.6393899999999999</v>
      </c>
      <c r="Q68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680" s="25">
        <f>Table1[[#This Row],[current_price]]*Table1[[#This Row],[stock_quantity]]</f>
        <v>235.95</v>
      </c>
    </row>
    <row r="681" spans="1:18" x14ac:dyDescent="0.25">
      <c r="A681" s="2" t="s">
        <v>734</v>
      </c>
      <c r="B681" s="2" t="s">
        <v>27</v>
      </c>
      <c r="C681" s="2" t="s">
        <v>16</v>
      </c>
      <c r="D681" s="2" t="s">
        <v>17</v>
      </c>
      <c r="E681" s="2"/>
      <c r="F681" s="2" t="s">
        <v>19</v>
      </c>
      <c r="G681" s="8">
        <v>49.95</v>
      </c>
      <c r="H681" s="11">
        <v>0</v>
      </c>
      <c r="I681" s="8">
        <v>49.95</v>
      </c>
      <c r="J681" s="3">
        <v>45552</v>
      </c>
      <c r="K681" s="14">
        <v>29</v>
      </c>
      <c r="L681" s="17">
        <v>4.3</v>
      </c>
      <c r="M681" s="2" t="b">
        <v>0</v>
      </c>
      <c r="N681" s="2"/>
      <c r="O681" s="2" t="str">
        <f>IF(Table1[[#This Row],[is_returned]]=TRUE,IF(Table1[[#This Row],[return_reason]]="","Error","OK"),"OK")</f>
        <v>OK</v>
      </c>
      <c r="P681" s="8">
        <f>Table1[[#This Row],[original_price]]*Table1[[#This Row],[markdown_percentage]]/100</f>
        <v>0</v>
      </c>
      <c r="Q68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681" s="25">
        <f>Table1[[#This Row],[current_price]]*Table1[[#This Row],[stock_quantity]]</f>
        <v>1448.5500000000002</v>
      </c>
    </row>
    <row r="682" spans="1:18" x14ac:dyDescent="0.25">
      <c r="A682" s="2" t="s">
        <v>735</v>
      </c>
      <c r="B682" s="2" t="s">
        <v>27</v>
      </c>
      <c r="C682" s="2" t="s">
        <v>75</v>
      </c>
      <c r="D682" s="2" t="s">
        <v>23</v>
      </c>
      <c r="E682" s="2"/>
      <c r="F682" s="2" t="s">
        <v>46</v>
      </c>
      <c r="G682" s="8">
        <v>25.7</v>
      </c>
      <c r="H682" s="11">
        <v>0</v>
      </c>
      <c r="I682" s="8">
        <v>25.7</v>
      </c>
      <c r="J682" s="3">
        <v>45875</v>
      </c>
      <c r="K682" s="14">
        <v>38</v>
      </c>
      <c r="L682" s="17">
        <v>3.2</v>
      </c>
      <c r="M682" s="2" t="b">
        <v>1</v>
      </c>
      <c r="N682" s="2" t="s">
        <v>83</v>
      </c>
      <c r="O682" s="2" t="str">
        <f>IF(Table1[[#This Row],[is_returned]]=TRUE,IF(Table1[[#This Row],[return_reason]]="","Error","OK"),"OK")</f>
        <v>OK</v>
      </c>
      <c r="P682" s="8">
        <f>Table1[[#This Row],[original_price]]*Table1[[#This Row],[markdown_percentage]]/100</f>
        <v>0</v>
      </c>
      <c r="Q68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682" s="25">
        <f>Table1[[#This Row],[current_price]]*Table1[[#This Row],[stock_quantity]]</f>
        <v>976.6</v>
      </c>
    </row>
    <row r="683" spans="1:18" x14ac:dyDescent="0.25">
      <c r="A683" s="2" t="s">
        <v>736</v>
      </c>
      <c r="B683" s="2" t="s">
        <v>30</v>
      </c>
      <c r="C683" s="2" t="s">
        <v>43</v>
      </c>
      <c r="D683" s="2" t="s">
        <v>62</v>
      </c>
      <c r="E683" s="2" t="s">
        <v>55</v>
      </c>
      <c r="F683" s="2" t="s">
        <v>46</v>
      </c>
      <c r="G683" s="8">
        <v>175.22</v>
      </c>
      <c r="H683" s="11">
        <v>0</v>
      </c>
      <c r="I683" s="8">
        <v>175.22</v>
      </c>
      <c r="J683" s="3">
        <v>45875</v>
      </c>
      <c r="K683" s="14">
        <v>8</v>
      </c>
      <c r="L683" s="17">
        <v>4.9000000000000004</v>
      </c>
      <c r="M683" s="2" t="b">
        <v>0</v>
      </c>
      <c r="N683" s="2"/>
      <c r="O683" s="2" t="str">
        <f>IF(Table1[[#This Row],[is_returned]]=TRUE,IF(Table1[[#This Row],[return_reason]]="","Error","OK"),"OK")</f>
        <v>OK</v>
      </c>
      <c r="P683" s="8">
        <f>Table1[[#This Row],[original_price]]*Table1[[#This Row],[markdown_percentage]]/100</f>
        <v>0</v>
      </c>
      <c r="Q68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683" s="25">
        <f>Table1[[#This Row],[current_price]]*Table1[[#This Row],[stock_quantity]]</f>
        <v>1401.76</v>
      </c>
    </row>
    <row r="684" spans="1:18" x14ac:dyDescent="0.25">
      <c r="A684" s="2" t="s">
        <v>737</v>
      </c>
      <c r="B684" s="2" t="s">
        <v>38</v>
      </c>
      <c r="C684" s="2" t="s">
        <v>53</v>
      </c>
      <c r="D684" s="2" t="s">
        <v>62</v>
      </c>
      <c r="E684" s="2" t="s">
        <v>55</v>
      </c>
      <c r="F684" s="2" t="s">
        <v>40</v>
      </c>
      <c r="G684" s="8">
        <v>37.57</v>
      </c>
      <c r="H684" s="11">
        <v>0</v>
      </c>
      <c r="I684" s="8">
        <v>37.57</v>
      </c>
      <c r="J684" s="3">
        <v>45875</v>
      </c>
      <c r="K684" s="14">
        <v>18</v>
      </c>
      <c r="L684" s="17">
        <v>1.9</v>
      </c>
      <c r="M684" s="2" t="b">
        <v>0</v>
      </c>
      <c r="N684" s="2"/>
      <c r="O684" s="2" t="str">
        <f>IF(Table1[[#This Row],[is_returned]]=TRUE,IF(Table1[[#This Row],[return_reason]]="","Error","OK"),"OK")</f>
        <v>OK</v>
      </c>
      <c r="P684" s="8">
        <f>Table1[[#This Row],[original_price]]*Table1[[#This Row],[markdown_percentage]]/100</f>
        <v>0</v>
      </c>
      <c r="Q68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684" s="25">
        <f>Table1[[#This Row],[current_price]]*Table1[[#This Row],[stock_quantity]]</f>
        <v>676.26</v>
      </c>
    </row>
    <row r="685" spans="1:18" x14ac:dyDescent="0.25">
      <c r="A685" s="2" t="s">
        <v>738</v>
      </c>
      <c r="B685" s="2" t="s">
        <v>15</v>
      </c>
      <c r="C685" s="2" t="s">
        <v>16</v>
      </c>
      <c r="D685" s="2" t="s">
        <v>17</v>
      </c>
      <c r="E685" s="2" t="s">
        <v>58</v>
      </c>
      <c r="F685" s="2" t="s">
        <v>46</v>
      </c>
      <c r="G685" s="8">
        <v>245.87</v>
      </c>
      <c r="H685" s="11">
        <v>0</v>
      </c>
      <c r="I685" s="8">
        <v>245.87</v>
      </c>
      <c r="J685" s="3">
        <v>45832</v>
      </c>
      <c r="K685" s="14">
        <v>27</v>
      </c>
      <c r="L685" s="17">
        <v>2.6</v>
      </c>
      <c r="M685" s="2" t="b">
        <v>0</v>
      </c>
      <c r="N685" s="2"/>
      <c r="O685" s="2" t="str">
        <f>IF(Table1[[#This Row],[is_returned]]=TRUE,IF(Table1[[#This Row],[return_reason]]="","Error","OK"),"OK")</f>
        <v>OK</v>
      </c>
      <c r="P685" s="8">
        <f>Table1[[#This Row],[original_price]]*Table1[[#This Row],[markdown_percentage]]/100</f>
        <v>0</v>
      </c>
      <c r="Q68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685" s="25">
        <f>Table1[[#This Row],[current_price]]*Table1[[#This Row],[stock_quantity]]</f>
        <v>6638.49</v>
      </c>
    </row>
    <row r="686" spans="1:18" x14ac:dyDescent="0.25">
      <c r="A686" s="2" t="s">
        <v>739</v>
      </c>
      <c r="B686" s="2" t="s">
        <v>38</v>
      </c>
      <c r="C686" s="2" t="s">
        <v>32</v>
      </c>
      <c r="D686" s="2" t="s">
        <v>23</v>
      </c>
      <c r="E686" s="2" t="s">
        <v>55</v>
      </c>
      <c r="F686" s="2" t="s">
        <v>19</v>
      </c>
      <c r="G686" s="8">
        <v>116.92</v>
      </c>
      <c r="H686" s="11">
        <v>0</v>
      </c>
      <c r="I686" s="8">
        <v>116.92</v>
      </c>
      <c r="J686" s="3">
        <v>45875</v>
      </c>
      <c r="K686" s="14">
        <v>13</v>
      </c>
      <c r="L686" s="17">
        <v>3.2</v>
      </c>
      <c r="M686" s="2" t="b">
        <v>0</v>
      </c>
      <c r="N686" s="2"/>
      <c r="O686" s="2" t="str">
        <f>IF(Table1[[#This Row],[is_returned]]=TRUE,IF(Table1[[#This Row],[return_reason]]="","Error","OK"),"OK")</f>
        <v>OK</v>
      </c>
      <c r="P686" s="8">
        <f>Table1[[#This Row],[original_price]]*Table1[[#This Row],[markdown_percentage]]/100</f>
        <v>0</v>
      </c>
      <c r="Q68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686" s="25">
        <f>Table1[[#This Row],[current_price]]*Table1[[#This Row],[stock_quantity]]</f>
        <v>1519.96</v>
      </c>
    </row>
    <row r="687" spans="1:18" x14ac:dyDescent="0.25">
      <c r="A687" s="2" t="s">
        <v>740</v>
      </c>
      <c r="B687" s="2" t="s">
        <v>42</v>
      </c>
      <c r="C687" s="2" t="s">
        <v>53</v>
      </c>
      <c r="D687" s="2" t="s">
        <v>23</v>
      </c>
      <c r="E687" s="2" t="s">
        <v>24</v>
      </c>
      <c r="F687" s="2" t="s">
        <v>25</v>
      </c>
      <c r="G687" s="8">
        <v>103.11</v>
      </c>
      <c r="H687" s="11">
        <v>0</v>
      </c>
      <c r="I687" s="8">
        <v>103.11</v>
      </c>
      <c r="J687" s="3">
        <v>45875</v>
      </c>
      <c r="K687" s="14">
        <v>17</v>
      </c>
      <c r="L687" s="17"/>
      <c r="M687" s="2" t="b">
        <v>0</v>
      </c>
      <c r="N687" s="2"/>
      <c r="O687" s="2" t="str">
        <f>IF(Table1[[#This Row],[is_returned]]=TRUE,IF(Table1[[#This Row],[return_reason]]="","Error","OK"),"OK")</f>
        <v>OK</v>
      </c>
      <c r="P687" s="8">
        <f>Table1[[#This Row],[original_price]]*Table1[[#This Row],[markdown_percentage]]/100</f>
        <v>0</v>
      </c>
      <c r="Q68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687" s="25">
        <f>Table1[[#This Row],[current_price]]*Table1[[#This Row],[stock_quantity]]</f>
        <v>1752.87</v>
      </c>
    </row>
    <row r="688" spans="1:18" x14ac:dyDescent="0.25">
      <c r="A688" s="2" t="s">
        <v>741</v>
      </c>
      <c r="B688" s="2" t="s">
        <v>15</v>
      </c>
      <c r="C688" s="2" t="s">
        <v>22</v>
      </c>
      <c r="D688" s="2" t="s">
        <v>34</v>
      </c>
      <c r="E688" s="2" t="s">
        <v>58</v>
      </c>
      <c r="F688" s="2" t="s">
        <v>66</v>
      </c>
      <c r="G688" s="8">
        <v>238.89</v>
      </c>
      <c r="H688" s="11">
        <v>0.5</v>
      </c>
      <c r="I688" s="8">
        <v>237.7</v>
      </c>
      <c r="J688" s="3">
        <v>45875</v>
      </c>
      <c r="K688" s="14">
        <v>28</v>
      </c>
      <c r="L688" s="17">
        <v>2.7</v>
      </c>
      <c r="M688" s="2" t="b">
        <v>0</v>
      </c>
      <c r="N688" s="2"/>
      <c r="O688" s="2" t="str">
        <f>IF(Table1[[#This Row],[is_returned]]=TRUE,IF(Table1[[#This Row],[return_reason]]="","Error","OK"),"OK")</f>
        <v>OK</v>
      </c>
      <c r="P688" s="8">
        <f>Table1[[#This Row],[original_price]]*Table1[[#This Row],[markdown_percentage]]/100</f>
        <v>1.19445</v>
      </c>
      <c r="Q68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688" s="25">
        <f>Table1[[#This Row],[current_price]]*Table1[[#This Row],[stock_quantity]]</f>
        <v>6655.5999999999995</v>
      </c>
    </row>
    <row r="689" spans="1:18" x14ac:dyDescent="0.25">
      <c r="A689" s="2" t="s">
        <v>742</v>
      </c>
      <c r="B689" s="2" t="s">
        <v>30</v>
      </c>
      <c r="C689" s="2" t="s">
        <v>22</v>
      </c>
      <c r="D689" s="2" t="s">
        <v>62</v>
      </c>
      <c r="E689" s="2" t="s">
        <v>55</v>
      </c>
      <c r="F689" s="2" t="s">
        <v>25</v>
      </c>
      <c r="G689" s="8">
        <v>86.81</v>
      </c>
      <c r="H689" s="11">
        <v>12.6</v>
      </c>
      <c r="I689" s="8">
        <v>75.87</v>
      </c>
      <c r="J689" s="3">
        <v>45875</v>
      </c>
      <c r="K689" s="14">
        <v>6</v>
      </c>
      <c r="L689" s="17">
        <v>1.7</v>
      </c>
      <c r="M689" s="2" t="b">
        <v>0</v>
      </c>
      <c r="N689" s="2"/>
      <c r="O689" s="2" t="str">
        <f>IF(Table1[[#This Row],[is_returned]]=TRUE,IF(Table1[[#This Row],[return_reason]]="","Error","OK"),"OK")</f>
        <v>OK</v>
      </c>
      <c r="P689" s="8">
        <f>Table1[[#This Row],[original_price]]*Table1[[#This Row],[markdown_percentage]]/100</f>
        <v>10.93806</v>
      </c>
      <c r="Q68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689" s="25">
        <f>Table1[[#This Row],[current_price]]*Table1[[#This Row],[stock_quantity]]</f>
        <v>455.22</v>
      </c>
    </row>
    <row r="690" spans="1:18" x14ac:dyDescent="0.25">
      <c r="A690" s="2" t="s">
        <v>743</v>
      </c>
      <c r="B690" s="2" t="s">
        <v>38</v>
      </c>
      <c r="C690" s="2" t="s">
        <v>43</v>
      </c>
      <c r="D690" s="2" t="s">
        <v>62</v>
      </c>
      <c r="E690" s="2" t="s">
        <v>55</v>
      </c>
      <c r="F690" s="2" t="s">
        <v>44</v>
      </c>
      <c r="G690" s="8">
        <v>58.8</v>
      </c>
      <c r="H690" s="11">
        <v>11.8</v>
      </c>
      <c r="I690" s="8">
        <v>51.86</v>
      </c>
      <c r="J690" s="3">
        <v>45875</v>
      </c>
      <c r="K690" s="14">
        <v>8</v>
      </c>
      <c r="L690" s="17"/>
      <c r="M690" s="2" t="b">
        <v>0</v>
      </c>
      <c r="N690" s="2"/>
      <c r="O690" s="2" t="str">
        <f>IF(Table1[[#This Row],[is_returned]]=TRUE,IF(Table1[[#This Row],[return_reason]]="","Error","OK"),"OK")</f>
        <v>OK</v>
      </c>
      <c r="P690" s="8">
        <f>Table1[[#This Row],[original_price]]*Table1[[#This Row],[markdown_percentage]]/100</f>
        <v>6.9384000000000006</v>
      </c>
      <c r="Q69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690" s="25">
        <f>Table1[[#This Row],[current_price]]*Table1[[#This Row],[stock_quantity]]</f>
        <v>414.88</v>
      </c>
    </row>
    <row r="691" spans="1:18" x14ac:dyDescent="0.25">
      <c r="A691" s="2" t="s">
        <v>744</v>
      </c>
      <c r="B691" s="2" t="s">
        <v>38</v>
      </c>
      <c r="C691" s="2" t="s">
        <v>53</v>
      </c>
      <c r="D691" s="2" t="s">
        <v>17</v>
      </c>
      <c r="E691" s="2" t="s">
        <v>18</v>
      </c>
      <c r="F691" s="2" t="s">
        <v>56</v>
      </c>
      <c r="G691" s="8">
        <v>41.65</v>
      </c>
      <c r="H691" s="11">
        <v>52</v>
      </c>
      <c r="I691" s="8">
        <v>19.989999999999998</v>
      </c>
      <c r="J691" s="3">
        <v>45793</v>
      </c>
      <c r="K691" s="14">
        <v>20</v>
      </c>
      <c r="L691" s="17">
        <v>1.2</v>
      </c>
      <c r="M691" s="2" t="b">
        <v>0</v>
      </c>
      <c r="N691" s="2"/>
      <c r="O691" s="2" t="str">
        <f>IF(Table1[[#This Row],[is_returned]]=TRUE,IF(Table1[[#This Row],[return_reason]]="","Error","OK"),"OK")</f>
        <v>OK</v>
      </c>
      <c r="P691" s="8">
        <f>Table1[[#This Row],[original_price]]*Table1[[#This Row],[markdown_percentage]]/100</f>
        <v>21.657999999999998</v>
      </c>
      <c r="Q69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691" s="25">
        <f>Table1[[#This Row],[current_price]]*Table1[[#This Row],[stock_quantity]]</f>
        <v>399.79999999999995</v>
      </c>
    </row>
    <row r="692" spans="1:18" x14ac:dyDescent="0.25">
      <c r="A692" s="2" t="s">
        <v>745</v>
      </c>
      <c r="B692" s="2" t="s">
        <v>21</v>
      </c>
      <c r="C692" s="2" t="s">
        <v>48</v>
      </c>
      <c r="D692" s="2" t="s">
        <v>17</v>
      </c>
      <c r="E692" s="2" t="s">
        <v>18</v>
      </c>
      <c r="F692" s="2" t="s">
        <v>28</v>
      </c>
      <c r="G692" s="8">
        <v>61.67</v>
      </c>
      <c r="H692" s="11">
        <v>46.4</v>
      </c>
      <c r="I692" s="8">
        <v>33.06</v>
      </c>
      <c r="J692" s="3">
        <v>45853</v>
      </c>
      <c r="K692" s="14">
        <v>50</v>
      </c>
      <c r="L692" s="17">
        <v>2.7</v>
      </c>
      <c r="M692" s="2" t="b">
        <v>0</v>
      </c>
      <c r="N692" s="2"/>
      <c r="O692" s="2" t="str">
        <f>IF(Table1[[#This Row],[is_returned]]=TRUE,IF(Table1[[#This Row],[return_reason]]="","Error","OK"),"OK")</f>
        <v>OK</v>
      </c>
      <c r="P692" s="8">
        <f>Table1[[#This Row],[original_price]]*Table1[[#This Row],[markdown_percentage]]/100</f>
        <v>28.614879999999999</v>
      </c>
      <c r="Q69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692" s="25">
        <f>Table1[[#This Row],[current_price]]*Table1[[#This Row],[stock_quantity]]</f>
        <v>1653</v>
      </c>
    </row>
    <row r="693" spans="1:18" x14ac:dyDescent="0.25">
      <c r="A693" s="2" t="s">
        <v>746</v>
      </c>
      <c r="B693" s="2" t="s">
        <v>38</v>
      </c>
      <c r="C693" s="2" t="s">
        <v>48</v>
      </c>
      <c r="D693" s="2" t="s">
        <v>34</v>
      </c>
      <c r="E693" s="2" t="s">
        <v>55</v>
      </c>
      <c r="F693" s="2" t="s">
        <v>28</v>
      </c>
      <c r="G693" s="8">
        <v>40.39</v>
      </c>
      <c r="H693" s="11">
        <v>0</v>
      </c>
      <c r="I693" s="8">
        <v>40.39</v>
      </c>
      <c r="J693" s="3">
        <v>45875</v>
      </c>
      <c r="K693" s="14">
        <v>16</v>
      </c>
      <c r="L693" s="17"/>
      <c r="M693" s="2" t="b">
        <v>0</v>
      </c>
      <c r="N693" s="2"/>
      <c r="O693" s="2" t="str">
        <f>IF(Table1[[#This Row],[is_returned]]=TRUE,IF(Table1[[#This Row],[return_reason]]="","Error","OK"),"OK")</f>
        <v>OK</v>
      </c>
      <c r="P693" s="8">
        <f>Table1[[#This Row],[original_price]]*Table1[[#This Row],[markdown_percentage]]/100</f>
        <v>0</v>
      </c>
      <c r="Q69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693" s="25">
        <f>Table1[[#This Row],[current_price]]*Table1[[#This Row],[stock_quantity]]</f>
        <v>646.24</v>
      </c>
    </row>
    <row r="694" spans="1:18" x14ac:dyDescent="0.25">
      <c r="A694" s="2" t="s">
        <v>747</v>
      </c>
      <c r="B694" s="2" t="s">
        <v>21</v>
      </c>
      <c r="C694" s="2" t="s">
        <v>53</v>
      </c>
      <c r="D694" s="2" t="s">
        <v>34</v>
      </c>
      <c r="E694" s="2" t="s">
        <v>49</v>
      </c>
      <c r="F694" s="2" t="s">
        <v>66</v>
      </c>
      <c r="G694" s="8">
        <v>95.13</v>
      </c>
      <c r="H694" s="11">
        <v>45.4</v>
      </c>
      <c r="I694" s="8">
        <v>51.94</v>
      </c>
      <c r="J694" s="3">
        <v>45875</v>
      </c>
      <c r="K694" s="14">
        <v>46</v>
      </c>
      <c r="L694" s="17">
        <v>2.5</v>
      </c>
      <c r="M694" s="2" t="b">
        <v>0</v>
      </c>
      <c r="N694" s="2"/>
      <c r="O694" s="2" t="str">
        <f>IF(Table1[[#This Row],[is_returned]]=TRUE,IF(Table1[[#This Row],[return_reason]]="","Error","OK"),"OK")</f>
        <v>OK</v>
      </c>
      <c r="P694" s="8">
        <f>Table1[[#This Row],[original_price]]*Table1[[#This Row],[markdown_percentage]]/100</f>
        <v>43.189019999999999</v>
      </c>
      <c r="Q69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694" s="25">
        <f>Table1[[#This Row],[current_price]]*Table1[[#This Row],[stock_quantity]]</f>
        <v>2389.2399999999998</v>
      </c>
    </row>
    <row r="695" spans="1:18" x14ac:dyDescent="0.25">
      <c r="A695" s="2" t="s">
        <v>748</v>
      </c>
      <c r="B695" s="2" t="s">
        <v>38</v>
      </c>
      <c r="C695" s="2" t="s">
        <v>16</v>
      </c>
      <c r="D695" s="2" t="s">
        <v>34</v>
      </c>
      <c r="E695" s="2" t="s">
        <v>39</v>
      </c>
      <c r="F695" s="2" t="s">
        <v>46</v>
      </c>
      <c r="G695" s="8">
        <v>115.14</v>
      </c>
      <c r="H695" s="11">
        <v>0</v>
      </c>
      <c r="I695" s="8">
        <v>115.14</v>
      </c>
      <c r="J695" s="3">
        <v>45875</v>
      </c>
      <c r="K695" s="14">
        <v>43</v>
      </c>
      <c r="L695" s="17">
        <v>2.5</v>
      </c>
      <c r="M695" s="2" t="b">
        <v>0</v>
      </c>
      <c r="N695" s="2"/>
      <c r="O695" s="2" t="str">
        <f>IF(Table1[[#This Row],[is_returned]]=TRUE,IF(Table1[[#This Row],[return_reason]]="","Error","OK"),"OK")</f>
        <v>OK</v>
      </c>
      <c r="P695" s="8">
        <f>Table1[[#This Row],[original_price]]*Table1[[#This Row],[markdown_percentage]]/100</f>
        <v>0</v>
      </c>
      <c r="Q69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695" s="25">
        <f>Table1[[#This Row],[current_price]]*Table1[[#This Row],[stock_quantity]]</f>
        <v>4951.0200000000004</v>
      </c>
    </row>
    <row r="696" spans="1:18" x14ac:dyDescent="0.25">
      <c r="A696" s="2" t="s">
        <v>749</v>
      </c>
      <c r="B696" s="2" t="s">
        <v>21</v>
      </c>
      <c r="C696" s="2" t="s">
        <v>48</v>
      </c>
      <c r="D696" s="2" t="s">
        <v>62</v>
      </c>
      <c r="E696" s="2"/>
      <c r="F696" s="2" t="s">
        <v>56</v>
      </c>
      <c r="G696" s="8">
        <v>59.58</v>
      </c>
      <c r="H696" s="11">
        <v>0</v>
      </c>
      <c r="I696" s="8">
        <v>59.58</v>
      </c>
      <c r="J696" s="3">
        <v>45875</v>
      </c>
      <c r="K696" s="14">
        <v>27</v>
      </c>
      <c r="L696" s="17">
        <v>3.3</v>
      </c>
      <c r="M696" s="2" t="b">
        <v>0</v>
      </c>
      <c r="N696" s="2"/>
      <c r="O696" s="2" t="str">
        <f>IF(Table1[[#This Row],[is_returned]]=TRUE,IF(Table1[[#This Row],[return_reason]]="","Error","OK"),"OK")</f>
        <v>OK</v>
      </c>
      <c r="P696" s="8">
        <f>Table1[[#This Row],[original_price]]*Table1[[#This Row],[markdown_percentage]]/100</f>
        <v>0</v>
      </c>
      <c r="Q69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696" s="25">
        <f>Table1[[#This Row],[current_price]]*Table1[[#This Row],[stock_quantity]]</f>
        <v>1608.6599999999999</v>
      </c>
    </row>
    <row r="697" spans="1:18" x14ac:dyDescent="0.25">
      <c r="A697" s="2" t="s">
        <v>750</v>
      </c>
      <c r="B697" s="2" t="s">
        <v>30</v>
      </c>
      <c r="C697" s="2" t="s">
        <v>22</v>
      </c>
      <c r="D697" s="2" t="s">
        <v>17</v>
      </c>
      <c r="E697" s="2" t="s">
        <v>58</v>
      </c>
      <c r="F697" s="2" t="s">
        <v>66</v>
      </c>
      <c r="G697" s="8">
        <v>169.89</v>
      </c>
      <c r="H697" s="11">
        <v>0</v>
      </c>
      <c r="I697" s="8">
        <v>169.89</v>
      </c>
      <c r="J697" s="3">
        <v>45852</v>
      </c>
      <c r="K697" s="14">
        <v>12</v>
      </c>
      <c r="L697" s="17">
        <v>1.2</v>
      </c>
      <c r="M697" s="2" t="b">
        <v>0</v>
      </c>
      <c r="N697" s="2"/>
      <c r="O697" s="2" t="str">
        <f>IF(Table1[[#This Row],[is_returned]]=TRUE,IF(Table1[[#This Row],[return_reason]]="","Error","OK"),"OK")</f>
        <v>OK</v>
      </c>
      <c r="P697" s="8">
        <f>Table1[[#This Row],[original_price]]*Table1[[#This Row],[markdown_percentage]]/100</f>
        <v>0</v>
      </c>
      <c r="Q69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697" s="25">
        <f>Table1[[#This Row],[current_price]]*Table1[[#This Row],[stock_quantity]]</f>
        <v>2038.6799999999998</v>
      </c>
    </row>
    <row r="698" spans="1:18" x14ac:dyDescent="0.25">
      <c r="A698" s="2" t="s">
        <v>751</v>
      </c>
      <c r="B698" s="2" t="s">
        <v>30</v>
      </c>
      <c r="C698" s="2" t="s">
        <v>43</v>
      </c>
      <c r="D698" s="2" t="s">
        <v>23</v>
      </c>
      <c r="E698" s="2" t="s">
        <v>39</v>
      </c>
      <c r="F698" s="2" t="s">
        <v>28</v>
      </c>
      <c r="G698" s="8">
        <v>117.38</v>
      </c>
      <c r="H698" s="11">
        <v>22.5</v>
      </c>
      <c r="I698" s="8">
        <v>90.97</v>
      </c>
      <c r="J698" s="3">
        <v>45875</v>
      </c>
      <c r="K698" s="14">
        <v>42</v>
      </c>
      <c r="L698" s="17">
        <v>2.8</v>
      </c>
      <c r="M698" s="2" t="b">
        <v>1</v>
      </c>
      <c r="N698" s="2" t="s">
        <v>36</v>
      </c>
      <c r="O698" s="2" t="str">
        <f>IF(Table1[[#This Row],[is_returned]]=TRUE,IF(Table1[[#This Row],[return_reason]]="","Error","OK"),"OK")</f>
        <v>OK</v>
      </c>
      <c r="P698" s="8">
        <f>Table1[[#This Row],[original_price]]*Table1[[#This Row],[markdown_percentage]]/100</f>
        <v>26.410499999999999</v>
      </c>
      <c r="Q69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698" s="25">
        <f>Table1[[#This Row],[current_price]]*Table1[[#This Row],[stock_quantity]]</f>
        <v>3820.74</v>
      </c>
    </row>
    <row r="699" spans="1:18" x14ac:dyDescent="0.25">
      <c r="A699" s="2" t="s">
        <v>752</v>
      </c>
      <c r="B699" s="2" t="s">
        <v>21</v>
      </c>
      <c r="C699" s="2" t="s">
        <v>43</v>
      </c>
      <c r="D699" s="2" t="s">
        <v>23</v>
      </c>
      <c r="E699" s="2" t="s">
        <v>39</v>
      </c>
      <c r="F699" s="2" t="s">
        <v>25</v>
      </c>
      <c r="G699" s="8">
        <v>118.95</v>
      </c>
      <c r="H699" s="11">
        <v>0</v>
      </c>
      <c r="I699" s="8">
        <v>118.95</v>
      </c>
      <c r="J699" s="3">
        <v>45875</v>
      </c>
      <c r="K699" s="14">
        <v>18</v>
      </c>
      <c r="L699" s="17">
        <v>1.9</v>
      </c>
      <c r="M699" s="2" t="b">
        <v>1</v>
      </c>
      <c r="N699" s="2" t="s">
        <v>83</v>
      </c>
      <c r="O699" s="2" t="str">
        <f>IF(Table1[[#This Row],[is_returned]]=TRUE,IF(Table1[[#This Row],[return_reason]]="","Error","OK"),"OK")</f>
        <v>OK</v>
      </c>
      <c r="P699" s="8">
        <f>Table1[[#This Row],[original_price]]*Table1[[#This Row],[markdown_percentage]]/100</f>
        <v>0</v>
      </c>
      <c r="Q69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699" s="25">
        <f>Table1[[#This Row],[current_price]]*Table1[[#This Row],[stock_quantity]]</f>
        <v>2141.1</v>
      </c>
    </row>
    <row r="700" spans="1:18" x14ac:dyDescent="0.25">
      <c r="A700" s="2" t="s">
        <v>753</v>
      </c>
      <c r="B700" s="2" t="s">
        <v>27</v>
      </c>
      <c r="C700" s="2" t="s">
        <v>22</v>
      </c>
      <c r="D700" s="2" t="s">
        <v>34</v>
      </c>
      <c r="E700" s="2"/>
      <c r="F700" s="2" t="s">
        <v>19</v>
      </c>
      <c r="G700" s="8">
        <v>39.299999999999997</v>
      </c>
      <c r="H700" s="11">
        <v>0</v>
      </c>
      <c r="I700" s="8">
        <v>39.299999999999997</v>
      </c>
      <c r="J700" s="3">
        <v>45875</v>
      </c>
      <c r="K700" s="14">
        <v>39</v>
      </c>
      <c r="L700" s="17"/>
      <c r="M700" s="2" t="b">
        <v>0</v>
      </c>
      <c r="N700" s="2"/>
      <c r="O700" s="2" t="str">
        <f>IF(Table1[[#This Row],[is_returned]]=TRUE,IF(Table1[[#This Row],[return_reason]]="","Error","OK"),"OK")</f>
        <v>OK</v>
      </c>
      <c r="P700" s="8">
        <f>Table1[[#This Row],[original_price]]*Table1[[#This Row],[markdown_percentage]]/100</f>
        <v>0</v>
      </c>
      <c r="Q70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700" s="25">
        <f>Table1[[#This Row],[current_price]]*Table1[[#This Row],[stock_quantity]]</f>
        <v>1532.6999999999998</v>
      </c>
    </row>
    <row r="701" spans="1:18" x14ac:dyDescent="0.25">
      <c r="A701" s="2" t="s">
        <v>754</v>
      </c>
      <c r="B701" s="2" t="s">
        <v>21</v>
      </c>
      <c r="C701" s="2" t="s">
        <v>48</v>
      </c>
      <c r="D701" s="2" t="s">
        <v>23</v>
      </c>
      <c r="E701" s="2" t="s">
        <v>24</v>
      </c>
      <c r="F701" s="2" t="s">
        <v>56</v>
      </c>
      <c r="G701" s="8">
        <v>74.3</v>
      </c>
      <c r="H701" s="11">
        <v>0</v>
      </c>
      <c r="I701" s="8">
        <v>74.3</v>
      </c>
      <c r="J701" s="3">
        <v>45875</v>
      </c>
      <c r="K701" s="14">
        <v>31</v>
      </c>
      <c r="L701" s="17">
        <v>3.8</v>
      </c>
      <c r="M701" s="2" t="b">
        <v>1</v>
      </c>
      <c r="N701" s="2" t="s">
        <v>125</v>
      </c>
      <c r="O701" s="2" t="str">
        <f>IF(Table1[[#This Row],[is_returned]]=TRUE,IF(Table1[[#This Row],[return_reason]]="","Error","OK"),"OK")</f>
        <v>OK</v>
      </c>
      <c r="P701" s="8">
        <f>Table1[[#This Row],[original_price]]*Table1[[#This Row],[markdown_percentage]]/100</f>
        <v>0</v>
      </c>
      <c r="Q70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701" s="25">
        <f>Table1[[#This Row],[current_price]]*Table1[[#This Row],[stock_quantity]]</f>
        <v>2303.2999999999997</v>
      </c>
    </row>
    <row r="702" spans="1:18" x14ac:dyDescent="0.25">
      <c r="A702" s="2" t="s">
        <v>755</v>
      </c>
      <c r="B702" s="2" t="s">
        <v>38</v>
      </c>
      <c r="C702" s="2" t="s">
        <v>48</v>
      </c>
      <c r="D702" s="2" t="s">
        <v>17</v>
      </c>
      <c r="E702" s="2" t="s">
        <v>55</v>
      </c>
      <c r="F702" s="2" t="s">
        <v>70</v>
      </c>
      <c r="G702" s="8">
        <v>62.97</v>
      </c>
      <c r="H702" s="11">
        <v>0</v>
      </c>
      <c r="I702" s="8">
        <v>62.97</v>
      </c>
      <c r="J702" s="3">
        <v>45803</v>
      </c>
      <c r="K702" s="14">
        <v>5</v>
      </c>
      <c r="L702" s="17">
        <v>3.5</v>
      </c>
      <c r="M702" s="2" t="b">
        <v>0</v>
      </c>
      <c r="N702" s="2"/>
      <c r="O702" s="2" t="str">
        <f>IF(Table1[[#This Row],[is_returned]]=TRUE,IF(Table1[[#This Row],[return_reason]]="","Error","OK"),"OK")</f>
        <v>OK</v>
      </c>
      <c r="P702" s="8">
        <f>Table1[[#This Row],[original_price]]*Table1[[#This Row],[markdown_percentage]]/100</f>
        <v>0</v>
      </c>
      <c r="Q70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702" s="25">
        <f>Table1[[#This Row],[current_price]]*Table1[[#This Row],[stock_quantity]]</f>
        <v>314.85000000000002</v>
      </c>
    </row>
    <row r="703" spans="1:18" x14ac:dyDescent="0.25">
      <c r="A703" s="2" t="s">
        <v>756</v>
      </c>
      <c r="B703" s="2" t="s">
        <v>27</v>
      </c>
      <c r="C703" s="2" t="s">
        <v>48</v>
      </c>
      <c r="D703" s="2" t="s">
        <v>62</v>
      </c>
      <c r="E703" s="2"/>
      <c r="F703" s="2" t="s">
        <v>40</v>
      </c>
      <c r="G703" s="8">
        <v>73.599999999999994</v>
      </c>
      <c r="H703" s="11">
        <v>0</v>
      </c>
      <c r="I703" s="8">
        <v>73.599999999999994</v>
      </c>
      <c r="J703" s="3">
        <v>45875</v>
      </c>
      <c r="K703" s="14">
        <v>1</v>
      </c>
      <c r="L703" s="17">
        <v>1.8</v>
      </c>
      <c r="M703" s="2" t="b">
        <v>0</v>
      </c>
      <c r="N703" s="2"/>
      <c r="O703" s="2" t="str">
        <f>IF(Table1[[#This Row],[is_returned]]=TRUE,IF(Table1[[#This Row],[return_reason]]="","Error","OK"),"OK")</f>
        <v>OK</v>
      </c>
      <c r="P703" s="8">
        <f>Table1[[#This Row],[original_price]]*Table1[[#This Row],[markdown_percentage]]/100</f>
        <v>0</v>
      </c>
      <c r="Q70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703" s="25">
        <f>Table1[[#This Row],[current_price]]*Table1[[#This Row],[stock_quantity]]</f>
        <v>73.599999999999994</v>
      </c>
    </row>
    <row r="704" spans="1:18" x14ac:dyDescent="0.25">
      <c r="A704" s="2" t="s">
        <v>757</v>
      </c>
      <c r="B704" s="2" t="s">
        <v>27</v>
      </c>
      <c r="C704" s="2" t="s">
        <v>43</v>
      </c>
      <c r="D704" s="2" t="s">
        <v>17</v>
      </c>
      <c r="E704" s="2"/>
      <c r="F704" s="2" t="s">
        <v>28</v>
      </c>
      <c r="G704" s="8">
        <v>77.849999999999994</v>
      </c>
      <c r="H704" s="11">
        <v>34.9</v>
      </c>
      <c r="I704" s="8">
        <v>50.68</v>
      </c>
      <c r="J704" s="3">
        <v>45874</v>
      </c>
      <c r="K704" s="14">
        <v>11</v>
      </c>
      <c r="L704" s="17"/>
      <c r="M704" s="2" t="b">
        <v>0</v>
      </c>
      <c r="N704" s="2"/>
      <c r="O704" s="2" t="str">
        <f>IF(Table1[[#This Row],[is_returned]]=TRUE,IF(Table1[[#This Row],[return_reason]]="","Error","OK"),"OK")</f>
        <v>OK</v>
      </c>
      <c r="P704" s="8">
        <f>Table1[[#This Row],[original_price]]*Table1[[#This Row],[markdown_percentage]]/100</f>
        <v>27.169649999999997</v>
      </c>
      <c r="Q70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704" s="25">
        <f>Table1[[#This Row],[current_price]]*Table1[[#This Row],[stock_quantity]]</f>
        <v>557.48</v>
      </c>
    </row>
    <row r="705" spans="1:18" x14ac:dyDescent="0.25">
      <c r="A705" s="2" t="s">
        <v>758</v>
      </c>
      <c r="B705" s="2" t="s">
        <v>21</v>
      </c>
      <c r="C705" s="2" t="s">
        <v>75</v>
      </c>
      <c r="D705" s="2" t="s">
        <v>62</v>
      </c>
      <c r="E705" s="2"/>
      <c r="F705" s="2" t="s">
        <v>19</v>
      </c>
      <c r="G705" s="8">
        <v>94.31</v>
      </c>
      <c r="H705" s="11">
        <v>0</v>
      </c>
      <c r="I705" s="8">
        <v>94.31</v>
      </c>
      <c r="J705" s="3">
        <v>45875</v>
      </c>
      <c r="K705" s="14">
        <v>20</v>
      </c>
      <c r="L705" s="17">
        <v>3</v>
      </c>
      <c r="M705" s="2" t="b">
        <v>0</v>
      </c>
      <c r="N705" s="2"/>
      <c r="O705" s="2" t="str">
        <f>IF(Table1[[#This Row],[is_returned]]=TRUE,IF(Table1[[#This Row],[return_reason]]="","Error","OK"),"OK")</f>
        <v>OK</v>
      </c>
      <c r="P705" s="8">
        <f>Table1[[#This Row],[original_price]]*Table1[[#This Row],[markdown_percentage]]/100</f>
        <v>0</v>
      </c>
      <c r="Q70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705" s="25">
        <f>Table1[[#This Row],[current_price]]*Table1[[#This Row],[stock_quantity]]</f>
        <v>1886.2</v>
      </c>
    </row>
    <row r="706" spans="1:18" x14ac:dyDescent="0.25">
      <c r="A706" s="2" t="s">
        <v>759</v>
      </c>
      <c r="B706" s="2" t="s">
        <v>38</v>
      </c>
      <c r="C706" s="2" t="s">
        <v>53</v>
      </c>
      <c r="D706" s="2" t="s">
        <v>17</v>
      </c>
      <c r="E706" s="2"/>
      <c r="F706" s="2" t="s">
        <v>64</v>
      </c>
      <c r="G706" s="8">
        <v>60.36</v>
      </c>
      <c r="H706" s="11">
        <v>0</v>
      </c>
      <c r="I706" s="8">
        <v>60.36</v>
      </c>
      <c r="J706" s="3">
        <v>45536</v>
      </c>
      <c r="K706" s="14">
        <v>35</v>
      </c>
      <c r="L706" s="17">
        <v>3.3</v>
      </c>
      <c r="M706" s="2" t="b">
        <v>0</v>
      </c>
      <c r="N706" s="2"/>
      <c r="O706" s="2" t="str">
        <f>IF(Table1[[#This Row],[is_returned]]=TRUE,IF(Table1[[#This Row],[return_reason]]="","Error","OK"),"OK")</f>
        <v>OK</v>
      </c>
      <c r="P706" s="8">
        <f>Table1[[#This Row],[original_price]]*Table1[[#This Row],[markdown_percentage]]/100</f>
        <v>0</v>
      </c>
      <c r="Q70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706" s="25">
        <f>Table1[[#This Row],[current_price]]*Table1[[#This Row],[stock_quantity]]</f>
        <v>2112.6</v>
      </c>
    </row>
    <row r="707" spans="1:18" x14ac:dyDescent="0.25">
      <c r="A707" s="2" t="s">
        <v>760</v>
      </c>
      <c r="B707" s="2" t="s">
        <v>38</v>
      </c>
      <c r="C707" s="2" t="s">
        <v>43</v>
      </c>
      <c r="D707" s="2" t="s">
        <v>62</v>
      </c>
      <c r="E707" s="2" t="s">
        <v>49</v>
      </c>
      <c r="F707" s="2" t="s">
        <v>70</v>
      </c>
      <c r="G707" s="8">
        <v>94.85</v>
      </c>
      <c r="H707" s="11">
        <v>0</v>
      </c>
      <c r="I707" s="8">
        <v>94.85</v>
      </c>
      <c r="J707" s="3">
        <v>45875</v>
      </c>
      <c r="K707" s="14">
        <v>28</v>
      </c>
      <c r="L707" s="17">
        <v>1.5</v>
      </c>
      <c r="M707" s="2" t="b">
        <v>0</v>
      </c>
      <c r="N707" s="2"/>
      <c r="O707" s="2" t="str">
        <f>IF(Table1[[#This Row],[is_returned]]=TRUE,IF(Table1[[#This Row],[return_reason]]="","Error","OK"),"OK")</f>
        <v>OK</v>
      </c>
      <c r="P707" s="8">
        <f>Table1[[#This Row],[original_price]]*Table1[[#This Row],[markdown_percentage]]/100</f>
        <v>0</v>
      </c>
      <c r="Q70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707" s="25">
        <f>Table1[[#This Row],[current_price]]*Table1[[#This Row],[stock_quantity]]</f>
        <v>2655.7999999999997</v>
      </c>
    </row>
    <row r="708" spans="1:18" x14ac:dyDescent="0.25">
      <c r="A708" s="2" t="s">
        <v>761</v>
      </c>
      <c r="B708" s="2" t="s">
        <v>27</v>
      </c>
      <c r="C708" s="2" t="s">
        <v>22</v>
      </c>
      <c r="D708" s="2" t="s">
        <v>23</v>
      </c>
      <c r="E708" s="2"/>
      <c r="F708" s="2" t="s">
        <v>44</v>
      </c>
      <c r="G708" s="8">
        <v>30.52</v>
      </c>
      <c r="H708" s="11">
        <v>7.9</v>
      </c>
      <c r="I708" s="8">
        <v>28.11</v>
      </c>
      <c r="J708" s="3">
        <v>45875</v>
      </c>
      <c r="K708" s="14">
        <v>43</v>
      </c>
      <c r="L708" s="17">
        <v>4.7</v>
      </c>
      <c r="M708" s="2" t="b">
        <v>0</v>
      </c>
      <c r="N708" s="2"/>
      <c r="O708" s="2" t="str">
        <f>IF(Table1[[#This Row],[is_returned]]=TRUE,IF(Table1[[#This Row],[return_reason]]="","Error","OK"),"OK")</f>
        <v>OK</v>
      </c>
      <c r="P708" s="8">
        <f>Table1[[#This Row],[original_price]]*Table1[[#This Row],[markdown_percentage]]/100</f>
        <v>2.4110800000000001</v>
      </c>
      <c r="Q70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708" s="25">
        <f>Table1[[#This Row],[current_price]]*Table1[[#This Row],[stock_quantity]]</f>
        <v>1208.73</v>
      </c>
    </row>
    <row r="709" spans="1:18" x14ac:dyDescent="0.25">
      <c r="A709" s="2" t="s">
        <v>762</v>
      </c>
      <c r="B709" s="2" t="s">
        <v>42</v>
      </c>
      <c r="C709" s="2" t="s">
        <v>43</v>
      </c>
      <c r="D709" s="2" t="s">
        <v>62</v>
      </c>
      <c r="E709" s="2" t="s">
        <v>55</v>
      </c>
      <c r="F709" s="2" t="s">
        <v>64</v>
      </c>
      <c r="G709" s="8">
        <v>97.06</v>
      </c>
      <c r="H709" s="11">
        <v>0</v>
      </c>
      <c r="I709" s="8">
        <v>97.06</v>
      </c>
      <c r="J709" s="3">
        <v>45875</v>
      </c>
      <c r="K709" s="14">
        <v>24</v>
      </c>
      <c r="L709" s="17">
        <v>3.9</v>
      </c>
      <c r="M709" s="2" t="b">
        <v>0</v>
      </c>
      <c r="N709" s="2"/>
      <c r="O709" s="2" t="str">
        <f>IF(Table1[[#This Row],[is_returned]]=TRUE,IF(Table1[[#This Row],[return_reason]]="","Error","OK"),"OK")</f>
        <v>OK</v>
      </c>
      <c r="P709" s="8">
        <f>Table1[[#This Row],[original_price]]*Table1[[#This Row],[markdown_percentage]]/100</f>
        <v>0</v>
      </c>
      <c r="Q70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709" s="25">
        <f>Table1[[#This Row],[current_price]]*Table1[[#This Row],[stock_quantity]]</f>
        <v>2329.44</v>
      </c>
    </row>
    <row r="710" spans="1:18" x14ac:dyDescent="0.25">
      <c r="A710" s="2" t="s">
        <v>763</v>
      </c>
      <c r="B710" s="2" t="s">
        <v>38</v>
      </c>
      <c r="C710" s="2" t="s">
        <v>75</v>
      </c>
      <c r="D710" s="2" t="s">
        <v>62</v>
      </c>
      <c r="E710" s="2" t="s">
        <v>58</v>
      </c>
      <c r="F710" s="2" t="s">
        <v>66</v>
      </c>
      <c r="G710" s="8">
        <v>57.85</v>
      </c>
      <c r="H710" s="11">
        <v>35.4</v>
      </c>
      <c r="I710" s="8">
        <v>37.369999999999997</v>
      </c>
      <c r="J710" s="3">
        <v>45875</v>
      </c>
      <c r="K710" s="14">
        <v>17</v>
      </c>
      <c r="L710" s="17"/>
      <c r="M710" s="2" t="b">
        <v>0</v>
      </c>
      <c r="N710" s="2"/>
      <c r="O710" s="2" t="str">
        <f>IF(Table1[[#This Row],[is_returned]]=TRUE,IF(Table1[[#This Row],[return_reason]]="","Error","OK"),"OK")</f>
        <v>OK</v>
      </c>
      <c r="P710" s="8">
        <f>Table1[[#This Row],[original_price]]*Table1[[#This Row],[markdown_percentage]]/100</f>
        <v>20.478899999999999</v>
      </c>
      <c r="Q71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710" s="25">
        <f>Table1[[#This Row],[current_price]]*Table1[[#This Row],[stock_quantity]]</f>
        <v>635.29</v>
      </c>
    </row>
    <row r="711" spans="1:18" x14ac:dyDescent="0.25">
      <c r="A711" s="2" t="s">
        <v>764</v>
      </c>
      <c r="B711" s="2" t="s">
        <v>21</v>
      </c>
      <c r="C711" s="2" t="s">
        <v>16</v>
      </c>
      <c r="D711" s="2" t="s">
        <v>34</v>
      </c>
      <c r="E711" s="2" t="s">
        <v>58</v>
      </c>
      <c r="F711" s="2" t="s">
        <v>35</v>
      </c>
      <c r="G711" s="8">
        <v>51.35</v>
      </c>
      <c r="H711" s="11">
        <v>19.7</v>
      </c>
      <c r="I711" s="8">
        <v>41.23</v>
      </c>
      <c r="J711" s="3">
        <v>45875</v>
      </c>
      <c r="K711" s="14">
        <v>39</v>
      </c>
      <c r="L711" s="17">
        <v>1.3</v>
      </c>
      <c r="M711" s="2" t="b">
        <v>0</v>
      </c>
      <c r="N711" s="2"/>
      <c r="O711" s="2" t="str">
        <f>IF(Table1[[#This Row],[is_returned]]=TRUE,IF(Table1[[#This Row],[return_reason]]="","Error","OK"),"OK")</f>
        <v>OK</v>
      </c>
      <c r="P711" s="8">
        <f>Table1[[#This Row],[original_price]]*Table1[[#This Row],[markdown_percentage]]/100</f>
        <v>10.11595</v>
      </c>
      <c r="Q71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711" s="25">
        <f>Table1[[#This Row],[current_price]]*Table1[[#This Row],[stock_quantity]]</f>
        <v>1607.9699999999998</v>
      </c>
    </row>
    <row r="712" spans="1:18" x14ac:dyDescent="0.25">
      <c r="A712" s="2" t="s">
        <v>765</v>
      </c>
      <c r="B712" s="2" t="s">
        <v>27</v>
      </c>
      <c r="C712" s="2" t="s">
        <v>53</v>
      </c>
      <c r="D712" s="2" t="s">
        <v>17</v>
      </c>
      <c r="E712" s="2"/>
      <c r="F712" s="2" t="s">
        <v>28</v>
      </c>
      <c r="G712" s="8">
        <v>61.34</v>
      </c>
      <c r="H712" s="11">
        <v>45.4</v>
      </c>
      <c r="I712" s="8">
        <v>33.49</v>
      </c>
      <c r="J712" s="3">
        <v>45691</v>
      </c>
      <c r="K712" s="14">
        <v>46</v>
      </c>
      <c r="L712" s="17"/>
      <c r="M712" s="2" t="b">
        <v>0</v>
      </c>
      <c r="N712" s="2"/>
      <c r="O712" s="2" t="str">
        <f>IF(Table1[[#This Row],[is_returned]]=TRUE,IF(Table1[[#This Row],[return_reason]]="","Error","OK"),"OK")</f>
        <v>OK</v>
      </c>
      <c r="P712" s="8">
        <f>Table1[[#This Row],[original_price]]*Table1[[#This Row],[markdown_percentage]]/100</f>
        <v>27.848360000000003</v>
      </c>
      <c r="Q71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712" s="25">
        <f>Table1[[#This Row],[current_price]]*Table1[[#This Row],[stock_quantity]]</f>
        <v>1540.5400000000002</v>
      </c>
    </row>
    <row r="713" spans="1:18" x14ac:dyDescent="0.25">
      <c r="A713" s="2" t="s">
        <v>766</v>
      </c>
      <c r="B713" s="2" t="s">
        <v>15</v>
      </c>
      <c r="C713" s="2" t="s">
        <v>32</v>
      </c>
      <c r="D713" s="2" t="s">
        <v>62</v>
      </c>
      <c r="E713" s="2" t="s">
        <v>24</v>
      </c>
      <c r="F713" s="2" t="s">
        <v>66</v>
      </c>
      <c r="G713" s="8">
        <v>189.28</v>
      </c>
      <c r="H713" s="11">
        <v>0</v>
      </c>
      <c r="I713" s="8">
        <v>189.28</v>
      </c>
      <c r="J713" s="3">
        <v>45875</v>
      </c>
      <c r="K713" s="14">
        <v>41</v>
      </c>
      <c r="L713" s="17">
        <v>2.7</v>
      </c>
      <c r="M713" s="2" t="b">
        <v>1</v>
      </c>
      <c r="N713" s="2" t="s">
        <v>125</v>
      </c>
      <c r="O713" s="2" t="str">
        <f>IF(Table1[[#This Row],[is_returned]]=TRUE,IF(Table1[[#This Row],[return_reason]]="","Error","OK"),"OK")</f>
        <v>OK</v>
      </c>
      <c r="P713" s="8">
        <f>Table1[[#This Row],[original_price]]*Table1[[#This Row],[markdown_percentage]]/100</f>
        <v>0</v>
      </c>
      <c r="Q71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713" s="25">
        <f>Table1[[#This Row],[current_price]]*Table1[[#This Row],[stock_quantity]]</f>
        <v>7760.4800000000005</v>
      </c>
    </row>
    <row r="714" spans="1:18" x14ac:dyDescent="0.25">
      <c r="A714" s="2" t="s">
        <v>767</v>
      </c>
      <c r="B714" s="2" t="s">
        <v>21</v>
      </c>
      <c r="C714" s="2" t="s">
        <v>32</v>
      </c>
      <c r="D714" s="2" t="s">
        <v>62</v>
      </c>
      <c r="E714" s="2" t="s">
        <v>49</v>
      </c>
      <c r="F714" s="2" t="s">
        <v>66</v>
      </c>
      <c r="G714" s="8">
        <v>86.67</v>
      </c>
      <c r="H714" s="11">
        <v>35.799999999999997</v>
      </c>
      <c r="I714" s="8">
        <v>55.64</v>
      </c>
      <c r="J714" s="3">
        <v>45875</v>
      </c>
      <c r="K714" s="14">
        <v>2</v>
      </c>
      <c r="L714" s="17">
        <v>4.9000000000000004</v>
      </c>
      <c r="M714" s="2" t="b">
        <v>0</v>
      </c>
      <c r="N714" s="2"/>
      <c r="O714" s="2" t="str">
        <f>IF(Table1[[#This Row],[is_returned]]=TRUE,IF(Table1[[#This Row],[return_reason]]="","Error","OK"),"OK")</f>
        <v>OK</v>
      </c>
      <c r="P714" s="8">
        <f>Table1[[#This Row],[original_price]]*Table1[[#This Row],[markdown_percentage]]/100</f>
        <v>31.027859999999997</v>
      </c>
      <c r="Q71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714" s="25">
        <f>Table1[[#This Row],[current_price]]*Table1[[#This Row],[stock_quantity]]</f>
        <v>111.28</v>
      </c>
    </row>
    <row r="715" spans="1:18" x14ac:dyDescent="0.25">
      <c r="A715" s="2" t="s">
        <v>768</v>
      </c>
      <c r="B715" s="2" t="s">
        <v>38</v>
      </c>
      <c r="C715" s="2" t="s">
        <v>53</v>
      </c>
      <c r="D715" s="2" t="s">
        <v>17</v>
      </c>
      <c r="E715" s="2" t="s">
        <v>39</v>
      </c>
      <c r="F715" s="2" t="s">
        <v>64</v>
      </c>
      <c r="G715" s="8">
        <v>102.84</v>
      </c>
      <c r="H715" s="11">
        <v>0</v>
      </c>
      <c r="I715" s="8">
        <v>102.84</v>
      </c>
      <c r="J715" s="3">
        <v>45545</v>
      </c>
      <c r="K715" s="14">
        <v>27</v>
      </c>
      <c r="L715" s="17">
        <v>1.8</v>
      </c>
      <c r="M715" s="2" t="b">
        <v>0</v>
      </c>
      <c r="N715" s="2"/>
      <c r="O715" s="2" t="str">
        <f>IF(Table1[[#This Row],[is_returned]]=TRUE,IF(Table1[[#This Row],[return_reason]]="","Error","OK"),"OK")</f>
        <v>OK</v>
      </c>
      <c r="P715" s="8">
        <f>Table1[[#This Row],[original_price]]*Table1[[#This Row],[markdown_percentage]]/100</f>
        <v>0</v>
      </c>
      <c r="Q71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715" s="25">
        <f>Table1[[#This Row],[current_price]]*Table1[[#This Row],[stock_quantity]]</f>
        <v>2776.6800000000003</v>
      </c>
    </row>
    <row r="716" spans="1:18" x14ac:dyDescent="0.25">
      <c r="A716" s="2" t="s">
        <v>769</v>
      </c>
      <c r="B716" s="2" t="s">
        <v>15</v>
      </c>
      <c r="C716" s="2" t="s">
        <v>16</v>
      </c>
      <c r="D716" s="2" t="s">
        <v>34</v>
      </c>
      <c r="E716" s="2" t="s">
        <v>49</v>
      </c>
      <c r="F716" s="2" t="s">
        <v>46</v>
      </c>
      <c r="G716" s="8">
        <v>225.21</v>
      </c>
      <c r="H716" s="11">
        <v>0</v>
      </c>
      <c r="I716" s="8">
        <v>225.21</v>
      </c>
      <c r="J716" s="3">
        <v>45875</v>
      </c>
      <c r="K716" s="14">
        <v>27</v>
      </c>
      <c r="L716" s="17">
        <v>3.1</v>
      </c>
      <c r="M716" s="2" t="b">
        <v>1</v>
      </c>
      <c r="N716" s="2" t="s">
        <v>115</v>
      </c>
      <c r="O716" s="2" t="str">
        <f>IF(Table1[[#This Row],[is_returned]]=TRUE,IF(Table1[[#This Row],[return_reason]]="","Error","OK"),"OK")</f>
        <v>OK</v>
      </c>
      <c r="P716" s="8">
        <f>Table1[[#This Row],[original_price]]*Table1[[#This Row],[markdown_percentage]]/100</f>
        <v>0</v>
      </c>
      <c r="Q71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716" s="25">
        <f>Table1[[#This Row],[current_price]]*Table1[[#This Row],[stock_quantity]]</f>
        <v>6080.67</v>
      </c>
    </row>
    <row r="717" spans="1:18" x14ac:dyDescent="0.25">
      <c r="A717" s="2" t="s">
        <v>770</v>
      </c>
      <c r="B717" s="2" t="s">
        <v>42</v>
      </c>
      <c r="C717" s="2" t="s">
        <v>22</v>
      </c>
      <c r="D717" s="2" t="s">
        <v>23</v>
      </c>
      <c r="E717" s="2" t="s">
        <v>18</v>
      </c>
      <c r="F717" s="2" t="s">
        <v>40</v>
      </c>
      <c r="G717" s="8">
        <v>48.91</v>
      </c>
      <c r="H717" s="11">
        <v>27.8</v>
      </c>
      <c r="I717" s="8">
        <v>35.31</v>
      </c>
      <c r="J717" s="3">
        <v>45875</v>
      </c>
      <c r="K717" s="14">
        <v>0</v>
      </c>
      <c r="L717" s="17">
        <v>4.0999999999999996</v>
      </c>
      <c r="M717" s="2" t="b">
        <v>0</v>
      </c>
      <c r="N717" s="2"/>
      <c r="O717" s="2" t="str">
        <f>IF(Table1[[#This Row],[is_returned]]=TRUE,IF(Table1[[#This Row],[return_reason]]="","Error","OK"),"OK")</f>
        <v>OK</v>
      </c>
      <c r="P717" s="8">
        <f>Table1[[#This Row],[original_price]]*Table1[[#This Row],[markdown_percentage]]/100</f>
        <v>13.596979999999999</v>
      </c>
      <c r="Q71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717" s="25">
        <f>Table1[[#This Row],[current_price]]*Table1[[#This Row],[stock_quantity]]</f>
        <v>0</v>
      </c>
    </row>
    <row r="718" spans="1:18" x14ac:dyDescent="0.25">
      <c r="A718" s="2" t="s">
        <v>771</v>
      </c>
      <c r="B718" s="2" t="s">
        <v>15</v>
      </c>
      <c r="C718" s="2" t="s">
        <v>75</v>
      </c>
      <c r="D718" s="2" t="s">
        <v>34</v>
      </c>
      <c r="E718" s="2" t="s">
        <v>24</v>
      </c>
      <c r="F718" s="2" t="s">
        <v>25</v>
      </c>
      <c r="G718" s="8">
        <v>145.93</v>
      </c>
      <c r="H718" s="11">
        <v>0</v>
      </c>
      <c r="I718" s="8">
        <v>145.93</v>
      </c>
      <c r="J718" s="3">
        <v>45875</v>
      </c>
      <c r="K718" s="14">
        <v>19</v>
      </c>
      <c r="L718" s="17">
        <v>1.5</v>
      </c>
      <c r="M718" s="2" t="b">
        <v>0</v>
      </c>
      <c r="N718" s="2"/>
      <c r="O718" s="2" t="str">
        <f>IF(Table1[[#This Row],[is_returned]]=TRUE,IF(Table1[[#This Row],[return_reason]]="","Error","OK"),"OK")</f>
        <v>OK</v>
      </c>
      <c r="P718" s="8">
        <f>Table1[[#This Row],[original_price]]*Table1[[#This Row],[markdown_percentage]]/100</f>
        <v>0</v>
      </c>
      <c r="Q71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718" s="25">
        <f>Table1[[#This Row],[current_price]]*Table1[[#This Row],[stock_quantity]]</f>
        <v>2772.67</v>
      </c>
    </row>
    <row r="719" spans="1:18" x14ac:dyDescent="0.25">
      <c r="A719" s="2" t="s">
        <v>772</v>
      </c>
      <c r="B719" s="2" t="s">
        <v>15</v>
      </c>
      <c r="C719" s="2" t="s">
        <v>32</v>
      </c>
      <c r="D719" s="2" t="s">
        <v>23</v>
      </c>
      <c r="E719" s="2"/>
      <c r="F719" s="2" t="s">
        <v>46</v>
      </c>
      <c r="G719" s="8">
        <v>225.92</v>
      </c>
      <c r="H719" s="11">
        <v>43.7</v>
      </c>
      <c r="I719" s="8">
        <v>127.19</v>
      </c>
      <c r="J719" s="3">
        <v>45875</v>
      </c>
      <c r="K719" s="14">
        <v>30</v>
      </c>
      <c r="L719" s="17">
        <v>3.2</v>
      </c>
      <c r="M719" s="2" t="b">
        <v>0</v>
      </c>
      <c r="N719" s="2"/>
      <c r="O719" s="2" t="str">
        <f>IF(Table1[[#This Row],[is_returned]]=TRUE,IF(Table1[[#This Row],[return_reason]]="","Error","OK"),"OK")</f>
        <v>OK</v>
      </c>
      <c r="P719" s="8">
        <f>Table1[[#This Row],[original_price]]*Table1[[#This Row],[markdown_percentage]]/100</f>
        <v>98.727040000000002</v>
      </c>
      <c r="Q71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719" s="25">
        <f>Table1[[#This Row],[current_price]]*Table1[[#This Row],[stock_quantity]]</f>
        <v>3815.7</v>
      </c>
    </row>
    <row r="720" spans="1:18" x14ac:dyDescent="0.25">
      <c r="A720" s="2" t="s">
        <v>773</v>
      </c>
      <c r="B720" s="2" t="s">
        <v>15</v>
      </c>
      <c r="C720" s="2" t="s">
        <v>22</v>
      </c>
      <c r="D720" s="2" t="s">
        <v>62</v>
      </c>
      <c r="E720" s="2" t="s">
        <v>18</v>
      </c>
      <c r="F720" s="2" t="s">
        <v>46</v>
      </c>
      <c r="G720" s="8">
        <v>202.18</v>
      </c>
      <c r="H720" s="11">
        <v>39.700000000000003</v>
      </c>
      <c r="I720" s="8">
        <v>121.91</v>
      </c>
      <c r="J720" s="3">
        <v>45875</v>
      </c>
      <c r="K720" s="14">
        <v>20</v>
      </c>
      <c r="L720" s="17">
        <v>4.0999999999999996</v>
      </c>
      <c r="M720" s="2" t="b">
        <v>0</v>
      </c>
      <c r="N720" s="2"/>
      <c r="O720" s="2" t="str">
        <f>IF(Table1[[#This Row],[is_returned]]=TRUE,IF(Table1[[#This Row],[return_reason]]="","Error","OK"),"OK")</f>
        <v>OK</v>
      </c>
      <c r="P720" s="8">
        <f>Table1[[#This Row],[original_price]]*Table1[[#This Row],[markdown_percentage]]/100</f>
        <v>80.265460000000019</v>
      </c>
      <c r="Q72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720" s="25">
        <f>Table1[[#This Row],[current_price]]*Table1[[#This Row],[stock_quantity]]</f>
        <v>2438.1999999999998</v>
      </c>
    </row>
    <row r="721" spans="1:18" x14ac:dyDescent="0.25">
      <c r="A721" s="2" t="s">
        <v>774</v>
      </c>
      <c r="B721" s="2" t="s">
        <v>21</v>
      </c>
      <c r="C721" s="2" t="s">
        <v>22</v>
      </c>
      <c r="D721" s="2" t="s">
        <v>34</v>
      </c>
      <c r="E721" s="2" t="s">
        <v>18</v>
      </c>
      <c r="F721" s="2" t="s">
        <v>44</v>
      </c>
      <c r="G721" s="8">
        <v>51.85</v>
      </c>
      <c r="H721" s="11">
        <v>0</v>
      </c>
      <c r="I721" s="8">
        <v>51.85</v>
      </c>
      <c r="J721" s="3">
        <v>45875</v>
      </c>
      <c r="K721" s="14">
        <v>28</v>
      </c>
      <c r="L721" s="17"/>
      <c r="M721" s="2" t="b">
        <v>0</v>
      </c>
      <c r="N721" s="2"/>
      <c r="O721" s="2" t="str">
        <f>IF(Table1[[#This Row],[is_returned]]=TRUE,IF(Table1[[#This Row],[return_reason]]="","Error","OK"),"OK")</f>
        <v>OK</v>
      </c>
      <c r="P721" s="8">
        <f>Table1[[#This Row],[original_price]]*Table1[[#This Row],[markdown_percentage]]/100</f>
        <v>0</v>
      </c>
      <c r="Q72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721" s="25">
        <f>Table1[[#This Row],[current_price]]*Table1[[#This Row],[stock_quantity]]</f>
        <v>1451.8</v>
      </c>
    </row>
    <row r="722" spans="1:18" x14ac:dyDescent="0.25">
      <c r="A722" s="2" t="s">
        <v>775</v>
      </c>
      <c r="B722" s="2" t="s">
        <v>21</v>
      </c>
      <c r="C722" s="2" t="s">
        <v>22</v>
      </c>
      <c r="D722" s="2" t="s">
        <v>62</v>
      </c>
      <c r="E722" s="2" t="s">
        <v>24</v>
      </c>
      <c r="F722" s="2" t="s">
        <v>40</v>
      </c>
      <c r="G722" s="8">
        <v>75.34</v>
      </c>
      <c r="H722" s="11">
        <v>0</v>
      </c>
      <c r="I722" s="8">
        <v>75.34</v>
      </c>
      <c r="J722" s="3">
        <v>45875</v>
      </c>
      <c r="K722" s="14">
        <v>21</v>
      </c>
      <c r="L722" s="17"/>
      <c r="M722" s="2" t="b">
        <v>0</v>
      </c>
      <c r="N722" s="2"/>
      <c r="O722" s="2" t="str">
        <f>IF(Table1[[#This Row],[is_returned]]=TRUE,IF(Table1[[#This Row],[return_reason]]="","Error","OK"),"OK")</f>
        <v>OK</v>
      </c>
      <c r="P722" s="8">
        <f>Table1[[#This Row],[original_price]]*Table1[[#This Row],[markdown_percentage]]/100</f>
        <v>0</v>
      </c>
      <c r="Q72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722" s="25">
        <f>Table1[[#This Row],[current_price]]*Table1[[#This Row],[stock_quantity]]</f>
        <v>1582.14</v>
      </c>
    </row>
    <row r="723" spans="1:18" x14ac:dyDescent="0.25">
      <c r="A723" s="2" t="s">
        <v>776</v>
      </c>
      <c r="B723" s="2" t="s">
        <v>30</v>
      </c>
      <c r="C723" s="2" t="s">
        <v>61</v>
      </c>
      <c r="D723" s="2" t="s">
        <v>17</v>
      </c>
      <c r="E723" s="2" t="s">
        <v>39</v>
      </c>
      <c r="F723" s="2" t="s">
        <v>25</v>
      </c>
      <c r="G723" s="8">
        <v>92.09</v>
      </c>
      <c r="H723" s="11">
        <v>54.9</v>
      </c>
      <c r="I723" s="8">
        <v>41.53</v>
      </c>
      <c r="J723" s="3">
        <v>45676</v>
      </c>
      <c r="K723" s="14">
        <v>44</v>
      </c>
      <c r="L723" s="17">
        <v>2.2000000000000002</v>
      </c>
      <c r="M723" s="2" t="b">
        <v>0</v>
      </c>
      <c r="N723" s="2"/>
      <c r="O723" s="2" t="str">
        <f>IF(Table1[[#This Row],[is_returned]]=TRUE,IF(Table1[[#This Row],[return_reason]]="","Error","OK"),"OK")</f>
        <v>OK</v>
      </c>
      <c r="P723" s="8">
        <f>Table1[[#This Row],[original_price]]*Table1[[#This Row],[markdown_percentage]]/100</f>
        <v>50.557409999999997</v>
      </c>
      <c r="Q72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723" s="25">
        <f>Table1[[#This Row],[current_price]]*Table1[[#This Row],[stock_quantity]]</f>
        <v>1827.3200000000002</v>
      </c>
    </row>
    <row r="724" spans="1:18" x14ac:dyDescent="0.25">
      <c r="A724" s="2" t="s">
        <v>777</v>
      </c>
      <c r="B724" s="2" t="s">
        <v>27</v>
      </c>
      <c r="C724" s="2" t="s">
        <v>16</v>
      </c>
      <c r="D724" s="2" t="s">
        <v>34</v>
      </c>
      <c r="E724" s="2"/>
      <c r="F724" s="2" t="s">
        <v>44</v>
      </c>
      <c r="G724" s="8">
        <v>56.39</v>
      </c>
      <c r="H724" s="11">
        <v>0</v>
      </c>
      <c r="I724" s="8">
        <v>56.39</v>
      </c>
      <c r="J724" s="3">
        <v>45875</v>
      </c>
      <c r="K724" s="14">
        <v>49</v>
      </c>
      <c r="L724" s="17">
        <v>4.2</v>
      </c>
      <c r="M724" s="2" t="b">
        <v>0</v>
      </c>
      <c r="N724" s="2"/>
      <c r="O724" s="2" t="str">
        <f>IF(Table1[[#This Row],[is_returned]]=TRUE,IF(Table1[[#This Row],[return_reason]]="","Error","OK"),"OK")</f>
        <v>OK</v>
      </c>
      <c r="P724" s="8">
        <f>Table1[[#This Row],[original_price]]*Table1[[#This Row],[markdown_percentage]]/100</f>
        <v>0</v>
      </c>
      <c r="Q72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724" s="25">
        <f>Table1[[#This Row],[current_price]]*Table1[[#This Row],[stock_quantity]]</f>
        <v>2763.11</v>
      </c>
    </row>
    <row r="725" spans="1:18" x14ac:dyDescent="0.25">
      <c r="A725" s="2" t="s">
        <v>778</v>
      </c>
      <c r="B725" s="2" t="s">
        <v>21</v>
      </c>
      <c r="C725" s="2" t="s">
        <v>43</v>
      </c>
      <c r="D725" s="2" t="s">
        <v>34</v>
      </c>
      <c r="E725" s="2" t="s">
        <v>24</v>
      </c>
      <c r="F725" s="2" t="s">
        <v>25</v>
      </c>
      <c r="G725" s="8">
        <v>108.75</v>
      </c>
      <c r="H725" s="11">
        <v>0</v>
      </c>
      <c r="I725" s="8">
        <v>108.75</v>
      </c>
      <c r="J725" s="3">
        <v>45875</v>
      </c>
      <c r="K725" s="14">
        <v>38</v>
      </c>
      <c r="L725" s="17">
        <v>3.8</v>
      </c>
      <c r="M725" s="2" t="b">
        <v>0</v>
      </c>
      <c r="N725" s="2"/>
      <c r="O725" s="2" t="str">
        <f>IF(Table1[[#This Row],[is_returned]]=TRUE,IF(Table1[[#This Row],[return_reason]]="","Error","OK"),"OK")</f>
        <v>OK</v>
      </c>
      <c r="P725" s="8">
        <f>Table1[[#This Row],[original_price]]*Table1[[#This Row],[markdown_percentage]]/100</f>
        <v>0</v>
      </c>
      <c r="Q72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725" s="25">
        <f>Table1[[#This Row],[current_price]]*Table1[[#This Row],[stock_quantity]]</f>
        <v>4132.5</v>
      </c>
    </row>
    <row r="726" spans="1:18" x14ac:dyDescent="0.25">
      <c r="A726" s="2" t="s">
        <v>779</v>
      </c>
      <c r="B726" s="2" t="s">
        <v>42</v>
      </c>
      <c r="C726" s="2" t="s">
        <v>22</v>
      </c>
      <c r="D726" s="2" t="s">
        <v>17</v>
      </c>
      <c r="E726" s="2" t="s">
        <v>39</v>
      </c>
      <c r="F726" s="2" t="s">
        <v>19</v>
      </c>
      <c r="G726" s="8">
        <v>156.85</v>
      </c>
      <c r="H726" s="11">
        <v>0</v>
      </c>
      <c r="I726" s="8">
        <v>156.85</v>
      </c>
      <c r="J726" s="3">
        <v>45748</v>
      </c>
      <c r="K726" s="14">
        <v>48</v>
      </c>
      <c r="L726" s="17">
        <v>3.4</v>
      </c>
      <c r="M726" s="2" t="b">
        <v>0</v>
      </c>
      <c r="N726" s="2"/>
      <c r="O726" s="2" t="str">
        <f>IF(Table1[[#This Row],[is_returned]]=TRUE,IF(Table1[[#This Row],[return_reason]]="","Error","OK"),"OK")</f>
        <v>OK</v>
      </c>
      <c r="P726" s="8">
        <f>Table1[[#This Row],[original_price]]*Table1[[#This Row],[markdown_percentage]]/100</f>
        <v>0</v>
      </c>
      <c r="Q72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726" s="25">
        <f>Table1[[#This Row],[current_price]]*Table1[[#This Row],[stock_quantity]]</f>
        <v>7528.7999999999993</v>
      </c>
    </row>
    <row r="727" spans="1:18" x14ac:dyDescent="0.25">
      <c r="A727" s="2" t="s">
        <v>780</v>
      </c>
      <c r="B727" s="2" t="s">
        <v>15</v>
      </c>
      <c r="C727" s="2" t="s">
        <v>22</v>
      </c>
      <c r="D727" s="2" t="s">
        <v>17</v>
      </c>
      <c r="E727" s="2" t="s">
        <v>55</v>
      </c>
      <c r="F727" s="2" t="s">
        <v>70</v>
      </c>
      <c r="G727" s="8">
        <v>168.13</v>
      </c>
      <c r="H727" s="11">
        <v>0</v>
      </c>
      <c r="I727" s="8">
        <v>168.13</v>
      </c>
      <c r="J727" s="3">
        <v>45765</v>
      </c>
      <c r="K727" s="14">
        <v>42</v>
      </c>
      <c r="L727" s="17">
        <v>2.5</v>
      </c>
      <c r="M727" s="2" t="b">
        <v>0</v>
      </c>
      <c r="N727" s="2"/>
      <c r="O727" s="2" t="str">
        <f>IF(Table1[[#This Row],[is_returned]]=TRUE,IF(Table1[[#This Row],[return_reason]]="","Error","OK"),"OK")</f>
        <v>OK</v>
      </c>
      <c r="P727" s="8">
        <f>Table1[[#This Row],[original_price]]*Table1[[#This Row],[markdown_percentage]]/100</f>
        <v>0</v>
      </c>
      <c r="Q72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727" s="25">
        <f>Table1[[#This Row],[current_price]]*Table1[[#This Row],[stock_quantity]]</f>
        <v>7061.46</v>
      </c>
    </row>
    <row r="728" spans="1:18" x14ac:dyDescent="0.25">
      <c r="A728" s="2" t="s">
        <v>781</v>
      </c>
      <c r="B728" s="2" t="s">
        <v>30</v>
      </c>
      <c r="C728" s="2" t="s">
        <v>75</v>
      </c>
      <c r="D728" s="2" t="s">
        <v>62</v>
      </c>
      <c r="E728" s="2" t="s">
        <v>39</v>
      </c>
      <c r="F728" s="2" t="s">
        <v>46</v>
      </c>
      <c r="G728" s="8">
        <v>145.79</v>
      </c>
      <c r="H728" s="11">
        <v>57</v>
      </c>
      <c r="I728" s="8">
        <v>62.69</v>
      </c>
      <c r="J728" s="3">
        <v>45875</v>
      </c>
      <c r="K728" s="14">
        <v>46</v>
      </c>
      <c r="L728" s="17"/>
      <c r="M728" s="2" t="b">
        <v>0</v>
      </c>
      <c r="N728" s="2"/>
      <c r="O728" s="2" t="str">
        <f>IF(Table1[[#This Row],[is_returned]]=TRUE,IF(Table1[[#This Row],[return_reason]]="","Error","OK"),"OK")</f>
        <v>OK</v>
      </c>
      <c r="P728" s="8">
        <f>Table1[[#This Row],[original_price]]*Table1[[#This Row],[markdown_percentage]]/100</f>
        <v>83.10029999999999</v>
      </c>
      <c r="Q72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728" s="25">
        <f>Table1[[#This Row],[current_price]]*Table1[[#This Row],[stock_quantity]]</f>
        <v>2883.74</v>
      </c>
    </row>
    <row r="729" spans="1:18" x14ac:dyDescent="0.25">
      <c r="A729" s="2" t="s">
        <v>782</v>
      </c>
      <c r="B729" s="2" t="s">
        <v>38</v>
      </c>
      <c r="C729" s="2" t="s">
        <v>61</v>
      </c>
      <c r="D729" s="2" t="s">
        <v>23</v>
      </c>
      <c r="E729" s="2" t="s">
        <v>39</v>
      </c>
      <c r="F729" s="2" t="s">
        <v>35</v>
      </c>
      <c r="G729" s="8">
        <v>54.14</v>
      </c>
      <c r="H729" s="11">
        <v>0</v>
      </c>
      <c r="I729" s="8">
        <v>54.14</v>
      </c>
      <c r="J729" s="3">
        <v>45875</v>
      </c>
      <c r="K729" s="14">
        <v>32</v>
      </c>
      <c r="L729" s="17"/>
      <c r="M729" s="2" t="b">
        <v>0</v>
      </c>
      <c r="N729" s="2"/>
      <c r="O729" s="2" t="str">
        <f>IF(Table1[[#This Row],[is_returned]]=TRUE,IF(Table1[[#This Row],[return_reason]]="","Error","OK"),"OK")</f>
        <v>OK</v>
      </c>
      <c r="P729" s="8">
        <f>Table1[[#This Row],[original_price]]*Table1[[#This Row],[markdown_percentage]]/100</f>
        <v>0</v>
      </c>
      <c r="Q72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729" s="25">
        <f>Table1[[#This Row],[current_price]]*Table1[[#This Row],[stock_quantity]]</f>
        <v>1732.48</v>
      </c>
    </row>
    <row r="730" spans="1:18" x14ac:dyDescent="0.25">
      <c r="A730" s="2" t="s">
        <v>783</v>
      </c>
      <c r="B730" s="2" t="s">
        <v>27</v>
      </c>
      <c r="C730" s="2" t="s">
        <v>16</v>
      </c>
      <c r="D730" s="2" t="s">
        <v>34</v>
      </c>
      <c r="E730" s="2"/>
      <c r="F730" s="2" t="s">
        <v>64</v>
      </c>
      <c r="G730" s="8">
        <v>45.64</v>
      </c>
      <c r="H730" s="11">
        <v>0</v>
      </c>
      <c r="I730" s="8">
        <v>45.64</v>
      </c>
      <c r="J730" s="3">
        <v>45875</v>
      </c>
      <c r="K730" s="14">
        <v>36</v>
      </c>
      <c r="L730" s="17">
        <v>3.6</v>
      </c>
      <c r="M730" s="2" t="b">
        <v>1</v>
      </c>
      <c r="N730" s="2" t="s">
        <v>73</v>
      </c>
      <c r="O730" s="2" t="str">
        <f>IF(Table1[[#This Row],[is_returned]]=TRUE,IF(Table1[[#This Row],[return_reason]]="","Error","OK"),"OK")</f>
        <v>OK</v>
      </c>
      <c r="P730" s="8">
        <f>Table1[[#This Row],[original_price]]*Table1[[#This Row],[markdown_percentage]]/100</f>
        <v>0</v>
      </c>
      <c r="Q73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730" s="25">
        <f>Table1[[#This Row],[current_price]]*Table1[[#This Row],[stock_quantity]]</f>
        <v>1643.04</v>
      </c>
    </row>
    <row r="731" spans="1:18" x14ac:dyDescent="0.25">
      <c r="A731" s="2" t="s">
        <v>784</v>
      </c>
      <c r="B731" s="2" t="s">
        <v>38</v>
      </c>
      <c r="C731" s="2" t="s">
        <v>43</v>
      </c>
      <c r="D731" s="2" t="s">
        <v>34</v>
      </c>
      <c r="E731" s="2" t="s">
        <v>39</v>
      </c>
      <c r="F731" s="2" t="s">
        <v>19</v>
      </c>
      <c r="G731" s="8">
        <v>46.76</v>
      </c>
      <c r="H731" s="11">
        <v>0</v>
      </c>
      <c r="I731" s="8">
        <v>46.76</v>
      </c>
      <c r="J731" s="3">
        <v>45875</v>
      </c>
      <c r="K731" s="14">
        <v>38</v>
      </c>
      <c r="L731" s="17">
        <v>2.7</v>
      </c>
      <c r="M731" s="2" t="b">
        <v>0</v>
      </c>
      <c r="N731" s="2"/>
      <c r="O731" s="2" t="str">
        <f>IF(Table1[[#This Row],[is_returned]]=TRUE,IF(Table1[[#This Row],[return_reason]]="","Error","OK"),"OK")</f>
        <v>OK</v>
      </c>
      <c r="P731" s="8">
        <f>Table1[[#This Row],[original_price]]*Table1[[#This Row],[markdown_percentage]]/100</f>
        <v>0</v>
      </c>
      <c r="Q73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731" s="25">
        <f>Table1[[#This Row],[current_price]]*Table1[[#This Row],[stock_quantity]]</f>
        <v>1776.8799999999999</v>
      </c>
    </row>
    <row r="732" spans="1:18" x14ac:dyDescent="0.25">
      <c r="A732" s="2" t="s">
        <v>785</v>
      </c>
      <c r="B732" s="2" t="s">
        <v>42</v>
      </c>
      <c r="C732" s="2" t="s">
        <v>32</v>
      </c>
      <c r="D732" s="2" t="s">
        <v>23</v>
      </c>
      <c r="E732" s="2"/>
      <c r="F732" s="2" t="s">
        <v>40</v>
      </c>
      <c r="G732" s="8">
        <v>75.23</v>
      </c>
      <c r="H732" s="11">
        <v>0</v>
      </c>
      <c r="I732" s="8">
        <v>75.23</v>
      </c>
      <c r="J732" s="3">
        <v>45875</v>
      </c>
      <c r="K732" s="14">
        <v>42</v>
      </c>
      <c r="L732" s="17">
        <v>1.7</v>
      </c>
      <c r="M732" s="2" t="b">
        <v>1</v>
      </c>
      <c r="N732" s="2" t="s">
        <v>83</v>
      </c>
      <c r="O732" s="2" t="str">
        <f>IF(Table1[[#This Row],[is_returned]]=TRUE,IF(Table1[[#This Row],[return_reason]]="","Error","OK"),"OK")</f>
        <v>OK</v>
      </c>
      <c r="P732" s="8">
        <f>Table1[[#This Row],[original_price]]*Table1[[#This Row],[markdown_percentage]]/100</f>
        <v>0</v>
      </c>
      <c r="Q73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732" s="25">
        <f>Table1[[#This Row],[current_price]]*Table1[[#This Row],[stock_quantity]]</f>
        <v>3159.6600000000003</v>
      </c>
    </row>
    <row r="733" spans="1:18" x14ac:dyDescent="0.25">
      <c r="A733" s="2" t="s">
        <v>786</v>
      </c>
      <c r="B733" s="2" t="s">
        <v>42</v>
      </c>
      <c r="C733" s="2" t="s">
        <v>43</v>
      </c>
      <c r="D733" s="2" t="s">
        <v>62</v>
      </c>
      <c r="E733" s="2" t="s">
        <v>18</v>
      </c>
      <c r="F733" s="2" t="s">
        <v>35</v>
      </c>
      <c r="G733" s="8">
        <v>70.38</v>
      </c>
      <c r="H733" s="11">
        <v>0</v>
      </c>
      <c r="I733" s="8">
        <v>70.38</v>
      </c>
      <c r="J733" s="3">
        <v>45875</v>
      </c>
      <c r="K733" s="14">
        <v>37</v>
      </c>
      <c r="L733" s="17">
        <v>2</v>
      </c>
      <c r="M733" s="2" t="b">
        <v>0</v>
      </c>
      <c r="N733" s="2"/>
      <c r="O733" s="2" t="str">
        <f>IF(Table1[[#This Row],[is_returned]]=TRUE,IF(Table1[[#This Row],[return_reason]]="","Error","OK"),"OK")</f>
        <v>OK</v>
      </c>
      <c r="P733" s="8">
        <f>Table1[[#This Row],[original_price]]*Table1[[#This Row],[markdown_percentage]]/100</f>
        <v>0</v>
      </c>
      <c r="Q73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733" s="25">
        <f>Table1[[#This Row],[current_price]]*Table1[[#This Row],[stock_quantity]]</f>
        <v>2604.06</v>
      </c>
    </row>
    <row r="734" spans="1:18" x14ac:dyDescent="0.25">
      <c r="A734" s="2" t="s">
        <v>787</v>
      </c>
      <c r="B734" s="2" t="s">
        <v>38</v>
      </c>
      <c r="C734" s="2" t="s">
        <v>48</v>
      </c>
      <c r="D734" s="2" t="s">
        <v>62</v>
      </c>
      <c r="E734" s="2" t="s">
        <v>58</v>
      </c>
      <c r="F734" s="2" t="s">
        <v>25</v>
      </c>
      <c r="G734" s="8">
        <v>76.040000000000006</v>
      </c>
      <c r="H734" s="11">
        <v>0</v>
      </c>
      <c r="I734" s="8">
        <v>76.040000000000006</v>
      </c>
      <c r="J734" s="3">
        <v>45875</v>
      </c>
      <c r="K734" s="14">
        <v>13</v>
      </c>
      <c r="L734" s="17">
        <v>4.4000000000000004</v>
      </c>
      <c r="M734" s="2" t="b">
        <v>0</v>
      </c>
      <c r="N734" s="2"/>
      <c r="O734" s="2" t="str">
        <f>IF(Table1[[#This Row],[is_returned]]=TRUE,IF(Table1[[#This Row],[return_reason]]="","Error","OK"),"OK")</f>
        <v>OK</v>
      </c>
      <c r="P734" s="8">
        <f>Table1[[#This Row],[original_price]]*Table1[[#This Row],[markdown_percentage]]/100</f>
        <v>0</v>
      </c>
      <c r="Q73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734" s="25">
        <f>Table1[[#This Row],[current_price]]*Table1[[#This Row],[stock_quantity]]</f>
        <v>988.5200000000001</v>
      </c>
    </row>
    <row r="735" spans="1:18" x14ac:dyDescent="0.25">
      <c r="A735" s="2" t="s">
        <v>788</v>
      </c>
      <c r="B735" s="2" t="s">
        <v>30</v>
      </c>
      <c r="C735" s="2" t="s">
        <v>22</v>
      </c>
      <c r="D735" s="2" t="s">
        <v>62</v>
      </c>
      <c r="E735" s="2" t="s">
        <v>55</v>
      </c>
      <c r="F735" s="2" t="s">
        <v>28</v>
      </c>
      <c r="G735" s="8">
        <v>110.82</v>
      </c>
      <c r="H735" s="11">
        <v>15.7</v>
      </c>
      <c r="I735" s="8">
        <v>93.42</v>
      </c>
      <c r="J735" s="3">
        <v>45875</v>
      </c>
      <c r="K735" s="14">
        <v>43</v>
      </c>
      <c r="L735" s="17"/>
      <c r="M735" s="2" t="b">
        <v>1</v>
      </c>
      <c r="N735" s="2" t="s">
        <v>73</v>
      </c>
      <c r="O735" s="2" t="str">
        <f>IF(Table1[[#This Row],[is_returned]]=TRUE,IF(Table1[[#This Row],[return_reason]]="","Error","OK"),"OK")</f>
        <v>OK</v>
      </c>
      <c r="P735" s="8">
        <f>Table1[[#This Row],[original_price]]*Table1[[#This Row],[markdown_percentage]]/100</f>
        <v>17.398739999999997</v>
      </c>
      <c r="Q73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735" s="25">
        <f>Table1[[#This Row],[current_price]]*Table1[[#This Row],[stock_quantity]]</f>
        <v>4017.06</v>
      </c>
    </row>
    <row r="736" spans="1:18" x14ac:dyDescent="0.25">
      <c r="A736" s="2" t="s">
        <v>789</v>
      </c>
      <c r="B736" s="2" t="s">
        <v>27</v>
      </c>
      <c r="C736" s="2" t="s">
        <v>75</v>
      </c>
      <c r="D736" s="2" t="s">
        <v>34</v>
      </c>
      <c r="E736" s="2"/>
      <c r="F736" s="2" t="s">
        <v>64</v>
      </c>
      <c r="G736" s="8">
        <v>47.47</v>
      </c>
      <c r="H736" s="11">
        <v>0</v>
      </c>
      <c r="I736" s="8">
        <v>47.47</v>
      </c>
      <c r="J736" s="3">
        <v>45875</v>
      </c>
      <c r="K736" s="14">
        <v>42</v>
      </c>
      <c r="L736" s="17">
        <v>4.7</v>
      </c>
      <c r="M736" s="2" t="b">
        <v>0</v>
      </c>
      <c r="N736" s="2"/>
      <c r="O736" s="2" t="str">
        <f>IF(Table1[[#This Row],[is_returned]]=TRUE,IF(Table1[[#This Row],[return_reason]]="","Error","OK"),"OK")</f>
        <v>OK</v>
      </c>
      <c r="P736" s="8">
        <f>Table1[[#This Row],[original_price]]*Table1[[#This Row],[markdown_percentage]]/100</f>
        <v>0</v>
      </c>
      <c r="Q73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736" s="25">
        <f>Table1[[#This Row],[current_price]]*Table1[[#This Row],[stock_quantity]]</f>
        <v>1993.74</v>
      </c>
    </row>
    <row r="737" spans="1:18" x14ac:dyDescent="0.25">
      <c r="A737" s="2" t="s">
        <v>790</v>
      </c>
      <c r="B737" s="2" t="s">
        <v>27</v>
      </c>
      <c r="C737" s="2" t="s">
        <v>61</v>
      </c>
      <c r="D737" s="2" t="s">
        <v>17</v>
      </c>
      <c r="E737" s="2"/>
      <c r="F737" s="2" t="s">
        <v>19</v>
      </c>
      <c r="G737" s="8">
        <v>79.94</v>
      </c>
      <c r="H737" s="11">
        <v>0</v>
      </c>
      <c r="I737" s="8">
        <v>79.94</v>
      </c>
      <c r="J737" s="3">
        <v>45869</v>
      </c>
      <c r="K737" s="14">
        <v>26</v>
      </c>
      <c r="L737" s="17">
        <v>3.8</v>
      </c>
      <c r="M737" s="2" t="b">
        <v>0</v>
      </c>
      <c r="N737" s="2"/>
      <c r="O737" s="2" t="str">
        <f>IF(Table1[[#This Row],[is_returned]]=TRUE,IF(Table1[[#This Row],[return_reason]]="","Error","OK"),"OK")</f>
        <v>OK</v>
      </c>
      <c r="P737" s="8">
        <f>Table1[[#This Row],[original_price]]*Table1[[#This Row],[markdown_percentage]]/100</f>
        <v>0</v>
      </c>
      <c r="Q73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737" s="25">
        <f>Table1[[#This Row],[current_price]]*Table1[[#This Row],[stock_quantity]]</f>
        <v>2078.44</v>
      </c>
    </row>
    <row r="738" spans="1:18" x14ac:dyDescent="0.25">
      <c r="A738" s="2" t="s">
        <v>791</v>
      </c>
      <c r="B738" s="2" t="s">
        <v>38</v>
      </c>
      <c r="C738" s="2" t="s">
        <v>32</v>
      </c>
      <c r="D738" s="2" t="s">
        <v>34</v>
      </c>
      <c r="E738" s="2" t="s">
        <v>49</v>
      </c>
      <c r="F738" s="2" t="s">
        <v>64</v>
      </c>
      <c r="G738" s="8">
        <v>74.67</v>
      </c>
      <c r="H738" s="11">
        <v>0</v>
      </c>
      <c r="I738" s="8">
        <v>74.67</v>
      </c>
      <c r="J738" s="3">
        <v>45875</v>
      </c>
      <c r="K738" s="14">
        <v>15</v>
      </c>
      <c r="L738" s="17">
        <v>4.5999999999999996</v>
      </c>
      <c r="M738" s="2" t="b">
        <v>0</v>
      </c>
      <c r="N738" s="2"/>
      <c r="O738" s="2" t="str">
        <f>IF(Table1[[#This Row],[is_returned]]=TRUE,IF(Table1[[#This Row],[return_reason]]="","Error","OK"),"OK")</f>
        <v>OK</v>
      </c>
      <c r="P738" s="8">
        <f>Table1[[#This Row],[original_price]]*Table1[[#This Row],[markdown_percentage]]/100</f>
        <v>0</v>
      </c>
      <c r="Q73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738" s="25">
        <f>Table1[[#This Row],[current_price]]*Table1[[#This Row],[stock_quantity]]</f>
        <v>1120.05</v>
      </c>
    </row>
    <row r="739" spans="1:18" x14ac:dyDescent="0.25">
      <c r="A739" s="2" t="s">
        <v>792</v>
      </c>
      <c r="B739" s="2" t="s">
        <v>42</v>
      </c>
      <c r="C739" s="2" t="s">
        <v>75</v>
      </c>
      <c r="D739" s="2" t="s">
        <v>34</v>
      </c>
      <c r="E739" s="2" t="s">
        <v>49</v>
      </c>
      <c r="F739" s="2" t="s">
        <v>70</v>
      </c>
      <c r="G739" s="8">
        <v>63.79</v>
      </c>
      <c r="H739" s="11">
        <v>35.5</v>
      </c>
      <c r="I739" s="8">
        <v>41.14</v>
      </c>
      <c r="J739" s="3">
        <v>45875</v>
      </c>
      <c r="K739" s="14">
        <v>15</v>
      </c>
      <c r="L739" s="17">
        <v>3.1</v>
      </c>
      <c r="M739" s="2" t="b">
        <v>1</v>
      </c>
      <c r="N739" s="2" t="s">
        <v>83</v>
      </c>
      <c r="O739" s="2" t="str">
        <f>IF(Table1[[#This Row],[is_returned]]=TRUE,IF(Table1[[#This Row],[return_reason]]="","Error","OK"),"OK")</f>
        <v>OK</v>
      </c>
      <c r="P739" s="8">
        <f>Table1[[#This Row],[original_price]]*Table1[[#This Row],[markdown_percentage]]/100</f>
        <v>22.64545</v>
      </c>
      <c r="Q73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739" s="25">
        <f>Table1[[#This Row],[current_price]]*Table1[[#This Row],[stock_quantity]]</f>
        <v>617.1</v>
      </c>
    </row>
    <row r="740" spans="1:18" x14ac:dyDescent="0.25">
      <c r="A740" s="2" t="s">
        <v>793</v>
      </c>
      <c r="B740" s="2" t="s">
        <v>38</v>
      </c>
      <c r="C740" s="2" t="s">
        <v>53</v>
      </c>
      <c r="D740" s="2" t="s">
        <v>34</v>
      </c>
      <c r="E740" s="2" t="s">
        <v>49</v>
      </c>
      <c r="F740" s="2" t="s">
        <v>70</v>
      </c>
      <c r="G740" s="8">
        <v>49.6</v>
      </c>
      <c r="H740" s="11">
        <v>0</v>
      </c>
      <c r="I740" s="8">
        <v>49.6</v>
      </c>
      <c r="J740" s="3">
        <v>45875</v>
      </c>
      <c r="K740" s="14">
        <v>32</v>
      </c>
      <c r="L740" s="17">
        <v>4.7</v>
      </c>
      <c r="M740" s="2" t="b">
        <v>0</v>
      </c>
      <c r="N740" s="2"/>
      <c r="O740" s="2" t="str">
        <f>IF(Table1[[#This Row],[is_returned]]=TRUE,IF(Table1[[#This Row],[return_reason]]="","Error","OK"),"OK")</f>
        <v>OK</v>
      </c>
      <c r="P740" s="8">
        <f>Table1[[#This Row],[original_price]]*Table1[[#This Row],[markdown_percentage]]/100</f>
        <v>0</v>
      </c>
      <c r="Q74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740" s="25">
        <f>Table1[[#This Row],[current_price]]*Table1[[#This Row],[stock_quantity]]</f>
        <v>1587.2</v>
      </c>
    </row>
    <row r="741" spans="1:18" x14ac:dyDescent="0.25">
      <c r="A741" s="2" t="s">
        <v>794</v>
      </c>
      <c r="B741" s="2" t="s">
        <v>21</v>
      </c>
      <c r="C741" s="2" t="s">
        <v>16</v>
      </c>
      <c r="D741" s="2" t="s">
        <v>17</v>
      </c>
      <c r="E741" s="2" t="s">
        <v>18</v>
      </c>
      <c r="F741" s="2" t="s">
        <v>19</v>
      </c>
      <c r="G741" s="8">
        <v>57.91</v>
      </c>
      <c r="H741" s="11">
        <v>0</v>
      </c>
      <c r="I741" s="8">
        <v>57.91</v>
      </c>
      <c r="J741" s="3">
        <v>45729</v>
      </c>
      <c r="K741" s="14">
        <v>33</v>
      </c>
      <c r="L741" s="17">
        <v>3.9</v>
      </c>
      <c r="M741" s="2" t="b">
        <v>0</v>
      </c>
      <c r="N741" s="2"/>
      <c r="O741" s="2" t="str">
        <f>IF(Table1[[#This Row],[is_returned]]=TRUE,IF(Table1[[#This Row],[return_reason]]="","Error","OK"),"OK")</f>
        <v>OK</v>
      </c>
      <c r="P741" s="8">
        <f>Table1[[#This Row],[original_price]]*Table1[[#This Row],[markdown_percentage]]/100</f>
        <v>0</v>
      </c>
      <c r="Q74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741" s="25">
        <f>Table1[[#This Row],[current_price]]*Table1[[#This Row],[stock_quantity]]</f>
        <v>1911.03</v>
      </c>
    </row>
    <row r="742" spans="1:18" x14ac:dyDescent="0.25">
      <c r="A742" s="2" t="s">
        <v>795</v>
      </c>
      <c r="B742" s="2" t="s">
        <v>42</v>
      </c>
      <c r="C742" s="2" t="s">
        <v>22</v>
      </c>
      <c r="D742" s="2" t="s">
        <v>62</v>
      </c>
      <c r="E742" s="2" t="s">
        <v>18</v>
      </c>
      <c r="F742" s="2" t="s">
        <v>25</v>
      </c>
      <c r="G742" s="8">
        <v>135.99</v>
      </c>
      <c r="H742" s="11">
        <v>0</v>
      </c>
      <c r="I742" s="8">
        <v>135.99</v>
      </c>
      <c r="J742" s="3">
        <v>45875</v>
      </c>
      <c r="K742" s="14">
        <v>34</v>
      </c>
      <c r="L742" s="17">
        <v>3</v>
      </c>
      <c r="M742" s="2" t="b">
        <v>0</v>
      </c>
      <c r="N742" s="2"/>
      <c r="O742" s="2" t="str">
        <f>IF(Table1[[#This Row],[is_returned]]=TRUE,IF(Table1[[#This Row],[return_reason]]="","Error","OK"),"OK")</f>
        <v>OK</v>
      </c>
      <c r="P742" s="8">
        <f>Table1[[#This Row],[original_price]]*Table1[[#This Row],[markdown_percentage]]/100</f>
        <v>0</v>
      </c>
      <c r="Q74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742" s="25">
        <f>Table1[[#This Row],[current_price]]*Table1[[#This Row],[stock_quantity]]</f>
        <v>4623.66</v>
      </c>
    </row>
    <row r="743" spans="1:18" x14ac:dyDescent="0.25">
      <c r="A743" s="2" t="s">
        <v>796</v>
      </c>
      <c r="B743" s="2" t="s">
        <v>42</v>
      </c>
      <c r="C743" s="2" t="s">
        <v>43</v>
      </c>
      <c r="D743" s="2" t="s">
        <v>23</v>
      </c>
      <c r="E743" s="2" t="s">
        <v>39</v>
      </c>
      <c r="F743" s="2" t="s">
        <v>66</v>
      </c>
      <c r="G743" s="8">
        <v>53.49</v>
      </c>
      <c r="H743" s="11">
        <v>21.8</v>
      </c>
      <c r="I743" s="8">
        <v>41.83</v>
      </c>
      <c r="J743" s="3">
        <v>45875</v>
      </c>
      <c r="K743" s="14">
        <v>41</v>
      </c>
      <c r="L743" s="17">
        <v>2.1</v>
      </c>
      <c r="M743" s="2" t="b">
        <v>0</v>
      </c>
      <c r="N743" s="2"/>
      <c r="O743" s="2" t="str">
        <f>IF(Table1[[#This Row],[is_returned]]=TRUE,IF(Table1[[#This Row],[return_reason]]="","Error","OK"),"OK")</f>
        <v>OK</v>
      </c>
      <c r="P743" s="8">
        <f>Table1[[#This Row],[original_price]]*Table1[[#This Row],[markdown_percentage]]/100</f>
        <v>11.660820000000001</v>
      </c>
      <c r="Q74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743" s="25">
        <f>Table1[[#This Row],[current_price]]*Table1[[#This Row],[stock_quantity]]</f>
        <v>1715.03</v>
      </c>
    </row>
    <row r="744" spans="1:18" x14ac:dyDescent="0.25">
      <c r="A744" s="2" t="s">
        <v>797</v>
      </c>
      <c r="B744" s="2" t="s">
        <v>21</v>
      </c>
      <c r="C744" s="2" t="s">
        <v>75</v>
      </c>
      <c r="D744" s="2" t="s">
        <v>62</v>
      </c>
      <c r="E744" s="2" t="s">
        <v>39</v>
      </c>
      <c r="F744" s="2" t="s">
        <v>25</v>
      </c>
      <c r="G744" s="8">
        <v>113.29</v>
      </c>
      <c r="H744" s="11">
        <v>34</v>
      </c>
      <c r="I744" s="8">
        <v>74.77</v>
      </c>
      <c r="J744" s="3">
        <v>45875</v>
      </c>
      <c r="K744" s="14">
        <v>10</v>
      </c>
      <c r="L744" s="17"/>
      <c r="M744" s="2" t="b">
        <v>0</v>
      </c>
      <c r="N744" s="2"/>
      <c r="O744" s="2" t="str">
        <f>IF(Table1[[#This Row],[is_returned]]=TRUE,IF(Table1[[#This Row],[return_reason]]="","Error","OK"),"OK")</f>
        <v>OK</v>
      </c>
      <c r="P744" s="8">
        <f>Table1[[#This Row],[original_price]]*Table1[[#This Row],[markdown_percentage]]/100</f>
        <v>38.518599999999999</v>
      </c>
      <c r="Q74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744" s="25">
        <f>Table1[[#This Row],[current_price]]*Table1[[#This Row],[stock_quantity]]</f>
        <v>747.69999999999993</v>
      </c>
    </row>
    <row r="745" spans="1:18" x14ac:dyDescent="0.25">
      <c r="A745" s="2" t="s">
        <v>798</v>
      </c>
      <c r="B745" s="2" t="s">
        <v>21</v>
      </c>
      <c r="C745" s="2" t="s">
        <v>48</v>
      </c>
      <c r="D745" s="2" t="s">
        <v>23</v>
      </c>
      <c r="E745" s="2" t="s">
        <v>24</v>
      </c>
      <c r="F745" s="2" t="s">
        <v>35</v>
      </c>
      <c r="G745" s="8">
        <v>110.87</v>
      </c>
      <c r="H745" s="11">
        <v>6</v>
      </c>
      <c r="I745" s="8">
        <v>104.22</v>
      </c>
      <c r="J745" s="3">
        <v>45875</v>
      </c>
      <c r="K745" s="14">
        <v>15</v>
      </c>
      <c r="L745" s="17"/>
      <c r="M745" s="2" t="b">
        <v>0</v>
      </c>
      <c r="N745" s="2"/>
      <c r="O745" s="2" t="str">
        <f>IF(Table1[[#This Row],[is_returned]]=TRUE,IF(Table1[[#This Row],[return_reason]]="","Error","OK"),"OK")</f>
        <v>OK</v>
      </c>
      <c r="P745" s="8">
        <f>Table1[[#This Row],[original_price]]*Table1[[#This Row],[markdown_percentage]]/100</f>
        <v>6.6522000000000006</v>
      </c>
      <c r="Q74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745" s="25">
        <f>Table1[[#This Row],[current_price]]*Table1[[#This Row],[stock_quantity]]</f>
        <v>1563.3</v>
      </c>
    </row>
    <row r="746" spans="1:18" x14ac:dyDescent="0.25">
      <c r="A746" s="2" t="s">
        <v>799</v>
      </c>
      <c r="B746" s="2" t="s">
        <v>21</v>
      </c>
      <c r="C746" s="2" t="s">
        <v>53</v>
      </c>
      <c r="D746" s="2" t="s">
        <v>34</v>
      </c>
      <c r="E746" s="2"/>
      <c r="F746" s="2" t="s">
        <v>64</v>
      </c>
      <c r="G746" s="8">
        <v>94.3</v>
      </c>
      <c r="H746" s="11">
        <v>0</v>
      </c>
      <c r="I746" s="8">
        <v>94.3</v>
      </c>
      <c r="J746" s="3">
        <v>45875</v>
      </c>
      <c r="K746" s="14">
        <v>16</v>
      </c>
      <c r="L746" s="17"/>
      <c r="M746" s="2" t="b">
        <v>0</v>
      </c>
      <c r="N746" s="2"/>
      <c r="O746" s="2" t="str">
        <f>IF(Table1[[#This Row],[is_returned]]=TRUE,IF(Table1[[#This Row],[return_reason]]="","Error","OK"),"OK")</f>
        <v>OK</v>
      </c>
      <c r="P746" s="8">
        <f>Table1[[#This Row],[original_price]]*Table1[[#This Row],[markdown_percentage]]/100</f>
        <v>0</v>
      </c>
      <c r="Q74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746" s="25">
        <f>Table1[[#This Row],[current_price]]*Table1[[#This Row],[stock_quantity]]</f>
        <v>1508.8</v>
      </c>
    </row>
    <row r="747" spans="1:18" x14ac:dyDescent="0.25">
      <c r="A747" s="2" t="s">
        <v>800</v>
      </c>
      <c r="B747" s="2" t="s">
        <v>27</v>
      </c>
      <c r="C747" s="2" t="s">
        <v>75</v>
      </c>
      <c r="D747" s="2" t="s">
        <v>17</v>
      </c>
      <c r="E747" s="2"/>
      <c r="F747" s="2" t="s">
        <v>19</v>
      </c>
      <c r="G747" s="8">
        <v>37.94</v>
      </c>
      <c r="H747" s="11">
        <v>0</v>
      </c>
      <c r="I747" s="8">
        <v>37.94</v>
      </c>
      <c r="J747" s="3">
        <v>45573</v>
      </c>
      <c r="K747" s="14">
        <v>9</v>
      </c>
      <c r="L747" s="17">
        <v>4.5999999999999996</v>
      </c>
      <c r="M747" s="2" t="b">
        <v>0</v>
      </c>
      <c r="N747" s="2"/>
      <c r="O747" s="2" t="str">
        <f>IF(Table1[[#This Row],[is_returned]]=TRUE,IF(Table1[[#This Row],[return_reason]]="","Error","OK"),"OK")</f>
        <v>OK</v>
      </c>
      <c r="P747" s="8">
        <f>Table1[[#This Row],[original_price]]*Table1[[#This Row],[markdown_percentage]]/100</f>
        <v>0</v>
      </c>
      <c r="Q74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747" s="25">
        <f>Table1[[#This Row],[current_price]]*Table1[[#This Row],[stock_quantity]]</f>
        <v>341.46</v>
      </c>
    </row>
    <row r="748" spans="1:18" x14ac:dyDescent="0.25">
      <c r="A748" s="2" t="s">
        <v>801</v>
      </c>
      <c r="B748" s="2" t="s">
        <v>15</v>
      </c>
      <c r="C748" s="2" t="s">
        <v>53</v>
      </c>
      <c r="D748" s="2" t="s">
        <v>23</v>
      </c>
      <c r="E748" s="2" t="s">
        <v>49</v>
      </c>
      <c r="F748" s="2" t="s">
        <v>40</v>
      </c>
      <c r="G748" s="8">
        <v>200.24</v>
      </c>
      <c r="H748" s="11">
        <v>23</v>
      </c>
      <c r="I748" s="8">
        <v>154.18</v>
      </c>
      <c r="J748" s="3">
        <v>45875</v>
      </c>
      <c r="K748" s="14">
        <v>38</v>
      </c>
      <c r="L748" s="17"/>
      <c r="M748" s="2" t="b">
        <v>0</v>
      </c>
      <c r="N748" s="2"/>
      <c r="O748" s="2" t="str">
        <f>IF(Table1[[#This Row],[is_returned]]=TRUE,IF(Table1[[#This Row],[return_reason]]="","Error","OK"),"OK")</f>
        <v>OK</v>
      </c>
      <c r="P748" s="8">
        <f>Table1[[#This Row],[original_price]]*Table1[[#This Row],[markdown_percentage]]/100</f>
        <v>46.055200000000006</v>
      </c>
      <c r="Q74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748" s="25">
        <f>Table1[[#This Row],[current_price]]*Table1[[#This Row],[stock_quantity]]</f>
        <v>5858.84</v>
      </c>
    </row>
    <row r="749" spans="1:18" x14ac:dyDescent="0.25">
      <c r="A749" s="2" t="s">
        <v>802</v>
      </c>
      <c r="B749" s="2" t="s">
        <v>27</v>
      </c>
      <c r="C749" s="2" t="s">
        <v>75</v>
      </c>
      <c r="D749" s="2" t="s">
        <v>23</v>
      </c>
      <c r="E749" s="2"/>
      <c r="F749" s="2" t="s">
        <v>66</v>
      </c>
      <c r="G749" s="8">
        <v>43.45</v>
      </c>
      <c r="H749" s="11">
        <v>0</v>
      </c>
      <c r="I749" s="8">
        <v>43.45</v>
      </c>
      <c r="J749" s="3">
        <v>45875</v>
      </c>
      <c r="K749" s="14">
        <v>50</v>
      </c>
      <c r="L749" s="17">
        <v>4</v>
      </c>
      <c r="M749" s="2" t="b">
        <v>0</v>
      </c>
      <c r="N749" s="2"/>
      <c r="O749" s="2" t="str">
        <f>IF(Table1[[#This Row],[is_returned]]=TRUE,IF(Table1[[#This Row],[return_reason]]="","Error","OK"),"OK")</f>
        <v>OK</v>
      </c>
      <c r="P749" s="8">
        <f>Table1[[#This Row],[original_price]]*Table1[[#This Row],[markdown_percentage]]/100</f>
        <v>0</v>
      </c>
      <c r="Q74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749" s="25">
        <f>Table1[[#This Row],[current_price]]*Table1[[#This Row],[stock_quantity]]</f>
        <v>2172.5</v>
      </c>
    </row>
    <row r="750" spans="1:18" x14ac:dyDescent="0.25">
      <c r="A750" s="2" t="s">
        <v>803</v>
      </c>
      <c r="B750" s="2" t="s">
        <v>38</v>
      </c>
      <c r="C750" s="2" t="s">
        <v>75</v>
      </c>
      <c r="D750" s="2" t="s">
        <v>62</v>
      </c>
      <c r="E750" s="2" t="s">
        <v>24</v>
      </c>
      <c r="F750" s="2" t="s">
        <v>19</v>
      </c>
      <c r="G750" s="8">
        <v>76.92</v>
      </c>
      <c r="H750" s="11">
        <v>9.6</v>
      </c>
      <c r="I750" s="8">
        <v>69.540000000000006</v>
      </c>
      <c r="J750" s="3">
        <v>45875</v>
      </c>
      <c r="K750" s="14">
        <v>20</v>
      </c>
      <c r="L750" s="17">
        <v>2</v>
      </c>
      <c r="M750" s="2" t="b">
        <v>0</v>
      </c>
      <c r="N750" s="2"/>
      <c r="O750" s="2" t="str">
        <f>IF(Table1[[#This Row],[is_returned]]=TRUE,IF(Table1[[#This Row],[return_reason]]="","Error","OK"),"OK")</f>
        <v>OK</v>
      </c>
      <c r="P750" s="8">
        <f>Table1[[#This Row],[original_price]]*Table1[[#This Row],[markdown_percentage]]/100</f>
        <v>7.3843199999999998</v>
      </c>
      <c r="Q75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750" s="25">
        <f>Table1[[#This Row],[current_price]]*Table1[[#This Row],[stock_quantity]]</f>
        <v>1390.8000000000002</v>
      </c>
    </row>
    <row r="751" spans="1:18" x14ac:dyDescent="0.25">
      <c r="A751" s="2" t="s">
        <v>804</v>
      </c>
      <c r="B751" s="2" t="s">
        <v>27</v>
      </c>
      <c r="C751" s="2" t="s">
        <v>75</v>
      </c>
      <c r="D751" s="2" t="s">
        <v>34</v>
      </c>
      <c r="E751" s="2"/>
      <c r="F751" s="2" t="s">
        <v>35</v>
      </c>
      <c r="G751" s="8">
        <v>21.09</v>
      </c>
      <c r="H751" s="11">
        <v>0</v>
      </c>
      <c r="I751" s="8">
        <v>21.09</v>
      </c>
      <c r="J751" s="3">
        <v>45875</v>
      </c>
      <c r="K751" s="14">
        <v>33</v>
      </c>
      <c r="L751" s="17">
        <v>4.0999999999999996</v>
      </c>
      <c r="M751" s="2" t="b">
        <v>1</v>
      </c>
      <c r="N751" s="2" t="s">
        <v>73</v>
      </c>
      <c r="O751" s="2" t="str">
        <f>IF(Table1[[#This Row],[is_returned]]=TRUE,IF(Table1[[#This Row],[return_reason]]="","Error","OK"),"OK")</f>
        <v>OK</v>
      </c>
      <c r="P751" s="8">
        <f>Table1[[#This Row],[original_price]]*Table1[[#This Row],[markdown_percentage]]/100</f>
        <v>0</v>
      </c>
      <c r="Q75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751" s="25">
        <f>Table1[[#This Row],[current_price]]*Table1[[#This Row],[stock_quantity]]</f>
        <v>695.97</v>
      </c>
    </row>
    <row r="752" spans="1:18" x14ac:dyDescent="0.25">
      <c r="A752" s="2" t="s">
        <v>805</v>
      </c>
      <c r="B752" s="2" t="s">
        <v>42</v>
      </c>
      <c r="C752" s="2" t="s">
        <v>32</v>
      </c>
      <c r="D752" s="2" t="s">
        <v>23</v>
      </c>
      <c r="E752" s="2" t="s">
        <v>18</v>
      </c>
      <c r="F752" s="2" t="s">
        <v>46</v>
      </c>
      <c r="G752" s="8">
        <v>55.47</v>
      </c>
      <c r="H752" s="11">
        <v>0</v>
      </c>
      <c r="I752" s="8">
        <v>55.47</v>
      </c>
      <c r="J752" s="3">
        <v>45875</v>
      </c>
      <c r="K752" s="14">
        <v>18</v>
      </c>
      <c r="L752" s="17"/>
      <c r="M752" s="2" t="b">
        <v>0</v>
      </c>
      <c r="N752" s="2"/>
      <c r="O752" s="2" t="str">
        <f>IF(Table1[[#This Row],[is_returned]]=TRUE,IF(Table1[[#This Row],[return_reason]]="","Error","OK"),"OK")</f>
        <v>OK</v>
      </c>
      <c r="P752" s="8">
        <f>Table1[[#This Row],[original_price]]*Table1[[#This Row],[markdown_percentage]]/100</f>
        <v>0</v>
      </c>
      <c r="Q75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752" s="25">
        <f>Table1[[#This Row],[current_price]]*Table1[[#This Row],[stock_quantity]]</f>
        <v>998.46</v>
      </c>
    </row>
    <row r="753" spans="1:18" x14ac:dyDescent="0.25">
      <c r="A753" s="2" t="s">
        <v>806</v>
      </c>
      <c r="B753" s="2" t="s">
        <v>15</v>
      </c>
      <c r="C753" s="2" t="s">
        <v>48</v>
      </c>
      <c r="D753" s="2" t="s">
        <v>17</v>
      </c>
      <c r="E753" s="2" t="s">
        <v>49</v>
      </c>
      <c r="F753" s="2" t="s">
        <v>35</v>
      </c>
      <c r="G753" s="8">
        <v>122.53</v>
      </c>
      <c r="H753" s="11">
        <v>0</v>
      </c>
      <c r="I753" s="8">
        <v>122.53</v>
      </c>
      <c r="J753" s="3">
        <v>45556</v>
      </c>
      <c r="K753" s="14">
        <v>25</v>
      </c>
      <c r="L753" s="17"/>
      <c r="M753" s="2" t="b">
        <v>0</v>
      </c>
      <c r="N753" s="2"/>
      <c r="O753" s="2" t="str">
        <f>IF(Table1[[#This Row],[is_returned]]=TRUE,IF(Table1[[#This Row],[return_reason]]="","Error","OK"),"OK")</f>
        <v>OK</v>
      </c>
      <c r="P753" s="8">
        <f>Table1[[#This Row],[original_price]]*Table1[[#This Row],[markdown_percentage]]/100</f>
        <v>0</v>
      </c>
      <c r="Q75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753" s="25">
        <f>Table1[[#This Row],[current_price]]*Table1[[#This Row],[stock_quantity]]</f>
        <v>3063.25</v>
      </c>
    </row>
    <row r="754" spans="1:18" x14ac:dyDescent="0.25">
      <c r="A754" s="2" t="s">
        <v>807</v>
      </c>
      <c r="B754" s="2" t="s">
        <v>27</v>
      </c>
      <c r="C754" s="2" t="s">
        <v>22</v>
      </c>
      <c r="D754" s="2" t="s">
        <v>62</v>
      </c>
      <c r="E754" s="2"/>
      <c r="F754" s="2" t="s">
        <v>56</v>
      </c>
      <c r="G754" s="8">
        <v>61.13</v>
      </c>
      <c r="H754" s="11">
        <v>0</v>
      </c>
      <c r="I754" s="8">
        <v>61.13</v>
      </c>
      <c r="J754" s="3">
        <v>45875</v>
      </c>
      <c r="K754" s="14">
        <v>34</v>
      </c>
      <c r="L754" s="17">
        <v>2.6</v>
      </c>
      <c r="M754" s="2" t="b">
        <v>0</v>
      </c>
      <c r="N754" s="2"/>
      <c r="O754" s="2" t="str">
        <f>IF(Table1[[#This Row],[is_returned]]=TRUE,IF(Table1[[#This Row],[return_reason]]="","Error","OK"),"OK")</f>
        <v>OK</v>
      </c>
      <c r="P754" s="8">
        <f>Table1[[#This Row],[original_price]]*Table1[[#This Row],[markdown_percentage]]/100</f>
        <v>0</v>
      </c>
      <c r="Q75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754" s="25">
        <f>Table1[[#This Row],[current_price]]*Table1[[#This Row],[stock_quantity]]</f>
        <v>2078.42</v>
      </c>
    </row>
    <row r="755" spans="1:18" x14ac:dyDescent="0.25">
      <c r="A755" s="2" t="s">
        <v>808</v>
      </c>
      <c r="B755" s="2" t="s">
        <v>15</v>
      </c>
      <c r="C755" s="2" t="s">
        <v>22</v>
      </c>
      <c r="D755" s="2" t="s">
        <v>17</v>
      </c>
      <c r="E755" s="2" t="s">
        <v>55</v>
      </c>
      <c r="F755" s="2" t="s">
        <v>70</v>
      </c>
      <c r="G755" s="8">
        <v>127.59</v>
      </c>
      <c r="H755" s="11">
        <v>0</v>
      </c>
      <c r="I755" s="8">
        <v>127.59</v>
      </c>
      <c r="J755" s="3">
        <v>45785</v>
      </c>
      <c r="K755" s="14">
        <v>1</v>
      </c>
      <c r="L755" s="17">
        <v>4.9000000000000004</v>
      </c>
      <c r="M755" s="2" t="b">
        <v>0</v>
      </c>
      <c r="N755" s="2"/>
      <c r="O755" s="2" t="str">
        <f>IF(Table1[[#This Row],[is_returned]]=TRUE,IF(Table1[[#This Row],[return_reason]]="","Error","OK"),"OK")</f>
        <v>OK</v>
      </c>
      <c r="P755" s="8">
        <f>Table1[[#This Row],[original_price]]*Table1[[#This Row],[markdown_percentage]]/100</f>
        <v>0</v>
      </c>
      <c r="Q75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755" s="25">
        <f>Table1[[#This Row],[current_price]]*Table1[[#This Row],[stock_quantity]]</f>
        <v>127.59</v>
      </c>
    </row>
    <row r="756" spans="1:18" x14ac:dyDescent="0.25">
      <c r="A756" s="2" t="s">
        <v>809</v>
      </c>
      <c r="B756" s="2" t="s">
        <v>27</v>
      </c>
      <c r="C756" s="2" t="s">
        <v>53</v>
      </c>
      <c r="D756" s="2" t="s">
        <v>62</v>
      </c>
      <c r="E756" s="2"/>
      <c r="F756" s="2" t="s">
        <v>64</v>
      </c>
      <c r="G756" s="8">
        <v>73.040000000000006</v>
      </c>
      <c r="H756" s="11">
        <v>0</v>
      </c>
      <c r="I756" s="8">
        <v>73.040000000000006</v>
      </c>
      <c r="J756" s="3">
        <v>45875</v>
      </c>
      <c r="K756" s="14">
        <v>44</v>
      </c>
      <c r="L756" s="17">
        <v>4.2</v>
      </c>
      <c r="M756" s="2" t="b">
        <v>0</v>
      </c>
      <c r="N756" s="2"/>
      <c r="O756" s="2" t="str">
        <f>IF(Table1[[#This Row],[is_returned]]=TRUE,IF(Table1[[#This Row],[return_reason]]="","Error","OK"),"OK")</f>
        <v>OK</v>
      </c>
      <c r="P756" s="8">
        <f>Table1[[#This Row],[original_price]]*Table1[[#This Row],[markdown_percentage]]/100</f>
        <v>0</v>
      </c>
      <c r="Q75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756" s="25">
        <f>Table1[[#This Row],[current_price]]*Table1[[#This Row],[stock_quantity]]</f>
        <v>3213.76</v>
      </c>
    </row>
    <row r="757" spans="1:18" x14ac:dyDescent="0.25">
      <c r="A757" s="2" t="s">
        <v>810</v>
      </c>
      <c r="B757" s="2" t="s">
        <v>15</v>
      </c>
      <c r="C757" s="2" t="s">
        <v>22</v>
      </c>
      <c r="D757" s="2" t="s">
        <v>23</v>
      </c>
      <c r="E757" s="2" t="s">
        <v>18</v>
      </c>
      <c r="F757" s="2" t="s">
        <v>56</v>
      </c>
      <c r="G757" s="8">
        <v>129.46</v>
      </c>
      <c r="H757" s="11">
        <v>0</v>
      </c>
      <c r="I757" s="8">
        <v>129.46</v>
      </c>
      <c r="J757" s="3">
        <v>45875</v>
      </c>
      <c r="K757" s="14">
        <v>32</v>
      </c>
      <c r="L757" s="17">
        <v>4</v>
      </c>
      <c r="M757" s="2" t="b">
        <v>0</v>
      </c>
      <c r="N757" s="2"/>
      <c r="O757" s="2" t="str">
        <f>IF(Table1[[#This Row],[is_returned]]=TRUE,IF(Table1[[#This Row],[return_reason]]="","Error","OK"),"OK")</f>
        <v>OK</v>
      </c>
      <c r="P757" s="8">
        <f>Table1[[#This Row],[original_price]]*Table1[[#This Row],[markdown_percentage]]/100</f>
        <v>0</v>
      </c>
      <c r="Q75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757" s="25">
        <f>Table1[[#This Row],[current_price]]*Table1[[#This Row],[stock_quantity]]</f>
        <v>4142.72</v>
      </c>
    </row>
    <row r="758" spans="1:18" x14ac:dyDescent="0.25">
      <c r="A758" s="2" t="s">
        <v>811</v>
      </c>
      <c r="B758" s="2" t="s">
        <v>27</v>
      </c>
      <c r="C758" s="2" t="s">
        <v>32</v>
      </c>
      <c r="D758" s="2" t="s">
        <v>23</v>
      </c>
      <c r="E758" s="2"/>
      <c r="F758" s="2" t="s">
        <v>35</v>
      </c>
      <c r="G758" s="8">
        <v>51.3</v>
      </c>
      <c r="H758" s="11">
        <v>0</v>
      </c>
      <c r="I758" s="8">
        <v>51.3</v>
      </c>
      <c r="J758" s="3">
        <v>45875</v>
      </c>
      <c r="K758" s="14">
        <v>33</v>
      </c>
      <c r="L758" s="17"/>
      <c r="M758" s="2" t="b">
        <v>0</v>
      </c>
      <c r="N758" s="2"/>
      <c r="O758" s="2" t="str">
        <f>IF(Table1[[#This Row],[is_returned]]=TRUE,IF(Table1[[#This Row],[return_reason]]="","Error","OK"),"OK")</f>
        <v>OK</v>
      </c>
      <c r="P758" s="8">
        <f>Table1[[#This Row],[original_price]]*Table1[[#This Row],[markdown_percentage]]/100</f>
        <v>0</v>
      </c>
      <c r="Q75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758" s="25">
        <f>Table1[[#This Row],[current_price]]*Table1[[#This Row],[stock_quantity]]</f>
        <v>1692.8999999999999</v>
      </c>
    </row>
    <row r="759" spans="1:18" x14ac:dyDescent="0.25">
      <c r="A759" s="2" t="s">
        <v>812</v>
      </c>
      <c r="B759" s="2" t="s">
        <v>42</v>
      </c>
      <c r="C759" s="2" t="s">
        <v>48</v>
      </c>
      <c r="D759" s="2" t="s">
        <v>17</v>
      </c>
      <c r="E759" s="2" t="s">
        <v>24</v>
      </c>
      <c r="F759" s="2" t="s">
        <v>40</v>
      </c>
      <c r="G759" s="8">
        <v>173</v>
      </c>
      <c r="H759" s="11">
        <v>0</v>
      </c>
      <c r="I759" s="8">
        <v>173</v>
      </c>
      <c r="J759" s="3">
        <v>45759</v>
      </c>
      <c r="K759" s="14">
        <v>13</v>
      </c>
      <c r="L759" s="17">
        <v>3.9</v>
      </c>
      <c r="M759" s="2" t="b">
        <v>0</v>
      </c>
      <c r="N759" s="2"/>
      <c r="O759" s="2" t="str">
        <f>IF(Table1[[#This Row],[is_returned]]=TRUE,IF(Table1[[#This Row],[return_reason]]="","Error","OK"),"OK")</f>
        <v>OK</v>
      </c>
      <c r="P759" s="8">
        <f>Table1[[#This Row],[original_price]]*Table1[[#This Row],[markdown_percentage]]/100</f>
        <v>0</v>
      </c>
      <c r="Q75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759" s="25">
        <f>Table1[[#This Row],[current_price]]*Table1[[#This Row],[stock_quantity]]</f>
        <v>2249</v>
      </c>
    </row>
    <row r="760" spans="1:18" x14ac:dyDescent="0.25">
      <c r="A760" s="2" t="s">
        <v>813</v>
      </c>
      <c r="B760" s="2" t="s">
        <v>27</v>
      </c>
      <c r="C760" s="2" t="s">
        <v>22</v>
      </c>
      <c r="D760" s="2" t="s">
        <v>62</v>
      </c>
      <c r="E760" s="2"/>
      <c r="F760" s="2" t="s">
        <v>46</v>
      </c>
      <c r="G760" s="8">
        <v>70.72</v>
      </c>
      <c r="H760" s="11">
        <v>0</v>
      </c>
      <c r="I760" s="8">
        <v>70.72</v>
      </c>
      <c r="J760" s="3">
        <v>45875</v>
      </c>
      <c r="K760" s="14">
        <v>18</v>
      </c>
      <c r="L760" s="17">
        <v>2.8</v>
      </c>
      <c r="M760" s="2" t="b">
        <v>0</v>
      </c>
      <c r="N760" s="2"/>
      <c r="O760" s="2" t="str">
        <f>IF(Table1[[#This Row],[is_returned]]=TRUE,IF(Table1[[#This Row],[return_reason]]="","Error","OK"),"OK")</f>
        <v>OK</v>
      </c>
      <c r="P760" s="8">
        <f>Table1[[#This Row],[original_price]]*Table1[[#This Row],[markdown_percentage]]/100</f>
        <v>0</v>
      </c>
      <c r="Q76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760" s="25">
        <f>Table1[[#This Row],[current_price]]*Table1[[#This Row],[stock_quantity]]</f>
        <v>1272.96</v>
      </c>
    </row>
    <row r="761" spans="1:18" x14ac:dyDescent="0.25">
      <c r="A761" s="2" t="s">
        <v>814</v>
      </c>
      <c r="B761" s="2" t="s">
        <v>42</v>
      </c>
      <c r="C761" s="2" t="s">
        <v>75</v>
      </c>
      <c r="D761" s="2" t="s">
        <v>62</v>
      </c>
      <c r="E761" s="2" t="s">
        <v>39</v>
      </c>
      <c r="F761" s="2" t="s">
        <v>28</v>
      </c>
      <c r="G761" s="8">
        <v>126.37</v>
      </c>
      <c r="H761" s="11">
        <v>0</v>
      </c>
      <c r="I761" s="8">
        <v>126.37</v>
      </c>
      <c r="J761" s="3">
        <v>45875</v>
      </c>
      <c r="K761" s="14">
        <v>42</v>
      </c>
      <c r="L761" s="17">
        <v>2</v>
      </c>
      <c r="M761" s="2" t="b">
        <v>0</v>
      </c>
      <c r="N761" s="2"/>
      <c r="O761" s="2" t="str">
        <f>IF(Table1[[#This Row],[is_returned]]=TRUE,IF(Table1[[#This Row],[return_reason]]="","Error","OK"),"OK")</f>
        <v>OK</v>
      </c>
      <c r="P761" s="8">
        <f>Table1[[#This Row],[original_price]]*Table1[[#This Row],[markdown_percentage]]/100</f>
        <v>0</v>
      </c>
      <c r="Q76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761" s="25">
        <f>Table1[[#This Row],[current_price]]*Table1[[#This Row],[stock_quantity]]</f>
        <v>5307.54</v>
      </c>
    </row>
    <row r="762" spans="1:18" x14ac:dyDescent="0.25">
      <c r="A762" s="2" t="s">
        <v>815</v>
      </c>
      <c r="B762" s="2" t="s">
        <v>38</v>
      </c>
      <c r="C762" s="2" t="s">
        <v>16</v>
      </c>
      <c r="D762" s="2" t="s">
        <v>23</v>
      </c>
      <c r="E762" s="2" t="s">
        <v>49</v>
      </c>
      <c r="F762" s="2" t="s">
        <v>44</v>
      </c>
      <c r="G762" s="8">
        <v>84.19</v>
      </c>
      <c r="H762" s="11">
        <v>9.6</v>
      </c>
      <c r="I762" s="8">
        <v>76.11</v>
      </c>
      <c r="J762" s="3">
        <v>45875</v>
      </c>
      <c r="K762" s="14">
        <v>45</v>
      </c>
      <c r="L762" s="17">
        <v>2.1</v>
      </c>
      <c r="M762" s="2" t="b">
        <v>0</v>
      </c>
      <c r="N762" s="2"/>
      <c r="O762" s="2" t="str">
        <f>IF(Table1[[#This Row],[is_returned]]=TRUE,IF(Table1[[#This Row],[return_reason]]="","Error","OK"),"OK")</f>
        <v>OK</v>
      </c>
      <c r="P762" s="8">
        <f>Table1[[#This Row],[original_price]]*Table1[[#This Row],[markdown_percentage]]/100</f>
        <v>8.0822399999999988</v>
      </c>
      <c r="Q76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762" s="25">
        <f>Table1[[#This Row],[current_price]]*Table1[[#This Row],[stock_quantity]]</f>
        <v>3424.95</v>
      </c>
    </row>
    <row r="763" spans="1:18" x14ac:dyDescent="0.25">
      <c r="A763" s="2" t="s">
        <v>816</v>
      </c>
      <c r="B763" s="2" t="s">
        <v>27</v>
      </c>
      <c r="C763" s="2" t="s">
        <v>75</v>
      </c>
      <c r="D763" s="2" t="s">
        <v>62</v>
      </c>
      <c r="E763" s="2"/>
      <c r="F763" s="2" t="s">
        <v>25</v>
      </c>
      <c r="G763" s="8">
        <v>59.39</v>
      </c>
      <c r="H763" s="11">
        <v>44.6</v>
      </c>
      <c r="I763" s="8">
        <v>32.9</v>
      </c>
      <c r="J763" s="3">
        <v>45875</v>
      </c>
      <c r="K763" s="14">
        <v>41</v>
      </c>
      <c r="L763" s="17">
        <v>2.2999999999999998</v>
      </c>
      <c r="M763" s="2" t="b">
        <v>1</v>
      </c>
      <c r="N763" s="2" t="s">
        <v>36</v>
      </c>
      <c r="O763" s="2" t="str">
        <f>IF(Table1[[#This Row],[is_returned]]=TRUE,IF(Table1[[#This Row],[return_reason]]="","Error","OK"),"OK")</f>
        <v>OK</v>
      </c>
      <c r="P763" s="8">
        <f>Table1[[#This Row],[original_price]]*Table1[[#This Row],[markdown_percentage]]/100</f>
        <v>26.487940000000002</v>
      </c>
      <c r="Q76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763" s="25">
        <f>Table1[[#This Row],[current_price]]*Table1[[#This Row],[stock_quantity]]</f>
        <v>1348.8999999999999</v>
      </c>
    </row>
    <row r="764" spans="1:18" x14ac:dyDescent="0.25">
      <c r="A764" s="2" t="s">
        <v>817</v>
      </c>
      <c r="B764" s="2" t="s">
        <v>15</v>
      </c>
      <c r="C764" s="2" t="s">
        <v>43</v>
      </c>
      <c r="D764" s="2" t="s">
        <v>34</v>
      </c>
      <c r="E764" s="2" t="s">
        <v>58</v>
      </c>
      <c r="F764" s="2" t="s">
        <v>46</v>
      </c>
      <c r="G764" s="8">
        <v>195.38</v>
      </c>
      <c r="H764" s="11">
        <v>0.3</v>
      </c>
      <c r="I764" s="8">
        <v>194.79</v>
      </c>
      <c r="J764" s="3">
        <v>45875</v>
      </c>
      <c r="K764" s="14">
        <v>30</v>
      </c>
      <c r="L764" s="17">
        <v>2.9</v>
      </c>
      <c r="M764" s="2" t="b">
        <v>0</v>
      </c>
      <c r="N764" s="2"/>
      <c r="O764" s="2" t="str">
        <f>IF(Table1[[#This Row],[is_returned]]=TRUE,IF(Table1[[#This Row],[return_reason]]="","Error","OK"),"OK")</f>
        <v>OK</v>
      </c>
      <c r="P764" s="8">
        <f>Table1[[#This Row],[original_price]]*Table1[[#This Row],[markdown_percentage]]/100</f>
        <v>0.58613999999999999</v>
      </c>
      <c r="Q76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764" s="25">
        <f>Table1[[#This Row],[current_price]]*Table1[[#This Row],[stock_quantity]]</f>
        <v>5843.7</v>
      </c>
    </row>
    <row r="765" spans="1:18" x14ac:dyDescent="0.25">
      <c r="A765" s="2" t="s">
        <v>818</v>
      </c>
      <c r="B765" s="2" t="s">
        <v>42</v>
      </c>
      <c r="C765" s="2" t="s">
        <v>61</v>
      </c>
      <c r="D765" s="2" t="s">
        <v>17</v>
      </c>
      <c r="E765" s="2" t="s">
        <v>39</v>
      </c>
      <c r="F765" s="2" t="s">
        <v>35</v>
      </c>
      <c r="G765" s="8">
        <v>107.64</v>
      </c>
      <c r="H765" s="11">
        <v>7.5</v>
      </c>
      <c r="I765" s="8">
        <v>99.57</v>
      </c>
      <c r="J765" s="3">
        <v>45545</v>
      </c>
      <c r="K765" s="14">
        <v>21</v>
      </c>
      <c r="L765" s="17">
        <v>4.5999999999999996</v>
      </c>
      <c r="M765" s="2" t="b">
        <v>0</v>
      </c>
      <c r="N765" s="2"/>
      <c r="O765" s="2" t="str">
        <f>IF(Table1[[#This Row],[is_returned]]=TRUE,IF(Table1[[#This Row],[return_reason]]="","Error","OK"),"OK")</f>
        <v>OK</v>
      </c>
      <c r="P765" s="8">
        <f>Table1[[#This Row],[original_price]]*Table1[[#This Row],[markdown_percentage]]/100</f>
        <v>8.0730000000000004</v>
      </c>
      <c r="Q76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765" s="25">
        <f>Table1[[#This Row],[current_price]]*Table1[[#This Row],[stock_quantity]]</f>
        <v>2090.9699999999998</v>
      </c>
    </row>
    <row r="766" spans="1:18" x14ac:dyDescent="0.25">
      <c r="A766" s="2" t="s">
        <v>819</v>
      </c>
      <c r="B766" s="2" t="s">
        <v>30</v>
      </c>
      <c r="C766" s="2" t="s">
        <v>48</v>
      </c>
      <c r="D766" s="2" t="s">
        <v>17</v>
      </c>
      <c r="E766" s="2" t="s">
        <v>24</v>
      </c>
      <c r="F766" s="2" t="s">
        <v>44</v>
      </c>
      <c r="G766" s="8">
        <v>63.12</v>
      </c>
      <c r="H766" s="11">
        <v>0</v>
      </c>
      <c r="I766" s="8">
        <v>63.12</v>
      </c>
      <c r="J766" s="3">
        <v>45604</v>
      </c>
      <c r="K766" s="14">
        <v>35</v>
      </c>
      <c r="L766" s="17">
        <v>2.9</v>
      </c>
      <c r="M766" s="2" t="b">
        <v>0</v>
      </c>
      <c r="N766" s="2"/>
      <c r="O766" s="2" t="str">
        <f>IF(Table1[[#This Row],[is_returned]]=TRUE,IF(Table1[[#This Row],[return_reason]]="","Error","OK"),"OK")</f>
        <v>OK</v>
      </c>
      <c r="P766" s="8">
        <f>Table1[[#This Row],[original_price]]*Table1[[#This Row],[markdown_percentage]]/100</f>
        <v>0</v>
      </c>
      <c r="Q76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766" s="25">
        <f>Table1[[#This Row],[current_price]]*Table1[[#This Row],[stock_quantity]]</f>
        <v>2209.1999999999998</v>
      </c>
    </row>
    <row r="767" spans="1:18" x14ac:dyDescent="0.25">
      <c r="A767" s="2" t="s">
        <v>820</v>
      </c>
      <c r="B767" s="2" t="s">
        <v>38</v>
      </c>
      <c r="C767" s="2" t="s">
        <v>61</v>
      </c>
      <c r="D767" s="2" t="s">
        <v>34</v>
      </c>
      <c r="E767" s="2" t="s">
        <v>24</v>
      </c>
      <c r="F767" s="2" t="s">
        <v>44</v>
      </c>
      <c r="G767" s="8">
        <v>58.91</v>
      </c>
      <c r="H767" s="11">
        <v>0</v>
      </c>
      <c r="I767" s="8">
        <v>58.91</v>
      </c>
      <c r="J767" s="3">
        <v>45875</v>
      </c>
      <c r="K767" s="14">
        <v>17</v>
      </c>
      <c r="L767" s="17">
        <v>2</v>
      </c>
      <c r="M767" s="2" t="b">
        <v>0</v>
      </c>
      <c r="N767" s="2"/>
      <c r="O767" s="2" t="str">
        <f>IF(Table1[[#This Row],[is_returned]]=TRUE,IF(Table1[[#This Row],[return_reason]]="","Error","OK"),"OK")</f>
        <v>OK</v>
      </c>
      <c r="P767" s="8">
        <f>Table1[[#This Row],[original_price]]*Table1[[#This Row],[markdown_percentage]]/100</f>
        <v>0</v>
      </c>
      <c r="Q76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767" s="25">
        <f>Table1[[#This Row],[current_price]]*Table1[[#This Row],[stock_quantity]]</f>
        <v>1001.4699999999999</v>
      </c>
    </row>
    <row r="768" spans="1:18" x14ac:dyDescent="0.25">
      <c r="A768" s="2" t="s">
        <v>821</v>
      </c>
      <c r="B768" s="2" t="s">
        <v>38</v>
      </c>
      <c r="C768" s="2" t="s">
        <v>48</v>
      </c>
      <c r="D768" s="2" t="s">
        <v>62</v>
      </c>
      <c r="E768" s="2" t="s">
        <v>24</v>
      </c>
      <c r="F768" s="2" t="s">
        <v>46</v>
      </c>
      <c r="G768" s="8">
        <v>93.27</v>
      </c>
      <c r="H768" s="11">
        <v>0</v>
      </c>
      <c r="I768" s="8">
        <v>93.27</v>
      </c>
      <c r="J768" s="3">
        <v>45875</v>
      </c>
      <c r="K768" s="14">
        <v>18</v>
      </c>
      <c r="L768" s="17">
        <v>3.7</v>
      </c>
      <c r="M768" s="2" t="b">
        <v>0</v>
      </c>
      <c r="N768" s="2"/>
      <c r="O768" s="2" t="str">
        <f>IF(Table1[[#This Row],[is_returned]]=TRUE,IF(Table1[[#This Row],[return_reason]]="","Error","OK"),"OK")</f>
        <v>OK</v>
      </c>
      <c r="P768" s="8">
        <f>Table1[[#This Row],[original_price]]*Table1[[#This Row],[markdown_percentage]]/100</f>
        <v>0</v>
      </c>
      <c r="Q76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768" s="25">
        <f>Table1[[#This Row],[current_price]]*Table1[[#This Row],[stock_quantity]]</f>
        <v>1678.86</v>
      </c>
    </row>
    <row r="769" spans="1:18" x14ac:dyDescent="0.25">
      <c r="A769" s="2" t="s">
        <v>822</v>
      </c>
      <c r="B769" s="2" t="s">
        <v>42</v>
      </c>
      <c r="C769" s="2" t="s">
        <v>75</v>
      </c>
      <c r="D769" s="2" t="s">
        <v>17</v>
      </c>
      <c r="E769" s="2" t="s">
        <v>18</v>
      </c>
      <c r="F769" s="2" t="s">
        <v>46</v>
      </c>
      <c r="G769" s="8">
        <v>147.88</v>
      </c>
      <c r="H769" s="11">
        <v>36.799999999999997</v>
      </c>
      <c r="I769" s="8">
        <v>93.46</v>
      </c>
      <c r="J769" s="3">
        <v>45543</v>
      </c>
      <c r="K769" s="14">
        <v>37</v>
      </c>
      <c r="L769" s="17">
        <v>3.3</v>
      </c>
      <c r="M769" s="2" t="b">
        <v>0</v>
      </c>
      <c r="N769" s="2"/>
      <c r="O769" s="2" t="str">
        <f>IF(Table1[[#This Row],[is_returned]]=TRUE,IF(Table1[[#This Row],[return_reason]]="","Error","OK"),"OK")</f>
        <v>OK</v>
      </c>
      <c r="P769" s="8">
        <f>Table1[[#This Row],[original_price]]*Table1[[#This Row],[markdown_percentage]]/100</f>
        <v>54.419839999999994</v>
      </c>
      <c r="Q76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769" s="25">
        <f>Table1[[#This Row],[current_price]]*Table1[[#This Row],[stock_quantity]]</f>
        <v>3458.02</v>
      </c>
    </row>
    <row r="770" spans="1:18" x14ac:dyDescent="0.25">
      <c r="A770" s="2" t="s">
        <v>823</v>
      </c>
      <c r="B770" s="2" t="s">
        <v>21</v>
      </c>
      <c r="C770" s="2" t="s">
        <v>22</v>
      </c>
      <c r="D770" s="2" t="s">
        <v>34</v>
      </c>
      <c r="E770" s="2" t="s">
        <v>24</v>
      </c>
      <c r="F770" s="2" t="s">
        <v>40</v>
      </c>
      <c r="G770" s="8">
        <v>30.53</v>
      </c>
      <c r="H770" s="11">
        <v>0</v>
      </c>
      <c r="I770" s="8">
        <v>30.53</v>
      </c>
      <c r="J770" s="3">
        <v>45875</v>
      </c>
      <c r="K770" s="14">
        <v>25</v>
      </c>
      <c r="L770" s="17">
        <v>2.5</v>
      </c>
      <c r="M770" s="2" t="b">
        <v>0</v>
      </c>
      <c r="N770" s="2"/>
      <c r="O770" s="2" t="str">
        <f>IF(Table1[[#This Row],[is_returned]]=TRUE,IF(Table1[[#This Row],[return_reason]]="","Error","OK"),"OK")</f>
        <v>OK</v>
      </c>
      <c r="P770" s="8">
        <f>Table1[[#This Row],[original_price]]*Table1[[#This Row],[markdown_percentage]]/100</f>
        <v>0</v>
      </c>
      <c r="Q77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770" s="25">
        <f>Table1[[#This Row],[current_price]]*Table1[[#This Row],[stock_quantity]]</f>
        <v>763.25</v>
      </c>
    </row>
    <row r="771" spans="1:18" x14ac:dyDescent="0.25">
      <c r="A771" s="2" t="s">
        <v>824</v>
      </c>
      <c r="B771" s="2" t="s">
        <v>21</v>
      </c>
      <c r="C771" s="2" t="s">
        <v>16</v>
      </c>
      <c r="D771" s="2" t="s">
        <v>34</v>
      </c>
      <c r="E771" s="2" t="s">
        <v>39</v>
      </c>
      <c r="F771" s="2" t="s">
        <v>35</v>
      </c>
      <c r="G771" s="8">
        <v>104.96</v>
      </c>
      <c r="H771" s="11">
        <v>1.6</v>
      </c>
      <c r="I771" s="8">
        <v>103.28</v>
      </c>
      <c r="J771" s="3">
        <v>45875</v>
      </c>
      <c r="K771" s="14">
        <v>33</v>
      </c>
      <c r="L771" s="17">
        <v>2</v>
      </c>
      <c r="M771" s="2" t="b">
        <v>0</v>
      </c>
      <c r="N771" s="2"/>
      <c r="O771" s="2" t="str">
        <f>IF(Table1[[#This Row],[is_returned]]=TRUE,IF(Table1[[#This Row],[return_reason]]="","Error","OK"),"OK")</f>
        <v>OK</v>
      </c>
      <c r="P771" s="8">
        <f>Table1[[#This Row],[original_price]]*Table1[[#This Row],[markdown_percentage]]/100</f>
        <v>1.67936</v>
      </c>
      <c r="Q77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771" s="25">
        <f>Table1[[#This Row],[current_price]]*Table1[[#This Row],[stock_quantity]]</f>
        <v>3408.2400000000002</v>
      </c>
    </row>
    <row r="772" spans="1:18" x14ac:dyDescent="0.25">
      <c r="A772" s="2" t="s">
        <v>825</v>
      </c>
      <c r="B772" s="2" t="s">
        <v>42</v>
      </c>
      <c r="C772" s="2" t="s">
        <v>48</v>
      </c>
      <c r="D772" s="2" t="s">
        <v>23</v>
      </c>
      <c r="E772" s="2" t="s">
        <v>55</v>
      </c>
      <c r="F772" s="2" t="s">
        <v>44</v>
      </c>
      <c r="G772" s="8">
        <v>75.52</v>
      </c>
      <c r="H772" s="11">
        <v>0</v>
      </c>
      <c r="I772" s="8">
        <v>75.52</v>
      </c>
      <c r="J772" s="3">
        <v>45875</v>
      </c>
      <c r="K772" s="14">
        <v>2</v>
      </c>
      <c r="L772" s="17">
        <v>2.8</v>
      </c>
      <c r="M772" s="2" t="b">
        <v>0</v>
      </c>
      <c r="N772" s="2"/>
      <c r="O772" s="2" t="str">
        <f>IF(Table1[[#This Row],[is_returned]]=TRUE,IF(Table1[[#This Row],[return_reason]]="","Error","OK"),"OK")</f>
        <v>OK</v>
      </c>
      <c r="P772" s="8">
        <f>Table1[[#This Row],[original_price]]*Table1[[#This Row],[markdown_percentage]]/100</f>
        <v>0</v>
      </c>
      <c r="Q77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772" s="25">
        <f>Table1[[#This Row],[current_price]]*Table1[[#This Row],[stock_quantity]]</f>
        <v>151.04</v>
      </c>
    </row>
    <row r="773" spans="1:18" x14ac:dyDescent="0.25">
      <c r="A773" s="2" t="s">
        <v>826</v>
      </c>
      <c r="B773" s="2" t="s">
        <v>38</v>
      </c>
      <c r="C773" s="2" t="s">
        <v>61</v>
      </c>
      <c r="D773" s="2" t="s">
        <v>23</v>
      </c>
      <c r="E773" s="2" t="s">
        <v>58</v>
      </c>
      <c r="F773" s="2" t="s">
        <v>19</v>
      </c>
      <c r="G773" s="8">
        <v>54.7</v>
      </c>
      <c r="H773" s="11">
        <v>0</v>
      </c>
      <c r="I773" s="8">
        <v>54.7</v>
      </c>
      <c r="J773" s="3">
        <v>45875</v>
      </c>
      <c r="K773" s="14">
        <v>18</v>
      </c>
      <c r="L773" s="17">
        <v>4.2</v>
      </c>
      <c r="M773" s="2" t="b">
        <v>0</v>
      </c>
      <c r="N773" s="2"/>
      <c r="O773" s="2" t="str">
        <f>IF(Table1[[#This Row],[is_returned]]=TRUE,IF(Table1[[#This Row],[return_reason]]="","Error","OK"),"OK")</f>
        <v>OK</v>
      </c>
      <c r="P773" s="8">
        <f>Table1[[#This Row],[original_price]]*Table1[[#This Row],[markdown_percentage]]/100</f>
        <v>0</v>
      </c>
      <c r="Q77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773" s="25">
        <f>Table1[[#This Row],[current_price]]*Table1[[#This Row],[stock_quantity]]</f>
        <v>984.6</v>
      </c>
    </row>
    <row r="774" spans="1:18" x14ac:dyDescent="0.25">
      <c r="A774" s="2" t="s">
        <v>827</v>
      </c>
      <c r="B774" s="2" t="s">
        <v>30</v>
      </c>
      <c r="C774" s="2" t="s">
        <v>53</v>
      </c>
      <c r="D774" s="2" t="s">
        <v>62</v>
      </c>
      <c r="E774" s="2" t="s">
        <v>55</v>
      </c>
      <c r="F774" s="2" t="s">
        <v>28</v>
      </c>
      <c r="G774" s="8">
        <v>126.25</v>
      </c>
      <c r="H774" s="11">
        <v>25.9</v>
      </c>
      <c r="I774" s="8">
        <v>93.55</v>
      </c>
      <c r="J774" s="3">
        <v>45875</v>
      </c>
      <c r="K774" s="14">
        <v>40</v>
      </c>
      <c r="L774" s="17">
        <v>1.5</v>
      </c>
      <c r="M774" s="2" t="b">
        <v>1</v>
      </c>
      <c r="N774" s="2" t="s">
        <v>73</v>
      </c>
      <c r="O774" s="2" t="str">
        <f>IF(Table1[[#This Row],[is_returned]]=TRUE,IF(Table1[[#This Row],[return_reason]]="","Error","OK"),"OK")</f>
        <v>OK</v>
      </c>
      <c r="P774" s="8">
        <f>Table1[[#This Row],[original_price]]*Table1[[#This Row],[markdown_percentage]]/100</f>
        <v>32.698749999999997</v>
      </c>
      <c r="Q77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774" s="25">
        <f>Table1[[#This Row],[current_price]]*Table1[[#This Row],[stock_quantity]]</f>
        <v>3742</v>
      </c>
    </row>
    <row r="775" spans="1:18" x14ac:dyDescent="0.25">
      <c r="A775" s="2" t="s">
        <v>828</v>
      </c>
      <c r="B775" s="2" t="s">
        <v>30</v>
      </c>
      <c r="C775" s="2" t="s">
        <v>32</v>
      </c>
      <c r="D775" s="2" t="s">
        <v>62</v>
      </c>
      <c r="E775" s="2" t="s">
        <v>55</v>
      </c>
      <c r="F775" s="2" t="s">
        <v>44</v>
      </c>
      <c r="G775" s="8">
        <v>63.86</v>
      </c>
      <c r="H775" s="11">
        <v>52.8</v>
      </c>
      <c r="I775" s="8">
        <v>30.14</v>
      </c>
      <c r="J775" s="3">
        <v>45875</v>
      </c>
      <c r="K775" s="14">
        <v>23</v>
      </c>
      <c r="L775" s="17"/>
      <c r="M775" s="2" t="b">
        <v>0</v>
      </c>
      <c r="N775" s="2"/>
      <c r="O775" s="2" t="str">
        <f>IF(Table1[[#This Row],[is_returned]]=TRUE,IF(Table1[[#This Row],[return_reason]]="","Error","OK"),"OK")</f>
        <v>OK</v>
      </c>
      <c r="P775" s="8">
        <f>Table1[[#This Row],[original_price]]*Table1[[#This Row],[markdown_percentage]]/100</f>
        <v>33.71808</v>
      </c>
      <c r="Q77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775" s="25">
        <f>Table1[[#This Row],[current_price]]*Table1[[#This Row],[stock_quantity]]</f>
        <v>693.22</v>
      </c>
    </row>
    <row r="776" spans="1:18" x14ac:dyDescent="0.25">
      <c r="A776" s="2" t="s">
        <v>829</v>
      </c>
      <c r="B776" s="2" t="s">
        <v>27</v>
      </c>
      <c r="C776" s="2" t="s">
        <v>22</v>
      </c>
      <c r="D776" s="2" t="s">
        <v>23</v>
      </c>
      <c r="E776" s="2"/>
      <c r="F776" s="2" t="s">
        <v>19</v>
      </c>
      <c r="G776" s="8">
        <v>75.930000000000007</v>
      </c>
      <c r="H776" s="11">
        <v>0</v>
      </c>
      <c r="I776" s="8">
        <v>75.930000000000007</v>
      </c>
      <c r="J776" s="3">
        <v>45875</v>
      </c>
      <c r="K776" s="14">
        <v>32</v>
      </c>
      <c r="L776" s="17">
        <v>3.1</v>
      </c>
      <c r="M776" s="2" t="b">
        <v>0</v>
      </c>
      <c r="N776" s="2"/>
      <c r="O776" s="2" t="str">
        <f>IF(Table1[[#This Row],[is_returned]]=TRUE,IF(Table1[[#This Row],[return_reason]]="","Error","OK"),"OK")</f>
        <v>OK</v>
      </c>
      <c r="P776" s="8">
        <f>Table1[[#This Row],[original_price]]*Table1[[#This Row],[markdown_percentage]]/100</f>
        <v>0</v>
      </c>
      <c r="Q77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776" s="25">
        <f>Table1[[#This Row],[current_price]]*Table1[[#This Row],[stock_quantity]]</f>
        <v>2429.7600000000002</v>
      </c>
    </row>
    <row r="777" spans="1:18" x14ac:dyDescent="0.25">
      <c r="A777" s="2" t="s">
        <v>830</v>
      </c>
      <c r="B777" s="2" t="s">
        <v>21</v>
      </c>
      <c r="C777" s="2" t="s">
        <v>16</v>
      </c>
      <c r="D777" s="2" t="s">
        <v>34</v>
      </c>
      <c r="E777" s="2" t="s">
        <v>58</v>
      </c>
      <c r="F777" s="2" t="s">
        <v>70</v>
      </c>
      <c r="G777" s="8">
        <v>82.51</v>
      </c>
      <c r="H777" s="11">
        <v>27.3</v>
      </c>
      <c r="I777" s="8">
        <v>59.98</v>
      </c>
      <c r="J777" s="3">
        <v>45875</v>
      </c>
      <c r="K777" s="14">
        <v>9</v>
      </c>
      <c r="L777" s="17">
        <v>3.8</v>
      </c>
      <c r="M777" s="2" t="b">
        <v>0</v>
      </c>
      <c r="N777" s="2"/>
      <c r="O777" s="2" t="str">
        <f>IF(Table1[[#This Row],[is_returned]]=TRUE,IF(Table1[[#This Row],[return_reason]]="","Error","OK"),"OK")</f>
        <v>OK</v>
      </c>
      <c r="P777" s="8">
        <f>Table1[[#This Row],[original_price]]*Table1[[#This Row],[markdown_percentage]]/100</f>
        <v>22.525230000000001</v>
      </c>
      <c r="Q77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777" s="25">
        <f>Table1[[#This Row],[current_price]]*Table1[[#This Row],[stock_quantity]]</f>
        <v>539.81999999999994</v>
      </c>
    </row>
    <row r="778" spans="1:18" x14ac:dyDescent="0.25">
      <c r="A778" s="2" t="s">
        <v>831</v>
      </c>
      <c r="B778" s="2" t="s">
        <v>38</v>
      </c>
      <c r="C778" s="2" t="s">
        <v>32</v>
      </c>
      <c r="D778" s="2" t="s">
        <v>34</v>
      </c>
      <c r="E778" s="2" t="s">
        <v>49</v>
      </c>
      <c r="F778" s="2" t="s">
        <v>46</v>
      </c>
      <c r="G778" s="8">
        <v>46.02</v>
      </c>
      <c r="H778" s="11">
        <v>0</v>
      </c>
      <c r="I778" s="8">
        <v>46.02</v>
      </c>
      <c r="J778" s="3">
        <v>45875</v>
      </c>
      <c r="K778" s="14">
        <v>21</v>
      </c>
      <c r="L778" s="17">
        <v>1.1000000000000001</v>
      </c>
      <c r="M778" s="2" t="b">
        <v>0</v>
      </c>
      <c r="N778" s="2"/>
      <c r="O778" s="2" t="str">
        <f>IF(Table1[[#This Row],[is_returned]]=TRUE,IF(Table1[[#This Row],[return_reason]]="","Error","OK"),"OK")</f>
        <v>OK</v>
      </c>
      <c r="P778" s="8">
        <f>Table1[[#This Row],[original_price]]*Table1[[#This Row],[markdown_percentage]]/100</f>
        <v>0</v>
      </c>
      <c r="Q77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778" s="25">
        <f>Table1[[#This Row],[current_price]]*Table1[[#This Row],[stock_quantity]]</f>
        <v>966.42000000000007</v>
      </c>
    </row>
    <row r="779" spans="1:18" x14ac:dyDescent="0.25">
      <c r="A779" s="2" t="s">
        <v>832</v>
      </c>
      <c r="B779" s="2" t="s">
        <v>42</v>
      </c>
      <c r="C779" s="2" t="s">
        <v>43</v>
      </c>
      <c r="D779" s="2" t="s">
        <v>23</v>
      </c>
      <c r="E779" s="2" t="s">
        <v>49</v>
      </c>
      <c r="F779" s="2" t="s">
        <v>70</v>
      </c>
      <c r="G779" s="8">
        <v>125.67</v>
      </c>
      <c r="H779" s="11">
        <v>45.5</v>
      </c>
      <c r="I779" s="8">
        <v>68.489999999999995</v>
      </c>
      <c r="J779" s="3">
        <v>45875</v>
      </c>
      <c r="K779" s="14">
        <v>27</v>
      </c>
      <c r="L779" s="17">
        <v>1.6</v>
      </c>
      <c r="M779" s="2" t="b">
        <v>0</v>
      </c>
      <c r="N779" s="2"/>
      <c r="O779" s="2" t="str">
        <f>IF(Table1[[#This Row],[is_returned]]=TRUE,IF(Table1[[#This Row],[return_reason]]="","Error","OK"),"OK")</f>
        <v>OK</v>
      </c>
      <c r="P779" s="8">
        <f>Table1[[#This Row],[original_price]]*Table1[[#This Row],[markdown_percentage]]/100</f>
        <v>57.179849999999995</v>
      </c>
      <c r="Q77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779" s="25">
        <f>Table1[[#This Row],[current_price]]*Table1[[#This Row],[stock_quantity]]</f>
        <v>1849.2299999999998</v>
      </c>
    </row>
    <row r="780" spans="1:18" x14ac:dyDescent="0.25">
      <c r="A780" s="2" t="s">
        <v>833</v>
      </c>
      <c r="B780" s="2" t="s">
        <v>30</v>
      </c>
      <c r="C780" s="2" t="s">
        <v>43</v>
      </c>
      <c r="D780" s="2" t="s">
        <v>23</v>
      </c>
      <c r="E780" s="2" t="s">
        <v>39</v>
      </c>
      <c r="F780" s="2" t="s">
        <v>19</v>
      </c>
      <c r="G780" s="8">
        <v>65.61</v>
      </c>
      <c r="H780" s="11">
        <v>50.7</v>
      </c>
      <c r="I780" s="8">
        <v>32.35</v>
      </c>
      <c r="J780" s="3">
        <v>45875</v>
      </c>
      <c r="K780" s="14">
        <v>23</v>
      </c>
      <c r="L780" s="17">
        <v>1.1000000000000001</v>
      </c>
      <c r="M780" s="2" t="b">
        <v>0</v>
      </c>
      <c r="N780" s="2"/>
      <c r="O780" s="2" t="str">
        <f>IF(Table1[[#This Row],[is_returned]]=TRUE,IF(Table1[[#This Row],[return_reason]]="","Error","OK"),"OK")</f>
        <v>OK</v>
      </c>
      <c r="P780" s="8">
        <f>Table1[[#This Row],[original_price]]*Table1[[#This Row],[markdown_percentage]]/100</f>
        <v>33.264270000000003</v>
      </c>
      <c r="Q78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780" s="25">
        <f>Table1[[#This Row],[current_price]]*Table1[[#This Row],[stock_quantity]]</f>
        <v>744.05000000000007</v>
      </c>
    </row>
    <row r="781" spans="1:18" x14ac:dyDescent="0.25">
      <c r="A781" s="2" t="s">
        <v>834</v>
      </c>
      <c r="B781" s="2" t="s">
        <v>42</v>
      </c>
      <c r="C781" s="2" t="s">
        <v>32</v>
      </c>
      <c r="D781" s="2" t="s">
        <v>62</v>
      </c>
      <c r="E781" s="2" t="s">
        <v>55</v>
      </c>
      <c r="F781" s="2" t="s">
        <v>56</v>
      </c>
      <c r="G781" s="8">
        <v>91.61</v>
      </c>
      <c r="H781" s="11">
        <v>0</v>
      </c>
      <c r="I781" s="8">
        <v>91.61</v>
      </c>
      <c r="J781" s="3">
        <v>45875</v>
      </c>
      <c r="K781" s="14">
        <v>31</v>
      </c>
      <c r="L781" s="17">
        <v>1.4</v>
      </c>
      <c r="M781" s="2" t="b">
        <v>0</v>
      </c>
      <c r="N781" s="2"/>
      <c r="O781" s="2" t="str">
        <f>IF(Table1[[#This Row],[is_returned]]=TRUE,IF(Table1[[#This Row],[return_reason]]="","Error","OK"),"OK")</f>
        <v>OK</v>
      </c>
      <c r="P781" s="8">
        <f>Table1[[#This Row],[original_price]]*Table1[[#This Row],[markdown_percentage]]/100</f>
        <v>0</v>
      </c>
      <c r="Q78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781" s="25">
        <f>Table1[[#This Row],[current_price]]*Table1[[#This Row],[stock_quantity]]</f>
        <v>2839.91</v>
      </c>
    </row>
    <row r="782" spans="1:18" x14ac:dyDescent="0.25">
      <c r="A782" s="2" t="s">
        <v>835</v>
      </c>
      <c r="B782" s="2" t="s">
        <v>15</v>
      </c>
      <c r="C782" s="2" t="s">
        <v>48</v>
      </c>
      <c r="D782" s="2" t="s">
        <v>62</v>
      </c>
      <c r="E782" s="2" t="s">
        <v>55</v>
      </c>
      <c r="F782" s="2" t="s">
        <v>25</v>
      </c>
      <c r="G782" s="8">
        <v>162.78</v>
      </c>
      <c r="H782" s="11">
        <v>0</v>
      </c>
      <c r="I782" s="8">
        <v>162.78</v>
      </c>
      <c r="J782" s="3">
        <v>45875</v>
      </c>
      <c r="K782" s="14">
        <v>0</v>
      </c>
      <c r="L782" s="17"/>
      <c r="M782" s="2" t="b">
        <v>0</v>
      </c>
      <c r="N782" s="2"/>
      <c r="O782" s="2" t="str">
        <f>IF(Table1[[#This Row],[is_returned]]=TRUE,IF(Table1[[#This Row],[return_reason]]="","Error","OK"),"OK")</f>
        <v>OK</v>
      </c>
      <c r="P782" s="8">
        <f>Table1[[#This Row],[original_price]]*Table1[[#This Row],[markdown_percentage]]/100</f>
        <v>0</v>
      </c>
      <c r="Q78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782" s="25">
        <f>Table1[[#This Row],[current_price]]*Table1[[#This Row],[stock_quantity]]</f>
        <v>0</v>
      </c>
    </row>
    <row r="783" spans="1:18" x14ac:dyDescent="0.25">
      <c r="A783" s="2" t="s">
        <v>836</v>
      </c>
      <c r="B783" s="2" t="s">
        <v>15</v>
      </c>
      <c r="C783" s="2" t="s">
        <v>43</v>
      </c>
      <c r="D783" s="2" t="s">
        <v>23</v>
      </c>
      <c r="E783" s="2" t="s">
        <v>58</v>
      </c>
      <c r="F783" s="2" t="s">
        <v>40</v>
      </c>
      <c r="G783" s="8">
        <v>134.35</v>
      </c>
      <c r="H783" s="11">
        <v>35.299999999999997</v>
      </c>
      <c r="I783" s="8">
        <v>86.92</v>
      </c>
      <c r="J783" s="3">
        <v>45875</v>
      </c>
      <c r="K783" s="14">
        <v>36</v>
      </c>
      <c r="L783" s="17"/>
      <c r="M783" s="2" t="b">
        <v>0</v>
      </c>
      <c r="N783" s="2"/>
      <c r="O783" s="2" t="str">
        <f>IF(Table1[[#This Row],[is_returned]]=TRUE,IF(Table1[[#This Row],[return_reason]]="","Error","OK"),"OK")</f>
        <v>OK</v>
      </c>
      <c r="P783" s="8">
        <f>Table1[[#This Row],[original_price]]*Table1[[#This Row],[markdown_percentage]]/100</f>
        <v>47.425549999999994</v>
      </c>
      <c r="Q78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783" s="25">
        <f>Table1[[#This Row],[current_price]]*Table1[[#This Row],[stock_quantity]]</f>
        <v>3129.12</v>
      </c>
    </row>
    <row r="784" spans="1:18" x14ac:dyDescent="0.25">
      <c r="A784" s="2" t="s">
        <v>837</v>
      </c>
      <c r="B784" s="2" t="s">
        <v>38</v>
      </c>
      <c r="C784" s="2" t="s">
        <v>43</v>
      </c>
      <c r="D784" s="2" t="s">
        <v>17</v>
      </c>
      <c r="E784" s="2"/>
      <c r="F784" s="2" t="s">
        <v>40</v>
      </c>
      <c r="G784" s="8">
        <v>77.739999999999995</v>
      </c>
      <c r="H784" s="11">
        <v>38.799999999999997</v>
      </c>
      <c r="I784" s="8">
        <v>47.58</v>
      </c>
      <c r="J784" s="3">
        <v>45849</v>
      </c>
      <c r="K784" s="14">
        <v>23</v>
      </c>
      <c r="L784" s="17">
        <v>4.3</v>
      </c>
      <c r="M784" s="2" t="b">
        <v>0</v>
      </c>
      <c r="N784" s="2"/>
      <c r="O784" s="2" t="str">
        <f>IF(Table1[[#This Row],[is_returned]]=TRUE,IF(Table1[[#This Row],[return_reason]]="","Error","OK"),"OK")</f>
        <v>OK</v>
      </c>
      <c r="P784" s="8">
        <f>Table1[[#This Row],[original_price]]*Table1[[#This Row],[markdown_percentage]]/100</f>
        <v>30.163119999999996</v>
      </c>
      <c r="Q78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784" s="25">
        <f>Table1[[#This Row],[current_price]]*Table1[[#This Row],[stock_quantity]]</f>
        <v>1094.3399999999999</v>
      </c>
    </row>
    <row r="785" spans="1:18" x14ac:dyDescent="0.25">
      <c r="A785" s="2" t="s">
        <v>838</v>
      </c>
      <c r="B785" s="2" t="s">
        <v>27</v>
      </c>
      <c r="C785" s="2" t="s">
        <v>61</v>
      </c>
      <c r="D785" s="2" t="s">
        <v>62</v>
      </c>
      <c r="E785" s="2"/>
      <c r="F785" s="2" t="s">
        <v>70</v>
      </c>
      <c r="G785" s="8">
        <v>49.33</v>
      </c>
      <c r="H785" s="11">
        <v>59.9</v>
      </c>
      <c r="I785" s="8">
        <v>19.78</v>
      </c>
      <c r="J785" s="3">
        <v>45875</v>
      </c>
      <c r="K785" s="14">
        <v>47</v>
      </c>
      <c r="L785" s="17"/>
      <c r="M785" s="2" t="b">
        <v>0</v>
      </c>
      <c r="N785" s="2"/>
      <c r="O785" s="2" t="str">
        <f>IF(Table1[[#This Row],[is_returned]]=TRUE,IF(Table1[[#This Row],[return_reason]]="","Error","OK"),"OK")</f>
        <v>OK</v>
      </c>
      <c r="P785" s="8">
        <f>Table1[[#This Row],[original_price]]*Table1[[#This Row],[markdown_percentage]]/100</f>
        <v>29.548669999999998</v>
      </c>
      <c r="Q78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785" s="25">
        <f>Table1[[#This Row],[current_price]]*Table1[[#This Row],[stock_quantity]]</f>
        <v>929.66000000000008</v>
      </c>
    </row>
    <row r="786" spans="1:18" x14ac:dyDescent="0.25">
      <c r="A786" s="2" t="s">
        <v>839</v>
      </c>
      <c r="B786" s="2" t="s">
        <v>15</v>
      </c>
      <c r="C786" s="2" t="s">
        <v>75</v>
      </c>
      <c r="D786" s="2" t="s">
        <v>62</v>
      </c>
      <c r="E786" s="2" t="s">
        <v>39</v>
      </c>
      <c r="F786" s="2" t="s">
        <v>40</v>
      </c>
      <c r="G786" s="8">
        <v>231.52</v>
      </c>
      <c r="H786" s="11">
        <v>17.3</v>
      </c>
      <c r="I786" s="8">
        <v>191.47</v>
      </c>
      <c r="J786" s="3">
        <v>45875</v>
      </c>
      <c r="K786" s="14">
        <v>49</v>
      </c>
      <c r="L786" s="17">
        <v>2.1</v>
      </c>
      <c r="M786" s="2" t="b">
        <v>0</v>
      </c>
      <c r="N786" s="2"/>
      <c r="O786" s="2" t="str">
        <f>IF(Table1[[#This Row],[is_returned]]=TRUE,IF(Table1[[#This Row],[return_reason]]="","Error","OK"),"OK")</f>
        <v>OK</v>
      </c>
      <c r="P786" s="8">
        <f>Table1[[#This Row],[original_price]]*Table1[[#This Row],[markdown_percentage]]/100</f>
        <v>40.052960000000006</v>
      </c>
      <c r="Q78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786" s="25">
        <f>Table1[[#This Row],[current_price]]*Table1[[#This Row],[stock_quantity]]</f>
        <v>9382.0300000000007</v>
      </c>
    </row>
    <row r="787" spans="1:18" x14ac:dyDescent="0.25">
      <c r="A787" s="2" t="s">
        <v>840</v>
      </c>
      <c r="B787" s="2" t="s">
        <v>15</v>
      </c>
      <c r="C787" s="2" t="s">
        <v>61</v>
      </c>
      <c r="D787" s="2" t="s">
        <v>23</v>
      </c>
      <c r="E787" s="2" t="s">
        <v>18</v>
      </c>
      <c r="F787" s="2" t="s">
        <v>35</v>
      </c>
      <c r="G787" s="8">
        <v>140.1</v>
      </c>
      <c r="H787" s="11">
        <v>0</v>
      </c>
      <c r="I787" s="8">
        <v>140.1</v>
      </c>
      <c r="J787" s="3">
        <v>45875</v>
      </c>
      <c r="K787" s="14">
        <v>14</v>
      </c>
      <c r="L787" s="17">
        <v>3.9</v>
      </c>
      <c r="M787" s="2" t="b">
        <v>0</v>
      </c>
      <c r="N787" s="2"/>
      <c r="O787" s="2" t="str">
        <f>IF(Table1[[#This Row],[is_returned]]=TRUE,IF(Table1[[#This Row],[return_reason]]="","Error","OK"),"OK")</f>
        <v>OK</v>
      </c>
      <c r="P787" s="8">
        <f>Table1[[#This Row],[original_price]]*Table1[[#This Row],[markdown_percentage]]/100</f>
        <v>0</v>
      </c>
      <c r="Q78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787" s="25">
        <f>Table1[[#This Row],[current_price]]*Table1[[#This Row],[stock_quantity]]</f>
        <v>1961.3999999999999</v>
      </c>
    </row>
    <row r="788" spans="1:18" x14ac:dyDescent="0.25">
      <c r="A788" s="2" t="s">
        <v>841</v>
      </c>
      <c r="B788" s="2" t="s">
        <v>42</v>
      </c>
      <c r="C788" s="2" t="s">
        <v>53</v>
      </c>
      <c r="D788" s="2" t="s">
        <v>62</v>
      </c>
      <c r="E788" s="2" t="s">
        <v>39</v>
      </c>
      <c r="F788" s="2" t="s">
        <v>25</v>
      </c>
      <c r="G788" s="8">
        <v>117.38</v>
      </c>
      <c r="H788" s="11">
        <v>27.8</v>
      </c>
      <c r="I788" s="8">
        <v>84.75</v>
      </c>
      <c r="J788" s="3">
        <v>45875</v>
      </c>
      <c r="K788" s="14">
        <v>34</v>
      </c>
      <c r="L788" s="17">
        <v>2.8</v>
      </c>
      <c r="M788" s="2" t="b">
        <v>1</v>
      </c>
      <c r="N788" s="2" t="s">
        <v>83</v>
      </c>
      <c r="O788" s="2" t="str">
        <f>IF(Table1[[#This Row],[is_returned]]=TRUE,IF(Table1[[#This Row],[return_reason]]="","Error","OK"),"OK")</f>
        <v>OK</v>
      </c>
      <c r="P788" s="8">
        <f>Table1[[#This Row],[original_price]]*Table1[[#This Row],[markdown_percentage]]/100</f>
        <v>32.631639999999997</v>
      </c>
      <c r="Q78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788" s="25">
        <f>Table1[[#This Row],[current_price]]*Table1[[#This Row],[stock_quantity]]</f>
        <v>2881.5</v>
      </c>
    </row>
    <row r="789" spans="1:18" x14ac:dyDescent="0.25">
      <c r="A789" s="2" t="s">
        <v>842</v>
      </c>
      <c r="B789" s="2" t="s">
        <v>21</v>
      </c>
      <c r="C789" s="2" t="s">
        <v>53</v>
      </c>
      <c r="D789" s="2" t="s">
        <v>17</v>
      </c>
      <c r="E789" s="2" t="s">
        <v>39</v>
      </c>
      <c r="F789" s="2" t="s">
        <v>66</v>
      </c>
      <c r="G789" s="8">
        <v>83.98</v>
      </c>
      <c r="H789" s="11">
        <v>0</v>
      </c>
      <c r="I789" s="8">
        <v>83.98</v>
      </c>
      <c r="J789" s="3">
        <v>45533</v>
      </c>
      <c r="K789" s="14">
        <v>23</v>
      </c>
      <c r="L789" s="17">
        <v>1.9</v>
      </c>
      <c r="M789" s="2" t="b">
        <v>0</v>
      </c>
      <c r="N789" s="2"/>
      <c r="O789" s="2" t="str">
        <f>IF(Table1[[#This Row],[is_returned]]=TRUE,IF(Table1[[#This Row],[return_reason]]="","Error","OK"),"OK")</f>
        <v>OK</v>
      </c>
      <c r="P789" s="8">
        <f>Table1[[#This Row],[original_price]]*Table1[[#This Row],[markdown_percentage]]/100</f>
        <v>0</v>
      </c>
      <c r="Q78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789" s="25">
        <f>Table1[[#This Row],[current_price]]*Table1[[#This Row],[stock_quantity]]</f>
        <v>1931.5400000000002</v>
      </c>
    </row>
    <row r="790" spans="1:18" x14ac:dyDescent="0.25">
      <c r="A790" s="2" t="s">
        <v>843</v>
      </c>
      <c r="B790" s="2" t="s">
        <v>42</v>
      </c>
      <c r="C790" s="2" t="s">
        <v>48</v>
      </c>
      <c r="D790" s="2" t="s">
        <v>17</v>
      </c>
      <c r="E790" s="2" t="s">
        <v>18</v>
      </c>
      <c r="F790" s="2" t="s">
        <v>64</v>
      </c>
      <c r="G790" s="8">
        <v>111.67</v>
      </c>
      <c r="H790" s="11">
        <v>53.5</v>
      </c>
      <c r="I790" s="8">
        <v>51.93</v>
      </c>
      <c r="J790" s="3">
        <v>45693</v>
      </c>
      <c r="K790" s="14">
        <v>19</v>
      </c>
      <c r="L790" s="17"/>
      <c r="M790" s="2" t="b">
        <v>0</v>
      </c>
      <c r="N790" s="2"/>
      <c r="O790" s="2" t="str">
        <f>IF(Table1[[#This Row],[is_returned]]=TRUE,IF(Table1[[#This Row],[return_reason]]="","Error","OK"),"OK")</f>
        <v>OK</v>
      </c>
      <c r="P790" s="8">
        <f>Table1[[#This Row],[original_price]]*Table1[[#This Row],[markdown_percentage]]/100</f>
        <v>59.743450000000003</v>
      </c>
      <c r="Q79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790" s="25">
        <f>Table1[[#This Row],[current_price]]*Table1[[#This Row],[stock_quantity]]</f>
        <v>986.67</v>
      </c>
    </row>
    <row r="791" spans="1:18" x14ac:dyDescent="0.25">
      <c r="A791" s="2" t="s">
        <v>844</v>
      </c>
      <c r="B791" s="2" t="s">
        <v>38</v>
      </c>
      <c r="C791" s="2" t="s">
        <v>48</v>
      </c>
      <c r="D791" s="2" t="s">
        <v>62</v>
      </c>
      <c r="E791" s="2" t="s">
        <v>39</v>
      </c>
      <c r="F791" s="2" t="s">
        <v>35</v>
      </c>
      <c r="G791" s="8">
        <v>25.16</v>
      </c>
      <c r="H791" s="11">
        <v>0</v>
      </c>
      <c r="I791" s="8">
        <v>25.16</v>
      </c>
      <c r="J791" s="3">
        <v>45875</v>
      </c>
      <c r="K791" s="14">
        <v>37</v>
      </c>
      <c r="L791" s="17">
        <v>2.8</v>
      </c>
      <c r="M791" s="2" t="b">
        <v>0</v>
      </c>
      <c r="N791" s="2"/>
      <c r="O791" s="2" t="str">
        <f>IF(Table1[[#This Row],[is_returned]]=TRUE,IF(Table1[[#This Row],[return_reason]]="","Error","OK"),"OK")</f>
        <v>OK</v>
      </c>
      <c r="P791" s="8">
        <f>Table1[[#This Row],[original_price]]*Table1[[#This Row],[markdown_percentage]]/100</f>
        <v>0</v>
      </c>
      <c r="Q79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791" s="25">
        <f>Table1[[#This Row],[current_price]]*Table1[[#This Row],[stock_quantity]]</f>
        <v>930.92</v>
      </c>
    </row>
    <row r="792" spans="1:18" x14ac:dyDescent="0.25">
      <c r="A792" s="2" t="s">
        <v>845</v>
      </c>
      <c r="B792" s="2" t="s">
        <v>15</v>
      </c>
      <c r="C792" s="2" t="s">
        <v>32</v>
      </c>
      <c r="D792" s="2" t="s">
        <v>34</v>
      </c>
      <c r="E792" s="2" t="s">
        <v>18</v>
      </c>
      <c r="F792" s="2" t="s">
        <v>44</v>
      </c>
      <c r="G792" s="8">
        <v>175.82</v>
      </c>
      <c r="H792" s="11">
        <v>23</v>
      </c>
      <c r="I792" s="8">
        <v>135.38</v>
      </c>
      <c r="J792" s="3">
        <v>45875</v>
      </c>
      <c r="K792" s="14">
        <v>1</v>
      </c>
      <c r="L792" s="17">
        <v>3.7</v>
      </c>
      <c r="M792" s="2" t="b">
        <v>0</v>
      </c>
      <c r="N792" s="2"/>
      <c r="O792" s="2" t="str">
        <f>IF(Table1[[#This Row],[is_returned]]=TRUE,IF(Table1[[#This Row],[return_reason]]="","Error","OK"),"OK")</f>
        <v>OK</v>
      </c>
      <c r="P792" s="8">
        <f>Table1[[#This Row],[original_price]]*Table1[[#This Row],[markdown_percentage]]/100</f>
        <v>40.438599999999994</v>
      </c>
      <c r="Q79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792" s="25">
        <f>Table1[[#This Row],[current_price]]*Table1[[#This Row],[stock_quantity]]</f>
        <v>135.38</v>
      </c>
    </row>
    <row r="793" spans="1:18" x14ac:dyDescent="0.25">
      <c r="A793" s="2" t="s">
        <v>846</v>
      </c>
      <c r="B793" s="2" t="s">
        <v>21</v>
      </c>
      <c r="C793" s="2" t="s">
        <v>43</v>
      </c>
      <c r="D793" s="2" t="s">
        <v>62</v>
      </c>
      <c r="E793" s="2" t="s">
        <v>55</v>
      </c>
      <c r="F793" s="2" t="s">
        <v>46</v>
      </c>
      <c r="G793" s="8">
        <v>53.25</v>
      </c>
      <c r="H793" s="11">
        <v>37.5</v>
      </c>
      <c r="I793" s="8">
        <v>33.28</v>
      </c>
      <c r="J793" s="3">
        <v>45875</v>
      </c>
      <c r="K793" s="14">
        <v>33</v>
      </c>
      <c r="L793" s="17">
        <v>4.3</v>
      </c>
      <c r="M793" s="2" t="b">
        <v>0</v>
      </c>
      <c r="N793" s="2"/>
      <c r="O793" s="2" t="str">
        <f>IF(Table1[[#This Row],[is_returned]]=TRUE,IF(Table1[[#This Row],[return_reason]]="","Error","OK"),"OK")</f>
        <v>OK</v>
      </c>
      <c r="P793" s="8">
        <f>Table1[[#This Row],[original_price]]*Table1[[#This Row],[markdown_percentage]]/100</f>
        <v>19.96875</v>
      </c>
      <c r="Q79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793" s="25">
        <f>Table1[[#This Row],[current_price]]*Table1[[#This Row],[stock_quantity]]</f>
        <v>1098.24</v>
      </c>
    </row>
    <row r="794" spans="1:18" x14ac:dyDescent="0.25">
      <c r="A794" s="2" t="s">
        <v>847</v>
      </c>
      <c r="B794" s="2" t="s">
        <v>15</v>
      </c>
      <c r="C794" s="2" t="s">
        <v>32</v>
      </c>
      <c r="D794" s="2" t="s">
        <v>34</v>
      </c>
      <c r="E794" s="2" t="s">
        <v>58</v>
      </c>
      <c r="F794" s="2" t="s">
        <v>66</v>
      </c>
      <c r="G794" s="8">
        <v>215.19</v>
      </c>
      <c r="H794" s="11">
        <v>43</v>
      </c>
      <c r="I794" s="8">
        <v>122.66</v>
      </c>
      <c r="J794" s="3">
        <v>45875</v>
      </c>
      <c r="K794" s="14">
        <v>48</v>
      </c>
      <c r="L794" s="17">
        <v>2.5</v>
      </c>
      <c r="M794" s="2" t="b">
        <v>0</v>
      </c>
      <c r="N794" s="2"/>
      <c r="O794" s="2" t="str">
        <f>IF(Table1[[#This Row],[is_returned]]=TRUE,IF(Table1[[#This Row],[return_reason]]="","Error","OK"),"OK")</f>
        <v>OK</v>
      </c>
      <c r="P794" s="8">
        <f>Table1[[#This Row],[original_price]]*Table1[[#This Row],[markdown_percentage]]/100</f>
        <v>92.531700000000001</v>
      </c>
      <c r="Q79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794" s="25">
        <f>Table1[[#This Row],[current_price]]*Table1[[#This Row],[stock_quantity]]</f>
        <v>5887.68</v>
      </c>
    </row>
    <row r="795" spans="1:18" x14ac:dyDescent="0.25">
      <c r="A795" s="2" t="s">
        <v>848</v>
      </c>
      <c r="B795" s="2" t="s">
        <v>38</v>
      </c>
      <c r="C795" s="2" t="s">
        <v>16</v>
      </c>
      <c r="D795" s="2" t="s">
        <v>62</v>
      </c>
      <c r="E795" s="2" t="s">
        <v>39</v>
      </c>
      <c r="F795" s="2" t="s">
        <v>25</v>
      </c>
      <c r="G795" s="8">
        <v>78.41</v>
      </c>
      <c r="H795" s="11">
        <v>20.7</v>
      </c>
      <c r="I795" s="8">
        <v>62.18</v>
      </c>
      <c r="J795" s="3">
        <v>45875</v>
      </c>
      <c r="K795" s="14">
        <v>9</v>
      </c>
      <c r="L795" s="17">
        <v>4.4000000000000004</v>
      </c>
      <c r="M795" s="2" t="b">
        <v>0</v>
      </c>
      <c r="N795" s="2"/>
      <c r="O795" s="2" t="str">
        <f>IF(Table1[[#This Row],[is_returned]]=TRUE,IF(Table1[[#This Row],[return_reason]]="","Error","OK"),"OK")</f>
        <v>OK</v>
      </c>
      <c r="P795" s="8">
        <f>Table1[[#This Row],[original_price]]*Table1[[#This Row],[markdown_percentage]]/100</f>
        <v>16.230869999999996</v>
      </c>
      <c r="Q79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795" s="25">
        <f>Table1[[#This Row],[current_price]]*Table1[[#This Row],[stock_quantity]]</f>
        <v>559.62</v>
      </c>
    </row>
    <row r="796" spans="1:18" x14ac:dyDescent="0.25">
      <c r="A796" s="2" t="s">
        <v>849</v>
      </c>
      <c r="B796" s="2" t="s">
        <v>30</v>
      </c>
      <c r="C796" s="2" t="s">
        <v>16</v>
      </c>
      <c r="D796" s="2" t="s">
        <v>62</v>
      </c>
      <c r="E796" s="2" t="s">
        <v>49</v>
      </c>
      <c r="F796" s="2" t="s">
        <v>25</v>
      </c>
      <c r="G796" s="8">
        <v>173.15</v>
      </c>
      <c r="H796" s="11">
        <v>0</v>
      </c>
      <c r="I796" s="8">
        <v>173.15</v>
      </c>
      <c r="J796" s="3">
        <v>45875</v>
      </c>
      <c r="K796" s="14">
        <v>45</v>
      </c>
      <c r="L796" s="17">
        <v>2.2000000000000002</v>
      </c>
      <c r="M796" s="2" t="b">
        <v>0</v>
      </c>
      <c r="N796" s="2"/>
      <c r="O796" s="2" t="str">
        <f>IF(Table1[[#This Row],[is_returned]]=TRUE,IF(Table1[[#This Row],[return_reason]]="","Error","OK"),"OK")</f>
        <v>OK</v>
      </c>
      <c r="P796" s="8">
        <f>Table1[[#This Row],[original_price]]*Table1[[#This Row],[markdown_percentage]]/100</f>
        <v>0</v>
      </c>
      <c r="Q79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796" s="25">
        <f>Table1[[#This Row],[current_price]]*Table1[[#This Row],[stock_quantity]]</f>
        <v>7791.75</v>
      </c>
    </row>
    <row r="797" spans="1:18" x14ac:dyDescent="0.25">
      <c r="A797" s="2" t="s">
        <v>850</v>
      </c>
      <c r="B797" s="2" t="s">
        <v>27</v>
      </c>
      <c r="C797" s="2" t="s">
        <v>16</v>
      </c>
      <c r="D797" s="2" t="s">
        <v>34</v>
      </c>
      <c r="E797" s="2"/>
      <c r="F797" s="2" t="s">
        <v>44</v>
      </c>
      <c r="G797" s="8">
        <v>16.84</v>
      </c>
      <c r="H797" s="11">
        <v>36.6</v>
      </c>
      <c r="I797" s="8">
        <v>10.68</v>
      </c>
      <c r="J797" s="3">
        <v>45875</v>
      </c>
      <c r="K797" s="14">
        <v>34</v>
      </c>
      <c r="L797" s="17">
        <v>1.7</v>
      </c>
      <c r="M797" s="2" t="b">
        <v>0</v>
      </c>
      <c r="N797" s="2"/>
      <c r="O797" s="2" t="str">
        <f>IF(Table1[[#This Row],[is_returned]]=TRUE,IF(Table1[[#This Row],[return_reason]]="","Error","OK"),"OK")</f>
        <v>OK</v>
      </c>
      <c r="P797" s="8">
        <f>Table1[[#This Row],[original_price]]*Table1[[#This Row],[markdown_percentage]]/100</f>
        <v>6.1634400000000005</v>
      </c>
      <c r="Q79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797" s="25">
        <f>Table1[[#This Row],[current_price]]*Table1[[#This Row],[stock_quantity]]</f>
        <v>363.12</v>
      </c>
    </row>
    <row r="798" spans="1:18" x14ac:dyDescent="0.25">
      <c r="A798" s="2" t="s">
        <v>851</v>
      </c>
      <c r="B798" s="2" t="s">
        <v>15</v>
      </c>
      <c r="C798" s="2" t="s">
        <v>75</v>
      </c>
      <c r="D798" s="2" t="s">
        <v>62</v>
      </c>
      <c r="E798" s="2" t="s">
        <v>39</v>
      </c>
      <c r="F798" s="2" t="s">
        <v>66</v>
      </c>
      <c r="G798" s="8">
        <v>128.6</v>
      </c>
      <c r="H798" s="11">
        <v>0</v>
      </c>
      <c r="I798" s="8">
        <v>128.6</v>
      </c>
      <c r="J798" s="3">
        <v>45875</v>
      </c>
      <c r="K798" s="14">
        <v>11</v>
      </c>
      <c r="L798" s="17">
        <v>2.2999999999999998</v>
      </c>
      <c r="M798" s="2" t="b">
        <v>0</v>
      </c>
      <c r="N798" s="2"/>
      <c r="O798" s="2" t="str">
        <f>IF(Table1[[#This Row],[is_returned]]=TRUE,IF(Table1[[#This Row],[return_reason]]="","Error","OK"),"OK")</f>
        <v>OK</v>
      </c>
      <c r="P798" s="8">
        <f>Table1[[#This Row],[original_price]]*Table1[[#This Row],[markdown_percentage]]/100</f>
        <v>0</v>
      </c>
      <c r="Q79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798" s="25">
        <f>Table1[[#This Row],[current_price]]*Table1[[#This Row],[stock_quantity]]</f>
        <v>1414.6</v>
      </c>
    </row>
    <row r="799" spans="1:18" x14ac:dyDescent="0.25">
      <c r="A799" s="2" t="s">
        <v>852</v>
      </c>
      <c r="B799" s="2" t="s">
        <v>15</v>
      </c>
      <c r="C799" s="2" t="s">
        <v>53</v>
      </c>
      <c r="D799" s="2" t="s">
        <v>17</v>
      </c>
      <c r="E799" s="2" t="s">
        <v>49</v>
      </c>
      <c r="F799" s="2" t="s">
        <v>46</v>
      </c>
      <c r="G799" s="8">
        <v>131.74</v>
      </c>
      <c r="H799" s="11">
        <v>0</v>
      </c>
      <c r="I799" s="8">
        <v>131.74</v>
      </c>
      <c r="J799" s="3">
        <v>45548</v>
      </c>
      <c r="K799" s="14">
        <v>46</v>
      </c>
      <c r="L799" s="17">
        <v>4.5999999999999996</v>
      </c>
      <c r="M799" s="2" t="b">
        <v>0</v>
      </c>
      <c r="N799" s="2"/>
      <c r="O799" s="2" t="str">
        <f>IF(Table1[[#This Row],[is_returned]]=TRUE,IF(Table1[[#This Row],[return_reason]]="","Error","OK"),"OK")</f>
        <v>OK</v>
      </c>
      <c r="P799" s="8">
        <f>Table1[[#This Row],[original_price]]*Table1[[#This Row],[markdown_percentage]]/100</f>
        <v>0</v>
      </c>
      <c r="Q79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799" s="25">
        <f>Table1[[#This Row],[current_price]]*Table1[[#This Row],[stock_quantity]]</f>
        <v>6060.0400000000009</v>
      </c>
    </row>
    <row r="800" spans="1:18" x14ac:dyDescent="0.25">
      <c r="A800" s="2" t="s">
        <v>853</v>
      </c>
      <c r="B800" s="2" t="s">
        <v>38</v>
      </c>
      <c r="C800" s="2" t="s">
        <v>75</v>
      </c>
      <c r="D800" s="2" t="s">
        <v>62</v>
      </c>
      <c r="E800" s="2" t="s">
        <v>49</v>
      </c>
      <c r="F800" s="2" t="s">
        <v>35</v>
      </c>
      <c r="G800" s="8">
        <v>28.15</v>
      </c>
      <c r="H800" s="11">
        <v>12.7</v>
      </c>
      <c r="I800" s="8">
        <v>24.57</v>
      </c>
      <c r="J800" s="3">
        <v>45875</v>
      </c>
      <c r="K800" s="14">
        <v>13</v>
      </c>
      <c r="L800" s="17">
        <v>3.9</v>
      </c>
      <c r="M800" s="2" t="b">
        <v>0</v>
      </c>
      <c r="N800" s="2"/>
      <c r="O800" s="2" t="str">
        <f>IF(Table1[[#This Row],[is_returned]]=TRUE,IF(Table1[[#This Row],[return_reason]]="","Error","OK"),"OK")</f>
        <v>OK</v>
      </c>
      <c r="P800" s="8">
        <f>Table1[[#This Row],[original_price]]*Table1[[#This Row],[markdown_percentage]]/100</f>
        <v>3.5750499999999992</v>
      </c>
      <c r="Q80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800" s="25">
        <f>Table1[[#This Row],[current_price]]*Table1[[#This Row],[stock_quantity]]</f>
        <v>319.41000000000003</v>
      </c>
    </row>
    <row r="801" spans="1:18" x14ac:dyDescent="0.25">
      <c r="A801" s="2" t="s">
        <v>854</v>
      </c>
      <c r="B801" s="2" t="s">
        <v>15</v>
      </c>
      <c r="C801" s="2" t="s">
        <v>75</v>
      </c>
      <c r="D801" s="2" t="s">
        <v>23</v>
      </c>
      <c r="E801" s="2" t="s">
        <v>18</v>
      </c>
      <c r="F801" s="2" t="s">
        <v>19</v>
      </c>
      <c r="G801" s="8">
        <v>165.1</v>
      </c>
      <c r="H801" s="11">
        <v>58.4</v>
      </c>
      <c r="I801" s="8">
        <v>68.680000000000007</v>
      </c>
      <c r="J801" s="3">
        <v>45875</v>
      </c>
      <c r="K801" s="14">
        <v>29</v>
      </c>
      <c r="L801" s="17">
        <v>1.2</v>
      </c>
      <c r="M801" s="2" t="b">
        <v>0</v>
      </c>
      <c r="N801" s="2"/>
      <c r="O801" s="2" t="str">
        <f>IF(Table1[[#This Row],[is_returned]]=TRUE,IF(Table1[[#This Row],[return_reason]]="","Error","OK"),"OK")</f>
        <v>OK</v>
      </c>
      <c r="P801" s="8">
        <f>Table1[[#This Row],[original_price]]*Table1[[#This Row],[markdown_percentage]]/100</f>
        <v>96.418400000000005</v>
      </c>
      <c r="Q80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801" s="25">
        <f>Table1[[#This Row],[current_price]]*Table1[[#This Row],[stock_quantity]]</f>
        <v>1991.7200000000003</v>
      </c>
    </row>
    <row r="802" spans="1:18" x14ac:dyDescent="0.25">
      <c r="A802" s="2" t="s">
        <v>855</v>
      </c>
      <c r="B802" s="2" t="s">
        <v>21</v>
      </c>
      <c r="C802" s="2" t="s">
        <v>43</v>
      </c>
      <c r="D802" s="2" t="s">
        <v>17</v>
      </c>
      <c r="E802" s="2" t="s">
        <v>18</v>
      </c>
      <c r="F802" s="2" t="s">
        <v>40</v>
      </c>
      <c r="G802" s="8">
        <v>49.62</v>
      </c>
      <c r="H802" s="11">
        <v>0.8</v>
      </c>
      <c r="I802" s="8">
        <v>49.22</v>
      </c>
      <c r="J802" s="3">
        <v>45613</v>
      </c>
      <c r="K802" s="14">
        <v>22</v>
      </c>
      <c r="L802" s="17">
        <v>2.2999999999999998</v>
      </c>
      <c r="M802" s="2" t="b">
        <v>0</v>
      </c>
      <c r="N802" s="2"/>
      <c r="O802" s="2" t="str">
        <f>IF(Table1[[#This Row],[is_returned]]=TRUE,IF(Table1[[#This Row],[return_reason]]="","Error","OK"),"OK")</f>
        <v>OK</v>
      </c>
      <c r="P802" s="8">
        <f>Table1[[#This Row],[original_price]]*Table1[[#This Row],[markdown_percentage]]/100</f>
        <v>0.39695999999999998</v>
      </c>
      <c r="Q80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802" s="25">
        <f>Table1[[#This Row],[current_price]]*Table1[[#This Row],[stock_quantity]]</f>
        <v>1082.8399999999999</v>
      </c>
    </row>
    <row r="803" spans="1:18" x14ac:dyDescent="0.25">
      <c r="A803" s="2" t="s">
        <v>856</v>
      </c>
      <c r="B803" s="2" t="s">
        <v>21</v>
      </c>
      <c r="C803" s="2" t="s">
        <v>32</v>
      </c>
      <c r="D803" s="2" t="s">
        <v>34</v>
      </c>
      <c r="E803" s="2" t="s">
        <v>18</v>
      </c>
      <c r="F803" s="2" t="s">
        <v>28</v>
      </c>
      <c r="G803" s="8">
        <v>98.52</v>
      </c>
      <c r="H803" s="11">
        <v>18.899999999999999</v>
      </c>
      <c r="I803" s="8">
        <v>79.900000000000006</v>
      </c>
      <c r="J803" s="3">
        <v>45875</v>
      </c>
      <c r="K803" s="14">
        <v>37</v>
      </c>
      <c r="L803" s="17">
        <v>4.0999999999999996</v>
      </c>
      <c r="M803" s="2" t="b">
        <v>1</v>
      </c>
      <c r="N803" s="2" t="s">
        <v>125</v>
      </c>
      <c r="O803" s="2" t="str">
        <f>IF(Table1[[#This Row],[is_returned]]=TRUE,IF(Table1[[#This Row],[return_reason]]="","Error","OK"),"OK")</f>
        <v>OK</v>
      </c>
      <c r="P803" s="8">
        <f>Table1[[#This Row],[original_price]]*Table1[[#This Row],[markdown_percentage]]/100</f>
        <v>18.620279999999998</v>
      </c>
      <c r="Q80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803" s="25">
        <f>Table1[[#This Row],[current_price]]*Table1[[#This Row],[stock_quantity]]</f>
        <v>2956.3</v>
      </c>
    </row>
    <row r="804" spans="1:18" x14ac:dyDescent="0.25">
      <c r="A804" s="2" t="s">
        <v>857</v>
      </c>
      <c r="B804" s="2" t="s">
        <v>30</v>
      </c>
      <c r="C804" s="2" t="s">
        <v>43</v>
      </c>
      <c r="D804" s="2" t="s">
        <v>34</v>
      </c>
      <c r="E804" s="2" t="s">
        <v>39</v>
      </c>
      <c r="F804" s="2" t="s">
        <v>46</v>
      </c>
      <c r="G804" s="8">
        <v>94.19</v>
      </c>
      <c r="H804" s="11">
        <v>30.8</v>
      </c>
      <c r="I804" s="8">
        <v>65.180000000000007</v>
      </c>
      <c r="J804" s="3">
        <v>45875</v>
      </c>
      <c r="K804" s="14">
        <v>31</v>
      </c>
      <c r="L804" s="17">
        <v>1.4</v>
      </c>
      <c r="M804" s="2" t="b">
        <v>0</v>
      </c>
      <c r="N804" s="2"/>
      <c r="O804" s="2" t="str">
        <f>IF(Table1[[#This Row],[is_returned]]=TRUE,IF(Table1[[#This Row],[return_reason]]="","Error","OK"),"OK")</f>
        <v>OK</v>
      </c>
      <c r="P804" s="8">
        <f>Table1[[#This Row],[original_price]]*Table1[[#This Row],[markdown_percentage]]/100</f>
        <v>29.01052</v>
      </c>
      <c r="Q80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804" s="25">
        <f>Table1[[#This Row],[current_price]]*Table1[[#This Row],[stock_quantity]]</f>
        <v>2020.5800000000002</v>
      </c>
    </row>
    <row r="805" spans="1:18" x14ac:dyDescent="0.25">
      <c r="A805" s="2" t="s">
        <v>858</v>
      </c>
      <c r="B805" s="2" t="s">
        <v>27</v>
      </c>
      <c r="C805" s="2" t="s">
        <v>75</v>
      </c>
      <c r="D805" s="2" t="s">
        <v>23</v>
      </c>
      <c r="E805" s="2"/>
      <c r="F805" s="2" t="s">
        <v>40</v>
      </c>
      <c r="G805" s="8">
        <v>23.5</v>
      </c>
      <c r="H805" s="11">
        <v>0</v>
      </c>
      <c r="I805" s="8">
        <v>23.5</v>
      </c>
      <c r="J805" s="3">
        <v>45875</v>
      </c>
      <c r="K805" s="14">
        <v>14</v>
      </c>
      <c r="L805" s="17">
        <v>3.9</v>
      </c>
      <c r="M805" s="2" t="b">
        <v>1</v>
      </c>
      <c r="N805" s="2" t="s">
        <v>83</v>
      </c>
      <c r="O805" s="2" t="str">
        <f>IF(Table1[[#This Row],[is_returned]]=TRUE,IF(Table1[[#This Row],[return_reason]]="","Error","OK"),"OK")</f>
        <v>OK</v>
      </c>
      <c r="P805" s="8">
        <f>Table1[[#This Row],[original_price]]*Table1[[#This Row],[markdown_percentage]]/100</f>
        <v>0</v>
      </c>
      <c r="Q80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805" s="25">
        <f>Table1[[#This Row],[current_price]]*Table1[[#This Row],[stock_quantity]]</f>
        <v>329</v>
      </c>
    </row>
    <row r="806" spans="1:18" x14ac:dyDescent="0.25">
      <c r="A806" s="2" t="s">
        <v>859</v>
      </c>
      <c r="B806" s="2" t="s">
        <v>38</v>
      </c>
      <c r="C806" s="2" t="s">
        <v>16</v>
      </c>
      <c r="D806" s="2" t="s">
        <v>34</v>
      </c>
      <c r="E806" s="2" t="s">
        <v>39</v>
      </c>
      <c r="F806" s="2" t="s">
        <v>56</v>
      </c>
      <c r="G806" s="8">
        <v>109.36</v>
      </c>
      <c r="H806" s="11">
        <v>0</v>
      </c>
      <c r="I806" s="8">
        <v>109.36</v>
      </c>
      <c r="J806" s="3">
        <v>45875</v>
      </c>
      <c r="K806" s="14">
        <v>0</v>
      </c>
      <c r="L806" s="17">
        <v>1.1000000000000001</v>
      </c>
      <c r="M806" s="2" t="b">
        <v>0</v>
      </c>
      <c r="N806" s="2"/>
      <c r="O806" s="2" t="str">
        <f>IF(Table1[[#This Row],[is_returned]]=TRUE,IF(Table1[[#This Row],[return_reason]]="","Error","OK"),"OK")</f>
        <v>OK</v>
      </c>
      <c r="P806" s="8">
        <f>Table1[[#This Row],[original_price]]*Table1[[#This Row],[markdown_percentage]]/100</f>
        <v>0</v>
      </c>
      <c r="Q80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806" s="25">
        <f>Table1[[#This Row],[current_price]]*Table1[[#This Row],[stock_quantity]]</f>
        <v>0</v>
      </c>
    </row>
    <row r="807" spans="1:18" x14ac:dyDescent="0.25">
      <c r="A807" s="2" t="s">
        <v>860</v>
      </c>
      <c r="B807" s="2" t="s">
        <v>27</v>
      </c>
      <c r="C807" s="2" t="s">
        <v>48</v>
      </c>
      <c r="D807" s="2" t="s">
        <v>34</v>
      </c>
      <c r="E807" s="2"/>
      <c r="F807" s="2" t="s">
        <v>44</v>
      </c>
      <c r="G807" s="8">
        <v>69.73</v>
      </c>
      <c r="H807" s="11">
        <v>0</v>
      </c>
      <c r="I807" s="8">
        <v>69.73</v>
      </c>
      <c r="J807" s="3">
        <v>45875</v>
      </c>
      <c r="K807" s="14">
        <v>7</v>
      </c>
      <c r="L807" s="17">
        <v>1.1000000000000001</v>
      </c>
      <c r="M807" s="2" t="b">
        <v>1</v>
      </c>
      <c r="N807" s="2" t="s">
        <v>36</v>
      </c>
      <c r="O807" s="2" t="str">
        <f>IF(Table1[[#This Row],[is_returned]]=TRUE,IF(Table1[[#This Row],[return_reason]]="","Error","OK"),"OK")</f>
        <v>OK</v>
      </c>
      <c r="P807" s="8">
        <f>Table1[[#This Row],[original_price]]*Table1[[#This Row],[markdown_percentage]]/100</f>
        <v>0</v>
      </c>
      <c r="Q80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807" s="25">
        <f>Table1[[#This Row],[current_price]]*Table1[[#This Row],[stock_quantity]]</f>
        <v>488.11</v>
      </c>
    </row>
    <row r="808" spans="1:18" x14ac:dyDescent="0.25">
      <c r="A808" s="2" t="s">
        <v>861</v>
      </c>
      <c r="B808" s="2" t="s">
        <v>30</v>
      </c>
      <c r="C808" s="2" t="s">
        <v>48</v>
      </c>
      <c r="D808" s="2" t="s">
        <v>62</v>
      </c>
      <c r="E808" s="2" t="s">
        <v>55</v>
      </c>
      <c r="F808" s="2" t="s">
        <v>46</v>
      </c>
      <c r="G808" s="8">
        <v>199.03</v>
      </c>
      <c r="H808" s="11">
        <v>57.3</v>
      </c>
      <c r="I808" s="8">
        <v>84.99</v>
      </c>
      <c r="J808" s="3">
        <v>45875</v>
      </c>
      <c r="K808" s="14">
        <v>37</v>
      </c>
      <c r="L808" s="17">
        <v>3.4</v>
      </c>
      <c r="M808" s="2" t="b">
        <v>0</v>
      </c>
      <c r="N808" s="2"/>
      <c r="O808" s="2" t="str">
        <f>IF(Table1[[#This Row],[is_returned]]=TRUE,IF(Table1[[#This Row],[return_reason]]="","Error","OK"),"OK")</f>
        <v>OK</v>
      </c>
      <c r="P808" s="8">
        <f>Table1[[#This Row],[original_price]]*Table1[[#This Row],[markdown_percentage]]/100</f>
        <v>114.04419</v>
      </c>
      <c r="Q80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808" s="25">
        <f>Table1[[#This Row],[current_price]]*Table1[[#This Row],[stock_quantity]]</f>
        <v>3144.6299999999997</v>
      </c>
    </row>
    <row r="809" spans="1:18" x14ac:dyDescent="0.25">
      <c r="A809" s="2" t="s">
        <v>862</v>
      </c>
      <c r="B809" s="2" t="s">
        <v>38</v>
      </c>
      <c r="C809" s="2" t="s">
        <v>61</v>
      </c>
      <c r="D809" s="2" t="s">
        <v>17</v>
      </c>
      <c r="E809" s="2" t="s">
        <v>58</v>
      </c>
      <c r="F809" s="2" t="s">
        <v>35</v>
      </c>
      <c r="G809" s="8">
        <v>82.32</v>
      </c>
      <c r="H809" s="11">
        <v>56.7</v>
      </c>
      <c r="I809" s="8">
        <v>35.64</v>
      </c>
      <c r="J809" s="3">
        <v>45649</v>
      </c>
      <c r="K809" s="14">
        <v>41</v>
      </c>
      <c r="L809" s="17"/>
      <c r="M809" s="2" t="b">
        <v>0</v>
      </c>
      <c r="N809" s="2"/>
      <c r="O809" s="2" t="str">
        <f>IF(Table1[[#This Row],[is_returned]]=TRUE,IF(Table1[[#This Row],[return_reason]]="","Error","OK"),"OK")</f>
        <v>OK</v>
      </c>
      <c r="P809" s="8">
        <f>Table1[[#This Row],[original_price]]*Table1[[#This Row],[markdown_percentage]]/100</f>
        <v>46.675440000000002</v>
      </c>
      <c r="Q80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809" s="25">
        <f>Table1[[#This Row],[current_price]]*Table1[[#This Row],[stock_quantity]]</f>
        <v>1461.24</v>
      </c>
    </row>
    <row r="810" spans="1:18" x14ac:dyDescent="0.25">
      <c r="A810" s="2" t="s">
        <v>863</v>
      </c>
      <c r="B810" s="2" t="s">
        <v>38</v>
      </c>
      <c r="C810" s="2" t="s">
        <v>22</v>
      </c>
      <c r="D810" s="2" t="s">
        <v>17</v>
      </c>
      <c r="E810" s="2" t="s">
        <v>58</v>
      </c>
      <c r="F810" s="2" t="s">
        <v>64</v>
      </c>
      <c r="G810" s="8">
        <v>52.42</v>
      </c>
      <c r="H810" s="11">
        <v>9.9</v>
      </c>
      <c r="I810" s="8">
        <v>47.23</v>
      </c>
      <c r="J810" s="3">
        <v>45581</v>
      </c>
      <c r="K810" s="14">
        <v>42</v>
      </c>
      <c r="L810" s="17">
        <v>3.5</v>
      </c>
      <c r="M810" s="2" t="b">
        <v>0</v>
      </c>
      <c r="N810" s="2"/>
      <c r="O810" s="2" t="str">
        <f>IF(Table1[[#This Row],[is_returned]]=TRUE,IF(Table1[[#This Row],[return_reason]]="","Error","OK"),"OK")</f>
        <v>OK</v>
      </c>
      <c r="P810" s="8">
        <f>Table1[[#This Row],[original_price]]*Table1[[#This Row],[markdown_percentage]]/100</f>
        <v>5.1895800000000012</v>
      </c>
      <c r="Q81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810" s="25">
        <f>Table1[[#This Row],[current_price]]*Table1[[#This Row],[stock_quantity]]</f>
        <v>1983.6599999999999</v>
      </c>
    </row>
    <row r="811" spans="1:18" x14ac:dyDescent="0.25">
      <c r="A811" s="2" t="s">
        <v>864</v>
      </c>
      <c r="B811" s="2" t="s">
        <v>15</v>
      </c>
      <c r="C811" s="2" t="s">
        <v>53</v>
      </c>
      <c r="D811" s="2" t="s">
        <v>34</v>
      </c>
      <c r="E811" s="2" t="s">
        <v>39</v>
      </c>
      <c r="F811" s="2" t="s">
        <v>35</v>
      </c>
      <c r="G811" s="8">
        <v>180.49</v>
      </c>
      <c r="H811" s="11">
        <v>0</v>
      </c>
      <c r="I811" s="8">
        <v>180.49</v>
      </c>
      <c r="J811" s="3">
        <v>45875</v>
      </c>
      <c r="K811" s="14">
        <v>18</v>
      </c>
      <c r="L811" s="17">
        <v>2.5</v>
      </c>
      <c r="M811" s="2" t="b">
        <v>1</v>
      </c>
      <c r="N811" s="2" t="s">
        <v>125</v>
      </c>
      <c r="O811" s="2" t="str">
        <f>IF(Table1[[#This Row],[is_returned]]=TRUE,IF(Table1[[#This Row],[return_reason]]="","Error","OK"),"OK")</f>
        <v>OK</v>
      </c>
      <c r="P811" s="8">
        <f>Table1[[#This Row],[original_price]]*Table1[[#This Row],[markdown_percentage]]/100</f>
        <v>0</v>
      </c>
      <c r="Q81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811" s="25">
        <f>Table1[[#This Row],[current_price]]*Table1[[#This Row],[stock_quantity]]</f>
        <v>3248.82</v>
      </c>
    </row>
    <row r="812" spans="1:18" x14ac:dyDescent="0.25">
      <c r="A812" s="2" t="s">
        <v>865</v>
      </c>
      <c r="B812" s="2" t="s">
        <v>42</v>
      </c>
      <c r="C812" s="2" t="s">
        <v>53</v>
      </c>
      <c r="D812" s="2" t="s">
        <v>34</v>
      </c>
      <c r="E812" s="2" t="s">
        <v>18</v>
      </c>
      <c r="F812" s="2" t="s">
        <v>35</v>
      </c>
      <c r="G812" s="8">
        <v>63.02</v>
      </c>
      <c r="H812" s="11">
        <v>0</v>
      </c>
      <c r="I812" s="8">
        <v>63.02</v>
      </c>
      <c r="J812" s="3">
        <v>45875</v>
      </c>
      <c r="K812" s="14">
        <v>37</v>
      </c>
      <c r="L812" s="17">
        <v>2.5</v>
      </c>
      <c r="M812" s="2" t="b">
        <v>0</v>
      </c>
      <c r="N812" s="2"/>
      <c r="O812" s="2" t="str">
        <f>IF(Table1[[#This Row],[is_returned]]=TRUE,IF(Table1[[#This Row],[return_reason]]="","Error","OK"),"OK")</f>
        <v>OK</v>
      </c>
      <c r="P812" s="8">
        <f>Table1[[#This Row],[original_price]]*Table1[[#This Row],[markdown_percentage]]/100</f>
        <v>0</v>
      </c>
      <c r="Q81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812" s="25">
        <f>Table1[[#This Row],[current_price]]*Table1[[#This Row],[stock_quantity]]</f>
        <v>2331.7400000000002</v>
      </c>
    </row>
    <row r="813" spans="1:18" x14ac:dyDescent="0.25">
      <c r="A813" s="2" t="s">
        <v>866</v>
      </c>
      <c r="B813" s="2" t="s">
        <v>21</v>
      </c>
      <c r="C813" s="2" t="s">
        <v>43</v>
      </c>
      <c r="D813" s="2" t="s">
        <v>17</v>
      </c>
      <c r="E813" s="2" t="s">
        <v>18</v>
      </c>
      <c r="F813" s="2" t="s">
        <v>19</v>
      </c>
      <c r="G813" s="8">
        <v>97.05</v>
      </c>
      <c r="H813" s="11">
        <v>0</v>
      </c>
      <c r="I813" s="8">
        <v>97.05</v>
      </c>
      <c r="J813" s="3">
        <v>45651</v>
      </c>
      <c r="K813" s="14">
        <v>9</v>
      </c>
      <c r="L813" s="17"/>
      <c r="M813" s="2" t="b">
        <v>0</v>
      </c>
      <c r="N813" s="2"/>
      <c r="O813" s="2" t="str">
        <f>IF(Table1[[#This Row],[is_returned]]=TRUE,IF(Table1[[#This Row],[return_reason]]="","Error","OK"),"OK")</f>
        <v>OK</v>
      </c>
      <c r="P813" s="8">
        <f>Table1[[#This Row],[original_price]]*Table1[[#This Row],[markdown_percentage]]/100</f>
        <v>0</v>
      </c>
      <c r="Q81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813" s="25">
        <f>Table1[[#This Row],[current_price]]*Table1[[#This Row],[stock_quantity]]</f>
        <v>873.44999999999993</v>
      </c>
    </row>
    <row r="814" spans="1:18" x14ac:dyDescent="0.25">
      <c r="A814" s="2" t="s">
        <v>867</v>
      </c>
      <c r="B814" s="2" t="s">
        <v>38</v>
      </c>
      <c r="C814" s="2" t="s">
        <v>16</v>
      </c>
      <c r="D814" s="2" t="s">
        <v>23</v>
      </c>
      <c r="E814" s="2" t="s">
        <v>49</v>
      </c>
      <c r="F814" s="2" t="s">
        <v>25</v>
      </c>
      <c r="G814" s="8">
        <v>79.62</v>
      </c>
      <c r="H814" s="11">
        <v>0</v>
      </c>
      <c r="I814" s="8">
        <v>79.62</v>
      </c>
      <c r="J814" s="3">
        <v>45875</v>
      </c>
      <c r="K814" s="14">
        <v>37</v>
      </c>
      <c r="L814" s="17">
        <v>4.0999999999999996</v>
      </c>
      <c r="M814" s="2" t="b">
        <v>0</v>
      </c>
      <c r="N814" s="2"/>
      <c r="O814" s="2" t="str">
        <f>IF(Table1[[#This Row],[is_returned]]=TRUE,IF(Table1[[#This Row],[return_reason]]="","Error","OK"),"OK")</f>
        <v>OK</v>
      </c>
      <c r="P814" s="8">
        <f>Table1[[#This Row],[original_price]]*Table1[[#This Row],[markdown_percentage]]/100</f>
        <v>0</v>
      </c>
      <c r="Q81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814" s="25">
        <f>Table1[[#This Row],[current_price]]*Table1[[#This Row],[stock_quantity]]</f>
        <v>2945.94</v>
      </c>
    </row>
    <row r="815" spans="1:18" x14ac:dyDescent="0.25">
      <c r="A815" s="2" t="s">
        <v>868</v>
      </c>
      <c r="B815" s="2" t="s">
        <v>42</v>
      </c>
      <c r="C815" s="2" t="s">
        <v>16</v>
      </c>
      <c r="D815" s="2" t="s">
        <v>23</v>
      </c>
      <c r="E815" s="2" t="s">
        <v>58</v>
      </c>
      <c r="F815" s="2" t="s">
        <v>19</v>
      </c>
      <c r="G815" s="8">
        <v>82.5</v>
      </c>
      <c r="H815" s="11">
        <v>0</v>
      </c>
      <c r="I815" s="8">
        <v>82.5</v>
      </c>
      <c r="J815" s="3">
        <v>45875</v>
      </c>
      <c r="K815" s="14">
        <v>0</v>
      </c>
      <c r="L815" s="17"/>
      <c r="M815" s="2" t="b">
        <v>0</v>
      </c>
      <c r="N815" s="2"/>
      <c r="O815" s="2" t="str">
        <f>IF(Table1[[#This Row],[is_returned]]=TRUE,IF(Table1[[#This Row],[return_reason]]="","Error","OK"),"OK")</f>
        <v>OK</v>
      </c>
      <c r="P815" s="8">
        <f>Table1[[#This Row],[original_price]]*Table1[[#This Row],[markdown_percentage]]/100</f>
        <v>0</v>
      </c>
      <c r="Q81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815" s="25">
        <f>Table1[[#This Row],[current_price]]*Table1[[#This Row],[stock_quantity]]</f>
        <v>0</v>
      </c>
    </row>
    <row r="816" spans="1:18" x14ac:dyDescent="0.25">
      <c r="A816" s="2" t="s">
        <v>869</v>
      </c>
      <c r="B816" s="2" t="s">
        <v>38</v>
      </c>
      <c r="C816" s="2" t="s">
        <v>53</v>
      </c>
      <c r="D816" s="2" t="s">
        <v>17</v>
      </c>
      <c r="E816" s="2" t="s">
        <v>24</v>
      </c>
      <c r="F816" s="2" t="s">
        <v>66</v>
      </c>
      <c r="G816" s="8">
        <v>117.18</v>
      </c>
      <c r="H816" s="11">
        <v>13.7</v>
      </c>
      <c r="I816" s="8">
        <v>101.13</v>
      </c>
      <c r="J816" s="3">
        <v>45871</v>
      </c>
      <c r="K816" s="14">
        <v>5</v>
      </c>
      <c r="L816" s="17">
        <v>4.8</v>
      </c>
      <c r="M816" s="2" t="b">
        <v>0</v>
      </c>
      <c r="N816" s="2"/>
      <c r="O816" s="2" t="str">
        <f>IF(Table1[[#This Row],[is_returned]]=TRUE,IF(Table1[[#This Row],[return_reason]]="","Error","OK"),"OK")</f>
        <v>OK</v>
      </c>
      <c r="P816" s="8">
        <f>Table1[[#This Row],[original_price]]*Table1[[#This Row],[markdown_percentage]]/100</f>
        <v>16.053660000000001</v>
      </c>
      <c r="Q81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816" s="25">
        <f>Table1[[#This Row],[current_price]]*Table1[[#This Row],[stock_quantity]]</f>
        <v>505.65</v>
      </c>
    </row>
    <row r="817" spans="1:18" x14ac:dyDescent="0.25">
      <c r="A817" s="2" t="s">
        <v>870</v>
      </c>
      <c r="B817" s="2" t="s">
        <v>15</v>
      </c>
      <c r="C817" s="2" t="s">
        <v>53</v>
      </c>
      <c r="D817" s="2" t="s">
        <v>17</v>
      </c>
      <c r="E817" s="2" t="s">
        <v>55</v>
      </c>
      <c r="F817" s="2" t="s">
        <v>70</v>
      </c>
      <c r="G817" s="8">
        <v>174.05</v>
      </c>
      <c r="H817" s="11">
        <v>0</v>
      </c>
      <c r="I817" s="8">
        <v>174.05</v>
      </c>
      <c r="J817" s="3">
        <v>45760</v>
      </c>
      <c r="K817" s="14">
        <v>9</v>
      </c>
      <c r="L817" s="17"/>
      <c r="M817" s="2" t="b">
        <v>0</v>
      </c>
      <c r="N817" s="2"/>
      <c r="O817" s="2" t="str">
        <f>IF(Table1[[#This Row],[is_returned]]=TRUE,IF(Table1[[#This Row],[return_reason]]="","Error","OK"),"OK")</f>
        <v>OK</v>
      </c>
      <c r="P817" s="8">
        <f>Table1[[#This Row],[original_price]]*Table1[[#This Row],[markdown_percentage]]/100</f>
        <v>0</v>
      </c>
      <c r="Q81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817" s="25">
        <f>Table1[[#This Row],[current_price]]*Table1[[#This Row],[stock_quantity]]</f>
        <v>1566.45</v>
      </c>
    </row>
    <row r="818" spans="1:18" x14ac:dyDescent="0.25">
      <c r="A818" s="2" t="s">
        <v>871</v>
      </c>
      <c r="B818" s="2" t="s">
        <v>38</v>
      </c>
      <c r="C818" s="2" t="s">
        <v>75</v>
      </c>
      <c r="D818" s="2" t="s">
        <v>17</v>
      </c>
      <c r="E818" s="2" t="s">
        <v>55</v>
      </c>
      <c r="F818" s="2" t="s">
        <v>70</v>
      </c>
      <c r="G818" s="8">
        <v>58.29</v>
      </c>
      <c r="H818" s="11">
        <v>0</v>
      </c>
      <c r="I818" s="8">
        <v>58.29</v>
      </c>
      <c r="J818" s="3">
        <v>45664</v>
      </c>
      <c r="K818" s="14">
        <v>22</v>
      </c>
      <c r="L818" s="17">
        <v>2.2999999999999998</v>
      </c>
      <c r="M818" s="2" t="b">
        <v>0</v>
      </c>
      <c r="N818" s="2"/>
      <c r="O818" s="2" t="str">
        <f>IF(Table1[[#This Row],[is_returned]]=TRUE,IF(Table1[[#This Row],[return_reason]]="","Error","OK"),"OK")</f>
        <v>OK</v>
      </c>
      <c r="P818" s="8">
        <f>Table1[[#This Row],[original_price]]*Table1[[#This Row],[markdown_percentage]]/100</f>
        <v>0</v>
      </c>
      <c r="Q81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818" s="25">
        <f>Table1[[#This Row],[current_price]]*Table1[[#This Row],[stock_quantity]]</f>
        <v>1282.3799999999999</v>
      </c>
    </row>
    <row r="819" spans="1:18" x14ac:dyDescent="0.25">
      <c r="A819" s="2" t="s">
        <v>872</v>
      </c>
      <c r="B819" s="2" t="s">
        <v>38</v>
      </c>
      <c r="C819" s="2" t="s">
        <v>48</v>
      </c>
      <c r="D819" s="2" t="s">
        <v>62</v>
      </c>
      <c r="E819" s="2" t="s">
        <v>58</v>
      </c>
      <c r="F819" s="2" t="s">
        <v>35</v>
      </c>
      <c r="G819" s="8">
        <v>61.42</v>
      </c>
      <c r="H819" s="11">
        <v>57.5</v>
      </c>
      <c r="I819" s="8">
        <v>26.1</v>
      </c>
      <c r="J819" s="3">
        <v>45875</v>
      </c>
      <c r="K819" s="14">
        <v>3</v>
      </c>
      <c r="L819" s="17">
        <v>4.8</v>
      </c>
      <c r="M819" s="2" t="b">
        <v>0</v>
      </c>
      <c r="N819" s="2"/>
      <c r="O819" s="2" t="str">
        <f>IF(Table1[[#This Row],[is_returned]]=TRUE,IF(Table1[[#This Row],[return_reason]]="","Error","OK"),"OK")</f>
        <v>OK</v>
      </c>
      <c r="P819" s="8">
        <f>Table1[[#This Row],[original_price]]*Table1[[#This Row],[markdown_percentage]]/100</f>
        <v>35.316499999999998</v>
      </c>
      <c r="Q81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819" s="25">
        <f>Table1[[#This Row],[current_price]]*Table1[[#This Row],[stock_quantity]]</f>
        <v>78.300000000000011</v>
      </c>
    </row>
    <row r="820" spans="1:18" x14ac:dyDescent="0.25">
      <c r="A820" s="2" t="s">
        <v>873</v>
      </c>
      <c r="B820" s="2" t="s">
        <v>27</v>
      </c>
      <c r="C820" s="2" t="s">
        <v>16</v>
      </c>
      <c r="D820" s="2" t="s">
        <v>23</v>
      </c>
      <c r="E820" s="2"/>
      <c r="F820" s="2" t="s">
        <v>25</v>
      </c>
      <c r="G820" s="8">
        <v>20.239999999999998</v>
      </c>
      <c r="H820" s="11">
        <v>0</v>
      </c>
      <c r="I820" s="8">
        <v>20.239999999999998</v>
      </c>
      <c r="J820" s="3">
        <v>45875</v>
      </c>
      <c r="K820" s="14">
        <v>20</v>
      </c>
      <c r="L820" s="17">
        <v>4.0999999999999996</v>
      </c>
      <c r="M820" s="2" t="b">
        <v>0</v>
      </c>
      <c r="N820" s="2"/>
      <c r="O820" s="2" t="str">
        <f>IF(Table1[[#This Row],[is_returned]]=TRUE,IF(Table1[[#This Row],[return_reason]]="","Error","OK"),"OK")</f>
        <v>OK</v>
      </c>
      <c r="P820" s="8">
        <f>Table1[[#This Row],[original_price]]*Table1[[#This Row],[markdown_percentage]]/100</f>
        <v>0</v>
      </c>
      <c r="Q82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820" s="25">
        <f>Table1[[#This Row],[current_price]]*Table1[[#This Row],[stock_quantity]]</f>
        <v>404.79999999999995</v>
      </c>
    </row>
    <row r="821" spans="1:18" x14ac:dyDescent="0.25">
      <c r="A821" s="2" t="s">
        <v>874</v>
      </c>
      <c r="B821" s="2" t="s">
        <v>38</v>
      </c>
      <c r="C821" s="2" t="s">
        <v>16</v>
      </c>
      <c r="D821" s="2" t="s">
        <v>34</v>
      </c>
      <c r="E821" s="2" t="s">
        <v>24</v>
      </c>
      <c r="F821" s="2" t="s">
        <v>19</v>
      </c>
      <c r="G821" s="8">
        <v>88.58</v>
      </c>
      <c r="H821" s="11">
        <v>0</v>
      </c>
      <c r="I821" s="8">
        <v>88.58</v>
      </c>
      <c r="J821" s="3">
        <v>45875</v>
      </c>
      <c r="K821" s="14">
        <v>50</v>
      </c>
      <c r="L821" s="17"/>
      <c r="M821" s="2" t="b">
        <v>0</v>
      </c>
      <c r="N821" s="2"/>
      <c r="O821" s="2" t="str">
        <f>IF(Table1[[#This Row],[is_returned]]=TRUE,IF(Table1[[#This Row],[return_reason]]="","Error","OK"),"OK")</f>
        <v>OK</v>
      </c>
      <c r="P821" s="8">
        <f>Table1[[#This Row],[original_price]]*Table1[[#This Row],[markdown_percentage]]/100</f>
        <v>0</v>
      </c>
      <c r="Q82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821" s="25">
        <f>Table1[[#This Row],[current_price]]*Table1[[#This Row],[stock_quantity]]</f>
        <v>4429</v>
      </c>
    </row>
    <row r="822" spans="1:18" x14ac:dyDescent="0.25">
      <c r="A822" s="2" t="s">
        <v>875</v>
      </c>
      <c r="B822" s="2" t="s">
        <v>38</v>
      </c>
      <c r="C822" s="2" t="s">
        <v>53</v>
      </c>
      <c r="D822" s="2" t="s">
        <v>23</v>
      </c>
      <c r="E822" s="2" t="s">
        <v>49</v>
      </c>
      <c r="F822" s="2" t="s">
        <v>66</v>
      </c>
      <c r="G822" s="8">
        <v>67.92</v>
      </c>
      <c r="H822" s="11">
        <v>0</v>
      </c>
      <c r="I822" s="8">
        <v>67.92</v>
      </c>
      <c r="J822" s="3">
        <v>45875</v>
      </c>
      <c r="K822" s="14">
        <v>23</v>
      </c>
      <c r="L822" s="17">
        <v>1.8</v>
      </c>
      <c r="M822" s="2" t="b">
        <v>1</v>
      </c>
      <c r="N822" s="2" t="s">
        <v>73</v>
      </c>
      <c r="O822" s="2" t="str">
        <f>IF(Table1[[#This Row],[is_returned]]=TRUE,IF(Table1[[#This Row],[return_reason]]="","Error","OK"),"OK")</f>
        <v>OK</v>
      </c>
      <c r="P822" s="8">
        <f>Table1[[#This Row],[original_price]]*Table1[[#This Row],[markdown_percentage]]/100</f>
        <v>0</v>
      </c>
      <c r="Q82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822" s="25">
        <f>Table1[[#This Row],[current_price]]*Table1[[#This Row],[stock_quantity]]</f>
        <v>1562.16</v>
      </c>
    </row>
    <row r="823" spans="1:18" x14ac:dyDescent="0.25">
      <c r="A823" s="2" t="s">
        <v>876</v>
      </c>
      <c r="B823" s="2" t="s">
        <v>27</v>
      </c>
      <c r="C823" s="2" t="s">
        <v>53</v>
      </c>
      <c r="D823" s="2" t="s">
        <v>34</v>
      </c>
      <c r="E823" s="2"/>
      <c r="F823" s="2" t="s">
        <v>35</v>
      </c>
      <c r="G823" s="8">
        <v>25.39</v>
      </c>
      <c r="H823" s="11">
        <v>0</v>
      </c>
      <c r="I823" s="8">
        <v>25.39</v>
      </c>
      <c r="J823" s="3">
        <v>45875</v>
      </c>
      <c r="K823" s="14">
        <v>42</v>
      </c>
      <c r="L823" s="17">
        <v>1.8</v>
      </c>
      <c r="M823" s="2" t="b">
        <v>0</v>
      </c>
      <c r="N823" s="2"/>
      <c r="O823" s="2" t="str">
        <f>IF(Table1[[#This Row],[is_returned]]=TRUE,IF(Table1[[#This Row],[return_reason]]="","Error","OK"),"OK")</f>
        <v>OK</v>
      </c>
      <c r="P823" s="8">
        <f>Table1[[#This Row],[original_price]]*Table1[[#This Row],[markdown_percentage]]/100</f>
        <v>0</v>
      </c>
      <c r="Q82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823" s="25">
        <f>Table1[[#This Row],[current_price]]*Table1[[#This Row],[stock_quantity]]</f>
        <v>1066.3800000000001</v>
      </c>
    </row>
    <row r="824" spans="1:18" x14ac:dyDescent="0.25">
      <c r="A824" s="2" t="s">
        <v>877</v>
      </c>
      <c r="B824" s="2" t="s">
        <v>42</v>
      </c>
      <c r="C824" s="2" t="s">
        <v>75</v>
      </c>
      <c r="D824" s="2" t="s">
        <v>23</v>
      </c>
      <c r="E824" s="2" t="s">
        <v>39</v>
      </c>
      <c r="F824" s="2" t="s">
        <v>28</v>
      </c>
      <c r="G824" s="8">
        <v>115.89</v>
      </c>
      <c r="H824" s="11">
        <v>39.4</v>
      </c>
      <c r="I824" s="8">
        <v>70.23</v>
      </c>
      <c r="J824" s="3">
        <v>45875</v>
      </c>
      <c r="K824" s="14">
        <v>14</v>
      </c>
      <c r="L824" s="17">
        <v>3.8</v>
      </c>
      <c r="M824" s="2" t="b">
        <v>1</v>
      </c>
      <c r="N824" s="2" t="s">
        <v>78</v>
      </c>
      <c r="O824" s="2" t="str">
        <f>IF(Table1[[#This Row],[is_returned]]=TRUE,IF(Table1[[#This Row],[return_reason]]="","Error","OK"),"OK")</f>
        <v>OK</v>
      </c>
      <c r="P824" s="8">
        <f>Table1[[#This Row],[original_price]]*Table1[[#This Row],[markdown_percentage]]/100</f>
        <v>45.66066</v>
      </c>
      <c r="Q82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824" s="25">
        <f>Table1[[#This Row],[current_price]]*Table1[[#This Row],[stock_quantity]]</f>
        <v>983.22</v>
      </c>
    </row>
    <row r="825" spans="1:18" x14ac:dyDescent="0.25">
      <c r="A825" s="2" t="s">
        <v>878</v>
      </c>
      <c r="B825" s="2" t="s">
        <v>38</v>
      </c>
      <c r="C825" s="2" t="s">
        <v>75</v>
      </c>
      <c r="D825" s="2" t="s">
        <v>62</v>
      </c>
      <c r="E825" s="2" t="s">
        <v>18</v>
      </c>
      <c r="F825" s="2" t="s">
        <v>44</v>
      </c>
      <c r="G825" s="8">
        <v>103.94</v>
      </c>
      <c r="H825" s="11">
        <v>16.100000000000001</v>
      </c>
      <c r="I825" s="8">
        <v>87.21</v>
      </c>
      <c r="J825" s="3">
        <v>45875</v>
      </c>
      <c r="K825" s="14">
        <v>6</v>
      </c>
      <c r="L825" s="17">
        <v>4.9000000000000004</v>
      </c>
      <c r="M825" s="2" t="b">
        <v>1</v>
      </c>
      <c r="N825" s="2" t="s">
        <v>115</v>
      </c>
      <c r="O825" s="2" t="str">
        <f>IF(Table1[[#This Row],[is_returned]]=TRUE,IF(Table1[[#This Row],[return_reason]]="","Error","OK"),"OK")</f>
        <v>OK</v>
      </c>
      <c r="P825" s="8">
        <f>Table1[[#This Row],[original_price]]*Table1[[#This Row],[markdown_percentage]]/100</f>
        <v>16.734340000000003</v>
      </c>
      <c r="Q82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825" s="25">
        <f>Table1[[#This Row],[current_price]]*Table1[[#This Row],[stock_quantity]]</f>
        <v>523.26</v>
      </c>
    </row>
    <row r="826" spans="1:18" x14ac:dyDescent="0.25">
      <c r="A826" s="2" t="s">
        <v>879</v>
      </c>
      <c r="B826" s="2" t="s">
        <v>30</v>
      </c>
      <c r="C826" s="2" t="s">
        <v>61</v>
      </c>
      <c r="D826" s="2" t="s">
        <v>23</v>
      </c>
      <c r="E826" s="2" t="s">
        <v>24</v>
      </c>
      <c r="F826" s="2" t="s">
        <v>19</v>
      </c>
      <c r="G826" s="8">
        <v>94.72</v>
      </c>
      <c r="H826" s="11">
        <v>20.5</v>
      </c>
      <c r="I826" s="8">
        <v>75.3</v>
      </c>
      <c r="J826" s="3">
        <v>45875</v>
      </c>
      <c r="K826" s="14">
        <v>24</v>
      </c>
      <c r="L826" s="17">
        <v>3.6</v>
      </c>
      <c r="M826" s="2" t="b">
        <v>0</v>
      </c>
      <c r="N826" s="2"/>
      <c r="O826" s="2" t="str">
        <f>IF(Table1[[#This Row],[is_returned]]=TRUE,IF(Table1[[#This Row],[return_reason]]="","Error","OK"),"OK")</f>
        <v>OK</v>
      </c>
      <c r="P826" s="8">
        <f>Table1[[#This Row],[original_price]]*Table1[[#This Row],[markdown_percentage]]/100</f>
        <v>19.4176</v>
      </c>
      <c r="Q82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826" s="25">
        <f>Table1[[#This Row],[current_price]]*Table1[[#This Row],[stock_quantity]]</f>
        <v>1807.1999999999998</v>
      </c>
    </row>
    <row r="827" spans="1:18" x14ac:dyDescent="0.25">
      <c r="A827" s="2" t="s">
        <v>880</v>
      </c>
      <c r="B827" s="2" t="s">
        <v>27</v>
      </c>
      <c r="C827" s="2" t="s">
        <v>53</v>
      </c>
      <c r="D827" s="2" t="s">
        <v>34</v>
      </c>
      <c r="E827" s="2"/>
      <c r="F827" s="2" t="s">
        <v>25</v>
      </c>
      <c r="G827" s="8">
        <v>23.28</v>
      </c>
      <c r="H827" s="11">
        <v>0</v>
      </c>
      <c r="I827" s="8">
        <v>23.28</v>
      </c>
      <c r="J827" s="3">
        <v>45875</v>
      </c>
      <c r="K827" s="14">
        <v>44</v>
      </c>
      <c r="L827" s="17">
        <v>3.1</v>
      </c>
      <c r="M827" s="2" t="b">
        <v>1</v>
      </c>
      <c r="N827" s="2" t="s">
        <v>83</v>
      </c>
      <c r="O827" s="2" t="str">
        <f>IF(Table1[[#This Row],[is_returned]]=TRUE,IF(Table1[[#This Row],[return_reason]]="","Error","OK"),"OK")</f>
        <v>OK</v>
      </c>
      <c r="P827" s="8">
        <f>Table1[[#This Row],[original_price]]*Table1[[#This Row],[markdown_percentage]]/100</f>
        <v>0</v>
      </c>
      <c r="Q82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827" s="25">
        <f>Table1[[#This Row],[current_price]]*Table1[[#This Row],[stock_quantity]]</f>
        <v>1024.3200000000002</v>
      </c>
    </row>
    <row r="828" spans="1:18" x14ac:dyDescent="0.25">
      <c r="A828" s="2" t="s">
        <v>881</v>
      </c>
      <c r="B828" s="2" t="s">
        <v>21</v>
      </c>
      <c r="C828" s="2" t="s">
        <v>61</v>
      </c>
      <c r="D828" s="2" t="s">
        <v>62</v>
      </c>
      <c r="E828" s="2" t="s">
        <v>39</v>
      </c>
      <c r="F828" s="2" t="s">
        <v>25</v>
      </c>
      <c r="G828" s="8">
        <v>90.73</v>
      </c>
      <c r="H828" s="11">
        <v>0</v>
      </c>
      <c r="I828" s="8">
        <v>90.73</v>
      </c>
      <c r="J828" s="3">
        <v>45875</v>
      </c>
      <c r="K828" s="14">
        <v>14</v>
      </c>
      <c r="L828" s="17">
        <v>1.1000000000000001</v>
      </c>
      <c r="M828" s="2" t="b">
        <v>0</v>
      </c>
      <c r="N828" s="2"/>
      <c r="O828" s="2" t="str">
        <f>IF(Table1[[#This Row],[is_returned]]=TRUE,IF(Table1[[#This Row],[return_reason]]="","Error","OK"),"OK")</f>
        <v>OK</v>
      </c>
      <c r="P828" s="8">
        <f>Table1[[#This Row],[original_price]]*Table1[[#This Row],[markdown_percentage]]/100</f>
        <v>0</v>
      </c>
      <c r="Q82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828" s="25">
        <f>Table1[[#This Row],[current_price]]*Table1[[#This Row],[stock_quantity]]</f>
        <v>1270.22</v>
      </c>
    </row>
    <row r="829" spans="1:18" x14ac:dyDescent="0.25">
      <c r="A829" s="2" t="s">
        <v>882</v>
      </c>
      <c r="B829" s="2" t="s">
        <v>38</v>
      </c>
      <c r="C829" s="2" t="s">
        <v>48</v>
      </c>
      <c r="D829" s="2" t="s">
        <v>34</v>
      </c>
      <c r="E829" s="2" t="s">
        <v>49</v>
      </c>
      <c r="F829" s="2" t="s">
        <v>46</v>
      </c>
      <c r="G829" s="8">
        <v>25.74</v>
      </c>
      <c r="H829" s="11">
        <v>0</v>
      </c>
      <c r="I829" s="8">
        <v>25.74</v>
      </c>
      <c r="J829" s="3">
        <v>45875</v>
      </c>
      <c r="K829" s="14">
        <v>33</v>
      </c>
      <c r="L829" s="17">
        <v>1.1000000000000001</v>
      </c>
      <c r="M829" s="2" t="b">
        <v>1</v>
      </c>
      <c r="N829" s="2" t="s">
        <v>36</v>
      </c>
      <c r="O829" s="2" t="str">
        <f>IF(Table1[[#This Row],[is_returned]]=TRUE,IF(Table1[[#This Row],[return_reason]]="","Error","OK"),"OK")</f>
        <v>OK</v>
      </c>
      <c r="P829" s="8">
        <f>Table1[[#This Row],[original_price]]*Table1[[#This Row],[markdown_percentage]]/100</f>
        <v>0</v>
      </c>
      <c r="Q82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829" s="25">
        <f>Table1[[#This Row],[current_price]]*Table1[[#This Row],[stock_quantity]]</f>
        <v>849.42</v>
      </c>
    </row>
    <row r="830" spans="1:18" x14ac:dyDescent="0.25">
      <c r="A830" s="2" t="s">
        <v>883</v>
      </c>
      <c r="B830" s="2" t="s">
        <v>30</v>
      </c>
      <c r="C830" s="2" t="s">
        <v>53</v>
      </c>
      <c r="D830" s="2" t="s">
        <v>17</v>
      </c>
      <c r="E830" s="2" t="s">
        <v>18</v>
      </c>
      <c r="F830" s="2" t="s">
        <v>40</v>
      </c>
      <c r="G830" s="8">
        <v>162.97</v>
      </c>
      <c r="H830" s="11">
        <v>0</v>
      </c>
      <c r="I830" s="8">
        <v>162.97</v>
      </c>
      <c r="J830" s="3">
        <v>45618</v>
      </c>
      <c r="K830" s="14">
        <v>47</v>
      </c>
      <c r="L830" s="17">
        <v>2.2000000000000002</v>
      </c>
      <c r="M830" s="2" t="b">
        <v>1</v>
      </c>
      <c r="N830" s="2" t="s">
        <v>125</v>
      </c>
      <c r="O830" s="2" t="str">
        <f>IF(Table1[[#This Row],[is_returned]]=TRUE,IF(Table1[[#This Row],[return_reason]]="","Error","OK"),"OK")</f>
        <v>OK</v>
      </c>
      <c r="P830" s="8">
        <f>Table1[[#This Row],[original_price]]*Table1[[#This Row],[markdown_percentage]]/100</f>
        <v>0</v>
      </c>
      <c r="Q83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830" s="25">
        <f>Table1[[#This Row],[current_price]]*Table1[[#This Row],[stock_quantity]]</f>
        <v>7659.59</v>
      </c>
    </row>
    <row r="831" spans="1:18" x14ac:dyDescent="0.25">
      <c r="A831" s="2" t="s">
        <v>884</v>
      </c>
      <c r="B831" s="2" t="s">
        <v>27</v>
      </c>
      <c r="C831" s="2" t="s">
        <v>48</v>
      </c>
      <c r="D831" s="2" t="s">
        <v>23</v>
      </c>
      <c r="E831" s="2"/>
      <c r="F831" s="2" t="s">
        <v>28</v>
      </c>
      <c r="G831" s="8">
        <v>50.33</v>
      </c>
      <c r="H831" s="11">
        <v>8.6999999999999993</v>
      </c>
      <c r="I831" s="8">
        <v>45.95</v>
      </c>
      <c r="J831" s="3">
        <v>45875</v>
      </c>
      <c r="K831" s="14">
        <v>14</v>
      </c>
      <c r="L831" s="17">
        <v>1.3</v>
      </c>
      <c r="M831" s="2" t="b">
        <v>0</v>
      </c>
      <c r="N831" s="2"/>
      <c r="O831" s="2" t="str">
        <f>IF(Table1[[#This Row],[is_returned]]=TRUE,IF(Table1[[#This Row],[return_reason]]="","Error","OK"),"OK")</f>
        <v>OK</v>
      </c>
      <c r="P831" s="8">
        <f>Table1[[#This Row],[original_price]]*Table1[[#This Row],[markdown_percentage]]/100</f>
        <v>4.378709999999999</v>
      </c>
      <c r="Q83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831" s="25">
        <f>Table1[[#This Row],[current_price]]*Table1[[#This Row],[stock_quantity]]</f>
        <v>643.30000000000007</v>
      </c>
    </row>
    <row r="832" spans="1:18" x14ac:dyDescent="0.25">
      <c r="A832" s="2" t="s">
        <v>885</v>
      </c>
      <c r="B832" s="2" t="s">
        <v>30</v>
      </c>
      <c r="C832" s="2" t="s">
        <v>22</v>
      </c>
      <c r="D832" s="2" t="s">
        <v>17</v>
      </c>
      <c r="E832" s="2"/>
      <c r="F832" s="2" t="s">
        <v>25</v>
      </c>
      <c r="G832" s="8">
        <v>60.38</v>
      </c>
      <c r="H832" s="11">
        <v>0</v>
      </c>
      <c r="I832" s="8">
        <v>60.38</v>
      </c>
      <c r="J832" s="3">
        <v>45776</v>
      </c>
      <c r="K832" s="14">
        <v>0</v>
      </c>
      <c r="L832" s="17"/>
      <c r="M832" s="2" t="b">
        <v>0</v>
      </c>
      <c r="N832" s="2"/>
      <c r="O832" s="2" t="str">
        <f>IF(Table1[[#This Row],[is_returned]]=TRUE,IF(Table1[[#This Row],[return_reason]]="","Error","OK"),"OK")</f>
        <v>OK</v>
      </c>
      <c r="P832" s="8">
        <f>Table1[[#This Row],[original_price]]*Table1[[#This Row],[markdown_percentage]]/100</f>
        <v>0</v>
      </c>
      <c r="Q83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832" s="25">
        <f>Table1[[#This Row],[current_price]]*Table1[[#This Row],[stock_quantity]]</f>
        <v>0</v>
      </c>
    </row>
    <row r="833" spans="1:18" x14ac:dyDescent="0.25">
      <c r="A833" s="2" t="s">
        <v>886</v>
      </c>
      <c r="B833" s="2" t="s">
        <v>21</v>
      </c>
      <c r="C833" s="2" t="s">
        <v>22</v>
      </c>
      <c r="D833" s="2" t="s">
        <v>62</v>
      </c>
      <c r="E833" s="2" t="s">
        <v>49</v>
      </c>
      <c r="F833" s="2" t="s">
        <v>28</v>
      </c>
      <c r="G833" s="8">
        <v>103.65</v>
      </c>
      <c r="H833" s="11">
        <v>0</v>
      </c>
      <c r="I833" s="8">
        <v>103.65</v>
      </c>
      <c r="J833" s="3">
        <v>45875</v>
      </c>
      <c r="K833" s="14">
        <v>29</v>
      </c>
      <c r="L833" s="17">
        <v>3.7</v>
      </c>
      <c r="M833" s="2" t="b">
        <v>0</v>
      </c>
      <c r="N833" s="2"/>
      <c r="O833" s="2" t="str">
        <f>IF(Table1[[#This Row],[is_returned]]=TRUE,IF(Table1[[#This Row],[return_reason]]="","Error","OK"),"OK")</f>
        <v>OK</v>
      </c>
      <c r="P833" s="8">
        <f>Table1[[#This Row],[original_price]]*Table1[[#This Row],[markdown_percentage]]/100</f>
        <v>0</v>
      </c>
      <c r="Q83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833" s="25">
        <f>Table1[[#This Row],[current_price]]*Table1[[#This Row],[stock_quantity]]</f>
        <v>3005.8500000000004</v>
      </c>
    </row>
    <row r="834" spans="1:18" x14ac:dyDescent="0.25">
      <c r="A834" s="2" t="s">
        <v>887</v>
      </c>
      <c r="B834" s="2" t="s">
        <v>38</v>
      </c>
      <c r="C834" s="2" t="s">
        <v>61</v>
      </c>
      <c r="D834" s="2" t="s">
        <v>17</v>
      </c>
      <c r="E834" s="2" t="s">
        <v>24</v>
      </c>
      <c r="F834" s="2" t="s">
        <v>56</v>
      </c>
      <c r="G834" s="8">
        <v>75.14</v>
      </c>
      <c r="H834" s="11">
        <v>0</v>
      </c>
      <c r="I834" s="8">
        <v>75.14</v>
      </c>
      <c r="J834" s="3">
        <v>45684</v>
      </c>
      <c r="K834" s="14">
        <v>41</v>
      </c>
      <c r="L834" s="17"/>
      <c r="M834" s="2" t="b">
        <v>1</v>
      </c>
      <c r="N834" s="2" t="s">
        <v>115</v>
      </c>
      <c r="O834" s="2" t="str">
        <f>IF(Table1[[#This Row],[is_returned]]=TRUE,IF(Table1[[#This Row],[return_reason]]="","Error","OK"),"OK")</f>
        <v>OK</v>
      </c>
      <c r="P834" s="8">
        <f>Table1[[#This Row],[original_price]]*Table1[[#This Row],[markdown_percentage]]/100</f>
        <v>0</v>
      </c>
      <c r="Q83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834" s="25">
        <f>Table1[[#This Row],[current_price]]*Table1[[#This Row],[stock_quantity]]</f>
        <v>3080.7400000000002</v>
      </c>
    </row>
    <row r="835" spans="1:18" x14ac:dyDescent="0.25">
      <c r="A835" s="2" t="s">
        <v>888</v>
      </c>
      <c r="B835" s="2" t="s">
        <v>30</v>
      </c>
      <c r="C835" s="2" t="s">
        <v>48</v>
      </c>
      <c r="D835" s="2" t="s">
        <v>23</v>
      </c>
      <c r="E835" s="2" t="s">
        <v>39</v>
      </c>
      <c r="F835" s="2" t="s">
        <v>25</v>
      </c>
      <c r="G835" s="8">
        <v>88</v>
      </c>
      <c r="H835" s="11">
        <v>0</v>
      </c>
      <c r="I835" s="8">
        <v>88</v>
      </c>
      <c r="J835" s="3">
        <v>45875</v>
      </c>
      <c r="K835" s="14">
        <v>2</v>
      </c>
      <c r="L835" s="17">
        <v>1.9</v>
      </c>
      <c r="M835" s="2" t="b">
        <v>0</v>
      </c>
      <c r="N835" s="2"/>
      <c r="O835" s="2" t="str">
        <f>IF(Table1[[#This Row],[is_returned]]=TRUE,IF(Table1[[#This Row],[return_reason]]="","Error","OK"),"OK")</f>
        <v>OK</v>
      </c>
      <c r="P835" s="8">
        <f>Table1[[#This Row],[original_price]]*Table1[[#This Row],[markdown_percentage]]/100</f>
        <v>0</v>
      </c>
      <c r="Q83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835" s="25">
        <f>Table1[[#This Row],[current_price]]*Table1[[#This Row],[stock_quantity]]</f>
        <v>176</v>
      </c>
    </row>
    <row r="836" spans="1:18" x14ac:dyDescent="0.25">
      <c r="A836" s="2" t="s">
        <v>889</v>
      </c>
      <c r="B836" s="2" t="s">
        <v>42</v>
      </c>
      <c r="C836" s="2" t="s">
        <v>53</v>
      </c>
      <c r="D836" s="2" t="s">
        <v>23</v>
      </c>
      <c r="E836" s="2" t="s">
        <v>55</v>
      </c>
      <c r="F836" s="2" t="s">
        <v>19</v>
      </c>
      <c r="G836" s="8">
        <v>69.540000000000006</v>
      </c>
      <c r="H836" s="11">
        <v>0</v>
      </c>
      <c r="I836" s="8">
        <v>69.540000000000006</v>
      </c>
      <c r="J836" s="3">
        <v>45875</v>
      </c>
      <c r="K836" s="14">
        <v>21</v>
      </c>
      <c r="L836" s="17"/>
      <c r="M836" s="2" t="b">
        <v>0</v>
      </c>
      <c r="N836" s="2"/>
      <c r="O836" s="2" t="str">
        <f>IF(Table1[[#This Row],[is_returned]]=TRUE,IF(Table1[[#This Row],[return_reason]]="","Error","OK"),"OK")</f>
        <v>OK</v>
      </c>
      <c r="P836" s="8">
        <f>Table1[[#This Row],[original_price]]*Table1[[#This Row],[markdown_percentage]]/100</f>
        <v>0</v>
      </c>
      <c r="Q83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836" s="25">
        <f>Table1[[#This Row],[current_price]]*Table1[[#This Row],[stock_quantity]]</f>
        <v>1460.3400000000001</v>
      </c>
    </row>
    <row r="837" spans="1:18" x14ac:dyDescent="0.25">
      <c r="A837" s="2" t="s">
        <v>890</v>
      </c>
      <c r="B837" s="2" t="s">
        <v>15</v>
      </c>
      <c r="C837" s="2" t="s">
        <v>43</v>
      </c>
      <c r="D837" s="2" t="s">
        <v>23</v>
      </c>
      <c r="E837" s="2" t="s">
        <v>55</v>
      </c>
      <c r="F837" s="2" t="s">
        <v>25</v>
      </c>
      <c r="G837" s="8">
        <v>209.52</v>
      </c>
      <c r="H837" s="11">
        <v>0</v>
      </c>
      <c r="I837" s="8">
        <v>209.52</v>
      </c>
      <c r="J837" s="3">
        <v>45875</v>
      </c>
      <c r="K837" s="14">
        <v>48</v>
      </c>
      <c r="L837" s="17">
        <v>2.6</v>
      </c>
      <c r="M837" s="2" t="b">
        <v>0</v>
      </c>
      <c r="N837" s="2"/>
      <c r="O837" s="2" t="str">
        <f>IF(Table1[[#This Row],[is_returned]]=TRUE,IF(Table1[[#This Row],[return_reason]]="","Error","OK"),"OK")</f>
        <v>OK</v>
      </c>
      <c r="P837" s="8">
        <f>Table1[[#This Row],[original_price]]*Table1[[#This Row],[markdown_percentage]]/100</f>
        <v>0</v>
      </c>
      <c r="Q83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837" s="25">
        <f>Table1[[#This Row],[current_price]]*Table1[[#This Row],[stock_quantity]]</f>
        <v>10056.960000000001</v>
      </c>
    </row>
    <row r="838" spans="1:18" x14ac:dyDescent="0.25">
      <c r="A838" s="2" t="s">
        <v>891</v>
      </c>
      <c r="B838" s="2" t="s">
        <v>30</v>
      </c>
      <c r="C838" s="2" t="s">
        <v>48</v>
      </c>
      <c r="D838" s="2" t="s">
        <v>34</v>
      </c>
      <c r="E838" s="2" t="s">
        <v>49</v>
      </c>
      <c r="F838" s="2" t="s">
        <v>56</v>
      </c>
      <c r="G838" s="8">
        <v>97.42</v>
      </c>
      <c r="H838" s="11">
        <v>0</v>
      </c>
      <c r="I838" s="8">
        <v>97.42</v>
      </c>
      <c r="J838" s="3">
        <v>45875</v>
      </c>
      <c r="K838" s="14">
        <v>35</v>
      </c>
      <c r="L838" s="17">
        <v>2</v>
      </c>
      <c r="M838" s="2" t="b">
        <v>0</v>
      </c>
      <c r="N838" s="2"/>
      <c r="O838" s="2" t="str">
        <f>IF(Table1[[#This Row],[is_returned]]=TRUE,IF(Table1[[#This Row],[return_reason]]="","Error","OK"),"OK")</f>
        <v>OK</v>
      </c>
      <c r="P838" s="8">
        <f>Table1[[#This Row],[original_price]]*Table1[[#This Row],[markdown_percentage]]/100</f>
        <v>0</v>
      </c>
      <c r="Q83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838" s="25">
        <f>Table1[[#This Row],[current_price]]*Table1[[#This Row],[stock_quantity]]</f>
        <v>3409.7000000000003</v>
      </c>
    </row>
    <row r="839" spans="1:18" x14ac:dyDescent="0.25">
      <c r="A839" s="2" t="s">
        <v>892</v>
      </c>
      <c r="B839" s="2" t="s">
        <v>42</v>
      </c>
      <c r="C839" s="2" t="s">
        <v>22</v>
      </c>
      <c r="D839" s="2" t="s">
        <v>23</v>
      </c>
      <c r="E839" s="2" t="s">
        <v>55</v>
      </c>
      <c r="F839" s="2" t="s">
        <v>35</v>
      </c>
      <c r="G839" s="8">
        <v>154.6</v>
      </c>
      <c r="H839" s="11">
        <v>0</v>
      </c>
      <c r="I839" s="8">
        <v>154.6</v>
      </c>
      <c r="J839" s="3">
        <v>45875</v>
      </c>
      <c r="K839" s="14">
        <v>38</v>
      </c>
      <c r="L839" s="17">
        <v>4.5</v>
      </c>
      <c r="M839" s="2" t="b">
        <v>1</v>
      </c>
      <c r="N839" s="2" t="s">
        <v>115</v>
      </c>
      <c r="O839" s="2" t="str">
        <f>IF(Table1[[#This Row],[is_returned]]=TRUE,IF(Table1[[#This Row],[return_reason]]="","Error","OK"),"OK")</f>
        <v>OK</v>
      </c>
      <c r="P839" s="8">
        <f>Table1[[#This Row],[original_price]]*Table1[[#This Row],[markdown_percentage]]/100</f>
        <v>0</v>
      </c>
      <c r="Q83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839" s="25">
        <f>Table1[[#This Row],[current_price]]*Table1[[#This Row],[stock_quantity]]</f>
        <v>5874.8</v>
      </c>
    </row>
    <row r="840" spans="1:18" x14ac:dyDescent="0.25">
      <c r="A840" s="2" t="s">
        <v>893</v>
      </c>
      <c r="B840" s="2" t="s">
        <v>38</v>
      </c>
      <c r="C840" s="2" t="s">
        <v>16</v>
      </c>
      <c r="D840" s="2" t="s">
        <v>62</v>
      </c>
      <c r="E840" s="2" t="s">
        <v>18</v>
      </c>
      <c r="F840" s="2" t="s">
        <v>35</v>
      </c>
      <c r="G840" s="8">
        <v>81.59</v>
      </c>
      <c r="H840" s="11">
        <v>38</v>
      </c>
      <c r="I840" s="8">
        <v>50.59</v>
      </c>
      <c r="J840" s="3">
        <v>45875</v>
      </c>
      <c r="K840" s="14">
        <v>31</v>
      </c>
      <c r="L840" s="17">
        <v>1.2</v>
      </c>
      <c r="M840" s="2" t="b">
        <v>0</v>
      </c>
      <c r="N840" s="2"/>
      <c r="O840" s="2" t="str">
        <f>IF(Table1[[#This Row],[is_returned]]=TRUE,IF(Table1[[#This Row],[return_reason]]="","Error","OK"),"OK")</f>
        <v>OK</v>
      </c>
      <c r="P840" s="8">
        <f>Table1[[#This Row],[original_price]]*Table1[[#This Row],[markdown_percentage]]/100</f>
        <v>31.004200000000001</v>
      </c>
      <c r="Q84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840" s="25">
        <f>Table1[[#This Row],[current_price]]*Table1[[#This Row],[stock_quantity]]</f>
        <v>1568.2900000000002</v>
      </c>
    </row>
    <row r="841" spans="1:18" x14ac:dyDescent="0.25">
      <c r="A841" s="2" t="s">
        <v>894</v>
      </c>
      <c r="B841" s="2" t="s">
        <v>27</v>
      </c>
      <c r="C841" s="2" t="s">
        <v>43</v>
      </c>
      <c r="D841" s="2" t="s">
        <v>23</v>
      </c>
      <c r="E841" s="2"/>
      <c r="F841" s="2" t="s">
        <v>70</v>
      </c>
      <c r="G841" s="8">
        <v>48.04</v>
      </c>
      <c r="H841" s="11">
        <v>0</v>
      </c>
      <c r="I841" s="8">
        <v>48.04</v>
      </c>
      <c r="J841" s="3">
        <v>45875</v>
      </c>
      <c r="K841" s="14">
        <v>46</v>
      </c>
      <c r="L841" s="17">
        <v>4.8</v>
      </c>
      <c r="M841" s="2" t="b">
        <v>0</v>
      </c>
      <c r="N841" s="2"/>
      <c r="O841" s="2" t="str">
        <f>IF(Table1[[#This Row],[is_returned]]=TRUE,IF(Table1[[#This Row],[return_reason]]="","Error","OK"),"OK")</f>
        <v>OK</v>
      </c>
      <c r="P841" s="8">
        <f>Table1[[#This Row],[original_price]]*Table1[[#This Row],[markdown_percentage]]/100</f>
        <v>0</v>
      </c>
      <c r="Q84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841" s="25">
        <f>Table1[[#This Row],[current_price]]*Table1[[#This Row],[stock_quantity]]</f>
        <v>2209.84</v>
      </c>
    </row>
    <row r="842" spans="1:18" x14ac:dyDescent="0.25">
      <c r="A842" s="2" t="s">
        <v>895</v>
      </c>
      <c r="B842" s="2" t="s">
        <v>21</v>
      </c>
      <c r="C842" s="2" t="s">
        <v>32</v>
      </c>
      <c r="D842" s="2" t="s">
        <v>34</v>
      </c>
      <c r="E842" s="2" t="s">
        <v>39</v>
      </c>
      <c r="F842" s="2" t="s">
        <v>46</v>
      </c>
      <c r="G842" s="8">
        <v>70.77</v>
      </c>
      <c r="H842" s="11">
        <v>0</v>
      </c>
      <c r="I842" s="8">
        <v>70.77</v>
      </c>
      <c r="J842" s="3">
        <v>45875</v>
      </c>
      <c r="K842" s="14">
        <v>5</v>
      </c>
      <c r="L842" s="17">
        <v>3.7</v>
      </c>
      <c r="M842" s="2" t="b">
        <v>0</v>
      </c>
      <c r="N842" s="2"/>
      <c r="O842" s="2" t="str">
        <f>IF(Table1[[#This Row],[is_returned]]=TRUE,IF(Table1[[#This Row],[return_reason]]="","Error","OK"),"OK")</f>
        <v>OK</v>
      </c>
      <c r="P842" s="8">
        <f>Table1[[#This Row],[original_price]]*Table1[[#This Row],[markdown_percentage]]/100</f>
        <v>0</v>
      </c>
      <c r="Q84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842" s="25">
        <f>Table1[[#This Row],[current_price]]*Table1[[#This Row],[stock_quantity]]</f>
        <v>353.84999999999997</v>
      </c>
    </row>
    <row r="843" spans="1:18" x14ac:dyDescent="0.25">
      <c r="A843" s="2" t="s">
        <v>896</v>
      </c>
      <c r="B843" s="2" t="s">
        <v>15</v>
      </c>
      <c r="C843" s="2" t="s">
        <v>75</v>
      </c>
      <c r="D843" s="2" t="s">
        <v>34</v>
      </c>
      <c r="E843" s="2" t="s">
        <v>39</v>
      </c>
      <c r="F843" s="2" t="s">
        <v>40</v>
      </c>
      <c r="G843" s="8">
        <v>103.49</v>
      </c>
      <c r="H843" s="11">
        <v>0</v>
      </c>
      <c r="I843" s="8">
        <v>103.49</v>
      </c>
      <c r="J843" s="3">
        <v>45875</v>
      </c>
      <c r="K843" s="14">
        <v>12</v>
      </c>
      <c r="L843" s="17">
        <v>1.8</v>
      </c>
      <c r="M843" s="2" t="b">
        <v>0</v>
      </c>
      <c r="N843" s="2"/>
      <c r="O843" s="2" t="str">
        <f>IF(Table1[[#This Row],[is_returned]]=TRUE,IF(Table1[[#This Row],[return_reason]]="","Error","OK"),"OK")</f>
        <v>OK</v>
      </c>
      <c r="P843" s="8">
        <f>Table1[[#This Row],[original_price]]*Table1[[#This Row],[markdown_percentage]]/100</f>
        <v>0</v>
      </c>
      <c r="Q84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843" s="25">
        <f>Table1[[#This Row],[current_price]]*Table1[[#This Row],[stock_quantity]]</f>
        <v>1241.8799999999999</v>
      </c>
    </row>
    <row r="844" spans="1:18" x14ac:dyDescent="0.25">
      <c r="A844" s="2" t="s">
        <v>897</v>
      </c>
      <c r="B844" s="2" t="s">
        <v>15</v>
      </c>
      <c r="C844" s="2" t="s">
        <v>22</v>
      </c>
      <c r="D844" s="2" t="s">
        <v>17</v>
      </c>
      <c r="E844" s="2" t="s">
        <v>24</v>
      </c>
      <c r="F844" s="2" t="s">
        <v>66</v>
      </c>
      <c r="G844" s="8">
        <v>138.88999999999999</v>
      </c>
      <c r="H844" s="11">
        <v>0</v>
      </c>
      <c r="I844" s="8">
        <v>138.88999999999999</v>
      </c>
      <c r="J844" s="3">
        <v>45687</v>
      </c>
      <c r="K844" s="14">
        <v>10</v>
      </c>
      <c r="L844" s="17"/>
      <c r="M844" s="2" t="b">
        <v>0</v>
      </c>
      <c r="N844" s="2"/>
      <c r="O844" s="2" t="str">
        <f>IF(Table1[[#This Row],[is_returned]]=TRUE,IF(Table1[[#This Row],[return_reason]]="","Error","OK"),"OK")</f>
        <v>OK</v>
      </c>
      <c r="P844" s="8">
        <f>Table1[[#This Row],[original_price]]*Table1[[#This Row],[markdown_percentage]]/100</f>
        <v>0</v>
      </c>
      <c r="Q84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844" s="25">
        <f>Table1[[#This Row],[current_price]]*Table1[[#This Row],[stock_quantity]]</f>
        <v>1388.8999999999999</v>
      </c>
    </row>
    <row r="845" spans="1:18" x14ac:dyDescent="0.25">
      <c r="A845" s="2" t="s">
        <v>898</v>
      </c>
      <c r="B845" s="2" t="s">
        <v>27</v>
      </c>
      <c r="C845" s="2" t="s">
        <v>48</v>
      </c>
      <c r="D845" s="2" t="s">
        <v>23</v>
      </c>
      <c r="E845" s="2"/>
      <c r="F845" s="2" t="s">
        <v>46</v>
      </c>
      <c r="G845" s="8">
        <v>73.510000000000005</v>
      </c>
      <c r="H845" s="11">
        <v>32.200000000000003</v>
      </c>
      <c r="I845" s="8">
        <v>49.84</v>
      </c>
      <c r="J845" s="3">
        <v>45875</v>
      </c>
      <c r="K845" s="14">
        <v>17</v>
      </c>
      <c r="L845" s="17"/>
      <c r="M845" s="2" t="b">
        <v>1</v>
      </c>
      <c r="N845" s="2" t="s">
        <v>125</v>
      </c>
      <c r="O845" s="2" t="str">
        <f>IF(Table1[[#This Row],[is_returned]]=TRUE,IF(Table1[[#This Row],[return_reason]]="","Error","OK"),"OK")</f>
        <v>OK</v>
      </c>
      <c r="P845" s="8">
        <f>Table1[[#This Row],[original_price]]*Table1[[#This Row],[markdown_percentage]]/100</f>
        <v>23.670220000000004</v>
      </c>
      <c r="Q84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845" s="25">
        <f>Table1[[#This Row],[current_price]]*Table1[[#This Row],[stock_quantity]]</f>
        <v>847.28000000000009</v>
      </c>
    </row>
    <row r="846" spans="1:18" x14ac:dyDescent="0.25">
      <c r="A846" s="2" t="s">
        <v>899</v>
      </c>
      <c r="B846" s="2" t="s">
        <v>38</v>
      </c>
      <c r="C846" s="2" t="s">
        <v>16</v>
      </c>
      <c r="D846" s="2" t="s">
        <v>17</v>
      </c>
      <c r="E846" s="2" t="s">
        <v>58</v>
      </c>
      <c r="F846" s="2" t="s">
        <v>66</v>
      </c>
      <c r="G846" s="8">
        <v>82.37</v>
      </c>
      <c r="H846" s="11">
        <v>0</v>
      </c>
      <c r="I846" s="8">
        <v>82.37</v>
      </c>
      <c r="J846" s="3">
        <v>45812</v>
      </c>
      <c r="K846" s="14">
        <v>49</v>
      </c>
      <c r="L846" s="17">
        <v>3.3</v>
      </c>
      <c r="M846" s="2" t="b">
        <v>0</v>
      </c>
      <c r="N846" s="2"/>
      <c r="O846" s="2" t="str">
        <f>IF(Table1[[#This Row],[is_returned]]=TRUE,IF(Table1[[#This Row],[return_reason]]="","Error","OK"),"OK")</f>
        <v>OK</v>
      </c>
      <c r="P846" s="8">
        <f>Table1[[#This Row],[original_price]]*Table1[[#This Row],[markdown_percentage]]/100</f>
        <v>0</v>
      </c>
      <c r="Q84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846" s="25">
        <f>Table1[[#This Row],[current_price]]*Table1[[#This Row],[stock_quantity]]</f>
        <v>4036.13</v>
      </c>
    </row>
    <row r="847" spans="1:18" x14ac:dyDescent="0.25">
      <c r="A847" s="2" t="s">
        <v>900</v>
      </c>
      <c r="B847" s="2" t="s">
        <v>42</v>
      </c>
      <c r="C847" s="2" t="s">
        <v>53</v>
      </c>
      <c r="D847" s="2" t="s">
        <v>62</v>
      </c>
      <c r="E847" s="2" t="s">
        <v>55</v>
      </c>
      <c r="F847" s="2" t="s">
        <v>64</v>
      </c>
      <c r="G847" s="8">
        <v>81.709999999999994</v>
      </c>
      <c r="H847" s="11">
        <v>18</v>
      </c>
      <c r="I847" s="8">
        <v>67</v>
      </c>
      <c r="J847" s="3">
        <v>45875</v>
      </c>
      <c r="K847" s="14">
        <v>28</v>
      </c>
      <c r="L847" s="17">
        <v>4.7</v>
      </c>
      <c r="M847" s="2" t="b">
        <v>0</v>
      </c>
      <c r="N847" s="2"/>
      <c r="O847" s="2" t="str">
        <f>IF(Table1[[#This Row],[is_returned]]=TRUE,IF(Table1[[#This Row],[return_reason]]="","Error","OK"),"OK")</f>
        <v>OK</v>
      </c>
      <c r="P847" s="8">
        <f>Table1[[#This Row],[original_price]]*Table1[[#This Row],[markdown_percentage]]/100</f>
        <v>14.707799999999999</v>
      </c>
      <c r="Q84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847" s="25">
        <f>Table1[[#This Row],[current_price]]*Table1[[#This Row],[stock_quantity]]</f>
        <v>1876</v>
      </c>
    </row>
    <row r="848" spans="1:18" x14ac:dyDescent="0.25">
      <c r="A848" s="2" t="s">
        <v>901</v>
      </c>
      <c r="B848" s="2" t="s">
        <v>42</v>
      </c>
      <c r="C848" s="2" t="s">
        <v>32</v>
      </c>
      <c r="D848" s="2" t="s">
        <v>23</v>
      </c>
      <c r="E848" s="2" t="s">
        <v>49</v>
      </c>
      <c r="F848" s="2" t="s">
        <v>64</v>
      </c>
      <c r="G848" s="8">
        <v>107.02</v>
      </c>
      <c r="H848" s="11">
        <v>10.6</v>
      </c>
      <c r="I848" s="8">
        <v>95.68</v>
      </c>
      <c r="J848" s="3">
        <v>45875</v>
      </c>
      <c r="K848" s="14">
        <v>6</v>
      </c>
      <c r="L848" s="17"/>
      <c r="M848" s="2" t="b">
        <v>0</v>
      </c>
      <c r="N848" s="2"/>
      <c r="O848" s="2" t="str">
        <f>IF(Table1[[#This Row],[is_returned]]=TRUE,IF(Table1[[#This Row],[return_reason]]="","Error","OK"),"OK")</f>
        <v>OK</v>
      </c>
      <c r="P848" s="8">
        <f>Table1[[#This Row],[original_price]]*Table1[[#This Row],[markdown_percentage]]/100</f>
        <v>11.344119999999998</v>
      </c>
      <c r="Q84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848" s="25">
        <f>Table1[[#This Row],[current_price]]*Table1[[#This Row],[stock_quantity]]</f>
        <v>574.08000000000004</v>
      </c>
    </row>
    <row r="849" spans="1:18" x14ac:dyDescent="0.25">
      <c r="A849" s="2" t="s">
        <v>902</v>
      </c>
      <c r="B849" s="2" t="s">
        <v>38</v>
      </c>
      <c r="C849" s="2" t="s">
        <v>48</v>
      </c>
      <c r="D849" s="2" t="s">
        <v>62</v>
      </c>
      <c r="E849" s="2" t="s">
        <v>18</v>
      </c>
      <c r="F849" s="2" t="s">
        <v>25</v>
      </c>
      <c r="G849" s="8">
        <v>103.23</v>
      </c>
      <c r="H849" s="11">
        <v>18.7</v>
      </c>
      <c r="I849" s="8">
        <v>83.93</v>
      </c>
      <c r="J849" s="3">
        <v>45875</v>
      </c>
      <c r="K849" s="14">
        <v>6</v>
      </c>
      <c r="L849" s="17">
        <v>4</v>
      </c>
      <c r="M849" s="2" t="b">
        <v>0</v>
      </c>
      <c r="N849" s="2"/>
      <c r="O849" s="2" t="str">
        <f>IF(Table1[[#This Row],[is_returned]]=TRUE,IF(Table1[[#This Row],[return_reason]]="","Error","OK"),"OK")</f>
        <v>OK</v>
      </c>
      <c r="P849" s="8">
        <f>Table1[[#This Row],[original_price]]*Table1[[#This Row],[markdown_percentage]]/100</f>
        <v>19.304010000000002</v>
      </c>
      <c r="Q84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849" s="25">
        <f>Table1[[#This Row],[current_price]]*Table1[[#This Row],[stock_quantity]]</f>
        <v>503.58000000000004</v>
      </c>
    </row>
    <row r="850" spans="1:18" x14ac:dyDescent="0.25">
      <c r="A850" s="2" t="s">
        <v>903</v>
      </c>
      <c r="B850" s="2" t="s">
        <v>21</v>
      </c>
      <c r="C850" s="2" t="s">
        <v>61</v>
      </c>
      <c r="D850" s="2" t="s">
        <v>34</v>
      </c>
      <c r="E850" s="2" t="s">
        <v>24</v>
      </c>
      <c r="F850" s="2" t="s">
        <v>44</v>
      </c>
      <c r="G850" s="8">
        <v>100.48</v>
      </c>
      <c r="H850" s="11">
        <v>17.600000000000001</v>
      </c>
      <c r="I850" s="8">
        <v>82.8</v>
      </c>
      <c r="J850" s="3">
        <v>45875</v>
      </c>
      <c r="K850" s="14">
        <v>19</v>
      </c>
      <c r="L850" s="17"/>
      <c r="M850" s="2" t="b">
        <v>0</v>
      </c>
      <c r="N850" s="2"/>
      <c r="O850" s="2" t="str">
        <f>IF(Table1[[#This Row],[is_returned]]=TRUE,IF(Table1[[#This Row],[return_reason]]="","Error","OK"),"OK")</f>
        <v>OK</v>
      </c>
      <c r="P850" s="8">
        <f>Table1[[#This Row],[original_price]]*Table1[[#This Row],[markdown_percentage]]/100</f>
        <v>17.684480000000004</v>
      </c>
      <c r="Q85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850" s="25">
        <f>Table1[[#This Row],[current_price]]*Table1[[#This Row],[stock_quantity]]</f>
        <v>1573.2</v>
      </c>
    </row>
    <row r="851" spans="1:18" x14ac:dyDescent="0.25">
      <c r="A851" s="2" t="s">
        <v>904</v>
      </c>
      <c r="B851" s="2" t="s">
        <v>30</v>
      </c>
      <c r="C851" s="2" t="s">
        <v>53</v>
      </c>
      <c r="D851" s="2" t="s">
        <v>23</v>
      </c>
      <c r="E851" s="2" t="s">
        <v>18</v>
      </c>
      <c r="F851" s="2" t="s">
        <v>35</v>
      </c>
      <c r="G851" s="8">
        <v>160.87</v>
      </c>
      <c r="H851" s="11">
        <v>53.7</v>
      </c>
      <c r="I851" s="8">
        <v>74.48</v>
      </c>
      <c r="J851" s="3">
        <v>45875</v>
      </c>
      <c r="K851" s="14">
        <v>18</v>
      </c>
      <c r="L851" s="17"/>
      <c r="M851" s="2" t="b">
        <v>0</v>
      </c>
      <c r="N851" s="2"/>
      <c r="O851" s="2" t="str">
        <f>IF(Table1[[#This Row],[is_returned]]=TRUE,IF(Table1[[#This Row],[return_reason]]="","Error","OK"),"OK")</f>
        <v>OK</v>
      </c>
      <c r="P851" s="8">
        <f>Table1[[#This Row],[original_price]]*Table1[[#This Row],[markdown_percentage]]/100</f>
        <v>86.387190000000004</v>
      </c>
      <c r="Q85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851" s="25">
        <f>Table1[[#This Row],[current_price]]*Table1[[#This Row],[stock_quantity]]</f>
        <v>1340.64</v>
      </c>
    </row>
    <row r="852" spans="1:18" x14ac:dyDescent="0.25">
      <c r="A852" s="2" t="s">
        <v>905</v>
      </c>
      <c r="B852" s="2" t="s">
        <v>27</v>
      </c>
      <c r="C852" s="2" t="s">
        <v>43</v>
      </c>
      <c r="D852" s="2" t="s">
        <v>34</v>
      </c>
      <c r="E852" s="2"/>
      <c r="F852" s="2" t="s">
        <v>35</v>
      </c>
      <c r="G852" s="8">
        <v>78.39</v>
      </c>
      <c r="H852" s="11">
        <v>0</v>
      </c>
      <c r="I852" s="8">
        <v>78.39</v>
      </c>
      <c r="J852" s="3">
        <v>45875</v>
      </c>
      <c r="K852" s="14">
        <v>7</v>
      </c>
      <c r="L852" s="17">
        <v>4.2</v>
      </c>
      <c r="M852" s="2" t="b">
        <v>0</v>
      </c>
      <c r="N852" s="2"/>
      <c r="O852" s="2" t="str">
        <f>IF(Table1[[#This Row],[is_returned]]=TRUE,IF(Table1[[#This Row],[return_reason]]="","Error","OK"),"OK")</f>
        <v>OK</v>
      </c>
      <c r="P852" s="8">
        <f>Table1[[#This Row],[original_price]]*Table1[[#This Row],[markdown_percentage]]/100</f>
        <v>0</v>
      </c>
      <c r="Q85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852" s="25">
        <f>Table1[[#This Row],[current_price]]*Table1[[#This Row],[stock_quantity]]</f>
        <v>548.73</v>
      </c>
    </row>
    <row r="853" spans="1:18" x14ac:dyDescent="0.25">
      <c r="A853" s="2" t="s">
        <v>906</v>
      </c>
      <c r="B853" s="2" t="s">
        <v>15</v>
      </c>
      <c r="C853" s="2" t="s">
        <v>16</v>
      </c>
      <c r="D853" s="2" t="s">
        <v>17</v>
      </c>
      <c r="E853" s="2" t="s">
        <v>39</v>
      </c>
      <c r="F853" s="2" t="s">
        <v>56</v>
      </c>
      <c r="G853" s="8">
        <v>168.38</v>
      </c>
      <c r="H853" s="11">
        <v>23.1</v>
      </c>
      <c r="I853" s="8">
        <v>129.47999999999999</v>
      </c>
      <c r="J853" s="3">
        <v>45812</v>
      </c>
      <c r="K853" s="14">
        <v>3</v>
      </c>
      <c r="L853" s="17">
        <v>2</v>
      </c>
      <c r="M853" s="2" t="b">
        <v>0</v>
      </c>
      <c r="N853" s="2"/>
      <c r="O853" s="2" t="str">
        <f>IF(Table1[[#This Row],[is_returned]]=TRUE,IF(Table1[[#This Row],[return_reason]]="","Error","OK"),"OK")</f>
        <v>OK</v>
      </c>
      <c r="P853" s="8">
        <f>Table1[[#This Row],[original_price]]*Table1[[#This Row],[markdown_percentage]]/100</f>
        <v>38.895780000000002</v>
      </c>
      <c r="Q85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853" s="25">
        <f>Table1[[#This Row],[current_price]]*Table1[[#This Row],[stock_quantity]]</f>
        <v>388.43999999999994</v>
      </c>
    </row>
    <row r="854" spans="1:18" x14ac:dyDescent="0.25">
      <c r="A854" s="2" t="s">
        <v>907</v>
      </c>
      <c r="B854" s="2" t="s">
        <v>30</v>
      </c>
      <c r="C854" s="2" t="s">
        <v>32</v>
      </c>
      <c r="D854" s="2" t="s">
        <v>23</v>
      </c>
      <c r="E854" s="2" t="s">
        <v>39</v>
      </c>
      <c r="F854" s="2" t="s">
        <v>64</v>
      </c>
      <c r="G854" s="8">
        <v>128.35</v>
      </c>
      <c r="H854" s="11">
        <v>0</v>
      </c>
      <c r="I854" s="8">
        <v>128.35</v>
      </c>
      <c r="J854" s="3">
        <v>45875</v>
      </c>
      <c r="K854" s="14">
        <v>20</v>
      </c>
      <c r="L854" s="17">
        <v>2.5</v>
      </c>
      <c r="M854" s="2" t="b">
        <v>0</v>
      </c>
      <c r="N854" s="2"/>
      <c r="O854" s="2" t="str">
        <f>IF(Table1[[#This Row],[is_returned]]=TRUE,IF(Table1[[#This Row],[return_reason]]="","Error","OK"),"OK")</f>
        <v>OK</v>
      </c>
      <c r="P854" s="8">
        <f>Table1[[#This Row],[original_price]]*Table1[[#This Row],[markdown_percentage]]/100</f>
        <v>0</v>
      </c>
      <c r="Q85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854" s="25">
        <f>Table1[[#This Row],[current_price]]*Table1[[#This Row],[stock_quantity]]</f>
        <v>2567</v>
      </c>
    </row>
    <row r="855" spans="1:18" x14ac:dyDescent="0.25">
      <c r="A855" s="2" t="s">
        <v>908</v>
      </c>
      <c r="B855" s="2" t="s">
        <v>42</v>
      </c>
      <c r="C855" s="2" t="s">
        <v>22</v>
      </c>
      <c r="D855" s="2" t="s">
        <v>17</v>
      </c>
      <c r="E855" s="2" t="s">
        <v>18</v>
      </c>
      <c r="F855" s="2" t="s">
        <v>40</v>
      </c>
      <c r="G855" s="8">
        <v>138.16999999999999</v>
      </c>
      <c r="H855" s="11">
        <v>3</v>
      </c>
      <c r="I855" s="8">
        <v>134.02000000000001</v>
      </c>
      <c r="J855" s="3">
        <v>45751</v>
      </c>
      <c r="K855" s="14">
        <v>34</v>
      </c>
      <c r="L855" s="17">
        <v>4.0999999999999996</v>
      </c>
      <c r="M855" s="2" t="b">
        <v>0</v>
      </c>
      <c r="N855" s="2"/>
      <c r="O855" s="2" t="str">
        <f>IF(Table1[[#This Row],[is_returned]]=TRUE,IF(Table1[[#This Row],[return_reason]]="","Error","OK"),"OK")</f>
        <v>OK</v>
      </c>
      <c r="P855" s="8">
        <f>Table1[[#This Row],[original_price]]*Table1[[#This Row],[markdown_percentage]]/100</f>
        <v>4.1451000000000002</v>
      </c>
      <c r="Q85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855" s="25">
        <f>Table1[[#This Row],[current_price]]*Table1[[#This Row],[stock_quantity]]</f>
        <v>4556.68</v>
      </c>
    </row>
    <row r="856" spans="1:18" x14ac:dyDescent="0.25">
      <c r="A856" s="2" t="s">
        <v>909</v>
      </c>
      <c r="B856" s="2" t="s">
        <v>42</v>
      </c>
      <c r="C856" s="2" t="s">
        <v>22</v>
      </c>
      <c r="D856" s="2" t="s">
        <v>34</v>
      </c>
      <c r="E856" s="2" t="s">
        <v>58</v>
      </c>
      <c r="F856" s="2" t="s">
        <v>64</v>
      </c>
      <c r="G856" s="8">
        <v>52.45</v>
      </c>
      <c r="H856" s="11">
        <v>0</v>
      </c>
      <c r="I856" s="8">
        <v>52.45</v>
      </c>
      <c r="J856" s="3">
        <v>45875</v>
      </c>
      <c r="K856" s="14">
        <v>16</v>
      </c>
      <c r="L856" s="17">
        <v>1.7</v>
      </c>
      <c r="M856" s="2" t="b">
        <v>0</v>
      </c>
      <c r="N856" s="2"/>
      <c r="O856" s="2" t="str">
        <f>IF(Table1[[#This Row],[is_returned]]=TRUE,IF(Table1[[#This Row],[return_reason]]="","Error","OK"),"OK")</f>
        <v>OK</v>
      </c>
      <c r="P856" s="8">
        <f>Table1[[#This Row],[original_price]]*Table1[[#This Row],[markdown_percentage]]/100</f>
        <v>0</v>
      </c>
      <c r="Q85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856" s="25">
        <f>Table1[[#This Row],[current_price]]*Table1[[#This Row],[stock_quantity]]</f>
        <v>839.2</v>
      </c>
    </row>
    <row r="857" spans="1:18" x14ac:dyDescent="0.25">
      <c r="A857" s="2" t="s">
        <v>910</v>
      </c>
      <c r="B857" s="2" t="s">
        <v>30</v>
      </c>
      <c r="C857" s="2" t="s">
        <v>48</v>
      </c>
      <c r="D857" s="2" t="s">
        <v>23</v>
      </c>
      <c r="E857" s="2" t="s">
        <v>55</v>
      </c>
      <c r="F857" s="2" t="s">
        <v>35</v>
      </c>
      <c r="G857" s="8">
        <v>171.53</v>
      </c>
      <c r="H857" s="11">
        <v>0</v>
      </c>
      <c r="I857" s="8">
        <v>171.53</v>
      </c>
      <c r="J857" s="3">
        <v>45875</v>
      </c>
      <c r="K857" s="14">
        <v>12</v>
      </c>
      <c r="L857" s="17">
        <v>4.8</v>
      </c>
      <c r="M857" s="2" t="b">
        <v>0</v>
      </c>
      <c r="N857" s="2"/>
      <c r="O857" s="2" t="str">
        <f>IF(Table1[[#This Row],[is_returned]]=TRUE,IF(Table1[[#This Row],[return_reason]]="","Error","OK"),"OK")</f>
        <v>OK</v>
      </c>
      <c r="P857" s="8">
        <f>Table1[[#This Row],[original_price]]*Table1[[#This Row],[markdown_percentage]]/100</f>
        <v>0</v>
      </c>
      <c r="Q85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857" s="25">
        <f>Table1[[#This Row],[current_price]]*Table1[[#This Row],[stock_quantity]]</f>
        <v>2058.36</v>
      </c>
    </row>
    <row r="858" spans="1:18" x14ac:dyDescent="0.25">
      <c r="A858" s="2" t="s">
        <v>911</v>
      </c>
      <c r="B858" s="2" t="s">
        <v>21</v>
      </c>
      <c r="C858" s="2" t="s">
        <v>43</v>
      </c>
      <c r="D858" s="2" t="s">
        <v>34</v>
      </c>
      <c r="E858" s="2" t="s">
        <v>49</v>
      </c>
      <c r="F858" s="2" t="s">
        <v>70</v>
      </c>
      <c r="G858" s="8">
        <v>81.23</v>
      </c>
      <c r="H858" s="11">
        <v>1.2</v>
      </c>
      <c r="I858" s="8">
        <v>80.260000000000005</v>
      </c>
      <c r="J858" s="3">
        <v>45875</v>
      </c>
      <c r="K858" s="14">
        <v>10</v>
      </c>
      <c r="L858" s="17">
        <v>4.9000000000000004</v>
      </c>
      <c r="M858" s="2" t="b">
        <v>0</v>
      </c>
      <c r="N858" s="2"/>
      <c r="O858" s="2" t="str">
        <f>IF(Table1[[#This Row],[is_returned]]=TRUE,IF(Table1[[#This Row],[return_reason]]="","Error","OK"),"OK")</f>
        <v>OK</v>
      </c>
      <c r="P858" s="8">
        <f>Table1[[#This Row],[original_price]]*Table1[[#This Row],[markdown_percentage]]/100</f>
        <v>0.97475999999999996</v>
      </c>
      <c r="Q85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858" s="25">
        <f>Table1[[#This Row],[current_price]]*Table1[[#This Row],[stock_quantity]]</f>
        <v>802.6</v>
      </c>
    </row>
    <row r="859" spans="1:18" x14ac:dyDescent="0.25">
      <c r="A859" s="2" t="s">
        <v>912</v>
      </c>
      <c r="B859" s="2" t="s">
        <v>27</v>
      </c>
      <c r="C859" s="2" t="s">
        <v>32</v>
      </c>
      <c r="D859" s="2" t="s">
        <v>17</v>
      </c>
      <c r="E859" s="2"/>
      <c r="F859" s="2" t="s">
        <v>44</v>
      </c>
      <c r="G859" s="8">
        <v>31.37</v>
      </c>
      <c r="H859" s="11">
        <v>44.1</v>
      </c>
      <c r="I859" s="8">
        <v>17.54</v>
      </c>
      <c r="J859" s="3">
        <v>45548</v>
      </c>
      <c r="K859" s="14">
        <v>11</v>
      </c>
      <c r="L859" s="17">
        <v>3.4</v>
      </c>
      <c r="M859" s="2" t="b">
        <v>0</v>
      </c>
      <c r="N859" s="2"/>
      <c r="O859" s="2" t="str">
        <f>IF(Table1[[#This Row],[is_returned]]=TRUE,IF(Table1[[#This Row],[return_reason]]="","Error","OK"),"OK")</f>
        <v>OK</v>
      </c>
      <c r="P859" s="8">
        <f>Table1[[#This Row],[original_price]]*Table1[[#This Row],[markdown_percentage]]/100</f>
        <v>13.834170000000002</v>
      </c>
      <c r="Q85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859" s="25">
        <f>Table1[[#This Row],[current_price]]*Table1[[#This Row],[stock_quantity]]</f>
        <v>192.94</v>
      </c>
    </row>
    <row r="860" spans="1:18" x14ac:dyDescent="0.25">
      <c r="A860" s="2" t="s">
        <v>913</v>
      </c>
      <c r="B860" s="2" t="s">
        <v>38</v>
      </c>
      <c r="C860" s="2" t="s">
        <v>61</v>
      </c>
      <c r="D860" s="2" t="s">
        <v>17</v>
      </c>
      <c r="E860" s="2" t="s">
        <v>39</v>
      </c>
      <c r="F860" s="2" t="s">
        <v>19</v>
      </c>
      <c r="G860" s="8">
        <v>93.89</v>
      </c>
      <c r="H860" s="11">
        <v>0</v>
      </c>
      <c r="I860" s="8">
        <v>93.89</v>
      </c>
      <c r="J860" s="3">
        <v>45691</v>
      </c>
      <c r="K860" s="14">
        <v>3</v>
      </c>
      <c r="L860" s="17">
        <v>1.8</v>
      </c>
      <c r="M860" s="2" t="b">
        <v>0</v>
      </c>
      <c r="N860" s="2"/>
      <c r="O860" s="2" t="str">
        <f>IF(Table1[[#This Row],[is_returned]]=TRUE,IF(Table1[[#This Row],[return_reason]]="","Error","OK"),"OK")</f>
        <v>OK</v>
      </c>
      <c r="P860" s="8">
        <f>Table1[[#This Row],[original_price]]*Table1[[#This Row],[markdown_percentage]]/100</f>
        <v>0</v>
      </c>
      <c r="Q86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860" s="25">
        <f>Table1[[#This Row],[current_price]]*Table1[[#This Row],[stock_quantity]]</f>
        <v>281.67</v>
      </c>
    </row>
    <row r="861" spans="1:18" x14ac:dyDescent="0.25">
      <c r="A861" s="2" t="s">
        <v>914</v>
      </c>
      <c r="B861" s="2" t="s">
        <v>38</v>
      </c>
      <c r="C861" s="2" t="s">
        <v>22</v>
      </c>
      <c r="D861" s="2" t="s">
        <v>17</v>
      </c>
      <c r="E861" s="2" t="s">
        <v>18</v>
      </c>
      <c r="F861" s="2" t="s">
        <v>40</v>
      </c>
      <c r="G861" s="8">
        <v>54.84</v>
      </c>
      <c r="H861" s="11">
        <v>0</v>
      </c>
      <c r="I861" s="8">
        <v>54.84</v>
      </c>
      <c r="J861" s="3">
        <v>45557</v>
      </c>
      <c r="K861" s="14">
        <v>12</v>
      </c>
      <c r="L861" s="17">
        <v>3.2</v>
      </c>
      <c r="M861" s="2" t="b">
        <v>0</v>
      </c>
      <c r="N861" s="2"/>
      <c r="O861" s="2" t="str">
        <f>IF(Table1[[#This Row],[is_returned]]=TRUE,IF(Table1[[#This Row],[return_reason]]="","Error","OK"),"OK")</f>
        <v>OK</v>
      </c>
      <c r="P861" s="8">
        <f>Table1[[#This Row],[original_price]]*Table1[[#This Row],[markdown_percentage]]/100</f>
        <v>0</v>
      </c>
      <c r="Q86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861" s="25">
        <f>Table1[[#This Row],[current_price]]*Table1[[#This Row],[stock_quantity]]</f>
        <v>658.08</v>
      </c>
    </row>
    <row r="862" spans="1:18" x14ac:dyDescent="0.25">
      <c r="A862" s="2" t="s">
        <v>915</v>
      </c>
      <c r="B862" s="2" t="s">
        <v>42</v>
      </c>
      <c r="C862" s="2" t="s">
        <v>16</v>
      </c>
      <c r="D862" s="2" t="s">
        <v>23</v>
      </c>
      <c r="E862" s="2" t="s">
        <v>24</v>
      </c>
      <c r="F862" s="2" t="s">
        <v>19</v>
      </c>
      <c r="G862" s="8">
        <v>140.34</v>
      </c>
      <c r="H862" s="11">
        <v>0</v>
      </c>
      <c r="I862" s="8">
        <v>140.34</v>
      </c>
      <c r="J862" s="3">
        <v>45875</v>
      </c>
      <c r="K862" s="14">
        <v>23</v>
      </c>
      <c r="L862" s="17">
        <v>2.8</v>
      </c>
      <c r="M862" s="2" t="b">
        <v>1</v>
      </c>
      <c r="N862" s="2" t="s">
        <v>115</v>
      </c>
      <c r="O862" s="2" t="str">
        <f>IF(Table1[[#This Row],[is_returned]]=TRUE,IF(Table1[[#This Row],[return_reason]]="","Error","OK"),"OK")</f>
        <v>OK</v>
      </c>
      <c r="P862" s="8">
        <f>Table1[[#This Row],[original_price]]*Table1[[#This Row],[markdown_percentage]]/100</f>
        <v>0</v>
      </c>
      <c r="Q86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862" s="25">
        <f>Table1[[#This Row],[current_price]]*Table1[[#This Row],[stock_quantity]]</f>
        <v>3227.82</v>
      </c>
    </row>
    <row r="863" spans="1:18" x14ac:dyDescent="0.25">
      <c r="A863" s="2" t="s">
        <v>916</v>
      </c>
      <c r="B863" s="2" t="s">
        <v>21</v>
      </c>
      <c r="C863" s="2" t="s">
        <v>32</v>
      </c>
      <c r="D863" s="2" t="s">
        <v>34</v>
      </c>
      <c r="E863" s="2" t="s">
        <v>58</v>
      </c>
      <c r="F863" s="2" t="s">
        <v>19</v>
      </c>
      <c r="G863" s="8">
        <v>51.88</v>
      </c>
      <c r="H863" s="11">
        <v>16.8</v>
      </c>
      <c r="I863" s="8">
        <v>43.16</v>
      </c>
      <c r="J863" s="3">
        <v>45875</v>
      </c>
      <c r="K863" s="14">
        <v>30</v>
      </c>
      <c r="L863" s="17">
        <v>1.5</v>
      </c>
      <c r="M863" s="2" t="b">
        <v>0</v>
      </c>
      <c r="N863" s="2"/>
      <c r="O863" s="2" t="str">
        <f>IF(Table1[[#This Row],[is_returned]]=TRUE,IF(Table1[[#This Row],[return_reason]]="","Error","OK"),"OK")</f>
        <v>OK</v>
      </c>
      <c r="P863" s="8">
        <f>Table1[[#This Row],[original_price]]*Table1[[#This Row],[markdown_percentage]]/100</f>
        <v>8.71584</v>
      </c>
      <c r="Q86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863" s="25">
        <f>Table1[[#This Row],[current_price]]*Table1[[#This Row],[stock_quantity]]</f>
        <v>1294.8</v>
      </c>
    </row>
    <row r="864" spans="1:18" x14ac:dyDescent="0.25">
      <c r="A864" s="2" t="s">
        <v>917</v>
      </c>
      <c r="B864" s="2" t="s">
        <v>42</v>
      </c>
      <c r="C864" s="2" t="s">
        <v>43</v>
      </c>
      <c r="D864" s="2" t="s">
        <v>17</v>
      </c>
      <c r="E864" s="2" t="s">
        <v>39</v>
      </c>
      <c r="F864" s="2" t="s">
        <v>66</v>
      </c>
      <c r="G864" s="8">
        <v>136.19999999999999</v>
      </c>
      <c r="H864" s="11">
        <v>44.3</v>
      </c>
      <c r="I864" s="8">
        <v>75.86</v>
      </c>
      <c r="J864" s="3">
        <v>45617</v>
      </c>
      <c r="K864" s="14">
        <v>49</v>
      </c>
      <c r="L864" s="17"/>
      <c r="M864" s="2" t="b">
        <v>0</v>
      </c>
      <c r="N864" s="2"/>
      <c r="O864" s="2" t="str">
        <f>IF(Table1[[#This Row],[is_returned]]=TRUE,IF(Table1[[#This Row],[return_reason]]="","Error","OK"),"OK")</f>
        <v>OK</v>
      </c>
      <c r="P864" s="8">
        <f>Table1[[#This Row],[original_price]]*Table1[[#This Row],[markdown_percentage]]/100</f>
        <v>60.33659999999999</v>
      </c>
      <c r="Q86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864" s="25">
        <f>Table1[[#This Row],[current_price]]*Table1[[#This Row],[stock_quantity]]</f>
        <v>3717.14</v>
      </c>
    </row>
    <row r="865" spans="1:18" x14ac:dyDescent="0.25">
      <c r="A865" s="2" t="s">
        <v>918</v>
      </c>
      <c r="B865" s="2" t="s">
        <v>27</v>
      </c>
      <c r="C865" s="2" t="s">
        <v>48</v>
      </c>
      <c r="D865" s="2" t="s">
        <v>62</v>
      </c>
      <c r="E865" s="2"/>
      <c r="F865" s="2" t="s">
        <v>70</v>
      </c>
      <c r="G865" s="8">
        <v>71.19</v>
      </c>
      <c r="H865" s="11">
        <v>0</v>
      </c>
      <c r="I865" s="8">
        <v>71.19</v>
      </c>
      <c r="J865" s="3">
        <v>45875</v>
      </c>
      <c r="K865" s="14">
        <v>14</v>
      </c>
      <c r="L865" s="17">
        <v>2.8</v>
      </c>
      <c r="M865" s="2" t="b">
        <v>0</v>
      </c>
      <c r="N865" s="2"/>
      <c r="O865" s="2" t="str">
        <f>IF(Table1[[#This Row],[is_returned]]=TRUE,IF(Table1[[#This Row],[return_reason]]="","Error","OK"),"OK")</f>
        <v>OK</v>
      </c>
      <c r="P865" s="8">
        <f>Table1[[#This Row],[original_price]]*Table1[[#This Row],[markdown_percentage]]/100</f>
        <v>0</v>
      </c>
      <c r="Q86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865" s="25">
        <f>Table1[[#This Row],[current_price]]*Table1[[#This Row],[stock_quantity]]</f>
        <v>996.66</v>
      </c>
    </row>
    <row r="866" spans="1:18" x14ac:dyDescent="0.25">
      <c r="A866" s="2" t="s">
        <v>919</v>
      </c>
      <c r="B866" s="2" t="s">
        <v>15</v>
      </c>
      <c r="C866" s="2" t="s">
        <v>75</v>
      </c>
      <c r="D866" s="2" t="s">
        <v>17</v>
      </c>
      <c r="E866" s="2" t="s">
        <v>39</v>
      </c>
      <c r="F866" s="2" t="s">
        <v>64</v>
      </c>
      <c r="G866" s="8">
        <v>241.37</v>
      </c>
      <c r="H866" s="11">
        <v>44.9</v>
      </c>
      <c r="I866" s="8">
        <v>132.99</v>
      </c>
      <c r="J866" s="3">
        <v>45792</v>
      </c>
      <c r="K866" s="14">
        <v>23</v>
      </c>
      <c r="L866" s="17">
        <v>2.1</v>
      </c>
      <c r="M866" s="2" t="b">
        <v>0</v>
      </c>
      <c r="N866" s="2"/>
      <c r="O866" s="2" t="str">
        <f>IF(Table1[[#This Row],[is_returned]]=TRUE,IF(Table1[[#This Row],[return_reason]]="","Error","OK"),"OK")</f>
        <v>OK</v>
      </c>
      <c r="P866" s="8">
        <f>Table1[[#This Row],[original_price]]*Table1[[#This Row],[markdown_percentage]]/100</f>
        <v>108.37512999999998</v>
      </c>
      <c r="Q86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866" s="25">
        <f>Table1[[#This Row],[current_price]]*Table1[[#This Row],[stock_quantity]]</f>
        <v>3058.7700000000004</v>
      </c>
    </row>
    <row r="867" spans="1:18" x14ac:dyDescent="0.25">
      <c r="A867" s="2" t="s">
        <v>920</v>
      </c>
      <c r="B867" s="2" t="s">
        <v>15</v>
      </c>
      <c r="C867" s="2" t="s">
        <v>61</v>
      </c>
      <c r="D867" s="2" t="s">
        <v>34</v>
      </c>
      <c r="E867" s="2" t="s">
        <v>49</v>
      </c>
      <c r="F867" s="2" t="s">
        <v>44</v>
      </c>
      <c r="G867" s="8">
        <v>198.26</v>
      </c>
      <c r="H867" s="11">
        <v>51.3</v>
      </c>
      <c r="I867" s="8">
        <v>96.55</v>
      </c>
      <c r="J867" s="3">
        <v>45875</v>
      </c>
      <c r="K867" s="14">
        <v>38</v>
      </c>
      <c r="L867" s="17"/>
      <c r="M867" s="2" t="b">
        <v>0</v>
      </c>
      <c r="N867" s="2"/>
      <c r="O867" s="2" t="str">
        <f>IF(Table1[[#This Row],[is_returned]]=TRUE,IF(Table1[[#This Row],[return_reason]]="","Error","OK"),"OK")</f>
        <v>OK</v>
      </c>
      <c r="P867" s="8">
        <f>Table1[[#This Row],[original_price]]*Table1[[#This Row],[markdown_percentage]]/100</f>
        <v>101.70738</v>
      </c>
      <c r="Q86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867" s="25">
        <f>Table1[[#This Row],[current_price]]*Table1[[#This Row],[stock_quantity]]</f>
        <v>3668.9</v>
      </c>
    </row>
    <row r="868" spans="1:18" x14ac:dyDescent="0.25">
      <c r="A868" s="2" t="s">
        <v>921</v>
      </c>
      <c r="B868" s="2" t="s">
        <v>38</v>
      </c>
      <c r="C868" s="2" t="s">
        <v>53</v>
      </c>
      <c r="D868" s="2" t="s">
        <v>23</v>
      </c>
      <c r="E868" s="2" t="s">
        <v>49</v>
      </c>
      <c r="F868" s="2" t="s">
        <v>56</v>
      </c>
      <c r="G868" s="8">
        <v>64.069999999999993</v>
      </c>
      <c r="H868" s="11">
        <v>0</v>
      </c>
      <c r="I868" s="8">
        <v>64.069999999999993</v>
      </c>
      <c r="J868" s="3">
        <v>45875</v>
      </c>
      <c r="K868" s="14">
        <v>34</v>
      </c>
      <c r="L868" s="17"/>
      <c r="M868" s="2" t="b">
        <v>0</v>
      </c>
      <c r="N868" s="2"/>
      <c r="O868" s="2" t="str">
        <f>IF(Table1[[#This Row],[is_returned]]=TRUE,IF(Table1[[#This Row],[return_reason]]="","Error","OK"),"OK")</f>
        <v>OK</v>
      </c>
      <c r="P868" s="8">
        <f>Table1[[#This Row],[original_price]]*Table1[[#This Row],[markdown_percentage]]/100</f>
        <v>0</v>
      </c>
      <c r="Q86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868" s="25">
        <f>Table1[[#This Row],[current_price]]*Table1[[#This Row],[stock_quantity]]</f>
        <v>2178.3799999999997</v>
      </c>
    </row>
    <row r="869" spans="1:18" x14ac:dyDescent="0.25">
      <c r="A869" s="2" t="s">
        <v>922</v>
      </c>
      <c r="B869" s="2" t="s">
        <v>38</v>
      </c>
      <c r="C869" s="2" t="s">
        <v>16</v>
      </c>
      <c r="D869" s="2" t="s">
        <v>34</v>
      </c>
      <c r="E869" s="2" t="s">
        <v>18</v>
      </c>
      <c r="F869" s="2" t="s">
        <v>40</v>
      </c>
      <c r="G869" s="8">
        <v>110.15</v>
      </c>
      <c r="H869" s="11">
        <v>10.4</v>
      </c>
      <c r="I869" s="8">
        <v>98.69</v>
      </c>
      <c r="J869" s="3">
        <v>45875</v>
      </c>
      <c r="K869" s="14">
        <v>36</v>
      </c>
      <c r="L869" s="17">
        <v>1.6</v>
      </c>
      <c r="M869" s="2" t="b">
        <v>0</v>
      </c>
      <c r="N869" s="2"/>
      <c r="O869" s="2" t="str">
        <f>IF(Table1[[#This Row],[is_returned]]=TRUE,IF(Table1[[#This Row],[return_reason]]="","Error","OK"),"OK")</f>
        <v>OK</v>
      </c>
      <c r="P869" s="8">
        <f>Table1[[#This Row],[original_price]]*Table1[[#This Row],[markdown_percentage]]/100</f>
        <v>11.455600000000002</v>
      </c>
      <c r="Q86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869" s="25">
        <f>Table1[[#This Row],[current_price]]*Table1[[#This Row],[stock_quantity]]</f>
        <v>3552.84</v>
      </c>
    </row>
    <row r="870" spans="1:18" x14ac:dyDescent="0.25">
      <c r="A870" s="2" t="s">
        <v>923</v>
      </c>
      <c r="B870" s="2" t="s">
        <v>15</v>
      </c>
      <c r="C870" s="2" t="s">
        <v>75</v>
      </c>
      <c r="D870" s="2" t="s">
        <v>17</v>
      </c>
      <c r="E870" s="2" t="s">
        <v>55</v>
      </c>
      <c r="F870" s="2" t="s">
        <v>44</v>
      </c>
      <c r="G870" s="8">
        <v>120.68</v>
      </c>
      <c r="H870" s="11">
        <v>0</v>
      </c>
      <c r="I870" s="8">
        <v>120.68</v>
      </c>
      <c r="J870" s="3">
        <v>45647</v>
      </c>
      <c r="K870" s="14">
        <v>6</v>
      </c>
      <c r="L870" s="17">
        <v>1.9</v>
      </c>
      <c r="M870" s="2" t="b">
        <v>0</v>
      </c>
      <c r="N870" s="2"/>
      <c r="O870" s="2" t="str">
        <f>IF(Table1[[#This Row],[is_returned]]=TRUE,IF(Table1[[#This Row],[return_reason]]="","Error","OK"),"OK")</f>
        <v>OK</v>
      </c>
      <c r="P870" s="8">
        <f>Table1[[#This Row],[original_price]]*Table1[[#This Row],[markdown_percentage]]/100</f>
        <v>0</v>
      </c>
      <c r="Q87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870" s="25">
        <f>Table1[[#This Row],[current_price]]*Table1[[#This Row],[stock_quantity]]</f>
        <v>724.08</v>
      </c>
    </row>
    <row r="871" spans="1:18" x14ac:dyDescent="0.25">
      <c r="A871" s="2" t="s">
        <v>924</v>
      </c>
      <c r="B871" s="2" t="s">
        <v>27</v>
      </c>
      <c r="C871" s="2" t="s">
        <v>16</v>
      </c>
      <c r="D871" s="2" t="s">
        <v>34</v>
      </c>
      <c r="E871" s="2"/>
      <c r="F871" s="2" t="s">
        <v>28</v>
      </c>
      <c r="G871" s="8">
        <v>69.180000000000007</v>
      </c>
      <c r="H871" s="11">
        <v>31</v>
      </c>
      <c r="I871" s="8">
        <v>47.73</v>
      </c>
      <c r="J871" s="3">
        <v>45875</v>
      </c>
      <c r="K871" s="14">
        <v>9</v>
      </c>
      <c r="L871" s="17">
        <v>2.7</v>
      </c>
      <c r="M871" s="2" t="b">
        <v>1</v>
      </c>
      <c r="N871" s="2" t="s">
        <v>73</v>
      </c>
      <c r="O871" s="2" t="str">
        <f>IF(Table1[[#This Row],[is_returned]]=TRUE,IF(Table1[[#This Row],[return_reason]]="","Error","OK"),"OK")</f>
        <v>OK</v>
      </c>
      <c r="P871" s="8">
        <f>Table1[[#This Row],[original_price]]*Table1[[#This Row],[markdown_percentage]]/100</f>
        <v>21.445800000000006</v>
      </c>
      <c r="Q87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871" s="25">
        <f>Table1[[#This Row],[current_price]]*Table1[[#This Row],[stock_quantity]]</f>
        <v>429.57</v>
      </c>
    </row>
    <row r="872" spans="1:18" x14ac:dyDescent="0.25">
      <c r="A872" s="2" t="s">
        <v>925</v>
      </c>
      <c r="B872" s="2" t="s">
        <v>42</v>
      </c>
      <c r="C872" s="2" t="s">
        <v>53</v>
      </c>
      <c r="D872" s="2" t="s">
        <v>34</v>
      </c>
      <c r="E872" s="2" t="s">
        <v>24</v>
      </c>
      <c r="F872" s="2" t="s">
        <v>19</v>
      </c>
      <c r="G872" s="8">
        <v>134.77000000000001</v>
      </c>
      <c r="H872" s="11">
        <v>0</v>
      </c>
      <c r="I872" s="8">
        <v>134.77000000000001</v>
      </c>
      <c r="J872" s="3">
        <v>45875</v>
      </c>
      <c r="K872" s="14">
        <v>36</v>
      </c>
      <c r="L872" s="17">
        <v>4.8</v>
      </c>
      <c r="M872" s="2" t="b">
        <v>0</v>
      </c>
      <c r="N872" s="2"/>
      <c r="O872" s="2" t="str">
        <f>IF(Table1[[#This Row],[is_returned]]=TRUE,IF(Table1[[#This Row],[return_reason]]="","Error","OK"),"OK")</f>
        <v>OK</v>
      </c>
      <c r="P872" s="8">
        <f>Table1[[#This Row],[original_price]]*Table1[[#This Row],[markdown_percentage]]/100</f>
        <v>0</v>
      </c>
      <c r="Q87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872" s="25">
        <f>Table1[[#This Row],[current_price]]*Table1[[#This Row],[stock_quantity]]</f>
        <v>4851.72</v>
      </c>
    </row>
    <row r="873" spans="1:18" x14ac:dyDescent="0.25">
      <c r="A873" s="2" t="s">
        <v>926</v>
      </c>
      <c r="B873" s="2" t="s">
        <v>21</v>
      </c>
      <c r="C873" s="2" t="s">
        <v>22</v>
      </c>
      <c r="D873" s="2" t="s">
        <v>17</v>
      </c>
      <c r="E873" s="2" t="s">
        <v>39</v>
      </c>
      <c r="F873" s="2" t="s">
        <v>28</v>
      </c>
      <c r="G873" s="8">
        <v>29.93</v>
      </c>
      <c r="H873" s="11">
        <v>0</v>
      </c>
      <c r="I873" s="8">
        <v>29.93</v>
      </c>
      <c r="J873" s="3">
        <v>45575</v>
      </c>
      <c r="K873" s="14">
        <v>13</v>
      </c>
      <c r="L873" s="17"/>
      <c r="M873" s="2" t="b">
        <v>0</v>
      </c>
      <c r="N873" s="2"/>
      <c r="O873" s="2" t="str">
        <f>IF(Table1[[#This Row],[is_returned]]=TRUE,IF(Table1[[#This Row],[return_reason]]="","Error","OK"),"OK")</f>
        <v>OK</v>
      </c>
      <c r="P873" s="8">
        <f>Table1[[#This Row],[original_price]]*Table1[[#This Row],[markdown_percentage]]/100</f>
        <v>0</v>
      </c>
      <c r="Q87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873" s="25">
        <f>Table1[[#This Row],[current_price]]*Table1[[#This Row],[stock_quantity]]</f>
        <v>389.09</v>
      </c>
    </row>
    <row r="874" spans="1:18" x14ac:dyDescent="0.25">
      <c r="A874" s="2" t="s">
        <v>927</v>
      </c>
      <c r="B874" s="2" t="s">
        <v>27</v>
      </c>
      <c r="C874" s="2" t="s">
        <v>61</v>
      </c>
      <c r="D874" s="2" t="s">
        <v>23</v>
      </c>
      <c r="E874" s="2"/>
      <c r="F874" s="2" t="s">
        <v>35</v>
      </c>
      <c r="G874" s="8">
        <v>56.09</v>
      </c>
      <c r="H874" s="11">
        <v>0</v>
      </c>
      <c r="I874" s="8">
        <v>56.09</v>
      </c>
      <c r="J874" s="3">
        <v>45875</v>
      </c>
      <c r="K874" s="14">
        <v>21</v>
      </c>
      <c r="L874" s="17">
        <v>4.9000000000000004</v>
      </c>
      <c r="M874" s="2" t="b">
        <v>0</v>
      </c>
      <c r="N874" s="2"/>
      <c r="O874" s="2" t="str">
        <f>IF(Table1[[#This Row],[is_returned]]=TRUE,IF(Table1[[#This Row],[return_reason]]="","Error","OK"),"OK")</f>
        <v>OK</v>
      </c>
      <c r="P874" s="8">
        <f>Table1[[#This Row],[original_price]]*Table1[[#This Row],[markdown_percentage]]/100</f>
        <v>0</v>
      </c>
      <c r="Q87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874" s="25">
        <f>Table1[[#This Row],[current_price]]*Table1[[#This Row],[stock_quantity]]</f>
        <v>1177.8900000000001</v>
      </c>
    </row>
    <row r="875" spans="1:18" x14ac:dyDescent="0.25">
      <c r="A875" s="2" t="s">
        <v>928</v>
      </c>
      <c r="B875" s="2" t="s">
        <v>30</v>
      </c>
      <c r="C875" s="2" t="s">
        <v>61</v>
      </c>
      <c r="D875" s="2" t="s">
        <v>34</v>
      </c>
      <c r="E875" s="2" t="s">
        <v>55</v>
      </c>
      <c r="F875" s="2" t="s">
        <v>46</v>
      </c>
      <c r="G875" s="8">
        <v>124.81</v>
      </c>
      <c r="H875" s="11">
        <v>33.1</v>
      </c>
      <c r="I875" s="8">
        <v>83.5</v>
      </c>
      <c r="J875" s="3">
        <v>45875</v>
      </c>
      <c r="K875" s="14">
        <v>45</v>
      </c>
      <c r="L875" s="17">
        <v>2.4</v>
      </c>
      <c r="M875" s="2" t="b">
        <v>0</v>
      </c>
      <c r="N875" s="2"/>
      <c r="O875" s="2" t="str">
        <f>IF(Table1[[#This Row],[is_returned]]=TRUE,IF(Table1[[#This Row],[return_reason]]="","Error","OK"),"OK")</f>
        <v>OK</v>
      </c>
      <c r="P875" s="8">
        <f>Table1[[#This Row],[original_price]]*Table1[[#This Row],[markdown_percentage]]/100</f>
        <v>41.312110000000004</v>
      </c>
      <c r="Q87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875" s="25">
        <f>Table1[[#This Row],[current_price]]*Table1[[#This Row],[stock_quantity]]</f>
        <v>3757.5</v>
      </c>
    </row>
    <row r="876" spans="1:18" x14ac:dyDescent="0.25">
      <c r="A876" s="2" t="s">
        <v>929</v>
      </c>
      <c r="B876" s="2" t="s">
        <v>42</v>
      </c>
      <c r="C876" s="2" t="s">
        <v>16</v>
      </c>
      <c r="D876" s="2" t="s">
        <v>17</v>
      </c>
      <c r="E876" s="2" t="s">
        <v>58</v>
      </c>
      <c r="F876" s="2" t="s">
        <v>35</v>
      </c>
      <c r="G876" s="8">
        <v>94.03</v>
      </c>
      <c r="H876" s="11">
        <v>56.1</v>
      </c>
      <c r="I876" s="8">
        <v>41.28</v>
      </c>
      <c r="J876" s="3">
        <v>45642</v>
      </c>
      <c r="K876" s="14">
        <v>16</v>
      </c>
      <c r="L876" s="17">
        <v>1.2</v>
      </c>
      <c r="M876" s="2" t="b">
        <v>0</v>
      </c>
      <c r="N876" s="2"/>
      <c r="O876" s="2" t="str">
        <f>IF(Table1[[#This Row],[is_returned]]=TRUE,IF(Table1[[#This Row],[return_reason]]="","Error","OK"),"OK")</f>
        <v>OK</v>
      </c>
      <c r="P876" s="8">
        <f>Table1[[#This Row],[original_price]]*Table1[[#This Row],[markdown_percentage]]/100</f>
        <v>52.750830000000008</v>
      </c>
      <c r="Q87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876" s="25">
        <f>Table1[[#This Row],[current_price]]*Table1[[#This Row],[stock_quantity]]</f>
        <v>660.48</v>
      </c>
    </row>
    <row r="877" spans="1:18" x14ac:dyDescent="0.25">
      <c r="A877" s="2" t="s">
        <v>930</v>
      </c>
      <c r="B877" s="2" t="s">
        <v>30</v>
      </c>
      <c r="C877" s="2" t="s">
        <v>16</v>
      </c>
      <c r="D877" s="2" t="s">
        <v>34</v>
      </c>
      <c r="E877" s="2" t="s">
        <v>55</v>
      </c>
      <c r="F877" s="2" t="s">
        <v>19</v>
      </c>
      <c r="G877" s="8">
        <v>109.51</v>
      </c>
      <c r="H877" s="11">
        <v>8.1999999999999993</v>
      </c>
      <c r="I877" s="8">
        <v>100.53</v>
      </c>
      <c r="J877" s="3">
        <v>45875</v>
      </c>
      <c r="K877" s="14">
        <v>12</v>
      </c>
      <c r="L877" s="17"/>
      <c r="M877" s="2" t="b">
        <v>0</v>
      </c>
      <c r="N877" s="2"/>
      <c r="O877" s="2" t="str">
        <f>IF(Table1[[#This Row],[is_returned]]=TRUE,IF(Table1[[#This Row],[return_reason]]="","Error","OK"),"OK")</f>
        <v>OK</v>
      </c>
      <c r="P877" s="8">
        <f>Table1[[#This Row],[original_price]]*Table1[[#This Row],[markdown_percentage]]/100</f>
        <v>8.9798200000000001</v>
      </c>
      <c r="Q87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877" s="25">
        <f>Table1[[#This Row],[current_price]]*Table1[[#This Row],[stock_quantity]]</f>
        <v>1206.3600000000001</v>
      </c>
    </row>
    <row r="878" spans="1:18" x14ac:dyDescent="0.25">
      <c r="A878" s="2" t="s">
        <v>931</v>
      </c>
      <c r="B878" s="2" t="s">
        <v>27</v>
      </c>
      <c r="C878" s="2" t="s">
        <v>43</v>
      </c>
      <c r="D878" s="2" t="s">
        <v>23</v>
      </c>
      <c r="E878" s="2"/>
      <c r="F878" s="2" t="s">
        <v>64</v>
      </c>
      <c r="G878" s="8">
        <v>31.13</v>
      </c>
      <c r="H878" s="11">
        <v>0</v>
      </c>
      <c r="I878" s="8">
        <v>31.13</v>
      </c>
      <c r="J878" s="3">
        <v>45875</v>
      </c>
      <c r="K878" s="14">
        <v>29</v>
      </c>
      <c r="L878" s="17">
        <v>4.7</v>
      </c>
      <c r="M878" s="2" t="b">
        <v>0</v>
      </c>
      <c r="N878" s="2"/>
      <c r="O878" s="2" t="str">
        <f>IF(Table1[[#This Row],[is_returned]]=TRUE,IF(Table1[[#This Row],[return_reason]]="","Error","OK"),"OK")</f>
        <v>OK</v>
      </c>
      <c r="P878" s="8">
        <f>Table1[[#This Row],[original_price]]*Table1[[#This Row],[markdown_percentage]]/100</f>
        <v>0</v>
      </c>
      <c r="Q87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878" s="25">
        <f>Table1[[#This Row],[current_price]]*Table1[[#This Row],[stock_quantity]]</f>
        <v>902.77</v>
      </c>
    </row>
    <row r="879" spans="1:18" x14ac:dyDescent="0.25">
      <c r="A879" s="2" t="s">
        <v>932</v>
      </c>
      <c r="B879" s="2" t="s">
        <v>27</v>
      </c>
      <c r="C879" s="2" t="s">
        <v>32</v>
      </c>
      <c r="D879" s="2" t="s">
        <v>34</v>
      </c>
      <c r="E879" s="2"/>
      <c r="F879" s="2" t="s">
        <v>44</v>
      </c>
      <c r="G879" s="8">
        <v>66.3</v>
      </c>
      <c r="H879" s="11">
        <v>1.7</v>
      </c>
      <c r="I879" s="8">
        <v>65.17</v>
      </c>
      <c r="J879" s="3">
        <v>45875</v>
      </c>
      <c r="K879" s="14">
        <v>28</v>
      </c>
      <c r="L879" s="17">
        <v>1.6</v>
      </c>
      <c r="M879" s="2" t="b">
        <v>0</v>
      </c>
      <c r="N879" s="2"/>
      <c r="O879" s="2" t="str">
        <f>IF(Table1[[#This Row],[is_returned]]=TRUE,IF(Table1[[#This Row],[return_reason]]="","Error","OK"),"OK")</f>
        <v>OK</v>
      </c>
      <c r="P879" s="8">
        <f>Table1[[#This Row],[original_price]]*Table1[[#This Row],[markdown_percentage]]/100</f>
        <v>1.1271</v>
      </c>
      <c r="Q87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879" s="25">
        <f>Table1[[#This Row],[current_price]]*Table1[[#This Row],[stock_quantity]]</f>
        <v>1824.76</v>
      </c>
    </row>
    <row r="880" spans="1:18" x14ac:dyDescent="0.25">
      <c r="A880" s="2" t="s">
        <v>933</v>
      </c>
      <c r="B880" s="2" t="s">
        <v>38</v>
      </c>
      <c r="C880" s="2" t="s">
        <v>48</v>
      </c>
      <c r="D880" s="2" t="s">
        <v>23</v>
      </c>
      <c r="E880" s="2" t="s">
        <v>58</v>
      </c>
      <c r="F880" s="2" t="s">
        <v>19</v>
      </c>
      <c r="G880" s="8">
        <v>66.63</v>
      </c>
      <c r="H880" s="11">
        <v>28.4</v>
      </c>
      <c r="I880" s="8">
        <v>47.71</v>
      </c>
      <c r="J880" s="3">
        <v>45875</v>
      </c>
      <c r="K880" s="14">
        <v>32</v>
      </c>
      <c r="L880" s="17">
        <v>2</v>
      </c>
      <c r="M880" s="2" t="b">
        <v>0</v>
      </c>
      <c r="N880" s="2"/>
      <c r="O880" s="2" t="str">
        <f>IF(Table1[[#This Row],[is_returned]]=TRUE,IF(Table1[[#This Row],[return_reason]]="","Error","OK"),"OK")</f>
        <v>OK</v>
      </c>
      <c r="P880" s="8">
        <f>Table1[[#This Row],[original_price]]*Table1[[#This Row],[markdown_percentage]]/100</f>
        <v>18.922919999999998</v>
      </c>
      <c r="Q88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880" s="25">
        <f>Table1[[#This Row],[current_price]]*Table1[[#This Row],[stock_quantity]]</f>
        <v>1526.72</v>
      </c>
    </row>
    <row r="881" spans="1:18" x14ac:dyDescent="0.25">
      <c r="A881" s="2" t="s">
        <v>934</v>
      </c>
      <c r="B881" s="2" t="s">
        <v>38</v>
      </c>
      <c r="C881" s="2" t="s">
        <v>43</v>
      </c>
      <c r="D881" s="2" t="s">
        <v>17</v>
      </c>
      <c r="E881" s="2" t="s">
        <v>24</v>
      </c>
      <c r="F881" s="2" t="s">
        <v>46</v>
      </c>
      <c r="G881" s="8">
        <v>117.63</v>
      </c>
      <c r="H881" s="11">
        <v>0</v>
      </c>
      <c r="I881" s="8">
        <v>117.63</v>
      </c>
      <c r="J881" s="3">
        <v>45563</v>
      </c>
      <c r="K881" s="14">
        <v>18</v>
      </c>
      <c r="L881" s="17">
        <v>1.2</v>
      </c>
      <c r="M881" s="2" t="b">
        <v>0</v>
      </c>
      <c r="N881" s="2"/>
      <c r="O881" s="2" t="str">
        <f>IF(Table1[[#This Row],[is_returned]]=TRUE,IF(Table1[[#This Row],[return_reason]]="","Error","OK"),"OK")</f>
        <v>OK</v>
      </c>
      <c r="P881" s="8">
        <f>Table1[[#This Row],[original_price]]*Table1[[#This Row],[markdown_percentage]]/100</f>
        <v>0</v>
      </c>
      <c r="Q88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881" s="25">
        <f>Table1[[#This Row],[current_price]]*Table1[[#This Row],[stock_quantity]]</f>
        <v>2117.34</v>
      </c>
    </row>
    <row r="882" spans="1:18" x14ac:dyDescent="0.25">
      <c r="A882" s="2" t="s">
        <v>935</v>
      </c>
      <c r="B882" s="2" t="s">
        <v>30</v>
      </c>
      <c r="C882" s="2" t="s">
        <v>32</v>
      </c>
      <c r="D882" s="2" t="s">
        <v>23</v>
      </c>
      <c r="E882" s="2" t="s">
        <v>58</v>
      </c>
      <c r="F882" s="2" t="s">
        <v>66</v>
      </c>
      <c r="G882" s="8">
        <v>174.53</v>
      </c>
      <c r="H882" s="11">
        <v>0</v>
      </c>
      <c r="I882" s="8">
        <v>174.53</v>
      </c>
      <c r="J882" s="3">
        <v>45875</v>
      </c>
      <c r="K882" s="14">
        <v>45</v>
      </c>
      <c r="L882" s="17"/>
      <c r="M882" s="2" t="b">
        <v>0</v>
      </c>
      <c r="N882" s="2"/>
      <c r="O882" s="2" t="str">
        <f>IF(Table1[[#This Row],[is_returned]]=TRUE,IF(Table1[[#This Row],[return_reason]]="","Error","OK"),"OK")</f>
        <v>OK</v>
      </c>
      <c r="P882" s="8">
        <f>Table1[[#This Row],[original_price]]*Table1[[#This Row],[markdown_percentage]]/100</f>
        <v>0</v>
      </c>
      <c r="Q88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882" s="25">
        <f>Table1[[#This Row],[current_price]]*Table1[[#This Row],[stock_quantity]]</f>
        <v>7853.85</v>
      </c>
    </row>
    <row r="883" spans="1:18" x14ac:dyDescent="0.25">
      <c r="A883" s="2" t="s">
        <v>936</v>
      </c>
      <c r="B883" s="2" t="s">
        <v>42</v>
      </c>
      <c r="C883" s="2" t="s">
        <v>16</v>
      </c>
      <c r="D883" s="2" t="s">
        <v>23</v>
      </c>
      <c r="E883" s="2" t="s">
        <v>39</v>
      </c>
      <c r="F883" s="2" t="s">
        <v>46</v>
      </c>
      <c r="G883" s="8">
        <v>152.65</v>
      </c>
      <c r="H883" s="11">
        <v>0</v>
      </c>
      <c r="I883" s="8">
        <v>152.65</v>
      </c>
      <c r="J883" s="3">
        <v>45875</v>
      </c>
      <c r="K883" s="14">
        <v>27</v>
      </c>
      <c r="L883" s="17">
        <v>3.7</v>
      </c>
      <c r="M883" s="2" t="b">
        <v>0</v>
      </c>
      <c r="N883" s="2"/>
      <c r="O883" s="2" t="str">
        <f>IF(Table1[[#This Row],[is_returned]]=TRUE,IF(Table1[[#This Row],[return_reason]]="","Error","OK"),"OK")</f>
        <v>OK</v>
      </c>
      <c r="P883" s="8">
        <f>Table1[[#This Row],[original_price]]*Table1[[#This Row],[markdown_percentage]]/100</f>
        <v>0</v>
      </c>
      <c r="Q88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883" s="25">
        <f>Table1[[#This Row],[current_price]]*Table1[[#This Row],[stock_quantity]]</f>
        <v>4121.55</v>
      </c>
    </row>
    <row r="884" spans="1:18" x14ac:dyDescent="0.25">
      <c r="A884" s="2" t="s">
        <v>937</v>
      </c>
      <c r="B884" s="2" t="s">
        <v>15</v>
      </c>
      <c r="C884" s="2" t="s">
        <v>53</v>
      </c>
      <c r="D884" s="2" t="s">
        <v>62</v>
      </c>
      <c r="E884" s="2" t="s">
        <v>18</v>
      </c>
      <c r="F884" s="2" t="s">
        <v>44</v>
      </c>
      <c r="G884" s="8">
        <v>83.24</v>
      </c>
      <c r="H884" s="11">
        <v>0</v>
      </c>
      <c r="I884" s="8">
        <v>83.24</v>
      </c>
      <c r="J884" s="3">
        <v>45875</v>
      </c>
      <c r="K884" s="14">
        <v>16</v>
      </c>
      <c r="L884" s="17"/>
      <c r="M884" s="2" t="b">
        <v>0</v>
      </c>
      <c r="N884" s="2"/>
      <c r="O884" s="2" t="str">
        <f>IF(Table1[[#This Row],[is_returned]]=TRUE,IF(Table1[[#This Row],[return_reason]]="","Error","OK"),"OK")</f>
        <v>OK</v>
      </c>
      <c r="P884" s="8">
        <f>Table1[[#This Row],[original_price]]*Table1[[#This Row],[markdown_percentage]]/100</f>
        <v>0</v>
      </c>
      <c r="Q88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884" s="25">
        <f>Table1[[#This Row],[current_price]]*Table1[[#This Row],[stock_quantity]]</f>
        <v>1331.84</v>
      </c>
    </row>
    <row r="885" spans="1:18" x14ac:dyDescent="0.25">
      <c r="A885" s="2" t="s">
        <v>938</v>
      </c>
      <c r="B885" s="2" t="s">
        <v>27</v>
      </c>
      <c r="C885" s="2" t="s">
        <v>16</v>
      </c>
      <c r="D885" s="2" t="s">
        <v>23</v>
      </c>
      <c r="E885" s="2"/>
      <c r="F885" s="2" t="s">
        <v>70</v>
      </c>
      <c r="G885" s="8">
        <v>40.18</v>
      </c>
      <c r="H885" s="11">
        <v>0</v>
      </c>
      <c r="I885" s="8">
        <v>40.18</v>
      </c>
      <c r="J885" s="3">
        <v>45875</v>
      </c>
      <c r="K885" s="14">
        <v>27</v>
      </c>
      <c r="L885" s="17">
        <v>4.7</v>
      </c>
      <c r="M885" s="2" t="b">
        <v>0</v>
      </c>
      <c r="N885" s="2"/>
      <c r="O885" s="2" t="str">
        <f>IF(Table1[[#This Row],[is_returned]]=TRUE,IF(Table1[[#This Row],[return_reason]]="","Error","OK"),"OK")</f>
        <v>OK</v>
      </c>
      <c r="P885" s="8">
        <f>Table1[[#This Row],[original_price]]*Table1[[#This Row],[markdown_percentage]]/100</f>
        <v>0</v>
      </c>
      <c r="Q88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885" s="25">
        <f>Table1[[#This Row],[current_price]]*Table1[[#This Row],[stock_quantity]]</f>
        <v>1084.8599999999999</v>
      </c>
    </row>
    <row r="886" spans="1:18" x14ac:dyDescent="0.25">
      <c r="A886" s="2" t="s">
        <v>939</v>
      </c>
      <c r="B886" s="2" t="s">
        <v>38</v>
      </c>
      <c r="C886" s="2" t="s">
        <v>43</v>
      </c>
      <c r="D886" s="2" t="s">
        <v>17</v>
      </c>
      <c r="E886" s="2" t="s">
        <v>18</v>
      </c>
      <c r="F886" s="2" t="s">
        <v>19</v>
      </c>
      <c r="G886" s="8">
        <v>73.77</v>
      </c>
      <c r="H886" s="11">
        <v>22.8</v>
      </c>
      <c r="I886" s="8">
        <v>56.95</v>
      </c>
      <c r="J886" s="3">
        <v>45522</v>
      </c>
      <c r="K886" s="14">
        <v>0</v>
      </c>
      <c r="L886" s="17"/>
      <c r="M886" s="2" t="b">
        <v>0</v>
      </c>
      <c r="N886" s="2"/>
      <c r="O886" s="2" t="str">
        <f>IF(Table1[[#This Row],[is_returned]]=TRUE,IF(Table1[[#This Row],[return_reason]]="","Error","OK"),"OK")</f>
        <v>OK</v>
      </c>
      <c r="P886" s="8">
        <f>Table1[[#This Row],[original_price]]*Table1[[#This Row],[markdown_percentage]]/100</f>
        <v>16.819559999999999</v>
      </c>
      <c r="Q88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886" s="25">
        <f>Table1[[#This Row],[current_price]]*Table1[[#This Row],[stock_quantity]]</f>
        <v>0</v>
      </c>
    </row>
    <row r="887" spans="1:18" x14ac:dyDescent="0.25">
      <c r="A887" s="2" t="s">
        <v>940</v>
      </c>
      <c r="B887" s="2" t="s">
        <v>27</v>
      </c>
      <c r="C887" s="2" t="s">
        <v>75</v>
      </c>
      <c r="D887" s="2" t="s">
        <v>23</v>
      </c>
      <c r="E887" s="2"/>
      <c r="F887" s="2" t="s">
        <v>19</v>
      </c>
      <c r="G887" s="8">
        <v>71.3</v>
      </c>
      <c r="H887" s="11">
        <v>0</v>
      </c>
      <c r="I887" s="8">
        <v>71.3</v>
      </c>
      <c r="J887" s="3">
        <v>45875</v>
      </c>
      <c r="K887" s="14">
        <v>29</v>
      </c>
      <c r="L887" s="17"/>
      <c r="M887" s="2" t="b">
        <v>0</v>
      </c>
      <c r="N887" s="2"/>
      <c r="O887" s="2" t="str">
        <f>IF(Table1[[#This Row],[is_returned]]=TRUE,IF(Table1[[#This Row],[return_reason]]="","Error","OK"),"OK")</f>
        <v>OK</v>
      </c>
      <c r="P887" s="8">
        <f>Table1[[#This Row],[original_price]]*Table1[[#This Row],[markdown_percentage]]/100</f>
        <v>0</v>
      </c>
      <c r="Q88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887" s="25">
        <f>Table1[[#This Row],[current_price]]*Table1[[#This Row],[stock_quantity]]</f>
        <v>2067.6999999999998</v>
      </c>
    </row>
    <row r="888" spans="1:18" x14ac:dyDescent="0.25">
      <c r="A888" s="2" t="s">
        <v>941</v>
      </c>
      <c r="B888" s="2" t="s">
        <v>27</v>
      </c>
      <c r="C888" s="2" t="s">
        <v>75</v>
      </c>
      <c r="D888" s="2" t="s">
        <v>62</v>
      </c>
      <c r="E888" s="2"/>
      <c r="F888" s="2" t="s">
        <v>56</v>
      </c>
      <c r="G888" s="8">
        <v>50.3</v>
      </c>
      <c r="H888" s="11">
        <v>52.8</v>
      </c>
      <c r="I888" s="8">
        <v>23.74</v>
      </c>
      <c r="J888" s="3">
        <v>45875</v>
      </c>
      <c r="K888" s="14">
        <v>11</v>
      </c>
      <c r="L888" s="17"/>
      <c r="M888" s="2" t="b">
        <v>0</v>
      </c>
      <c r="N888" s="2"/>
      <c r="O888" s="2" t="str">
        <f>IF(Table1[[#This Row],[is_returned]]=TRUE,IF(Table1[[#This Row],[return_reason]]="","Error","OK"),"OK")</f>
        <v>OK</v>
      </c>
      <c r="P888" s="8">
        <f>Table1[[#This Row],[original_price]]*Table1[[#This Row],[markdown_percentage]]/100</f>
        <v>26.558399999999995</v>
      </c>
      <c r="Q88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888" s="25">
        <f>Table1[[#This Row],[current_price]]*Table1[[#This Row],[stock_quantity]]</f>
        <v>261.14</v>
      </c>
    </row>
    <row r="889" spans="1:18" x14ac:dyDescent="0.25">
      <c r="A889" s="2" t="s">
        <v>942</v>
      </c>
      <c r="B889" s="2" t="s">
        <v>27</v>
      </c>
      <c r="C889" s="2" t="s">
        <v>48</v>
      </c>
      <c r="D889" s="2" t="s">
        <v>17</v>
      </c>
      <c r="E889" s="2"/>
      <c r="F889" s="2" t="s">
        <v>46</v>
      </c>
      <c r="G889" s="8">
        <v>46.97</v>
      </c>
      <c r="H889" s="11">
        <v>0</v>
      </c>
      <c r="I889" s="8">
        <v>46.97</v>
      </c>
      <c r="J889" s="3">
        <v>45712</v>
      </c>
      <c r="K889" s="14">
        <v>33</v>
      </c>
      <c r="L889" s="17">
        <v>2.6</v>
      </c>
      <c r="M889" s="2" t="b">
        <v>0</v>
      </c>
      <c r="N889" s="2"/>
      <c r="O889" s="2" t="str">
        <f>IF(Table1[[#This Row],[is_returned]]=TRUE,IF(Table1[[#This Row],[return_reason]]="","Error","OK"),"OK")</f>
        <v>OK</v>
      </c>
      <c r="P889" s="8">
        <f>Table1[[#This Row],[original_price]]*Table1[[#This Row],[markdown_percentage]]/100</f>
        <v>0</v>
      </c>
      <c r="Q88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889" s="25">
        <f>Table1[[#This Row],[current_price]]*Table1[[#This Row],[stock_quantity]]</f>
        <v>1550.01</v>
      </c>
    </row>
    <row r="890" spans="1:18" x14ac:dyDescent="0.25">
      <c r="A890" s="2" t="s">
        <v>943</v>
      </c>
      <c r="B890" s="2" t="s">
        <v>30</v>
      </c>
      <c r="C890" s="2" t="s">
        <v>16</v>
      </c>
      <c r="D890" s="2" t="s">
        <v>34</v>
      </c>
      <c r="E890" s="2"/>
      <c r="F890" s="2" t="s">
        <v>70</v>
      </c>
      <c r="G890" s="8">
        <v>162.9</v>
      </c>
      <c r="H890" s="11">
        <v>0</v>
      </c>
      <c r="I890" s="8">
        <v>162.9</v>
      </c>
      <c r="J890" s="3">
        <v>45875</v>
      </c>
      <c r="K890" s="14">
        <v>30</v>
      </c>
      <c r="L890" s="17">
        <v>1.9</v>
      </c>
      <c r="M890" s="2" t="b">
        <v>0</v>
      </c>
      <c r="N890" s="2"/>
      <c r="O890" s="2" t="str">
        <f>IF(Table1[[#This Row],[is_returned]]=TRUE,IF(Table1[[#This Row],[return_reason]]="","Error","OK"),"OK")</f>
        <v>OK</v>
      </c>
      <c r="P890" s="8">
        <f>Table1[[#This Row],[original_price]]*Table1[[#This Row],[markdown_percentage]]/100</f>
        <v>0</v>
      </c>
      <c r="Q89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890" s="25">
        <f>Table1[[#This Row],[current_price]]*Table1[[#This Row],[stock_quantity]]</f>
        <v>4887</v>
      </c>
    </row>
    <row r="891" spans="1:18" x14ac:dyDescent="0.25">
      <c r="A891" s="2" t="s">
        <v>944</v>
      </c>
      <c r="B891" s="2" t="s">
        <v>38</v>
      </c>
      <c r="C891" s="2" t="s">
        <v>75</v>
      </c>
      <c r="D891" s="2" t="s">
        <v>23</v>
      </c>
      <c r="E891" s="2" t="s">
        <v>18</v>
      </c>
      <c r="F891" s="2" t="s">
        <v>35</v>
      </c>
      <c r="G891" s="8">
        <v>57.14</v>
      </c>
      <c r="H891" s="11">
        <v>0</v>
      </c>
      <c r="I891" s="8">
        <v>57.14</v>
      </c>
      <c r="J891" s="3">
        <v>45875</v>
      </c>
      <c r="K891" s="14">
        <v>39</v>
      </c>
      <c r="L891" s="17">
        <v>1.4</v>
      </c>
      <c r="M891" s="2" t="b">
        <v>0</v>
      </c>
      <c r="N891" s="2"/>
      <c r="O891" s="2" t="str">
        <f>IF(Table1[[#This Row],[is_returned]]=TRUE,IF(Table1[[#This Row],[return_reason]]="","Error","OK"),"OK")</f>
        <v>OK</v>
      </c>
      <c r="P891" s="8">
        <f>Table1[[#This Row],[original_price]]*Table1[[#This Row],[markdown_percentage]]/100</f>
        <v>0</v>
      </c>
      <c r="Q89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891" s="25">
        <f>Table1[[#This Row],[current_price]]*Table1[[#This Row],[stock_quantity]]</f>
        <v>2228.46</v>
      </c>
    </row>
    <row r="892" spans="1:18" x14ac:dyDescent="0.25">
      <c r="A892" s="2" t="s">
        <v>945</v>
      </c>
      <c r="B892" s="2" t="s">
        <v>30</v>
      </c>
      <c r="C892" s="2" t="s">
        <v>53</v>
      </c>
      <c r="D892" s="2" t="s">
        <v>17</v>
      </c>
      <c r="E892" s="2" t="s">
        <v>24</v>
      </c>
      <c r="F892" s="2" t="s">
        <v>66</v>
      </c>
      <c r="G892" s="8">
        <v>93.6</v>
      </c>
      <c r="H892" s="11">
        <v>0</v>
      </c>
      <c r="I892" s="8">
        <v>93.6</v>
      </c>
      <c r="J892" s="3">
        <v>45544</v>
      </c>
      <c r="K892" s="14">
        <v>49</v>
      </c>
      <c r="L892" s="17">
        <v>4.3</v>
      </c>
      <c r="M892" s="2" t="b">
        <v>0</v>
      </c>
      <c r="N892" s="2"/>
      <c r="O892" s="2" t="str">
        <f>IF(Table1[[#This Row],[is_returned]]=TRUE,IF(Table1[[#This Row],[return_reason]]="","Error","OK"),"OK")</f>
        <v>OK</v>
      </c>
      <c r="P892" s="8">
        <f>Table1[[#This Row],[original_price]]*Table1[[#This Row],[markdown_percentage]]/100</f>
        <v>0</v>
      </c>
      <c r="Q89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892" s="25">
        <f>Table1[[#This Row],[current_price]]*Table1[[#This Row],[stock_quantity]]</f>
        <v>4586.3999999999996</v>
      </c>
    </row>
    <row r="893" spans="1:18" x14ac:dyDescent="0.25">
      <c r="A893" s="2" t="s">
        <v>946</v>
      </c>
      <c r="B893" s="2" t="s">
        <v>27</v>
      </c>
      <c r="C893" s="2" t="s">
        <v>75</v>
      </c>
      <c r="D893" s="2" t="s">
        <v>17</v>
      </c>
      <c r="E893" s="2"/>
      <c r="F893" s="2" t="s">
        <v>70</v>
      </c>
      <c r="G893" s="8">
        <v>64.56</v>
      </c>
      <c r="H893" s="11">
        <v>43</v>
      </c>
      <c r="I893" s="8">
        <v>36.799999999999997</v>
      </c>
      <c r="J893" s="3">
        <v>45510</v>
      </c>
      <c r="K893" s="14">
        <v>36</v>
      </c>
      <c r="L893" s="17">
        <v>3.9</v>
      </c>
      <c r="M893" s="2" t="b">
        <v>0</v>
      </c>
      <c r="N893" s="2"/>
      <c r="O893" s="2" t="str">
        <f>IF(Table1[[#This Row],[is_returned]]=TRUE,IF(Table1[[#This Row],[return_reason]]="","Error","OK"),"OK")</f>
        <v>OK</v>
      </c>
      <c r="P893" s="8">
        <f>Table1[[#This Row],[original_price]]*Table1[[#This Row],[markdown_percentage]]/100</f>
        <v>27.7608</v>
      </c>
      <c r="Q89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893" s="25">
        <f>Table1[[#This Row],[current_price]]*Table1[[#This Row],[stock_quantity]]</f>
        <v>1324.8</v>
      </c>
    </row>
    <row r="894" spans="1:18" x14ac:dyDescent="0.25">
      <c r="A894" s="2" t="s">
        <v>947</v>
      </c>
      <c r="B894" s="2" t="s">
        <v>15</v>
      </c>
      <c r="C894" s="2" t="s">
        <v>53</v>
      </c>
      <c r="D894" s="2" t="s">
        <v>23</v>
      </c>
      <c r="E894" s="2" t="s">
        <v>39</v>
      </c>
      <c r="F894" s="2" t="s">
        <v>64</v>
      </c>
      <c r="G894" s="8">
        <v>142.34</v>
      </c>
      <c r="H894" s="11">
        <v>0</v>
      </c>
      <c r="I894" s="8">
        <v>142.34</v>
      </c>
      <c r="J894" s="3">
        <v>45875</v>
      </c>
      <c r="K894" s="14">
        <v>43</v>
      </c>
      <c r="L894" s="17"/>
      <c r="M894" s="2" t="b">
        <v>0</v>
      </c>
      <c r="N894" s="2"/>
      <c r="O894" s="2" t="str">
        <f>IF(Table1[[#This Row],[is_returned]]=TRUE,IF(Table1[[#This Row],[return_reason]]="","Error","OK"),"OK")</f>
        <v>OK</v>
      </c>
      <c r="P894" s="8">
        <f>Table1[[#This Row],[original_price]]*Table1[[#This Row],[markdown_percentage]]/100</f>
        <v>0</v>
      </c>
      <c r="Q89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894" s="25">
        <f>Table1[[#This Row],[current_price]]*Table1[[#This Row],[stock_quantity]]</f>
        <v>6120.62</v>
      </c>
    </row>
    <row r="895" spans="1:18" x14ac:dyDescent="0.25">
      <c r="A895" s="2" t="s">
        <v>948</v>
      </c>
      <c r="B895" s="2" t="s">
        <v>30</v>
      </c>
      <c r="C895" s="2" t="s">
        <v>61</v>
      </c>
      <c r="D895" s="2" t="s">
        <v>17</v>
      </c>
      <c r="E895" s="2" t="s">
        <v>55</v>
      </c>
      <c r="F895" s="2" t="s">
        <v>35</v>
      </c>
      <c r="G895" s="8">
        <v>111.02</v>
      </c>
      <c r="H895" s="11">
        <v>57.8</v>
      </c>
      <c r="I895" s="8">
        <v>46.85</v>
      </c>
      <c r="J895" s="3">
        <v>45796</v>
      </c>
      <c r="K895" s="14">
        <v>11</v>
      </c>
      <c r="L895" s="17">
        <v>2.2000000000000002</v>
      </c>
      <c r="M895" s="2" t="b">
        <v>0</v>
      </c>
      <c r="N895" s="2"/>
      <c r="O895" s="2" t="str">
        <f>IF(Table1[[#This Row],[is_returned]]=TRUE,IF(Table1[[#This Row],[return_reason]]="","Error","OK"),"OK")</f>
        <v>OK</v>
      </c>
      <c r="P895" s="8">
        <f>Table1[[#This Row],[original_price]]*Table1[[#This Row],[markdown_percentage]]/100</f>
        <v>64.16955999999999</v>
      </c>
      <c r="Q89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895" s="25">
        <f>Table1[[#This Row],[current_price]]*Table1[[#This Row],[stock_quantity]]</f>
        <v>515.35</v>
      </c>
    </row>
    <row r="896" spans="1:18" x14ac:dyDescent="0.25">
      <c r="A896" s="2" t="s">
        <v>949</v>
      </c>
      <c r="B896" s="2" t="s">
        <v>21</v>
      </c>
      <c r="C896" s="2" t="s">
        <v>32</v>
      </c>
      <c r="D896" s="2" t="s">
        <v>23</v>
      </c>
      <c r="E896" s="2"/>
      <c r="F896" s="2" t="s">
        <v>28</v>
      </c>
      <c r="G896" s="8">
        <v>29.16</v>
      </c>
      <c r="H896" s="11">
        <v>49</v>
      </c>
      <c r="I896" s="8">
        <v>14.87</v>
      </c>
      <c r="J896" s="3">
        <v>45875</v>
      </c>
      <c r="K896" s="14">
        <v>31</v>
      </c>
      <c r="L896" s="17"/>
      <c r="M896" s="2" t="b">
        <v>0</v>
      </c>
      <c r="N896" s="2"/>
      <c r="O896" s="2" t="str">
        <f>IF(Table1[[#This Row],[is_returned]]=TRUE,IF(Table1[[#This Row],[return_reason]]="","Error","OK"),"OK")</f>
        <v>OK</v>
      </c>
      <c r="P896" s="8">
        <f>Table1[[#This Row],[original_price]]*Table1[[#This Row],[markdown_percentage]]/100</f>
        <v>14.288399999999999</v>
      </c>
      <c r="Q89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896" s="25">
        <f>Table1[[#This Row],[current_price]]*Table1[[#This Row],[stock_quantity]]</f>
        <v>460.96999999999997</v>
      </c>
    </row>
    <row r="897" spans="1:18" x14ac:dyDescent="0.25">
      <c r="A897" s="2" t="s">
        <v>950</v>
      </c>
      <c r="B897" s="2" t="s">
        <v>21</v>
      </c>
      <c r="C897" s="2" t="s">
        <v>53</v>
      </c>
      <c r="D897" s="2" t="s">
        <v>62</v>
      </c>
      <c r="E897" s="2" t="s">
        <v>55</v>
      </c>
      <c r="F897" s="2" t="s">
        <v>28</v>
      </c>
      <c r="G897" s="8">
        <v>30.46</v>
      </c>
      <c r="H897" s="11">
        <v>0</v>
      </c>
      <c r="I897" s="8">
        <v>30.46</v>
      </c>
      <c r="J897" s="3">
        <v>45875</v>
      </c>
      <c r="K897" s="14">
        <v>19</v>
      </c>
      <c r="L897" s="17">
        <v>1.2</v>
      </c>
      <c r="M897" s="2" t="b">
        <v>0</v>
      </c>
      <c r="N897" s="2"/>
      <c r="O897" s="2" t="str">
        <f>IF(Table1[[#This Row],[is_returned]]=TRUE,IF(Table1[[#This Row],[return_reason]]="","Error","OK"),"OK")</f>
        <v>OK</v>
      </c>
      <c r="P897" s="8">
        <f>Table1[[#This Row],[original_price]]*Table1[[#This Row],[markdown_percentage]]/100</f>
        <v>0</v>
      </c>
      <c r="Q89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897" s="25">
        <f>Table1[[#This Row],[current_price]]*Table1[[#This Row],[stock_quantity]]</f>
        <v>578.74</v>
      </c>
    </row>
    <row r="898" spans="1:18" x14ac:dyDescent="0.25">
      <c r="A898" s="2" t="s">
        <v>951</v>
      </c>
      <c r="B898" s="2" t="s">
        <v>27</v>
      </c>
      <c r="C898" s="2" t="s">
        <v>75</v>
      </c>
      <c r="D898" s="2" t="s">
        <v>23</v>
      </c>
      <c r="E898" s="2"/>
      <c r="F898" s="2" t="s">
        <v>44</v>
      </c>
      <c r="G898" s="8">
        <v>31.32</v>
      </c>
      <c r="H898" s="11">
        <v>0</v>
      </c>
      <c r="I898" s="8">
        <v>31.32</v>
      </c>
      <c r="J898" s="3">
        <v>45875</v>
      </c>
      <c r="K898" s="14">
        <v>28</v>
      </c>
      <c r="L898" s="17">
        <v>2.7</v>
      </c>
      <c r="M898" s="2" t="b">
        <v>0</v>
      </c>
      <c r="N898" s="2"/>
      <c r="O898" s="2" t="str">
        <f>IF(Table1[[#This Row],[is_returned]]=TRUE,IF(Table1[[#This Row],[return_reason]]="","Error","OK"),"OK")</f>
        <v>OK</v>
      </c>
      <c r="P898" s="8">
        <f>Table1[[#This Row],[original_price]]*Table1[[#This Row],[markdown_percentage]]/100</f>
        <v>0</v>
      </c>
      <c r="Q89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898" s="25">
        <f>Table1[[#This Row],[current_price]]*Table1[[#This Row],[stock_quantity]]</f>
        <v>876.96</v>
      </c>
    </row>
    <row r="899" spans="1:18" x14ac:dyDescent="0.25">
      <c r="A899" s="2" t="s">
        <v>952</v>
      </c>
      <c r="B899" s="2" t="s">
        <v>38</v>
      </c>
      <c r="C899" s="2" t="s">
        <v>22</v>
      </c>
      <c r="D899" s="2" t="s">
        <v>17</v>
      </c>
      <c r="E899" s="2" t="s">
        <v>58</v>
      </c>
      <c r="F899" s="2" t="s">
        <v>25</v>
      </c>
      <c r="G899" s="8">
        <v>61.78</v>
      </c>
      <c r="H899" s="11">
        <v>0</v>
      </c>
      <c r="I899" s="8">
        <v>61.78</v>
      </c>
      <c r="J899" s="3">
        <v>45868</v>
      </c>
      <c r="K899" s="14">
        <v>24</v>
      </c>
      <c r="L899" s="17">
        <v>3.5</v>
      </c>
      <c r="M899" s="2" t="b">
        <v>0</v>
      </c>
      <c r="N899" s="2"/>
      <c r="O899" s="2" t="str">
        <f>IF(Table1[[#This Row],[is_returned]]=TRUE,IF(Table1[[#This Row],[return_reason]]="","Error","OK"),"OK")</f>
        <v>OK</v>
      </c>
      <c r="P899" s="8">
        <f>Table1[[#This Row],[original_price]]*Table1[[#This Row],[markdown_percentage]]/100</f>
        <v>0</v>
      </c>
      <c r="Q89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899" s="25">
        <f>Table1[[#This Row],[current_price]]*Table1[[#This Row],[stock_quantity]]</f>
        <v>1482.72</v>
      </c>
    </row>
    <row r="900" spans="1:18" x14ac:dyDescent="0.25">
      <c r="A900" s="2" t="s">
        <v>953</v>
      </c>
      <c r="B900" s="2" t="s">
        <v>15</v>
      </c>
      <c r="C900" s="2" t="s">
        <v>16</v>
      </c>
      <c r="D900" s="2" t="s">
        <v>62</v>
      </c>
      <c r="E900" s="2" t="s">
        <v>58</v>
      </c>
      <c r="F900" s="2" t="s">
        <v>46</v>
      </c>
      <c r="G900" s="8">
        <v>126.27</v>
      </c>
      <c r="H900" s="11">
        <v>0</v>
      </c>
      <c r="I900" s="8">
        <v>126.27</v>
      </c>
      <c r="J900" s="3">
        <v>45875</v>
      </c>
      <c r="K900" s="14">
        <v>1</v>
      </c>
      <c r="L900" s="17">
        <v>4.7</v>
      </c>
      <c r="M900" s="2" t="b">
        <v>0</v>
      </c>
      <c r="N900" s="2"/>
      <c r="O900" s="2" t="str">
        <f>IF(Table1[[#This Row],[is_returned]]=TRUE,IF(Table1[[#This Row],[return_reason]]="","Error","OK"),"OK")</f>
        <v>OK</v>
      </c>
      <c r="P900" s="8">
        <f>Table1[[#This Row],[original_price]]*Table1[[#This Row],[markdown_percentage]]/100</f>
        <v>0</v>
      </c>
      <c r="Q90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900" s="25">
        <f>Table1[[#This Row],[current_price]]*Table1[[#This Row],[stock_quantity]]</f>
        <v>126.27</v>
      </c>
    </row>
    <row r="901" spans="1:18" x14ac:dyDescent="0.25">
      <c r="A901" s="2" t="s">
        <v>954</v>
      </c>
      <c r="B901" s="2" t="s">
        <v>15</v>
      </c>
      <c r="C901" s="2" t="s">
        <v>22</v>
      </c>
      <c r="D901" s="2" t="s">
        <v>23</v>
      </c>
      <c r="E901" s="2" t="s">
        <v>24</v>
      </c>
      <c r="F901" s="2" t="s">
        <v>35</v>
      </c>
      <c r="G901" s="8">
        <v>147.53</v>
      </c>
      <c r="H901" s="11">
        <v>0</v>
      </c>
      <c r="I901" s="8">
        <v>147.53</v>
      </c>
      <c r="J901" s="3">
        <v>45875</v>
      </c>
      <c r="K901" s="14">
        <v>33</v>
      </c>
      <c r="L901" s="17">
        <v>4.7</v>
      </c>
      <c r="M901" s="2" t="b">
        <v>1</v>
      </c>
      <c r="N901" s="2" t="s">
        <v>83</v>
      </c>
      <c r="O901" s="2" t="str">
        <f>IF(Table1[[#This Row],[is_returned]]=TRUE,IF(Table1[[#This Row],[return_reason]]="","Error","OK"),"OK")</f>
        <v>OK</v>
      </c>
      <c r="P901" s="8">
        <f>Table1[[#This Row],[original_price]]*Table1[[#This Row],[markdown_percentage]]/100</f>
        <v>0</v>
      </c>
      <c r="Q90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901" s="25">
        <f>Table1[[#This Row],[current_price]]*Table1[[#This Row],[stock_quantity]]</f>
        <v>4868.49</v>
      </c>
    </row>
    <row r="902" spans="1:18" x14ac:dyDescent="0.25">
      <c r="A902" s="2" t="s">
        <v>955</v>
      </c>
      <c r="B902" s="2" t="s">
        <v>27</v>
      </c>
      <c r="C902" s="2" t="s">
        <v>32</v>
      </c>
      <c r="D902" s="2" t="s">
        <v>62</v>
      </c>
      <c r="E902" s="2"/>
      <c r="F902" s="2" t="s">
        <v>19</v>
      </c>
      <c r="G902" s="8">
        <v>36.979999999999997</v>
      </c>
      <c r="H902" s="11">
        <v>12.2</v>
      </c>
      <c r="I902" s="8">
        <v>32.47</v>
      </c>
      <c r="J902" s="3">
        <v>45875</v>
      </c>
      <c r="K902" s="14">
        <v>14</v>
      </c>
      <c r="L902" s="17">
        <v>4.8</v>
      </c>
      <c r="M902" s="2" t="b">
        <v>0</v>
      </c>
      <c r="N902" s="2"/>
      <c r="O902" s="2" t="str">
        <f>IF(Table1[[#This Row],[is_returned]]=TRUE,IF(Table1[[#This Row],[return_reason]]="","Error","OK"),"OK")</f>
        <v>OK</v>
      </c>
      <c r="P902" s="8">
        <f>Table1[[#This Row],[original_price]]*Table1[[#This Row],[markdown_percentage]]/100</f>
        <v>4.5115599999999993</v>
      </c>
      <c r="Q90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902" s="25">
        <f>Table1[[#This Row],[current_price]]*Table1[[#This Row],[stock_quantity]]</f>
        <v>454.58</v>
      </c>
    </row>
    <row r="903" spans="1:18" x14ac:dyDescent="0.25">
      <c r="A903" s="2" t="s">
        <v>956</v>
      </c>
      <c r="B903" s="2" t="s">
        <v>30</v>
      </c>
      <c r="C903" s="2" t="s">
        <v>48</v>
      </c>
      <c r="D903" s="2" t="s">
        <v>34</v>
      </c>
      <c r="E903" s="2" t="s">
        <v>58</v>
      </c>
      <c r="F903" s="2" t="s">
        <v>25</v>
      </c>
      <c r="G903" s="8">
        <v>172.41</v>
      </c>
      <c r="H903" s="11">
        <v>0</v>
      </c>
      <c r="I903" s="8">
        <v>172.41</v>
      </c>
      <c r="J903" s="3">
        <v>45875</v>
      </c>
      <c r="K903" s="14">
        <v>33</v>
      </c>
      <c r="L903" s="17">
        <v>2.2999999999999998</v>
      </c>
      <c r="M903" s="2" t="b">
        <v>0</v>
      </c>
      <c r="N903" s="2"/>
      <c r="O903" s="2" t="str">
        <f>IF(Table1[[#This Row],[is_returned]]=TRUE,IF(Table1[[#This Row],[return_reason]]="","Error","OK"),"OK")</f>
        <v>OK</v>
      </c>
      <c r="P903" s="8">
        <f>Table1[[#This Row],[original_price]]*Table1[[#This Row],[markdown_percentage]]/100</f>
        <v>0</v>
      </c>
      <c r="Q90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903" s="25">
        <f>Table1[[#This Row],[current_price]]*Table1[[#This Row],[stock_quantity]]</f>
        <v>5689.53</v>
      </c>
    </row>
    <row r="904" spans="1:18" x14ac:dyDescent="0.25">
      <c r="A904" s="2" t="s">
        <v>957</v>
      </c>
      <c r="B904" s="2" t="s">
        <v>27</v>
      </c>
      <c r="C904" s="2" t="s">
        <v>48</v>
      </c>
      <c r="D904" s="2" t="s">
        <v>17</v>
      </c>
      <c r="E904" s="2"/>
      <c r="F904" s="2" t="s">
        <v>25</v>
      </c>
      <c r="G904" s="8">
        <v>53.79</v>
      </c>
      <c r="H904" s="11">
        <v>16</v>
      </c>
      <c r="I904" s="8">
        <v>45.18</v>
      </c>
      <c r="J904" s="3">
        <v>45566</v>
      </c>
      <c r="K904" s="14">
        <v>32</v>
      </c>
      <c r="L904" s="17"/>
      <c r="M904" s="2" t="b">
        <v>0</v>
      </c>
      <c r="N904" s="2"/>
      <c r="O904" s="2" t="str">
        <f>IF(Table1[[#This Row],[is_returned]]=TRUE,IF(Table1[[#This Row],[return_reason]]="","Error","OK"),"OK")</f>
        <v>OK</v>
      </c>
      <c r="P904" s="8">
        <f>Table1[[#This Row],[original_price]]*Table1[[#This Row],[markdown_percentage]]/100</f>
        <v>8.6064000000000007</v>
      </c>
      <c r="Q90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904" s="25">
        <f>Table1[[#This Row],[current_price]]*Table1[[#This Row],[stock_quantity]]</f>
        <v>1445.76</v>
      </c>
    </row>
    <row r="905" spans="1:18" x14ac:dyDescent="0.25">
      <c r="A905" s="2" t="s">
        <v>958</v>
      </c>
      <c r="B905" s="2" t="s">
        <v>30</v>
      </c>
      <c r="C905" s="2" t="s">
        <v>43</v>
      </c>
      <c r="D905" s="2" t="s">
        <v>62</v>
      </c>
      <c r="E905" s="2" t="s">
        <v>55</v>
      </c>
      <c r="F905" s="2" t="s">
        <v>56</v>
      </c>
      <c r="G905" s="8">
        <v>80.56</v>
      </c>
      <c r="H905" s="11">
        <v>0</v>
      </c>
      <c r="I905" s="8">
        <v>80.56</v>
      </c>
      <c r="J905" s="3">
        <v>45875</v>
      </c>
      <c r="K905" s="14">
        <v>7</v>
      </c>
      <c r="L905" s="17">
        <v>1.9</v>
      </c>
      <c r="M905" s="2" t="b">
        <v>0</v>
      </c>
      <c r="N905" s="2"/>
      <c r="O905" s="2" t="str">
        <f>IF(Table1[[#This Row],[is_returned]]=TRUE,IF(Table1[[#This Row],[return_reason]]="","Error","OK"),"OK")</f>
        <v>OK</v>
      </c>
      <c r="P905" s="8">
        <f>Table1[[#This Row],[original_price]]*Table1[[#This Row],[markdown_percentage]]/100</f>
        <v>0</v>
      </c>
      <c r="Q90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905" s="25">
        <f>Table1[[#This Row],[current_price]]*Table1[[#This Row],[stock_quantity]]</f>
        <v>563.92000000000007</v>
      </c>
    </row>
    <row r="906" spans="1:18" x14ac:dyDescent="0.25">
      <c r="A906" s="2" t="s">
        <v>959</v>
      </c>
      <c r="B906" s="2" t="s">
        <v>27</v>
      </c>
      <c r="C906" s="2" t="s">
        <v>43</v>
      </c>
      <c r="D906" s="2" t="s">
        <v>34</v>
      </c>
      <c r="E906" s="2"/>
      <c r="F906" s="2" t="s">
        <v>25</v>
      </c>
      <c r="G906" s="8">
        <v>51.72</v>
      </c>
      <c r="H906" s="11">
        <v>0</v>
      </c>
      <c r="I906" s="8">
        <v>51.72</v>
      </c>
      <c r="J906" s="3">
        <v>45875</v>
      </c>
      <c r="K906" s="14">
        <v>35</v>
      </c>
      <c r="L906" s="17">
        <v>3.7</v>
      </c>
      <c r="M906" s="2" t="b">
        <v>1</v>
      </c>
      <c r="N906" s="2" t="s">
        <v>78</v>
      </c>
      <c r="O906" s="2" t="str">
        <f>IF(Table1[[#This Row],[is_returned]]=TRUE,IF(Table1[[#This Row],[return_reason]]="","Error","OK"),"OK")</f>
        <v>OK</v>
      </c>
      <c r="P906" s="8">
        <f>Table1[[#This Row],[original_price]]*Table1[[#This Row],[markdown_percentage]]/100</f>
        <v>0</v>
      </c>
      <c r="Q90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906" s="25">
        <f>Table1[[#This Row],[current_price]]*Table1[[#This Row],[stock_quantity]]</f>
        <v>1810.2</v>
      </c>
    </row>
    <row r="907" spans="1:18" x14ac:dyDescent="0.25">
      <c r="A907" s="2" t="s">
        <v>960</v>
      </c>
      <c r="B907" s="2" t="s">
        <v>38</v>
      </c>
      <c r="C907" s="2" t="s">
        <v>43</v>
      </c>
      <c r="D907" s="2" t="s">
        <v>17</v>
      </c>
      <c r="E907" s="2" t="s">
        <v>18</v>
      </c>
      <c r="F907" s="2" t="s">
        <v>25</v>
      </c>
      <c r="G907" s="8">
        <v>107.22</v>
      </c>
      <c r="H907" s="11">
        <v>37.799999999999997</v>
      </c>
      <c r="I907" s="8">
        <v>66.69</v>
      </c>
      <c r="J907" s="3">
        <v>45849</v>
      </c>
      <c r="K907" s="14">
        <v>21</v>
      </c>
      <c r="L907" s="17">
        <v>2.9</v>
      </c>
      <c r="M907" s="2" t="b">
        <v>0</v>
      </c>
      <c r="N907" s="2"/>
      <c r="O907" s="2" t="str">
        <f>IF(Table1[[#This Row],[is_returned]]=TRUE,IF(Table1[[#This Row],[return_reason]]="","Error","OK"),"OK")</f>
        <v>OK</v>
      </c>
      <c r="P907" s="8">
        <f>Table1[[#This Row],[original_price]]*Table1[[#This Row],[markdown_percentage]]/100</f>
        <v>40.529159999999997</v>
      </c>
      <c r="Q90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907" s="25">
        <f>Table1[[#This Row],[current_price]]*Table1[[#This Row],[stock_quantity]]</f>
        <v>1400.49</v>
      </c>
    </row>
    <row r="908" spans="1:18" x14ac:dyDescent="0.25">
      <c r="A908" s="2" t="s">
        <v>961</v>
      </c>
      <c r="B908" s="2" t="s">
        <v>30</v>
      </c>
      <c r="C908" s="2" t="s">
        <v>48</v>
      </c>
      <c r="D908" s="2" t="s">
        <v>34</v>
      </c>
      <c r="E908" s="2" t="s">
        <v>49</v>
      </c>
      <c r="F908" s="2" t="s">
        <v>46</v>
      </c>
      <c r="G908" s="8">
        <v>174.99</v>
      </c>
      <c r="H908" s="11">
        <v>50.1</v>
      </c>
      <c r="I908" s="8">
        <v>87.32</v>
      </c>
      <c r="J908" s="3">
        <v>45875</v>
      </c>
      <c r="K908" s="14">
        <v>7</v>
      </c>
      <c r="L908" s="17">
        <v>4.9000000000000004</v>
      </c>
      <c r="M908" s="2" t="b">
        <v>0</v>
      </c>
      <c r="N908" s="2"/>
      <c r="O908" s="2" t="str">
        <f>IF(Table1[[#This Row],[is_returned]]=TRUE,IF(Table1[[#This Row],[return_reason]]="","Error","OK"),"OK")</f>
        <v>OK</v>
      </c>
      <c r="P908" s="8">
        <f>Table1[[#This Row],[original_price]]*Table1[[#This Row],[markdown_percentage]]/100</f>
        <v>87.669989999999999</v>
      </c>
      <c r="Q90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908" s="25">
        <f>Table1[[#This Row],[current_price]]*Table1[[#This Row],[stock_quantity]]</f>
        <v>611.24</v>
      </c>
    </row>
    <row r="909" spans="1:18" x14ac:dyDescent="0.25">
      <c r="A909" s="2" t="s">
        <v>962</v>
      </c>
      <c r="B909" s="2" t="s">
        <v>42</v>
      </c>
      <c r="C909" s="2" t="s">
        <v>75</v>
      </c>
      <c r="D909" s="2" t="s">
        <v>17</v>
      </c>
      <c r="E909" s="2" t="s">
        <v>39</v>
      </c>
      <c r="F909" s="2" t="s">
        <v>44</v>
      </c>
      <c r="G909" s="8">
        <v>90.52</v>
      </c>
      <c r="H909" s="11">
        <v>53.2</v>
      </c>
      <c r="I909" s="8">
        <v>42.36</v>
      </c>
      <c r="J909" s="3">
        <v>45866</v>
      </c>
      <c r="K909" s="14">
        <v>37</v>
      </c>
      <c r="L909" s="17">
        <v>2.2000000000000002</v>
      </c>
      <c r="M909" s="2" t="b">
        <v>0</v>
      </c>
      <c r="N909" s="2"/>
      <c r="O909" s="2" t="str">
        <f>IF(Table1[[#This Row],[is_returned]]=TRUE,IF(Table1[[#This Row],[return_reason]]="","Error","OK"),"OK")</f>
        <v>OK</v>
      </c>
      <c r="P909" s="8">
        <f>Table1[[#This Row],[original_price]]*Table1[[#This Row],[markdown_percentage]]/100</f>
        <v>48.156639999999996</v>
      </c>
      <c r="Q90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909" s="25">
        <f>Table1[[#This Row],[current_price]]*Table1[[#This Row],[stock_quantity]]</f>
        <v>1567.32</v>
      </c>
    </row>
    <row r="910" spans="1:18" x14ac:dyDescent="0.25">
      <c r="A910" s="2" t="s">
        <v>963</v>
      </c>
      <c r="B910" s="2" t="s">
        <v>30</v>
      </c>
      <c r="C910" s="2" t="s">
        <v>75</v>
      </c>
      <c r="D910" s="2" t="s">
        <v>62</v>
      </c>
      <c r="E910" s="2" t="s">
        <v>49</v>
      </c>
      <c r="F910" s="2" t="s">
        <v>46</v>
      </c>
      <c r="G910" s="8">
        <v>94.93</v>
      </c>
      <c r="H910" s="11">
        <v>16.600000000000001</v>
      </c>
      <c r="I910" s="8">
        <v>79.17</v>
      </c>
      <c r="J910" s="3">
        <v>45875</v>
      </c>
      <c r="K910" s="14">
        <v>39</v>
      </c>
      <c r="L910" s="17">
        <v>4.8</v>
      </c>
      <c r="M910" s="2" t="b">
        <v>0</v>
      </c>
      <c r="N910" s="2"/>
      <c r="O910" s="2" t="str">
        <f>IF(Table1[[#This Row],[is_returned]]=TRUE,IF(Table1[[#This Row],[return_reason]]="","Error","OK"),"OK")</f>
        <v>OK</v>
      </c>
      <c r="P910" s="8">
        <f>Table1[[#This Row],[original_price]]*Table1[[#This Row],[markdown_percentage]]/100</f>
        <v>15.758380000000002</v>
      </c>
      <c r="Q91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910" s="25">
        <f>Table1[[#This Row],[current_price]]*Table1[[#This Row],[stock_quantity]]</f>
        <v>3087.63</v>
      </c>
    </row>
    <row r="911" spans="1:18" x14ac:dyDescent="0.25">
      <c r="A911" s="2" t="s">
        <v>964</v>
      </c>
      <c r="B911" s="2" t="s">
        <v>30</v>
      </c>
      <c r="C911" s="2" t="s">
        <v>32</v>
      </c>
      <c r="D911" s="2" t="s">
        <v>23</v>
      </c>
      <c r="E911" s="2" t="s">
        <v>55</v>
      </c>
      <c r="F911" s="2" t="s">
        <v>40</v>
      </c>
      <c r="G911" s="8">
        <v>179.82</v>
      </c>
      <c r="H911" s="11">
        <v>0</v>
      </c>
      <c r="I911" s="8">
        <v>179.82</v>
      </c>
      <c r="J911" s="3">
        <v>45875</v>
      </c>
      <c r="K911" s="14">
        <v>28</v>
      </c>
      <c r="L911" s="17">
        <v>2.4</v>
      </c>
      <c r="M911" s="2" t="b">
        <v>1</v>
      </c>
      <c r="N911" s="2" t="s">
        <v>78</v>
      </c>
      <c r="O911" s="2" t="str">
        <f>IF(Table1[[#This Row],[is_returned]]=TRUE,IF(Table1[[#This Row],[return_reason]]="","Error","OK"),"OK")</f>
        <v>OK</v>
      </c>
      <c r="P911" s="8">
        <f>Table1[[#This Row],[original_price]]*Table1[[#This Row],[markdown_percentage]]/100</f>
        <v>0</v>
      </c>
      <c r="Q91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911" s="25">
        <f>Table1[[#This Row],[current_price]]*Table1[[#This Row],[stock_quantity]]</f>
        <v>5034.96</v>
      </c>
    </row>
    <row r="912" spans="1:18" x14ac:dyDescent="0.25">
      <c r="A912" s="2" t="s">
        <v>965</v>
      </c>
      <c r="B912" s="2" t="s">
        <v>21</v>
      </c>
      <c r="C912" s="2" t="s">
        <v>22</v>
      </c>
      <c r="D912" s="2" t="s">
        <v>17</v>
      </c>
      <c r="E912" s="2"/>
      <c r="F912" s="2" t="s">
        <v>70</v>
      </c>
      <c r="G912" s="8">
        <v>101.96</v>
      </c>
      <c r="H912" s="11">
        <v>23.7</v>
      </c>
      <c r="I912" s="8">
        <v>77.8</v>
      </c>
      <c r="J912" s="3">
        <v>45798</v>
      </c>
      <c r="K912" s="14">
        <v>29</v>
      </c>
      <c r="L912" s="17">
        <v>3.6</v>
      </c>
      <c r="M912" s="2" t="b">
        <v>0</v>
      </c>
      <c r="N912" s="2"/>
      <c r="O912" s="2" t="str">
        <f>IF(Table1[[#This Row],[is_returned]]=TRUE,IF(Table1[[#This Row],[return_reason]]="","Error","OK"),"OK")</f>
        <v>OK</v>
      </c>
      <c r="P912" s="8">
        <f>Table1[[#This Row],[original_price]]*Table1[[#This Row],[markdown_percentage]]/100</f>
        <v>24.164519999999996</v>
      </c>
      <c r="Q91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912" s="25">
        <f>Table1[[#This Row],[current_price]]*Table1[[#This Row],[stock_quantity]]</f>
        <v>2256.1999999999998</v>
      </c>
    </row>
    <row r="913" spans="1:18" x14ac:dyDescent="0.25">
      <c r="A913" s="2" t="s">
        <v>966</v>
      </c>
      <c r="B913" s="2" t="s">
        <v>38</v>
      </c>
      <c r="C913" s="2" t="s">
        <v>32</v>
      </c>
      <c r="D913" s="2" t="s">
        <v>17</v>
      </c>
      <c r="E913" s="2" t="s">
        <v>39</v>
      </c>
      <c r="F913" s="2" t="s">
        <v>46</v>
      </c>
      <c r="G913" s="8">
        <v>27.11</v>
      </c>
      <c r="H913" s="11">
        <v>16.2</v>
      </c>
      <c r="I913" s="8">
        <v>22.72</v>
      </c>
      <c r="J913" s="3">
        <v>45634</v>
      </c>
      <c r="K913" s="14">
        <v>10</v>
      </c>
      <c r="L913" s="17">
        <v>2.4</v>
      </c>
      <c r="M913" s="2" t="b">
        <v>1</v>
      </c>
      <c r="N913" s="2" t="s">
        <v>115</v>
      </c>
      <c r="O913" s="2" t="str">
        <f>IF(Table1[[#This Row],[is_returned]]=TRUE,IF(Table1[[#This Row],[return_reason]]="","Error","OK"),"OK")</f>
        <v>OK</v>
      </c>
      <c r="P913" s="8">
        <f>Table1[[#This Row],[original_price]]*Table1[[#This Row],[markdown_percentage]]/100</f>
        <v>4.3918199999999992</v>
      </c>
      <c r="Q91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913" s="25">
        <f>Table1[[#This Row],[current_price]]*Table1[[#This Row],[stock_quantity]]</f>
        <v>227.2</v>
      </c>
    </row>
    <row r="914" spans="1:18" x14ac:dyDescent="0.25">
      <c r="A914" s="2" t="s">
        <v>967</v>
      </c>
      <c r="B914" s="2" t="s">
        <v>15</v>
      </c>
      <c r="C914" s="2" t="s">
        <v>61</v>
      </c>
      <c r="D914" s="2" t="s">
        <v>62</v>
      </c>
      <c r="E914" s="2" t="s">
        <v>39</v>
      </c>
      <c r="F914" s="2" t="s">
        <v>28</v>
      </c>
      <c r="G914" s="8">
        <v>141.83000000000001</v>
      </c>
      <c r="H914" s="11">
        <v>0</v>
      </c>
      <c r="I914" s="8">
        <v>141.83000000000001</v>
      </c>
      <c r="J914" s="3">
        <v>45875</v>
      </c>
      <c r="K914" s="14">
        <v>2</v>
      </c>
      <c r="L914" s="17">
        <v>2.4</v>
      </c>
      <c r="M914" s="2" t="b">
        <v>1</v>
      </c>
      <c r="N914" s="2" t="s">
        <v>36</v>
      </c>
      <c r="O914" s="2" t="str">
        <f>IF(Table1[[#This Row],[is_returned]]=TRUE,IF(Table1[[#This Row],[return_reason]]="","Error","OK"),"OK")</f>
        <v>OK</v>
      </c>
      <c r="P914" s="8">
        <f>Table1[[#This Row],[original_price]]*Table1[[#This Row],[markdown_percentage]]/100</f>
        <v>0</v>
      </c>
      <c r="Q91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914" s="25">
        <f>Table1[[#This Row],[current_price]]*Table1[[#This Row],[stock_quantity]]</f>
        <v>283.66000000000003</v>
      </c>
    </row>
    <row r="915" spans="1:18" x14ac:dyDescent="0.25">
      <c r="A915" s="2" t="s">
        <v>968</v>
      </c>
      <c r="B915" s="2" t="s">
        <v>30</v>
      </c>
      <c r="C915" s="2" t="s">
        <v>61</v>
      </c>
      <c r="D915" s="2" t="s">
        <v>17</v>
      </c>
      <c r="E915" s="2"/>
      <c r="F915" s="2" t="s">
        <v>56</v>
      </c>
      <c r="G915" s="8">
        <v>156.34</v>
      </c>
      <c r="H915" s="11">
        <v>37</v>
      </c>
      <c r="I915" s="8">
        <v>98.49</v>
      </c>
      <c r="J915" s="3">
        <v>45760</v>
      </c>
      <c r="K915" s="14">
        <v>45</v>
      </c>
      <c r="L915" s="17">
        <v>2.9</v>
      </c>
      <c r="M915" s="2" t="b">
        <v>1</v>
      </c>
      <c r="N915" s="2" t="s">
        <v>73</v>
      </c>
      <c r="O915" s="2" t="str">
        <f>IF(Table1[[#This Row],[is_returned]]=TRUE,IF(Table1[[#This Row],[return_reason]]="","Error","OK"),"OK")</f>
        <v>OK</v>
      </c>
      <c r="P915" s="8">
        <f>Table1[[#This Row],[original_price]]*Table1[[#This Row],[markdown_percentage]]/100</f>
        <v>57.845799999999997</v>
      </c>
      <c r="Q91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915" s="25">
        <f>Table1[[#This Row],[current_price]]*Table1[[#This Row],[stock_quantity]]</f>
        <v>4432.05</v>
      </c>
    </row>
    <row r="916" spans="1:18" x14ac:dyDescent="0.25">
      <c r="A916" s="2" t="s">
        <v>969</v>
      </c>
      <c r="B916" s="2" t="s">
        <v>21</v>
      </c>
      <c r="C916" s="2" t="s">
        <v>75</v>
      </c>
      <c r="D916" s="2" t="s">
        <v>62</v>
      </c>
      <c r="E916" s="2" t="s">
        <v>55</v>
      </c>
      <c r="F916" s="2" t="s">
        <v>70</v>
      </c>
      <c r="G916" s="8">
        <v>81.84</v>
      </c>
      <c r="H916" s="11">
        <v>0</v>
      </c>
      <c r="I916" s="8">
        <v>81.84</v>
      </c>
      <c r="J916" s="3">
        <v>45875</v>
      </c>
      <c r="K916" s="14">
        <v>41</v>
      </c>
      <c r="L916" s="17">
        <v>2.4</v>
      </c>
      <c r="M916" s="2" t="b">
        <v>0</v>
      </c>
      <c r="N916" s="2"/>
      <c r="O916" s="2" t="str">
        <f>IF(Table1[[#This Row],[is_returned]]=TRUE,IF(Table1[[#This Row],[return_reason]]="","Error","OK"),"OK")</f>
        <v>OK</v>
      </c>
      <c r="P916" s="8">
        <f>Table1[[#This Row],[original_price]]*Table1[[#This Row],[markdown_percentage]]/100</f>
        <v>0</v>
      </c>
      <c r="Q91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916" s="25">
        <f>Table1[[#This Row],[current_price]]*Table1[[#This Row],[stock_quantity]]</f>
        <v>3355.44</v>
      </c>
    </row>
    <row r="917" spans="1:18" x14ac:dyDescent="0.25">
      <c r="A917" s="2" t="s">
        <v>970</v>
      </c>
      <c r="B917" s="2" t="s">
        <v>38</v>
      </c>
      <c r="C917" s="2" t="s">
        <v>48</v>
      </c>
      <c r="D917" s="2" t="s">
        <v>34</v>
      </c>
      <c r="E917" s="2" t="s">
        <v>24</v>
      </c>
      <c r="F917" s="2" t="s">
        <v>28</v>
      </c>
      <c r="G917" s="8">
        <v>36.44</v>
      </c>
      <c r="H917" s="11">
        <v>19.899999999999999</v>
      </c>
      <c r="I917" s="8">
        <v>29.19</v>
      </c>
      <c r="J917" s="3">
        <v>45875</v>
      </c>
      <c r="K917" s="14">
        <v>39</v>
      </c>
      <c r="L917" s="17">
        <v>1.8</v>
      </c>
      <c r="M917" s="2" t="b">
        <v>0</v>
      </c>
      <c r="N917" s="2"/>
      <c r="O917" s="2" t="str">
        <f>IF(Table1[[#This Row],[is_returned]]=TRUE,IF(Table1[[#This Row],[return_reason]]="","Error","OK"),"OK")</f>
        <v>OK</v>
      </c>
      <c r="P917" s="8">
        <f>Table1[[#This Row],[original_price]]*Table1[[#This Row],[markdown_percentage]]/100</f>
        <v>7.2515599999999996</v>
      </c>
      <c r="Q91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917" s="25">
        <f>Table1[[#This Row],[current_price]]*Table1[[#This Row],[stock_quantity]]</f>
        <v>1138.4100000000001</v>
      </c>
    </row>
    <row r="918" spans="1:18" x14ac:dyDescent="0.25">
      <c r="A918" s="2" t="s">
        <v>971</v>
      </c>
      <c r="B918" s="2" t="s">
        <v>15</v>
      </c>
      <c r="C918" s="2" t="s">
        <v>53</v>
      </c>
      <c r="D918" s="2" t="s">
        <v>34</v>
      </c>
      <c r="E918" s="2" t="s">
        <v>39</v>
      </c>
      <c r="F918" s="2" t="s">
        <v>25</v>
      </c>
      <c r="G918" s="8">
        <v>155.30000000000001</v>
      </c>
      <c r="H918" s="11">
        <v>0</v>
      </c>
      <c r="I918" s="8">
        <v>155.30000000000001</v>
      </c>
      <c r="J918" s="3">
        <v>45875</v>
      </c>
      <c r="K918" s="14">
        <v>9</v>
      </c>
      <c r="L918" s="17">
        <v>3</v>
      </c>
      <c r="M918" s="2" t="b">
        <v>0</v>
      </c>
      <c r="N918" s="2"/>
      <c r="O918" s="2" t="str">
        <f>IF(Table1[[#This Row],[is_returned]]=TRUE,IF(Table1[[#This Row],[return_reason]]="","Error","OK"),"OK")</f>
        <v>OK</v>
      </c>
      <c r="P918" s="8">
        <f>Table1[[#This Row],[original_price]]*Table1[[#This Row],[markdown_percentage]]/100</f>
        <v>0</v>
      </c>
      <c r="Q91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918" s="25">
        <f>Table1[[#This Row],[current_price]]*Table1[[#This Row],[stock_quantity]]</f>
        <v>1397.7</v>
      </c>
    </row>
    <row r="919" spans="1:18" x14ac:dyDescent="0.25">
      <c r="A919" s="2" t="s">
        <v>972</v>
      </c>
      <c r="B919" s="2" t="s">
        <v>38</v>
      </c>
      <c r="C919" s="2" t="s">
        <v>22</v>
      </c>
      <c r="D919" s="2" t="s">
        <v>34</v>
      </c>
      <c r="E919" s="2" t="s">
        <v>18</v>
      </c>
      <c r="F919" s="2" t="s">
        <v>19</v>
      </c>
      <c r="G919" s="8">
        <v>84.04</v>
      </c>
      <c r="H919" s="11">
        <v>28.5</v>
      </c>
      <c r="I919" s="8">
        <v>60.09</v>
      </c>
      <c r="J919" s="3">
        <v>45875</v>
      </c>
      <c r="K919" s="14">
        <v>3</v>
      </c>
      <c r="L919" s="17">
        <v>1</v>
      </c>
      <c r="M919" s="2" t="b">
        <v>0</v>
      </c>
      <c r="N919" s="2"/>
      <c r="O919" s="2" t="str">
        <f>IF(Table1[[#This Row],[is_returned]]=TRUE,IF(Table1[[#This Row],[return_reason]]="","Error","OK"),"OK")</f>
        <v>OK</v>
      </c>
      <c r="P919" s="8">
        <f>Table1[[#This Row],[original_price]]*Table1[[#This Row],[markdown_percentage]]/100</f>
        <v>23.951400000000003</v>
      </c>
      <c r="Q91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919" s="25">
        <f>Table1[[#This Row],[current_price]]*Table1[[#This Row],[stock_quantity]]</f>
        <v>180.27</v>
      </c>
    </row>
    <row r="920" spans="1:18" x14ac:dyDescent="0.25">
      <c r="A920" s="2" t="s">
        <v>973</v>
      </c>
      <c r="B920" s="2" t="s">
        <v>30</v>
      </c>
      <c r="C920" s="2" t="s">
        <v>61</v>
      </c>
      <c r="D920" s="2" t="s">
        <v>34</v>
      </c>
      <c r="E920" s="2" t="s">
        <v>55</v>
      </c>
      <c r="F920" s="2" t="s">
        <v>70</v>
      </c>
      <c r="G920" s="8">
        <v>98.76</v>
      </c>
      <c r="H920" s="11">
        <v>56.4</v>
      </c>
      <c r="I920" s="8">
        <v>43.06</v>
      </c>
      <c r="J920" s="3">
        <v>45875</v>
      </c>
      <c r="K920" s="14">
        <v>22</v>
      </c>
      <c r="L920" s="17">
        <v>4.5</v>
      </c>
      <c r="M920" s="2" t="b">
        <v>0</v>
      </c>
      <c r="N920" s="2"/>
      <c r="O920" s="2" t="str">
        <f>IF(Table1[[#This Row],[is_returned]]=TRUE,IF(Table1[[#This Row],[return_reason]]="","Error","OK"),"OK")</f>
        <v>OK</v>
      </c>
      <c r="P920" s="8">
        <f>Table1[[#This Row],[original_price]]*Table1[[#This Row],[markdown_percentage]]/100</f>
        <v>55.70064</v>
      </c>
      <c r="Q92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920" s="25">
        <f>Table1[[#This Row],[current_price]]*Table1[[#This Row],[stock_quantity]]</f>
        <v>947.32</v>
      </c>
    </row>
    <row r="921" spans="1:18" x14ac:dyDescent="0.25">
      <c r="A921" s="2" t="s">
        <v>974</v>
      </c>
      <c r="B921" s="2" t="s">
        <v>27</v>
      </c>
      <c r="C921" s="2" t="s">
        <v>53</v>
      </c>
      <c r="D921" s="2" t="s">
        <v>62</v>
      </c>
      <c r="E921" s="2"/>
      <c r="F921" s="2" t="s">
        <v>35</v>
      </c>
      <c r="G921" s="8">
        <v>52.99</v>
      </c>
      <c r="H921" s="11">
        <v>59.1</v>
      </c>
      <c r="I921" s="8">
        <v>21.67</v>
      </c>
      <c r="J921" s="3">
        <v>45875</v>
      </c>
      <c r="K921" s="14">
        <v>50</v>
      </c>
      <c r="L921" s="17">
        <v>3.4</v>
      </c>
      <c r="M921" s="2" t="b">
        <v>1</v>
      </c>
      <c r="N921" s="2" t="s">
        <v>73</v>
      </c>
      <c r="O921" s="2" t="str">
        <f>IF(Table1[[#This Row],[is_returned]]=TRUE,IF(Table1[[#This Row],[return_reason]]="","Error","OK"),"OK")</f>
        <v>OK</v>
      </c>
      <c r="P921" s="8">
        <f>Table1[[#This Row],[original_price]]*Table1[[#This Row],[markdown_percentage]]/100</f>
        <v>31.317090000000004</v>
      </c>
      <c r="Q92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921" s="25">
        <f>Table1[[#This Row],[current_price]]*Table1[[#This Row],[stock_quantity]]</f>
        <v>1083.5</v>
      </c>
    </row>
    <row r="922" spans="1:18" x14ac:dyDescent="0.25">
      <c r="A922" s="2" t="s">
        <v>975</v>
      </c>
      <c r="B922" s="2" t="s">
        <v>38</v>
      </c>
      <c r="C922" s="2" t="s">
        <v>22</v>
      </c>
      <c r="D922" s="2" t="s">
        <v>17</v>
      </c>
      <c r="E922" s="2" t="s">
        <v>24</v>
      </c>
      <c r="F922" s="2" t="s">
        <v>19</v>
      </c>
      <c r="G922" s="8">
        <v>39.840000000000003</v>
      </c>
      <c r="H922" s="11">
        <v>0</v>
      </c>
      <c r="I922" s="8">
        <v>39.840000000000003</v>
      </c>
      <c r="J922" s="3">
        <v>45765</v>
      </c>
      <c r="K922" s="14">
        <v>24</v>
      </c>
      <c r="L922" s="17">
        <v>2.4</v>
      </c>
      <c r="M922" s="2" t="b">
        <v>0</v>
      </c>
      <c r="N922" s="2"/>
      <c r="O922" s="2" t="str">
        <f>IF(Table1[[#This Row],[is_returned]]=TRUE,IF(Table1[[#This Row],[return_reason]]="","Error","OK"),"OK")</f>
        <v>OK</v>
      </c>
      <c r="P922" s="8">
        <f>Table1[[#This Row],[original_price]]*Table1[[#This Row],[markdown_percentage]]/100</f>
        <v>0</v>
      </c>
      <c r="Q92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922" s="25">
        <f>Table1[[#This Row],[current_price]]*Table1[[#This Row],[stock_quantity]]</f>
        <v>956.16000000000008</v>
      </c>
    </row>
    <row r="923" spans="1:18" x14ac:dyDescent="0.25">
      <c r="A923" s="2" t="s">
        <v>976</v>
      </c>
      <c r="B923" s="2" t="s">
        <v>27</v>
      </c>
      <c r="C923" s="2" t="s">
        <v>53</v>
      </c>
      <c r="D923" s="2" t="s">
        <v>17</v>
      </c>
      <c r="E923" s="2"/>
      <c r="F923" s="2" t="s">
        <v>46</v>
      </c>
      <c r="G923" s="8">
        <v>40.01</v>
      </c>
      <c r="H923" s="11">
        <v>0</v>
      </c>
      <c r="I923" s="8">
        <v>40.01</v>
      </c>
      <c r="J923" s="3">
        <v>45813</v>
      </c>
      <c r="K923" s="14">
        <v>22</v>
      </c>
      <c r="L923" s="17">
        <v>4.5</v>
      </c>
      <c r="M923" s="2" t="b">
        <v>0</v>
      </c>
      <c r="N923" s="2"/>
      <c r="O923" s="2" t="str">
        <f>IF(Table1[[#This Row],[is_returned]]=TRUE,IF(Table1[[#This Row],[return_reason]]="","Error","OK"),"OK")</f>
        <v>OK</v>
      </c>
      <c r="P923" s="8">
        <f>Table1[[#This Row],[original_price]]*Table1[[#This Row],[markdown_percentage]]/100</f>
        <v>0</v>
      </c>
      <c r="Q92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923" s="25">
        <f>Table1[[#This Row],[current_price]]*Table1[[#This Row],[stock_quantity]]</f>
        <v>880.21999999999991</v>
      </c>
    </row>
    <row r="924" spans="1:18" x14ac:dyDescent="0.25">
      <c r="A924" s="2" t="s">
        <v>977</v>
      </c>
      <c r="B924" s="2" t="s">
        <v>15</v>
      </c>
      <c r="C924" s="2" t="s">
        <v>53</v>
      </c>
      <c r="D924" s="2" t="s">
        <v>62</v>
      </c>
      <c r="E924" s="2" t="s">
        <v>24</v>
      </c>
      <c r="F924" s="2" t="s">
        <v>64</v>
      </c>
      <c r="G924" s="8">
        <v>245.75</v>
      </c>
      <c r="H924" s="11">
        <v>0</v>
      </c>
      <c r="I924" s="8">
        <v>245.75</v>
      </c>
      <c r="J924" s="3">
        <v>45875</v>
      </c>
      <c r="K924" s="14">
        <v>12</v>
      </c>
      <c r="L924" s="17"/>
      <c r="M924" s="2" t="b">
        <v>1</v>
      </c>
      <c r="N924" s="2" t="s">
        <v>115</v>
      </c>
      <c r="O924" s="2" t="str">
        <f>IF(Table1[[#This Row],[is_returned]]=TRUE,IF(Table1[[#This Row],[return_reason]]="","Error","OK"),"OK")</f>
        <v>OK</v>
      </c>
      <c r="P924" s="8">
        <f>Table1[[#This Row],[original_price]]*Table1[[#This Row],[markdown_percentage]]/100</f>
        <v>0</v>
      </c>
      <c r="Q92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924" s="25">
        <f>Table1[[#This Row],[current_price]]*Table1[[#This Row],[stock_quantity]]</f>
        <v>2949</v>
      </c>
    </row>
    <row r="925" spans="1:18" x14ac:dyDescent="0.25">
      <c r="A925" s="2" t="s">
        <v>978</v>
      </c>
      <c r="B925" s="2" t="s">
        <v>38</v>
      </c>
      <c r="C925" s="2" t="s">
        <v>16</v>
      </c>
      <c r="D925" s="2" t="s">
        <v>23</v>
      </c>
      <c r="E925" s="2" t="s">
        <v>18</v>
      </c>
      <c r="F925" s="2" t="s">
        <v>40</v>
      </c>
      <c r="G925" s="8">
        <v>102.25</v>
      </c>
      <c r="H925" s="11">
        <v>0</v>
      </c>
      <c r="I925" s="8">
        <v>102.25</v>
      </c>
      <c r="J925" s="3">
        <v>45875</v>
      </c>
      <c r="K925" s="14">
        <v>6</v>
      </c>
      <c r="L925" s="17">
        <v>3.8</v>
      </c>
      <c r="M925" s="2" t="b">
        <v>0</v>
      </c>
      <c r="N925" s="2"/>
      <c r="O925" s="2" t="str">
        <f>IF(Table1[[#This Row],[is_returned]]=TRUE,IF(Table1[[#This Row],[return_reason]]="","Error","OK"),"OK")</f>
        <v>OK</v>
      </c>
      <c r="P925" s="8">
        <f>Table1[[#This Row],[original_price]]*Table1[[#This Row],[markdown_percentage]]/100</f>
        <v>0</v>
      </c>
      <c r="Q92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925" s="25">
        <f>Table1[[#This Row],[current_price]]*Table1[[#This Row],[stock_quantity]]</f>
        <v>613.5</v>
      </c>
    </row>
    <row r="926" spans="1:18" x14ac:dyDescent="0.25">
      <c r="A926" s="2" t="s">
        <v>979</v>
      </c>
      <c r="B926" s="2" t="s">
        <v>21</v>
      </c>
      <c r="C926" s="2" t="s">
        <v>53</v>
      </c>
      <c r="D926" s="2" t="s">
        <v>62</v>
      </c>
      <c r="E926" s="2" t="s">
        <v>58</v>
      </c>
      <c r="F926" s="2" t="s">
        <v>40</v>
      </c>
      <c r="G926" s="8">
        <v>76.33</v>
      </c>
      <c r="H926" s="11">
        <v>0</v>
      </c>
      <c r="I926" s="8">
        <v>76.33</v>
      </c>
      <c r="J926" s="3">
        <v>45875</v>
      </c>
      <c r="K926" s="14">
        <v>15</v>
      </c>
      <c r="L926" s="17">
        <v>2</v>
      </c>
      <c r="M926" s="2" t="b">
        <v>1</v>
      </c>
      <c r="N926" s="2" t="s">
        <v>125</v>
      </c>
      <c r="O926" s="2" t="str">
        <f>IF(Table1[[#This Row],[is_returned]]=TRUE,IF(Table1[[#This Row],[return_reason]]="","Error","OK"),"OK")</f>
        <v>OK</v>
      </c>
      <c r="P926" s="8">
        <f>Table1[[#This Row],[original_price]]*Table1[[#This Row],[markdown_percentage]]/100</f>
        <v>0</v>
      </c>
      <c r="Q92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926" s="25">
        <f>Table1[[#This Row],[current_price]]*Table1[[#This Row],[stock_quantity]]</f>
        <v>1144.95</v>
      </c>
    </row>
    <row r="927" spans="1:18" x14ac:dyDescent="0.25">
      <c r="A927" s="2" t="s">
        <v>980</v>
      </c>
      <c r="B927" s="2" t="s">
        <v>27</v>
      </c>
      <c r="C927" s="2" t="s">
        <v>16</v>
      </c>
      <c r="D927" s="2" t="s">
        <v>17</v>
      </c>
      <c r="E927" s="2"/>
      <c r="F927" s="2" t="s">
        <v>40</v>
      </c>
      <c r="G927" s="8">
        <v>51.79</v>
      </c>
      <c r="H927" s="11">
        <v>39</v>
      </c>
      <c r="I927" s="8">
        <v>31.59</v>
      </c>
      <c r="J927" s="3">
        <v>45733</v>
      </c>
      <c r="K927" s="14">
        <v>37</v>
      </c>
      <c r="L927" s="17">
        <v>2.5</v>
      </c>
      <c r="M927" s="2" t="b">
        <v>0</v>
      </c>
      <c r="N927" s="2"/>
      <c r="O927" s="2" t="str">
        <f>IF(Table1[[#This Row],[is_returned]]=TRUE,IF(Table1[[#This Row],[return_reason]]="","Error","OK"),"OK")</f>
        <v>OK</v>
      </c>
      <c r="P927" s="8">
        <f>Table1[[#This Row],[original_price]]*Table1[[#This Row],[markdown_percentage]]/100</f>
        <v>20.1981</v>
      </c>
      <c r="Q92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927" s="25">
        <f>Table1[[#This Row],[current_price]]*Table1[[#This Row],[stock_quantity]]</f>
        <v>1168.83</v>
      </c>
    </row>
    <row r="928" spans="1:18" x14ac:dyDescent="0.25">
      <c r="A928" s="2" t="s">
        <v>981</v>
      </c>
      <c r="B928" s="2" t="s">
        <v>15</v>
      </c>
      <c r="C928" s="2" t="s">
        <v>16</v>
      </c>
      <c r="D928" s="2" t="s">
        <v>17</v>
      </c>
      <c r="E928" s="2" t="s">
        <v>49</v>
      </c>
      <c r="F928" s="2" t="s">
        <v>25</v>
      </c>
      <c r="G928" s="8">
        <v>141.24</v>
      </c>
      <c r="H928" s="11">
        <v>12.9</v>
      </c>
      <c r="I928" s="8">
        <v>123.02</v>
      </c>
      <c r="J928" s="3">
        <v>45567</v>
      </c>
      <c r="K928" s="14">
        <v>23</v>
      </c>
      <c r="L928" s="17">
        <v>1.7</v>
      </c>
      <c r="M928" s="2" t="b">
        <v>0</v>
      </c>
      <c r="N928" s="2"/>
      <c r="O928" s="2" t="str">
        <f>IF(Table1[[#This Row],[is_returned]]=TRUE,IF(Table1[[#This Row],[return_reason]]="","Error","OK"),"OK")</f>
        <v>OK</v>
      </c>
      <c r="P928" s="8">
        <f>Table1[[#This Row],[original_price]]*Table1[[#This Row],[markdown_percentage]]/100</f>
        <v>18.21996</v>
      </c>
      <c r="Q92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928" s="25">
        <f>Table1[[#This Row],[current_price]]*Table1[[#This Row],[stock_quantity]]</f>
        <v>2829.46</v>
      </c>
    </row>
    <row r="929" spans="1:18" x14ac:dyDescent="0.25">
      <c r="A929" s="2" t="s">
        <v>982</v>
      </c>
      <c r="B929" s="2" t="s">
        <v>27</v>
      </c>
      <c r="C929" s="2" t="s">
        <v>22</v>
      </c>
      <c r="D929" s="2" t="s">
        <v>17</v>
      </c>
      <c r="E929" s="2"/>
      <c r="F929" s="2" t="s">
        <v>28</v>
      </c>
      <c r="G929" s="8">
        <v>66.180000000000007</v>
      </c>
      <c r="H929" s="11">
        <v>0</v>
      </c>
      <c r="I929" s="8">
        <v>66.180000000000007</v>
      </c>
      <c r="J929" s="3">
        <v>45800</v>
      </c>
      <c r="K929" s="14">
        <v>20</v>
      </c>
      <c r="L929" s="17">
        <v>1.7</v>
      </c>
      <c r="M929" s="2" t="b">
        <v>0</v>
      </c>
      <c r="N929" s="2"/>
      <c r="O929" s="2" t="str">
        <f>IF(Table1[[#This Row],[is_returned]]=TRUE,IF(Table1[[#This Row],[return_reason]]="","Error","OK"),"OK")</f>
        <v>OK</v>
      </c>
      <c r="P929" s="8">
        <f>Table1[[#This Row],[original_price]]*Table1[[#This Row],[markdown_percentage]]/100</f>
        <v>0</v>
      </c>
      <c r="Q92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929" s="25">
        <f>Table1[[#This Row],[current_price]]*Table1[[#This Row],[stock_quantity]]</f>
        <v>1323.6000000000001</v>
      </c>
    </row>
    <row r="930" spans="1:18" x14ac:dyDescent="0.25">
      <c r="A930" s="2" t="s">
        <v>983</v>
      </c>
      <c r="B930" s="2" t="s">
        <v>21</v>
      </c>
      <c r="C930" s="2" t="s">
        <v>32</v>
      </c>
      <c r="D930" s="2" t="s">
        <v>62</v>
      </c>
      <c r="E930" s="2" t="s">
        <v>58</v>
      </c>
      <c r="F930" s="2" t="s">
        <v>64</v>
      </c>
      <c r="G930" s="8">
        <v>35.15</v>
      </c>
      <c r="H930" s="11">
        <v>0</v>
      </c>
      <c r="I930" s="8">
        <v>35.15</v>
      </c>
      <c r="J930" s="3">
        <v>45875</v>
      </c>
      <c r="K930" s="14">
        <v>38</v>
      </c>
      <c r="L930" s="17">
        <v>2.2000000000000002</v>
      </c>
      <c r="M930" s="2" t="b">
        <v>0</v>
      </c>
      <c r="N930" s="2"/>
      <c r="O930" s="2" t="str">
        <f>IF(Table1[[#This Row],[is_returned]]=TRUE,IF(Table1[[#This Row],[return_reason]]="","Error","OK"),"OK")</f>
        <v>OK</v>
      </c>
      <c r="P930" s="8">
        <f>Table1[[#This Row],[original_price]]*Table1[[#This Row],[markdown_percentage]]/100</f>
        <v>0</v>
      </c>
      <c r="Q93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930" s="25">
        <f>Table1[[#This Row],[current_price]]*Table1[[#This Row],[stock_quantity]]</f>
        <v>1335.7</v>
      </c>
    </row>
    <row r="931" spans="1:18" x14ac:dyDescent="0.25">
      <c r="A931" s="2" t="s">
        <v>984</v>
      </c>
      <c r="B931" s="2" t="s">
        <v>27</v>
      </c>
      <c r="C931" s="2" t="s">
        <v>48</v>
      </c>
      <c r="D931" s="2" t="s">
        <v>17</v>
      </c>
      <c r="E931" s="2"/>
      <c r="F931" s="2" t="s">
        <v>25</v>
      </c>
      <c r="G931" s="8">
        <v>35.619999999999997</v>
      </c>
      <c r="H931" s="11">
        <v>41.2</v>
      </c>
      <c r="I931" s="8">
        <v>20.94</v>
      </c>
      <c r="J931" s="3">
        <v>45736</v>
      </c>
      <c r="K931" s="14">
        <v>4</v>
      </c>
      <c r="L931" s="17">
        <v>3.7</v>
      </c>
      <c r="M931" s="2" t="b">
        <v>0</v>
      </c>
      <c r="N931" s="2"/>
      <c r="O931" s="2" t="str">
        <f>IF(Table1[[#This Row],[is_returned]]=TRUE,IF(Table1[[#This Row],[return_reason]]="","Error","OK"),"OK")</f>
        <v>OK</v>
      </c>
      <c r="P931" s="8">
        <f>Table1[[#This Row],[original_price]]*Table1[[#This Row],[markdown_percentage]]/100</f>
        <v>14.675440000000002</v>
      </c>
      <c r="Q93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931" s="25">
        <f>Table1[[#This Row],[current_price]]*Table1[[#This Row],[stock_quantity]]</f>
        <v>83.76</v>
      </c>
    </row>
    <row r="932" spans="1:18" x14ac:dyDescent="0.25">
      <c r="A932" s="2" t="s">
        <v>985</v>
      </c>
      <c r="B932" s="2" t="s">
        <v>27</v>
      </c>
      <c r="C932" s="2" t="s">
        <v>75</v>
      </c>
      <c r="D932" s="2" t="s">
        <v>62</v>
      </c>
      <c r="E932" s="2"/>
      <c r="F932" s="2" t="s">
        <v>46</v>
      </c>
      <c r="G932" s="8">
        <v>35.64</v>
      </c>
      <c r="H932" s="11">
        <v>0</v>
      </c>
      <c r="I932" s="8">
        <v>35.64</v>
      </c>
      <c r="J932" s="3">
        <v>45875</v>
      </c>
      <c r="K932" s="14">
        <v>48</v>
      </c>
      <c r="L932" s="17">
        <v>5</v>
      </c>
      <c r="M932" s="2" t="b">
        <v>1</v>
      </c>
      <c r="N932" s="2" t="s">
        <v>36</v>
      </c>
      <c r="O932" s="2" t="str">
        <f>IF(Table1[[#This Row],[is_returned]]=TRUE,IF(Table1[[#This Row],[return_reason]]="","Error","OK"),"OK")</f>
        <v>OK</v>
      </c>
      <c r="P932" s="8">
        <f>Table1[[#This Row],[original_price]]*Table1[[#This Row],[markdown_percentage]]/100</f>
        <v>0</v>
      </c>
      <c r="Q93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932" s="25">
        <f>Table1[[#This Row],[current_price]]*Table1[[#This Row],[stock_quantity]]</f>
        <v>1710.72</v>
      </c>
    </row>
    <row r="933" spans="1:18" x14ac:dyDescent="0.25">
      <c r="A933" s="2" t="s">
        <v>986</v>
      </c>
      <c r="B933" s="2" t="s">
        <v>38</v>
      </c>
      <c r="C933" s="2" t="s">
        <v>53</v>
      </c>
      <c r="D933" s="2" t="s">
        <v>62</v>
      </c>
      <c r="E933" s="2" t="s">
        <v>24</v>
      </c>
      <c r="F933" s="2" t="s">
        <v>19</v>
      </c>
      <c r="G933" s="8">
        <v>86.68</v>
      </c>
      <c r="H933" s="11">
        <v>0</v>
      </c>
      <c r="I933" s="8">
        <v>86.68</v>
      </c>
      <c r="J933" s="3">
        <v>45875</v>
      </c>
      <c r="K933" s="14">
        <v>2</v>
      </c>
      <c r="L933" s="17"/>
      <c r="M933" s="2" t="b">
        <v>0</v>
      </c>
      <c r="N933" s="2"/>
      <c r="O933" s="2" t="str">
        <f>IF(Table1[[#This Row],[is_returned]]=TRUE,IF(Table1[[#This Row],[return_reason]]="","Error","OK"),"OK")</f>
        <v>OK</v>
      </c>
      <c r="P933" s="8">
        <f>Table1[[#This Row],[original_price]]*Table1[[#This Row],[markdown_percentage]]/100</f>
        <v>0</v>
      </c>
      <c r="Q93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933" s="25">
        <f>Table1[[#This Row],[current_price]]*Table1[[#This Row],[stock_quantity]]</f>
        <v>173.36</v>
      </c>
    </row>
    <row r="934" spans="1:18" x14ac:dyDescent="0.25">
      <c r="A934" s="2" t="s">
        <v>987</v>
      </c>
      <c r="B934" s="2" t="s">
        <v>27</v>
      </c>
      <c r="C934" s="2" t="s">
        <v>48</v>
      </c>
      <c r="D934" s="2" t="s">
        <v>34</v>
      </c>
      <c r="E934" s="2"/>
      <c r="F934" s="2" t="s">
        <v>25</v>
      </c>
      <c r="G934" s="8">
        <v>17.72</v>
      </c>
      <c r="H934" s="11">
        <v>0</v>
      </c>
      <c r="I934" s="8">
        <v>17.72</v>
      </c>
      <c r="J934" s="3">
        <v>45875</v>
      </c>
      <c r="K934" s="14">
        <v>9</v>
      </c>
      <c r="L934" s="17">
        <v>1.2</v>
      </c>
      <c r="M934" s="2" t="b">
        <v>0</v>
      </c>
      <c r="N934" s="2"/>
      <c r="O934" s="2" t="str">
        <f>IF(Table1[[#This Row],[is_returned]]=TRUE,IF(Table1[[#This Row],[return_reason]]="","Error","OK"),"OK")</f>
        <v>OK</v>
      </c>
      <c r="P934" s="8">
        <f>Table1[[#This Row],[original_price]]*Table1[[#This Row],[markdown_percentage]]/100</f>
        <v>0</v>
      </c>
      <c r="Q93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934" s="25">
        <f>Table1[[#This Row],[current_price]]*Table1[[#This Row],[stock_quantity]]</f>
        <v>159.47999999999999</v>
      </c>
    </row>
    <row r="935" spans="1:18" x14ac:dyDescent="0.25">
      <c r="A935" s="2" t="s">
        <v>988</v>
      </c>
      <c r="B935" s="2" t="s">
        <v>15</v>
      </c>
      <c r="C935" s="2" t="s">
        <v>22</v>
      </c>
      <c r="D935" s="2" t="s">
        <v>34</v>
      </c>
      <c r="E935" s="2" t="s">
        <v>49</v>
      </c>
      <c r="F935" s="2" t="s">
        <v>25</v>
      </c>
      <c r="G935" s="8">
        <v>87.95</v>
      </c>
      <c r="H935" s="11">
        <v>13.3</v>
      </c>
      <c r="I935" s="8">
        <v>76.25</v>
      </c>
      <c r="J935" s="3">
        <v>45875</v>
      </c>
      <c r="K935" s="14">
        <v>4</v>
      </c>
      <c r="L935" s="17">
        <v>4.5</v>
      </c>
      <c r="M935" s="2" t="b">
        <v>0</v>
      </c>
      <c r="N935" s="2"/>
      <c r="O935" s="2" t="str">
        <f>IF(Table1[[#This Row],[is_returned]]=TRUE,IF(Table1[[#This Row],[return_reason]]="","Error","OK"),"OK")</f>
        <v>OK</v>
      </c>
      <c r="P935" s="8">
        <f>Table1[[#This Row],[original_price]]*Table1[[#This Row],[markdown_percentage]]/100</f>
        <v>11.697350000000002</v>
      </c>
      <c r="Q93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935" s="25">
        <f>Table1[[#This Row],[current_price]]*Table1[[#This Row],[stock_quantity]]</f>
        <v>305</v>
      </c>
    </row>
    <row r="936" spans="1:18" x14ac:dyDescent="0.25">
      <c r="A936" s="2" t="s">
        <v>989</v>
      </c>
      <c r="B936" s="2" t="s">
        <v>15</v>
      </c>
      <c r="C936" s="2" t="s">
        <v>43</v>
      </c>
      <c r="D936" s="2" t="s">
        <v>17</v>
      </c>
      <c r="E936" s="2" t="s">
        <v>55</v>
      </c>
      <c r="F936" s="2" t="s">
        <v>40</v>
      </c>
      <c r="G936" s="8">
        <v>216.26</v>
      </c>
      <c r="H936" s="11">
        <v>0</v>
      </c>
      <c r="I936" s="8">
        <v>216.26</v>
      </c>
      <c r="J936" s="3">
        <v>45763</v>
      </c>
      <c r="K936" s="14">
        <v>26</v>
      </c>
      <c r="L936" s="17">
        <v>1.1000000000000001</v>
      </c>
      <c r="M936" s="2" t="b">
        <v>0</v>
      </c>
      <c r="N936" s="2"/>
      <c r="O936" s="2" t="str">
        <f>IF(Table1[[#This Row],[is_returned]]=TRUE,IF(Table1[[#This Row],[return_reason]]="","Error","OK"),"OK")</f>
        <v>OK</v>
      </c>
      <c r="P936" s="8">
        <f>Table1[[#This Row],[original_price]]*Table1[[#This Row],[markdown_percentage]]/100</f>
        <v>0</v>
      </c>
      <c r="Q93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936" s="25">
        <f>Table1[[#This Row],[current_price]]*Table1[[#This Row],[stock_quantity]]</f>
        <v>5622.76</v>
      </c>
    </row>
    <row r="937" spans="1:18" x14ac:dyDescent="0.25">
      <c r="A937" s="2" t="s">
        <v>990</v>
      </c>
      <c r="B937" s="2" t="s">
        <v>15</v>
      </c>
      <c r="C937" s="2" t="s">
        <v>43</v>
      </c>
      <c r="D937" s="2" t="s">
        <v>62</v>
      </c>
      <c r="E937" s="2" t="s">
        <v>39</v>
      </c>
      <c r="F937" s="2" t="s">
        <v>28</v>
      </c>
      <c r="G937" s="8">
        <v>238.11</v>
      </c>
      <c r="H937" s="11">
        <v>0</v>
      </c>
      <c r="I937" s="8">
        <v>238.11</v>
      </c>
      <c r="J937" s="3">
        <v>45875</v>
      </c>
      <c r="K937" s="14">
        <v>49</v>
      </c>
      <c r="L937" s="17"/>
      <c r="M937" s="2" t="b">
        <v>0</v>
      </c>
      <c r="N937" s="2"/>
      <c r="O937" s="2" t="str">
        <f>IF(Table1[[#This Row],[is_returned]]=TRUE,IF(Table1[[#This Row],[return_reason]]="","Error","OK"),"OK")</f>
        <v>OK</v>
      </c>
      <c r="P937" s="8">
        <f>Table1[[#This Row],[original_price]]*Table1[[#This Row],[markdown_percentage]]/100</f>
        <v>0</v>
      </c>
      <c r="Q93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937" s="25">
        <f>Table1[[#This Row],[current_price]]*Table1[[#This Row],[stock_quantity]]</f>
        <v>11667.390000000001</v>
      </c>
    </row>
    <row r="938" spans="1:18" x14ac:dyDescent="0.25">
      <c r="A938" s="2" t="s">
        <v>991</v>
      </c>
      <c r="B938" s="2" t="s">
        <v>30</v>
      </c>
      <c r="C938" s="2" t="s">
        <v>22</v>
      </c>
      <c r="D938" s="2" t="s">
        <v>23</v>
      </c>
      <c r="E938" s="2" t="s">
        <v>49</v>
      </c>
      <c r="F938" s="2" t="s">
        <v>25</v>
      </c>
      <c r="G938" s="8">
        <v>112.77</v>
      </c>
      <c r="H938" s="11">
        <v>0</v>
      </c>
      <c r="I938" s="8">
        <v>112.77</v>
      </c>
      <c r="J938" s="3">
        <v>45875</v>
      </c>
      <c r="K938" s="14">
        <v>11</v>
      </c>
      <c r="L938" s="17">
        <v>4.0999999999999996</v>
      </c>
      <c r="M938" s="2" t="b">
        <v>0</v>
      </c>
      <c r="N938" s="2"/>
      <c r="O938" s="2" t="str">
        <f>IF(Table1[[#This Row],[is_returned]]=TRUE,IF(Table1[[#This Row],[return_reason]]="","Error","OK"),"OK")</f>
        <v>OK</v>
      </c>
      <c r="P938" s="8">
        <f>Table1[[#This Row],[original_price]]*Table1[[#This Row],[markdown_percentage]]/100</f>
        <v>0</v>
      </c>
      <c r="Q93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938" s="25">
        <f>Table1[[#This Row],[current_price]]*Table1[[#This Row],[stock_quantity]]</f>
        <v>1240.47</v>
      </c>
    </row>
    <row r="939" spans="1:18" x14ac:dyDescent="0.25">
      <c r="A939" s="2" t="s">
        <v>992</v>
      </c>
      <c r="B939" s="2" t="s">
        <v>27</v>
      </c>
      <c r="C939" s="2" t="s">
        <v>61</v>
      </c>
      <c r="D939" s="2" t="s">
        <v>23</v>
      </c>
      <c r="E939" s="2"/>
      <c r="F939" s="2" t="s">
        <v>64</v>
      </c>
      <c r="G939" s="8">
        <v>39.020000000000003</v>
      </c>
      <c r="H939" s="11">
        <v>44.8</v>
      </c>
      <c r="I939" s="8">
        <v>21.54</v>
      </c>
      <c r="J939" s="3">
        <v>45875</v>
      </c>
      <c r="K939" s="14">
        <v>29</v>
      </c>
      <c r="L939" s="17">
        <v>3.4</v>
      </c>
      <c r="M939" s="2" t="b">
        <v>0</v>
      </c>
      <c r="N939" s="2"/>
      <c r="O939" s="2" t="str">
        <f>IF(Table1[[#This Row],[is_returned]]=TRUE,IF(Table1[[#This Row],[return_reason]]="","Error","OK"),"OK")</f>
        <v>OK</v>
      </c>
      <c r="P939" s="8">
        <f>Table1[[#This Row],[original_price]]*Table1[[#This Row],[markdown_percentage]]/100</f>
        <v>17.48096</v>
      </c>
      <c r="Q93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939" s="25">
        <f>Table1[[#This Row],[current_price]]*Table1[[#This Row],[stock_quantity]]</f>
        <v>624.66</v>
      </c>
    </row>
    <row r="940" spans="1:18" x14ac:dyDescent="0.25">
      <c r="A940" s="2" t="s">
        <v>993</v>
      </c>
      <c r="B940" s="2" t="s">
        <v>21</v>
      </c>
      <c r="C940" s="2" t="s">
        <v>53</v>
      </c>
      <c r="D940" s="2" t="s">
        <v>17</v>
      </c>
      <c r="E940" s="2" t="s">
        <v>49</v>
      </c>
      <c r="F940" s="2" t="s">
        <v>66</v>
      </c>
      <c r="G940" s="8">
        <v>69.77</v>
      </c>
      <c r="H940" s="11">
        <v>0</v>
      </c>
      <c r="I940" s="8">
        <v>69.77</v>
      </c>
      <c r="J940" s="3">
        <v>45605</v>
      </c>
      <c r="K940" s="14">
        <v>29</v>
      </c>
      <c r="L940" s="17">
        <v>5</v>
      </c>
      <c r="M940" s="2" t="b">
        <v>0</v>
      </c>
      <c r="N940" s="2"/>
      <c r="O940" s="2" t="str">
        <f>IF(Table1[[#This Row],[is_returned]]=TRUE,IF(Table1[[#This Row],[return_reason]]="","Error","OK"),"OK")</f>
        <v>OK</v>
      </c>
      <c r="P940" s="8">
        <f>Table1[[#This Row],[original_price]]*Table1[[#This Row],[markdown_percentage]]/100</f>
        <v>0</v>
      </c>
      <c r="Q94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940" s="25">
        <f>Table1[[#This Row],[current_price]]*Table1[[#This Row],[stock_quantity]]</f>
        <v>2023.33</v>
      </c>
    </row>
    <row r="941" spans="1:18" x14ac:dyDescent="0.25">
      <c r="A941" s="2" t="s">
        <v>994</v>
      </c>
      <c r="B941" s="2" t="s">
        <v>42</v>
      </c>
      <c r="C941" s="2" t="s">
        <v>48</v>
      </c>
      <c r="D941" s="2" t="s">
        <v>17</v>
      </c>
      <c r="E941" s="2" t="s">
        <v>58</v>
      </c>
      <c r="F941" s="2" t="s">
        <v>66</v>
      </c>
      <c r="G941" s="8">
        <v>124.92</v>
      </c>
      <c r="H941" s="11">
        <v>48.4</v>
      </c>
      <c r="I941" s="8">
        <v>64.459999999999994</v>
      </c>
      <c r="J941" s="3">
        <v>45780</v>
      </c>
      <c r="K941" s="14">
        <v>22</v>
      </c>
      <c r="L941" s="17">
        <v>3.2</v>
      </c>
      <c r="M941" s="2" t="b">
        <v>0</v>
      </c>
      <c r="N941" s="2"/>
      <c r="O941" s="2" t="str">
        <f>IF(Table1[[#This Row],[is_returned]]=TRUE,IF(Table1[[#This Row],[return_reason]]="","Error","OK"),"OK")</f>
        <v>OK</v>
      </c>
      <c r="P941" s="8">
        <f>Table1[[#This Row],[original_price]]*Table1[[#This Row],[markdown_percentage]]/100</f>
        <v>60.461279999999995</v>
      </c>
      <c r="Q94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941" s="25">
        <f>Table1[[#This Row],[current_price]]*Table1[[#This Row],[stock_quantity]]</f>
        <v>1418.12</v>
      </c>
    </row>
    <row r="942" spans="1:18" x14ac:dyDescent="0.25">
      <c r="A942" s="2" t="s">
        <v>995</v>
      </c>
      <c r="B942" s="2" t="s">
        <v>42</v>
      </c>
      <c r="C942" s="2" t="s">
        <v>32</v>
      </c>
      <c r="D942" s="2" t="s">
        <v>62</v>
      </c>
      <c r="E942" s="2"/>
      <c r="F942" s="2" t="s">
        <v>66</v>
      </c>
      <c r="G942" s="8">
        <v>83.92</v>
      </c>
      <c r="H942" s="11">
        <v>29.4</v>
      </c>
      <c r="I942" s="8">
        <v>59.25</v>
      </c>
      <c r="J942" s="3">
        <v>45875</v>
      </c>
      <c r="K942" s="14">
        <v>20</v>
      </c>
      <c r="L942" s="17">
        <v>2.1</v>
      </c>
      <c r="M942" s="2" t="b">
        <v>1</v>
      </c>
      <c r="N942" s="2" t="s">
        <v>83</v>
      </c>
      <c r="O942" s="2" t="str">
        <f>IF(Table1[[#This Row],[is_returned]]=TRUE,IF(Table1[[#This Row],[return_reason]]="","Error","OK"),"OK")</f>
        <v>OK</v>
      </c>
      <c r="P942" s="8">
        <f>Table1[[#This Row],[original_price]]*Table1[[#This Row],[markdown_percentage]]/100</f>
        <v>24.67248</v>
      </c>
      <c r="Q94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942" s="25">
        <f>Table1[[#This Row],[current_price]]*Table1[[#This Row],[stock_quantity]]</f>
        <v>1185</v>
      </c>
    </row>
    <row r="943" spans="1:18" x14ac:dyDescent="0.25">
      <c r="A943" s="2" t="s">
        <v>996</v>
      </c>
      <c r="B943" s="2" t="s">
        <v>15</v>
      </c>
      <c r="C943" s="2" t="s">
        <v>75</v>
      </c>
      <c r="D943" s="2" t="s">
        <v>34</v>
      </c>
      <c r="E943" s="2" t="s">
        <v>55</v>
      </c>
      <c r="F943" s="2" t="s">
        <v>56</v>
      </c>
      <c r="G943" s="8">
        <v>180.91</v>
      </c>
      <c r="H943" s="11">
        <v>0</v>
      </c>
      <c r="I943" s="8">
        <v>180.91</v>
      </c>
      <c r="J943" s="3">
        <v>45875</v>
      </c>
      <c r="K943" s="14">
        <v>10</v>
      </c>
      <c r="L943" s="17">
        <v>3.8</v>
      </c>
      <c r="M943" s="2" t="b">
        <v>0</v>
      </c>
      <c r="N943" s="2"/>
      <c r="O943" s="2" t="str">
        <f>IF(Table1[[#This Row],[is_returned]]=TRUE,IF(Table1[[#This Row],[return_reason]]="","Error","OK"),"OK")</f>
        <v>OK</v>
      </c>
      <c r="P943" s="8">
        <f>Table1[[#This Row],[original_price]]*Table1[[#This Row],[markdown_percentage]]/100</f>
        <v>0</v>
      </c>
      <c r="Q94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943" s="25">
        <f>Table1[[#This Row],[current_price]]*Table1[[#This Row],[stock_quantity]]</f>
        <v>1809.1</v>
      </c>
    </row>
    <row r="944" spans="1:18" x14ac:dyDescent="0.25">
      <c r="A944" s="2" t="s">
        <v>997</v>
      </c>
      <c r="B944" s="2" t="s">
        <v>30</v>
      </c>
      <c r="C944" s="2" t="s">
        <v>75</v>
      </c>
      <c r="D944" s="2" t="s">
        <v>17</v>
      </c>
      <c r="E944" s="2" t="s">
        <v>49</v>
      </c>
      <c r="F944" s="2" t="s">
        <v>70</v>
      </c>
      <c r="G944" s="8">
        <v>120.11</v>
      </c>
      <c r="H944" s="11">
        <v>0</v>
      </c>
      <c r="I944" s="8">
        <v>120.11</v>
      </c>
      <c r="J944" s="3">
        <v>45650</v>
      </c>
      <c r="K944" s="14">
        <v>27</v>
      </c>
      <c r="L944" s="17">
        <v>4.0999999999999996</v>
      </c>
      <c r="M944" s="2" t="b">
        <v>0</v>
      </c>
      <c r="N944" s="2"/>
      <c r="O944" s="2" t="str">
        <f>IF(Table1[[#This Row],[is_returned]]=TRUE,IF(Table1[[#This Row],[return_reason]]="","Error","OK"),"OK")</f>
        <v>OK</v>
      </c>
      <c r="P944" s="8">
        <f>Table1[[#This Row],[original_price]]*Table1[[#This Row],[markdown_percentage]]/100</f>
        <v>0</v>
      </c>
      <c r="Q94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944" s="25">
        <f>Table1[[#This Row],[current_price]]*Table1[[#This Row],[stock_quantity]]</f>
        <v>3242.97</v>
      </c>
    </row>
    <row r="945" spans="1:18" x14ac:dyDescent="0.25">
      <c r="A945" s="2" t="s">
        <v>998</v>
      </c>
      <c r="B945" s="2" t="s">
        <v>15</v>
      </c>
      <c r="C945" s="2" t="s">
        <v>75</v>
      </c>
      <c r="D945" s="2" t="s">
        <v>62</v>
      </c>
      <c r="E945" s="2" t="s">
        <v>18</v>
      </c>
      <c r="F945" s="2" t="s">
        <v>19</v>
      </c>
      <c r="G945" s="8">
        <v>225.01</v>
      </c>
      <c r="H945" s="11">
        <v>0</v>
      </c>
      <c r="I945" s="8">
        <v>225.01</v>
      </c>
      <c r="J945" s="3">
        <v>45875</v>
      </c>
      <c r="K945" s="14">
        <v>50</v>
      </c>
      <c r="L945" s="17">
        <v>1.9</v>
      </c>
      <c r="M945" s="2" t="b">
        <v>1</v>
      </c>
      <c r="N945" s="2" t="s">
        <v>73</v>
      </c>
      <c r="O945" s="2" t="str">
        <f>IF(Table1[[#This Row],[is_returned]]=TRUE,IF(Table1[[#This Row],[return_reason]]="","Error","OK"),"OK")</f>
        <v>OK</v>
      </c>
      <c r="P945" s="8">
        <f>Table1[[#This Row],[original_price]]*Table1[[#This Row],[markdown_percentage]]/100</f>
        <v>0</v>
      </c>
      <c r="Q94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945" s="25">
        <f>Table1[[#This Row],[current_price]]*Table1[[#This Row],[stock_quantity]]</f>
        <v>11250.5</v>
      </c>
    </row>
    <row r="946" spans="1:18" x14ac:dyDescent="0.25">
      <c r="A946" s="2" t="s">
        <v>999</v>
      </c>
      <c r="B946" s="2" t="s">
        <v>42</v>
      </c>
      <c r="C946" s="2" t="s">
        <v>43</v>
      </c>
      <c r="D946" s="2" t="s">
        <v>62</v>
      </c>
      <c r="E946" s="2" t="s">
        <v>24</v>
      </c>
      <c r="F946" s="2" t="s">
        <v>46</v>
      </c>
      <c r="G946" s="8">
        <v>115.57</v>
      </c>
      <c r="H946" s="11">
        <v>0</v>
      </c>
      <c r="I946" s="8">
        <v>115.57</v>
      </c>
      <c r="J946" s="3">
        <v>45875</v>
      </c>
      <c r="K946" s="14">
        <v>32</v>
      </c>
      <c r="L946" s="17">
        <v>3</v>
      </c>
      <c r="M946" s="2" t="b">
        <v>0</v>
      </c>
      <c r="N946" s="2"/>
      <c r="O946" s="2" t="str">
        <f>IF(Table1[[#This Row],[is_returned]]=TRUE,IF(Table1[[#This Row],[return_reason]]="","Error","OK"),"OK")</f>
        <v>OK</v>
      </c>
      <c r="P946" s="8">
        <f>Table1[[#This Row],[original_price]]*Table1[[#This Row],[markdown_percentage]]/100</f>
        <v>0</v>
      </c>
      <c r="Q94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946" s="25">
        <f>Table1[[#This Row],[current_price]]*Table1[[#This Row],[stock_quantity]]</f>
        <v>3698.24</v>
      </c>
    </row>
    <row r="947" spans="1:18" x14ac:dyDescent="0.25">
      <c r="A947" s="2" t="s">
        <v>1000</v>
      </c>
      <c r="B947" s="2" t="s">
        <v>27</v>
      </c>
      <c r="C947" s="2" t="s">
        <v>61</v>
      </c>
      <c r="D947" s="2" t="s">
        <v>34</v>
      </c>
      <c r="E947" s="2"/>
      <c r="F947" s="2" t="s">
        <v>44</v>
      </c>
      <c r="G947" s="8">
        <v>21.2</v>
      </c>
      <c r="H947" s="11">
        <v>19</v>
      </c>
      <c r="I947" s="8">
        <v>17.170000000000002</v>
      </c>
      <c r="J947" s="3">
        <v>45875</v>
      </c>
      <c r="K947" s="14">
        <v>22</v>
      </c>
      <c r="L947" s="17">
        <v>1.3</v>
      </c>
      <c r="M947" s="2" t="b">
        <v>0</v>
      </c>
      <c r="N947" s="2"/>
      <c r="O947" s="2" t="str">
        <f>IF(Table1[[#This Row],[is_returned]]=TRUE,IF(Table1[[#This Row],[return_reason]]="","Error","OK"),"OK")</f>
        <v>OK</v>
      </c>
      <c r="P947" s="8">
        <f>Table1[[#This Row],[original_price]]*Table1[[#This Row],[markdown_percentage]]/100</f>
        <v>4.0280000000000005</v>
      </c>
      <c r="Q94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947" s="25">
        <f>Table1[[#This Row],[current_price]]*Table1[[#This Row],[stock_quantity]]</f>
        <v>377.74</v>
      </c>
    </row>
    <row r="948" spans="1:18" x14ac:dyDescent="0.25">
      <c r="A948" s="2" t="s">
        <v>1001</v>
      </c>
      <c r="B948" s="2" t="s">
        <v>38</v>
      </c>
      <c r="C948" s="2" t="s">
        <v>16</v>
      </c>
      <c r="D948" s="2" t="s">
        <v>17</v>
      </c>
      <c r="E948" s="2" t="s">
        <v>49</v>
      </c>
      <c r="F948" s="2" t="s">
        <v>28</v>
      </c>
      <c r="G948" s="8">
        <v>52.36</v>
      </c>
      <c r="H948" s="11">
        <v>0</v>
      </c>
      <c r="I948" s="8">
        <v>52.36</v>
      </c>
      <c r="J948" s="3">
        <v>45769</v>
      </c>
      <c r="K948" s="14">
        <v>35</v>
      </c>
      <c r="L948" s="17"/>
      <c r="M948" s="2" t="b">
        <v>0</v>
      </c>
      <c r="N948" s="2"/>
      <c r="O948" s="2" t="str">
        <f>IF(Table1[[#This Row],[is_returned]]=TRUE,IF(Table1[[#This Row],[return_reason]]="","Error","OK"),"OK")</f>
        <v>OK</v>
      </c>
      <c r="P948" s="8">
        <f>Table1[[#This Row],[original_price]]*Table1[[#This Row],[markdown_percentage]]/100</f>
        <v>0</v>
      </c>
      <c r="Q94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948" s="25">
        <f>Table1[[#This Row],[current_price]]*Table1[[#This Row],[stock_quantity]]</f>
        <v>1832.6</v>
      </c>
    </row>
    <row r="949" spans="1:18" x14ac:dyDescent="0.25">
      <c r="A949" s="2" t="s">
        <v>1002</v>
      </c>
      <c r="B949" s="2" t="s">
        <v>27</v>
      </c>
      <c r="C949" s="2" t="s">
        <v>53</v>
      </c>
      <c r="D949" s="2" t="s">
        <v>34</v>
      </c>
      <c r="E949" s="2"/>
      <c r="F949" s="2" t="s">
        <v>40</v>
      </c>
      <c r="G949" s="8">
        <v>73.430000000000007</v>
      </c>
      <c r="H949" s="11">
        <v>0</v>
      </c>
      <c r="I949" s="8">
        <v>73.430000000000007</v>
      </c>
      <c r="J949" s="3">
        <v>45875</v>
      </c>
      <c r="K949" s="14">
        <v>22</v>
      </c>
      <c r="L949" s="17">
        <v>2.2999999999999998</v>
      </c>
      <c r="M949" s="2" t="b">
        <v>0</v>
      </c>
      <c r="N949" s="2"/>
      <c r="O949" s="2" t="str">
        <f>IF(Table1[[#This Row],[is_returned]]=TRUE,IF(Table1[[#This Row],[return_reason]]="","Error","OK"),"OK")</f>
        <v>OK</v>
      </c>
      <c r="P949" s="8">
        <f>Table1[[#This Row],[original_price]]*Table1[[#This Row],[markdown_percentage]]/100</f>
        <v>0</v>
      </c>
      <c r="Q94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949" s="25">
        <f>Table1[[#This Row],[current_price]]*Table1[[#This Row],[stock_quantity]]</f>
        <v>1615.46</v>
      </c>
    </row>
    <row r="950" spans="1:18" x14ac:dyDescent="0.25">
      <c r="A950" s="2" t="s">
        <v>1003</v>
      </c>
      <c r="B950" s="2" t="s">
        <v>27</v>
      </c>
      <c r="C950" s="2" t="s">
        <v>53</v>
      </c>
      <c r="D950" s="2" t="s">
        <v>17</v>
      </c>
      <c r="E950" s="2"/>
      <c r="F950" s="2" t="s">
        <v>66</v>
      </c>
      <c r="G950" s="8">
        <v>70.75</v>
      </c>
      <c r="H950" s="11">
        <v>0</v>
      </c>
      <c r="I950" s="8">
        <v>70.75</v>
      </c>
      <c r="J950" s="3">
        <v>45789</v>
      </c>
      <c r="K950" s="14">
        <v>0</v>
      </c>
      <c r="L950" s="17">
        <v>1.4</v>
      </c>
      <c r="M950" s="2" t="b">
        <v>0</v>
      </c>
      <c r="N950" s="2"/>
      <c r="O950" s="2" t="str">
        <f>IF(Table1[[#This Row],[is_returned]]=TRUE,IF(Table1[[#This Row],[return_reason]]="","Error","OK"),"OK")</f>
        <v>OK</v>
      </c>
      <c r="P950" s="8">
        <f>Table1[[#This Row],[original_price]]*Table1[[#This Row],[markdown_percentage]]/100</f>
        <v>0</v>
      </c>
      <c r="Q95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950" s="25">
        <f>Table1[[#This Row],[current_price]]*Table1[[#This Row],[stock_quantity]]</f>
        <v>0</v>
      </c>
    </row>
    <row r="951" spans="1:18" x14ac:dyDescent="0.25">
      <c r="A951" s="2" t="s">
        <v>1004</v>
      </c>
      <c r="B951" s="2" t="s">
        <v>27</v>
      </c>
      <c r="C951" s="2" t="s">
        <v>61</v>
      </c>
      <c r="D951" s="2" t="s">
        <v>34</v>
      </c>
      <c r="E951" s="2"/>
      <c r="F951" s="2" t="s">
        <v>35</v>
      </c>
      <c r="G951" s="8">
        <v>58.9</v>
      </c>
      <c r="H951" s="11">
        <v>0</v>
      </c>
      <c r="I951" s="8">
        <v>58.9</v>
      </c>
      <c r="J951" s="3">
        <v>45875</v>
      </c>
      <c r="K951" s="14">
        <v>39</v>
      </c>
      <c r="L951" s="17">
        <v>4</v>
      </c>
      <c r="M951" s="2" t="b">
        <v>0</v>
      </c>
      <c r="N951" s="2"/>
      <c r="O951" s="2" t="str">
        <f>IF(Table1[[#This Row],[is_returned]]=TRUE,IF(Table1[[#This Row],[return_reason]]="","Error","OK"),"OK")</f>
        <v>OK</v>
      </c>
      <c r="P951" s="8">
        <f>Table1[[#This Row],[original_price]]*Table1[[#This Row],[markdown_percentage]]/100</f>
        <v>0</v>
      </c>
      <c r="Q95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951" s="25">
        <f>Table1[[#This Row],[current_price]]*Table1[[#This Row],[stock_quantity]]</f>
        <v>2297.1</v>
      </c>
    </row>
    <row r="952" spans="1:18" x14ac:dyDescent="0.25">
      <c r="A952" s="2" t="s">
        <v>1005</v>
      </c>
      <c r="B952" s="2" t="s">
        <v>15</v>
      </c>
      <c r="C952" s="2" t="s">
        <v>75</v>
      </c>
      <c r="D952" s="2" t="s">
        <v>23</v>
      </c>
      <c r="E952" s="2" t="s">
        <v>24</v>
      </c>
      <c r="F952" s="2" t="s">
        <v>66</v>
      </c>
      <c r="G952" s="8">
        <v>104.78</v>
      </c>
      <c r="H952" s="11">
        <v>16.899999999999999</v>
      </c>
      <c r="I952" s="8">
        <v>87.07</v>
      </c>
      <c r="J952" s="3">
        <v>45875</v>
      </c>
      <c r="K952" s="14">
        <v>43</v>
      </c>
      <c r="L952" s="17">
        <v>4.3</v>
      </c>
      <c r="M952" s="2" t="b">
        <v>0</v>
      </c>
      <c r="N952" s="2"/>
      <c r="O952" s="2" t="str">
        <f>IF(Table1[[#This Row],[is_returned]]=TRUE,IF(Table1[[#This Row],[return_reason]]="","Error","OK"),"OK")</f>
        <v>OK</v>
      </c>
      <c r="P952" s="8">
        <f>Table1[[#This Row],[original_price]]*Table1[[#This Row],[markdown_percentage]]/100</f>
        <v>17.707819999999998</v>
      </c>
      <c r="Q95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952" s="25">
        <f>Table1[[#This Row],[current_price]]*Table1[[#This Row],[stock_quantity]]</f>
        <v>3744.0099999999998</v>
      </c>
    </row>
    <row r="953" spans="1:18" x14ac:dyDescent="0.25">
      <c r="A953" s="2" t="s">
        <v>1006</v>
      </c>
      <c r="B953" s="2" t="s">
        <v>27</v>
      </c>
      <c r="C953" s="2" t="s">
        <v>75</v>
      </c>
      <c r="D953" s="2" t="s">
        <v>34</v>
      </c>
      <c r="E953" s="2"/>
      <c r="F953" s="2" t="s">
        <v>44</v>
      </c>
      <c r="G953" s="8">
        <v>55.3</v>
      </c>
      <c r="H953" s="11">
        <v>0</v>
      </c>
      <c r="I953" s="8">
        <v>55.3</v>
      </c>
      <c r="J953" s="3">
        <v>45875</v>
      </c>
      <c r="K953" s="14">
        <v>17</v>
      </c>
      <c r="L953" s="17">
        <v>2.5</v>
      </c>
      <c r="M953" s="2" t="b">
        <v>0</v>
      </c>
      <c r="N953" s="2"/>
      <c r="O953" s="2" t="str">
        <f>IF(Table1[[#This Row],[is_returned]]=TRUE,IF(Table1[[#This Row],[return_reason]]="","Error","OK"),"OK")</f>
        <v>OK</v>
      </c>
      <c r="P953" s="8">
        <f>Table1[[#This Row],[original_price]]*Table1[[#This Row],[markdown_percentage]]/100</f>
        <v>0</v>
      </c>
      <c r="Q95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953" s="25">
        <f>Table1[[#This Row],[current_price]]*Table1[[#This Row],[stock_quantity]]</f>
        <v>940.09999999999991</v>
      </c>
    </row>
    <row r="954" spans="1:18" x14ac:dyDescent="0.25">
      <c r="A954" s="2" t="s">
        <v>1007</v>
      </c>
      <c r="B954" s="2" t="s">
        <v>38</v>
      </c>
      <c r="C954" s="2" t="s">
        <v>61</v>
      </c>
      <c r="D954" s="2" t="s">
        <v>62</v>
      </c>
      <c r="E954" s="2" t="s">
        <v>55</v>
      </c>
      <c r="F954" s="2" t="s">
        <v>28</v>
      </c>
      <c r="G954" s="8">
        <v>56.65</v>
      </c>
      <c r="H954" s="11">
        <v>34</v>
      </c>
      <c r="I954" s="8">
        <v>37.39</v>
      </c>
      <c r="J954" s="3">
        <v>45875</v>
      </c>
      <c r="K954" s="14">
        <v>23</v>
      </c>
      <c r="L954" s="17">
        <v>4.3</v>
      </c>
      <c r="M954" s="2" t="b">
        <v>0</v>
      </c>
      <c r="N954" s="2"/>
      <c r="O954" s="2" t="str">
        <f>IF(Table1[[#This Row],[is_returned]]=TRUE,IF(Table1[[#This Row],[return_reason]]="","Error","OK"),"OK")</f>
        <v>OK</v>
      </c>
      <c r="P954" s="8">
        <f>Table1[[#This Row],[original_price]]*Table1[[#This Row],[markdown_percentage]]/100</f>
        <v>19.260999999999999</v>
      </c>
      <c r="Q95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954" s="25">
        <f>Table1[[#This Row],[current_price]]*Table1[[#This Row],[stock_quantity]]</f>
        <v>859.97</v>
      </c>
    </row>
    <row r="955" spans="1:18" x14ac:dyDescent="0.25">
      <c r="A955" s="2" t="s">
        <v>1008</v>
      </c>
      <c r="B955" s="2" t="s">
        <v>30</v>
      </c>
      <c r="C955" s="2" t="s">
        <v>22</v>
      </c>
      <c r="D955" s="2" t="s">
        <v>34</v>
      </c>
      <c r="E955" s="2" t="s">
        <v>55</v>
      </c>
      <c r="F955" s="2" t="s">
        <v>25</v>
      </c>
      <c r="G955" s="8">
        <v>199.14</v>
      </c>
      <c r="H955" s="11">
        <v>0</v>
      </c>
      <c r="I955" s="8">
        <v>199.14</v>
      </c>
      <c r="J955" s="3">
        <v>45875</v>
      </c>
      <c r="K955" s="14">
        <v>18</v>
      </c>
      <c r="L955" s="17"/>
      <c r="M955" s="2" t="b">
        <v>0</v>
      </c>
      <c r="N955" s="2"/>
      <c r="O955" s="2" t="str">
        <f>IF(Table1[[#This Row],[is_returned]]=TRUE,IF(Table1[[#This Row],[return_reason]]="","Error","OK"),"OK")</f>
        <v>OK</v>
      </c>
      <c r="P955" s="8">
        <f>Table1[[#This Row],[original_price]]*Table1[[#This Row],[markdown_percentage]]/100</f>
        <v>0</v>
      </c>
      <c r="Q95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955" s="25">
        <f>Table1[[#This Row],[current_price]]*Table1[[#This Row],[stock_quantity]]</f>
        <v>3584.5199999999995</v>
      </c>
    </row>
    <row r="956" spans="1:18" x14ac:dyDescent="0.25">
      <c r="A956" s="2" t="s">
        <v>1009</v>
      </c>
      <c r="B956" s="2" t="s">
        <v>30</v>
      </c>
      <c r="C956" s="2" t="s">
        <v>16</v>
      </c>
      <c r="D956" s="2" t="s">
        <v>34</v>
      </c>
      <c r="E956" s="2" t="s">
        <v>58</v>
      </c>
      <c r="F956" s="2" t="s">
        <v>25</v>
      </c>
      <c r="G956" s="8">
        <v>128.68</v>
      </c>
      <c r="H956" s="11">
        <v>0</v>
      </c>
      <c r="I956" s="8">
        <v>128.68</v>
      </c>
      <c r="J956" s="3">
        <v>45875</v>
      </c>
      <c r="K956" s="14">
        <v>8</v>
      </c>
      <c r="L956" s="17">
        <v>2.2000000000000002</v>
      </c>
      <c r="M956" s="2" t="b">
        <v>0</v>
      </c>
      <c r="N956" s="2"/>
      <c r="O956" s="2" t="str">
        <f>IF(Table1[[#This Row],[is_returned]]=TRUE,IF(Table1[[#This Row],[return_reason]]="","Error","OK"),"OK")</f>
        <v>OK</v>
      </c>
      <c r="P956" s="8">
        <f>Table1[[#This Row],[original_price]]*Table1[[#This Row],[markdown_percentage]]/100</f>
        <v>0</v>
      </c>
      <c r="Q95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956" s="25">
        <f>Table1[[#This Row],[current_price]]*Table1[[#This Row],[stock_quantity]]</f>
        <v>1029.44</v>
      </c>
    </row>
    <row r="957" spans="1:18" x14ac:dyDescent="0.25">
      <c r="A957" s="2" t="s">
        <v>1010</v>
      </c>
      <c r="B957" s="2" t="s">
        <v>15</v>
      </c>
      <c r="C957" s="2" t="s">
        <v>22</v>
      </c>
      <c r="D957" s="2" t="s">
        <v>34</v>
      </c>
      <c r="E957" s="2" t="s">
        <v>18</v>
      </c>
      <c r="F957" s="2" t="s">
        <v>56</v>
      </c>
      <c r="G957" s="8">
        <v>150.37</v>
      </c>
      <c r="H957" s="11">
        <v>51.9</v>
      </c>
      <c r="I957" s="8">
        <v>72.33</v>
      </c>
      <c r="J957" s="3">
        <v>45875</v>
      </c>
      <c r="K957" s="14">
        <v>15</v>
      </c>
      <c r="L957" s="17">
        <v>5</v>
      </c>
      <c r="M957" s="2" t="b">
        <v>0</v>
      </c>
      <c r="N957" s="2"/>
      <c r="O957" s="2" t="str">
        <f>IF(Table1[[#This Row],[is_returned]]=TRUE,IF(Table1[[#This Row],[return_reason]]="","Error","OK"),"OK")</f>
        <v>OK</v>
      </c>
      <c r="P957" s="8">
        <f>Table1[[#This Row],[original_price]]*Table1[[#This Row],[markdown_percentage]]/100</f>
        <v>78.042030000000011</v>
      </c>
      <c r="Q95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957" s="25">
        <f>Table1[[#This Row],[current_price]]*Table1[[#This Row],[stock_quantity]]</f>
        <v>1084.95</v>
      </c>
    </row>
    <row r="958" spans="1:18" x14ac:dyDescent="0.25">
      <c r="A958" s="2" t="s">
        <v>1011</v>
      </c>
      <c r="B958" s="2" t="s">
        <v>42</v>
      </c>
      <c r="C958" s="2" t="s">
        <v>75</v>
      </c>
      <c r="D958" s="2" t="s">
        <v>23</v>
      </c>
      <c r="E958" s="2" t="s">
        <v>58</v>
      </c>
      <c r="F958" s="2" t="s">
        <v>25</v>
      </c>
      <c r="G958" s="8">
        <v>162.65</v>
      </c>
      <c r="H958" s="11">
        <v>0</v>
      </c>
      <c r="I958" s="8">
        <v>162.65</v>
      </c>
      <c r="J958" s="3">
        <v>45875</v>
      </c>
      <c r="K958" s="14">
        <v>36</v>
      </c>
      <c r="L958" s="17">
        <v>1.4</v>
      </c>
      <c r="M958" s="2" t="b">
        <v>0</v>
      </c>
      <c r="N958" s="2"/>
      <c r="O958" s="2" t="str">
        <f>IF(Table1[[#This Row],[is_returned]]=TRUE,IF(Table1[[#This Row],[return_reason]]="","Error","OK"),"OK")</f>
        <v>OK</v>
      </c>
      <c r="P958" s="8">
        <f>Table1[[#This Row],[original_price]]*Table1[[#This Row],[markdown_percentage]]/100</f>
        <v>0</v>
      </c>
      <c r="Q95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958" s="25">
        <f>Table1[[#This Row],[current_price]]*Table1[[#This Row],[stock_quantity]]</f>
        <v>5855.4000000000005</v>
      </c>
    </row>
    <row r="959" spans="1:18" x14ac:dyDescent="0.25">
      <c r="A959" s="2" t="s">
        <v>1012</v>
      </c>
      <c r="B959" s="2" t="s">
        <v>38</v>
      </c>
      <c r="C959" s="2" t="s">
        <v>43</v>
      </c>
      <c r="D959" s="2" t="s">
        <v>62</v>
      </c>
      <c r="E959" s="2" t="s">
        <v>49</v>
      </c>
      <c r="F959" s="2" t="s">
        <v>35</v>
      </c>
      <c r="G959" s="8">
        <v>28.9</v>
      </c>
      <c r="H959" s="11">
        <v>0</v>
      </c>
      <c r="I959" s="8">
        <v>28.9</v>
      </c>
      <c r="J959" s="3">
        <v>45875</v>
      </c>
      <c r="K959" s="14">
        <v>5</v>
      </c>
      <c r="L959" s="17">
        <v>4.5999999999999996</v>
      </c>
      <c r="M959" s="2" t="b">
        <v>0</v>
      </c>
      <c r="N959" s="2"/>
      <c r="O959" s="2" t="str">
        <f>IF(Table1[[#This Row],[is_returned]]=TRUE,IF(Table1[[#This Row],[return_reason]]="","Error","OK"),"OK")</f>
        <v>OK</v>
      </c>
      <c r="P959" s="8">
        <f>Table1[[#This Row],[original_price]]*Table1[[#This Row],[markdown_percentage]]/100</f>
        <v>0</v>
      </c>
      <c r="Q95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959" s="25">
        <f>Table1[[#This Row],[current_price]]*Table1[[#This Row],[stock_quantity]]</f>
        <v>144.5</v>
      </c>
    </row>
    <row r="960" spans="1:18" x14ac:dyDescent="0.25">
      <c r="A960" s="2" t="s">
        <v>1013</v>
      </c>
      <c r="B960" s="2" t="s">
        <v>27</v>
      </c>
      <c r="C960" s="2" t="s">
        <v>75</v>
      </c>
      <c r="D960" s="2" t="s">
        <v>17</v>
      </c>
      <c r="E960" s="2"/>
      <c r="F960" s="2" t="s">
        <v>25</v>
      </c>
      <c r="G960" s="8">
        <v>75.59</v>
      </c>
      <c r="H960" s="11">
        <v>38.799999999999997</v>
      </c>
      <c r="I960" s="8">
        <v>46.26</v>
      </c>
      <c r="J960" s="3">
        <v>45745</v>
      </c>
      <c r="K960" s="14">
        <v>43</v>
      </c>
      <c r="L960" s="17">
        <v>1.1000000000000001</v>
      </c>
      <c r="M960" s="2" t="b">
        <v>0</v>
      </c>
      <c r="N960" s="2"/>
      <c r="O960" s="2" t="str">
        <f>IF(Table1[[#This Row],[is_returned]]=TRUE,IF(Table1[[#This Row],[return_reason]]="","Error","OK"),"OK")</f>
        <v>OK</v>
      </c>
      <c r="P960" s="8">
        <f>Table1[[#This Row],[original_price]]*Table1[[#This Row],[markdown_percentage]]/100</f>
        <v>29.328919999999997</v>
      </c>
      <c r="Q96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960" s="25">
        <f>Table1[[#This Row],[current_price]]*Table1[[#This Row],[stock_quantity]]</f>
        <v>1989.1799999999998</v>
      </c>
    </row>
    <row r="961" spans="1:18" x14ac:dyDescent="0.25">
      <c r="A961" s="2" t="s">
        <v>1014</v>
      </c>
      <c r="B961" s="2" t="s">
        <v>21</v>
      </c>
      <c r="C961" s="2" t="s">
        <v>16</v>
      </c>
      <c r="D961" s="2" t="s">
        <v>17</v>
      </c>
      <c r="E961" s="2" t="s">
        <v>39</v>
      </c>
      <c r="F961" s="2" t="s">
        <v>70</v>
      </c>
      <c r="G961" s="8">
        <v>30.9</v>
      </c>
      <c r="H961" s="11">
        <v>5.5</v>
      </c>
      <c r="I961" s="8">
        <v>29.2</v>
      </c>
      <c r="J961" s="3">
        <v>45602</v>
      </c>
      <c r="K961" s="14">
        <v>25</v>
      </c>
      <c r="L961" s="17">
        <v>1.4</v>
      </c>
      <c r="M961" s="2" t="b">
        <v>0</v>
      </c>
      <c r="N961" s="2"/>
      <c r="O961" s="2" t="str">
        <f>IF(Table1[[#This Row],[is_returned]]=TRUE,IF(Table1[[#This Row],[return_reason]]="","Error","OK"),"OK")</f>
        <v>OK</v>
      </c>
      <c r="P961" s="8">
        <f>Table1[[#This Row],[original_price]]*Table1[[#This Row],[markdown_percentage]]/100</f>
        <v>1.6994999999999998</v>
      </c>
      <c r="Q96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961" s="25">
        <f>Table1[[#This Row],[current_price]]*Table1[[#This Row],[stock_quantity]]</f>
        <v>730</v>
      </c>
    </row>
    <row r="962" spans="1:18" x14ac:dyDescent="0.25">
      <c r="A962" s="2" t="s">
        <v>1015</v>
      </c>
      <c r="B962" s="2" t="s">
        <v>15</v>
      </c>
      <c r="C962" s="2" t="s">
        <v>43</v>
      </c>
      <c r="D962" s="2" t="s">
        <v>62</v>
      </c>
      <c r="E962" s="2" t="s">
        <v>39</v>
      </c>
      <c r="F962" s="2" t="s">
        <v>44</v>
      </c>
      <c r="G962" s="8">
        <v>101.04</v>
      </c>
      <c r="H962" s="11">
        <v>0</v>
      </c>
      <c r="I962" s="8">
        <v>101.04</v>
      </c>
      <c r="J962" s="3">
        <v>45875</v>
      </c>
      <c r="K962" s="14">
        <v>35</v>
      </c>
      <c r="L962" s="17">
        <v>3.5</v>
      </c>
      <c r="M962" s="2" t="b">
        <v>0</v>
      </c>
      <c r="N962" s="2"/>
      <c r="O962" s="2" t="str">
        <f>IF(Table1[[#This Row],[is_returned]]=TRUE,IF(Table1[[#This Row],[return_reason]]="","Error","OK"),"OK")</f>
        <v>OK</v>
      </c>
      <c r="P962" s="8">
        <f>Table1[[#This Row],[original_price]]*Table1[[#This Row],[markdown_percentage]]/100</f>
        <v>0</v>
      </c>
      <c r="Q96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962" s="25">
        <f>Table1[[#This Row],[current_price]]*Table1[[#This Row],[stock_quantity]]</f>
        <v>3536.4</v>
      </c>
    </row>
    <row r="963" spans="1:18" x14ac:dyDescent="0.25">
      <c r="A963" s="2" t="s">
        <v>1016</v>
      </c>
      <c r="B963" s="2" t="s">
        <v>42</v>
      </c>
      <c r="C963" s="2" t="s">
        <v>75</v>
      </c>
      <c r="D963" s="2" t="s">
        <v>34</v>
      </c>
      <c r="E963" s="2" t="s">
        <v>39</v>
      </c>
      <c r="F963" s="2" t="s">
        <v>35</v>
      </c>
      <c r="G963" s="8">
        <v>54.81</v>
      </c>
      <c r="H963" s="11">
        <v>0</v>
      </c>
      <c r="I963" s="8">
        <v>54.81</v>
      </c>
      <c r="J963" s="3">
        <v>45875</v>
      </c>
      <c r="K963" s="14">
        <v>41</v>
      </c>
      <c r="L963" s="17">
        <v>1.2</v>
      </c>
      <c r="M963" s="2" t="b">
        <v>1</v>
      </c>
      <c r="N963" s="2" t="s">
        <v>125</v>
      </c>
      <c r="O963" s="2" t="str">
        <f>IF(Table1[[#This Row],[is_returned]]=TRUE,IF(Table1[[#This Row],[return_reason]]="","Error","OK"),"OK")</f>
        <v>OK</v>
      </c>
      <c r="P963" s="8">
        <f>Table1[[#This Row],[original_price]]*Table1[[#This Row],[markdown_percentage]]/100</f>
        <v>0</v>
      </c>
      <c r="Q96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963" s="25">
        <f>Table1[[#This Row],[current_price]]*Table1[[#This Row],[stock_quantity]]</f>
        <v>2247.21</v>
      </c>
    </row>
    <row r="964" spans="1:18" x14ac:dyDescent="0.25">
      <c r="A964" s="2" t="s">
        <v>1017</v>
      </c>
      <c r="B964" s="2" t="s">
        <v>30</v>
      </c>
      <c r="C964" s="2" t="s">
        <v>48</v>
      </c>
      <c r="D964" s="2" t="s">
        <v>62</v>
      </c>
      <c r="E964" s="2" t="s">
        <v>58</v>
      </c>
      <c r="F964" s="2" t="s">
        <v>64</v>
      </c>
      <c r="G964" s="8">
        <v>191.61</v>
      </c>
      <c r="H964" s="11">
        <v>42.1</v>
      </c>
      <c r="I964" s="8">
        <v>110.94</v>
      </c>
      <c r="J964" s="3">
        <v>45875</v>
      </c>
      <c r="K964" s="14">
        <v>28</v>
      </c>
      <c r="L964" s="17">
        <v>4</v>
      </c>
      <c r="M964" s="2" t="b">
        <v>0</v>
      </c>
      <c r="N964" s="2"/>
      <c r="O964" s="2" t="str">
        <f>IF(Table1[[#This Row],[is_returned]]=TRUE,IF(Table1[[#This Row],[return_reason]]="","Error","OK"),"OK")</f>
        <v>OK</v>
      </c>
      <c r="P964" s="8">
        <f>Table1[[#This Row],[original_price]]*Table1[[#This Row],[markdown_percentage]]/100</f>
        <v>80.667810000000003</v>
      </c>
      <c r="Q96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964" s="25">
        <f>Table1[[#This Row],[current_price]]*Table1[[#This Row],[stock_quantity]]</f>
        <v>3106.3199999999997</v>
      </c>
    </row>
    <row r="965" spans="1:18" x14ac:dyDescent="0.25">
      <c r="A965" s="2" t="s">
        <v>1018</v>
      </c>
      <c r="B965" s="2" t="s">
        <v>21</v>
      </c>
      <c r="C965" s="2" t="s">
        <v>43</v>
      </c>
      <c r="D965" s="2" t="s">
        <v>62</v>
      </c>
      <c r="E965" s="2" t="s">
        <v>49</v>
      </c>
      <c r="F965" s="2" t="s">
        <v>25</v>
      </c>
      <c r="G965" s="8">
        <v>100.5</v>
      </c>
      <c r="H965" s="11">
        <v>0</v>
      </c>
      <c r="I965" s="8">
        <v>100.5</v>
      </c>
      <c r="J965" s="3">
        <v>45875</v>
      </c>
      <c r="K965" s="14">
        <v>12</v>
      </c>
      <c r="L965" s="17">
        <v>2.7</v>
      </c>
      <c r="M965" s="2" t="b">
        <v>1</v>
      </c>
      <c r="N965" s="2" t="s">
        <v>78</v>
      </c>
      <c r="O965" s="2" t="str">
        <f>IF(Table1[[#This Row],[is_returned]]=TRUE,IF(Table1[[#This Row],[return_reason]]="","Error","OK"),"OK")</f>
        <v>OK</v>
      </c>
      <c r="P965" s="8">
        <f>Table1[[#This Row],[original_price]]*Table1[[#This Row],[markdown_percentage]]/100</f>
        <v>0</v>
      </c>
      <c r="Q96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965" s="25">
        <f>Table1[[#This Row],[current_price]]*Table1[[#This Row],[stock_quantity]]</f>
        <v>1206</v>
      </c>
    </row>
    <row r="966" spans="1:18" x14ac:dyDescent="0.25">
      <c r="A966" s="2" t="s">
        <v>1019</v>
      </c>
      <c r="B966" s="2" t="s">
        <v>30</v>
      </c>
      <c r="C966" s="2" t="s">
        <v>43</v>
      </c>
      <c r="D966" s="2" t="s">
        <v>17</v>
      </c>
      <c r="E966" s="2" t="s">
        <v>49</v>
      </c>
      <c r="F966" s="2" t="s">
        <v>46</v>
      </c>
      <c r="G966" s="8">
        <v>92.35</v>
      </c>
      <c r="H966" s="11">
        <v>23.6</v>
      </c>
      <c r="I966" s="8">
        <v>70.56</v>
      </c>
      <c r="J966" s="3">
        <v>45624</v>
      </c>
      <c r="K966" s="14">
        <v>32</v>
      </c>
      <c r="L966" s="17">
        <v>2.2000000000000002</v>
      </c>
      <c r="M966" s="2" t="b">
        <v>0</v>
      </c>
      <c r="N966" s="2"/>
      <c r="O966" s="2" t="str">
        <f>IF(Table1[[#This Row],[is_returned]]=TRUE,IF(Table1[[#This Row],[return_reason]]="","Error","OK"),"OK")</f>
        <v>OK</v>
      </c>
      <c r="P966" s="8">
        <f>Table1[[#This Row],[original_price]]*Table1[[#This Row],[markdown_percentage]]/100</f>
        <v>21.794599999999999</v>
      </c>
      <c r="Q96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966" s="25">
        <f>Table1[[#This Row],[current_price]]*Table1[[#This Row],[stock_quantity]]</f>
        <v>2257.92</v>
      </c>
    </row>
    <row r="967" spans="1:18" x14ac:dyDescent="0.25">
      <c r="A967" s="2" t="s">
        <v>1020</v>
      </c>
      <c r="B967" s="2" t="s">
        <v>30</v>
      </c>
      <c r="C967" s="2" t="s">
        <v>53</v>
      </c>
      <c r="D967" s="2" t="s">
        <v>62</v>
      </c>
      <c r="E967" s="2" t="s">
        <v>58</v>
      </c>
      <c r="F967" s="2" t="s">
        <v>40</v>
      </c>
      <c r="G967" s="8">
        <v>161.24</v>
      </c>
      <c r="H967" s="11">
        <v>56.6</v>
      </c>
      <c r="I967" s="8">
        <v>69.98</v>
      </c>
      <c r="J967" s="3">
        <v>45875</v>
      </c>
      <c r="K967" s="14">
        <v>8</v>
      </c>
      <c r="L967" s="17">
        <v>2.1</v>
      </c>
      <c r="M967" s="2" t="b">
        <v>0</v>
      </c>
      <c r="N967" s="2"/>
      <c r="O967" s="2" t="str">
        <f>IF(Table1[[#This Row],[is_returned]]=TRUE,IF(Table1[[#This Row],[return_reason]]="","Error","OK"),"OK")</f>
        <v>OK</v>
      </c>
      <c r="P967" s="8">
        <f>Table1[[#This Row],[original_price]]*Table1[[#This Row],[markdown_percentage]]/100</f>
        <v>91.261840000000007</v>
      </c>
      <c r="Q96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967" s="25">
        <f>Table1[[#This Row],[current_price]]*Table1[[#This Row],[stock_quantity]]</f>
        <v>559.84</v>
      </c>
    </row>
    <row r="968" spans="1:18" x14ac:dyDescent="0.25">
      <c r="A968" s="2" t="s">
        <v>1021</v>
      </c>
      <c r="B968" s="2" t="s">
        <v>42</v>
      </c>
      <c r="C968" s="2" t="s">
        <v>43</v>
      </c>
      <c r="D968" s="2" t="s">
        <v>23</v>
      </c>
      <c r="E968" s="2" t="s">
        <v>55</v>
      </c>
      <c r="F968" s="2" t="s">
        <v>40</v>
      </c>
      <c r="G968" s="8">
        <v>68.03</v>
      </c>
      <c r="H968" s="11">
        <v>6.3</v>
      </c>
      <c r="I968" s="8">
        <v>63.74</v>
      </c>
      <c r="J968" s="3">
        <v>45875</v>
      </c>
      <c r="K968" s="14">
        <v>43</v>
      </c>
      <c r="L968" s="17">
        <v>3.4</v>
      </c>
      <c r="M968" s="2" t="b">
        <v>0</v>
      </c>
      <c r="N968" s="2"/>
      <c r="O968" s="2" t="str">
        <f>IF(Table1[[#This Row],[is_returned]]=TRUE,IF(Table1[[#This Row],[return_reason]]="","Error","OK"),"OK")</f>
        <v>OK</v>
      </c>
      <c r="P968" s="8">
        <f>Table1[[#This Row],[original_price]]*Table1[[#This Row],[markdown_percentage]]/100</f>
        <v>4.2858900000000002</v>
      </c>
      <c r="Q96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968" s="25">
        <f>Table1[[#This Row],[current_price]]*Table1[[#This Row],[stock_quantity]]</f>
        <v>2740.82</v>
      </c>
    </row>
    <row r="969" spans="1:18" x14ac:dyDescent="0.25">
      <c r="A969" s="2" t="s">
        <v>1022</v>
      </c>
      <c r="B969" s="2" t="s">
        <v>30</v>
      </c>
      <c r="C969" s="2" t="s">
        <v>53</v>
      </c>
      <c r="D969" s="2" t="s">
        <v>34</v>
      </c>
      <c r="E969" s="2" t="s">
        <v>55</v>
      </c>
      <c r="F969" s="2" t="s">
        <v>66</v>
      </c>
      <c r="G969" s="8">
        <v>121.21</v>
      </c>
      <c r="H969" s="11">
        <v>47.4</v>
      </c>
      <c r="I969" s="8">
        <v>63.76</v>
      </c>
      <c r="J969" s="3">
        <v>45875</v>
      </c>
      <c r="K969" s="14">
        <v>45</v>
      </c>
      <c r="L969" s="17">
        <v>3</v>
      </c>
      <c r="M969" s="2" t="b">
        <v>1</v>
      </c>
      <c r="N969" s="2" t="s">
        <v>115</v>
      </c>
      <c r="O969" s="2" t="str">
        <f>IF(Table1[[#This Row],[is_returned]]=TRUE,IF(Table1[[#This Row],[return_reason]]="","Error","OK"),"OK")</f>
        <v>OK</v>
      </c>
      <c r="P969" s="8">
        <f>Table1[[#This Row],[original_price]]*Table1[[#This Row],[markdown_percentage]]/100</f>
        <v>57.453539999999997</v>
      </c>
      <c r="Q96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969" s="25">
        <f>Table1[[#This Row],[current_price]]*Table1[[#This Row],[stock_quantity]]</f>
        <v>2869.2</v>
      </c>
    </row>
    <row r="970" spans="1:18" x14ac:dyDescent="0.25">
      <c r="A970" s="2" t="s">
        <v>1023</v>
      </c>
      <c r="B970" s="2" t="s">
        <v>21</v>
      </c>
      <c r="C970" s="2" t="s">
        <v>16</v>
      </c>
      <c r="D970" s="2" t="s">
        <v>23</v>
      </c>
      <c r="E970" s="2" t="s">
        <v>24</v>
      </c>
      <c r="F970" s="2" t="s">
        <v>44</v>
      </c>
      <c r="G970" s="8">
        <v>69.599999999999994</v>
      </c>
      <c r="H970" s="11">
        <v>28.8</v>
      </c>
      <c r="I970" s="8">
        <v>49.56</v>
      </c>
      <c r="J970" s="3">
        <v>45875</v>
      </c>
      <c r="K970" s="14">
        <v>42</v>
      </c>
      <c r="L970" s="17">
        <v>3.7</v>
      </c>
      <c r="M970" s="2" t="b">
        <v>0</v>
      </c>
      <c r="N970" s="2"/>
      <c r="O970" s="2" t="str">
        <f>IF(Table1[[#This Row],[is_returned]]=TRUE,IF(Table1[[#This Row],[return_reason]]="","Error","OK"),"OK")</f>
        <v>OK</v>
      </c>
      <c r="P970" s="8">
        <f>Table1[[#This Row],[original_price]]*Table1[[#This Row],[markdown_percentage]]/100</f>
        <v>20.044799999999999</v>
      </c>
      <c r="Q97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970" s="25">
        <f>Table1[[#This Row],[current_price]]*Table1[[#This Row],[stock_quantity]]</f>
        <v>2081.52</v>
      </c>
    </row>
    <row r="971" spans="1:18" x14ac:dyDescent="0.25">
      <c r="A971" s="2" t="s">
        <v>1024</v>
      </c>
      <c r="B971" s="2" t="s">
        <v>15</v>
      </c>
      <c r="C971" s="2" t="s">
        <v>32</v>
      </c>
      <c r="D971" s="2" t="s">
        <v>23</v>
      </c>
      <c r="E971" s="2" t="s">
        <v>55</v>
      </c>
      <c r="F971" s="2" t="s">
        <v>35</v>
      </c>
      <c r="G971" s="8">
        <v>222.5</v>
      </c>
      <c r="H971" s="11">
        <v>18.7</v>
      </c>
      <c r="I971" s="8">
        <v>180.89</v>
      </c>
      <c r="J971" s="3">
        <v>45875</v>
      </c>
      <c r="K971" s="14">
        <v>47</v>
      </c>
      <c r="L971" s="17"/>
      <c r="M971" s="2" t="b">
        <v>0</v>
      </c>
      <c r="N971" s="2"/>
      <c r="O971" s="2" t="str">
        <f>IF(Table1[[#This Row],[is_returned]]=TRUE,IF(Table1[[#This Row],[return_reason]]="","Error","OK"),"OK")</f>
        <v>OK</v>
      </c>
      <c r="P971" s="8">
        <f>Table1[[#This Row],[original_price]]*Table1[[#This Row],[markdown_percentage]]/100</f>
        <v>41.607500000000002</v>
      </c>
      <c r="Q97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971" s="25">
        <f>Table1[[#This Row],[current_price]]*Table1[[#This Row],[stock_quantity]]</f>
        <v>8501.83</v>
      </c>
    </row>
    <row r="972" spans="1:18" x14ac:dyDescent="0.25">
      <c r="A972" s="2" t="s">
        <v>1025</v>
      </c>
      <c r="B972" s="2" t="s">
        <v>38</v>
      </c>
      <c r="C972" s="2" t="s">
        <v>75</v>
      </c>
      <c r="D972" s="2" t="s">
        <v>34</v>
      </c>
      <c r="E972" s="2" t="s">
        <v>49</v>
      </c>
      <c r="F972" s="2" t="s">
        <v>25</v>
      </c>
      <c r="G972" s="8">
        <v>25.58</v>
      </c>
      <c r="H972" s="11">
        <v>54.5</v>
      </c>
      <c r="I972" s="8">
        <v>11.64</v>
      </c>
      <c r="J972" s="3">
        <v>45875</v>
      </c>
      <c r="K972" s="14">
        <v>34</v>
      </c>
      <c r="L972" s="17">
        <v>2.4</v>
      </c>
      <c r="M972" s="2" t="b">
        <v>0</v>
      </c>
      <c r="N972" s="2"/>
      <c r="O972" s="2" t="str">
        <f>IF(Table1[[#This Row],[is_returned]]=TRUE,IF(Table1[[#This Row],[return_reason]]="","Error","OK"),"OK")</f>
        <v>OK</v>
      </c>
      <c r="P972" s="8">
        <f>Table1[[#This Row],[original_price]]*Table1[[#This Row],[markdown_percentage]]/100</f>
        <v>13.941099999999999</v>
      </c>
      <c r="Q97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972" s="25">
        <f>Table1[[#This Row],[current_price]]*Table1[[#This Row],[stock_quantity]]</f>
        <v>395.76</v>
      </c>
    </row>
    <row r="973" spans="1:18" x14ac:dyDescent="0.25">
      <c r="A973" s="2" t="s">
        <v>1026</v>
      </c>
      <c r="B973" s="2" t="s">
        <v>42</v>
      </c>
      <c r="C973" s="2" t="s">
        <v>43</v>
      </c>
      <c r="D973" s="2" t="s">
        <v>62</v>
      </c>
      <c r="E973" s="2" t="s">
        <v>18</v>
      </c>
      <c r="F973" s="2" t="s">
        <v>44</v>
      </c>
      <c r="G973" s="8">
        <v>54.46</v>
      </c>
      <c r="H973" s="11">
        <v>6.6</v>
      </c>
      <c r="I973" s="8">
        <v>50.87</v>
      </c>
      <c r="J973" s="3">
        <v>45875</v>
      </c>
      <c r="K973" s="14">
        <v>17</v>
      </c>
      <c r="L973" s="17">
        <v>1.7</v>
      </c>
      <c r="M973" s="2" t="b">
        <v>0</v>
      </c>
      <c r="N973" s="2"/>
      <c r="O973" s="2" t="str">
        <f>IF(Table1[[#This Row],[is_returned]]=TRUE,IF(Table1[[#This Row],[return_reason]]="","Error","OK"),"OK")</f>
        <v>OK</v>
      </c>
      <c r="P973" s="8">
        <f>Table1[[#This Row],[original_price]]*Table1[[#This Row],[markdown_percentage]]/100</f>
        <v>3.59436</v>
      </c>
      <c r="Q97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973" s="25">
        <f>Table1[[#This Row],[current_price]]*Table1[[#This Row],[stock_quantity]]</f>
        <v>864.79</v>
      </c>
    </row>
    <row r="974" spans="1:18" x14ac:dyDescent="0.25">
      <c r="A974" s="2" t="s">
        <v>1027</v>
      </c>
      <c r="B974" s="2" t="s">
        <v>38</v>
      </c>
      <c r="C974" s="2" t="s">
        <v>75</v>
      </c>
      <c r="D974" s="2" t="s">
        <v>23</v>
      </c>
      <c r="E974" s="2" t="s">
        <v>39</v>
      </c>
      <c r="F974" s="2" t="s">
        <v>25</v>
      </c>
      <c r="G974" s="8">
        <v>43.32</v>
      </c>
      <c r="H974" s="11">
        <v>0</v>
      </c>
      <c r="I974" s="8">
        <v>43.32</v>
      </c>
      <c r="J974" s="3">
        <v>45875</v>
      </c>
      <c r="K974" s="14">
        <v>0</v>
      </c>
      <c r="L974" s="17">
        <v>2.6</v>
      </c>
      <c r="M974" s="2" t="b">
        <v>0</v>
      </c>
      <c r="N974" s="2"/>
      <c r="O974" s="2" t="str">
        <f>IF(Table1[[#This Row],[is_returned]]=TRUE,IF(Table1[[#This Row],[return_reason]]="","Error","OK"),"OK")</f>
        <v>OK</v>
      </c>
      <c r="P974" s="8">
        <f>Table1[[#This Row],[original_price]]*Table1[[#This Row],[markdown_percentage]]/100</f>
        <v>0</v>
      </c>
      <c r="Q97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974" s="25">
        <f>Table1[[#This Row],[current_price]]*Table1[[#This Row],[stock_quantity]]</f>
        <v>0</v>
      </c>
    </row>
    <row r="975" spans="1:18" x14ac:dyDescent="0.25">
      <c r="A975" s="2" t="s">
        <v>1028</v>
      </c>
      <c r="B975" s="2" t="s">
        <v>27</v>
      </c>
      <c r="C975" s="2" t="s">
        <v>75</v>
      </c>
      <c r="D975" s="2" t="s">
        <v>23</v>
      </c>
      <c r="E975" s="2"/>
      <c r="F975" s="2" t="s">
        <v>19</v>
      </c>
      <c r="G975" s="8">
        <v>75.09</v>
      </c>
      <c r="H975" s="11">
        <v>0</v>
      </c>
      <c r="I975" s="8">
        <v>75.09</v>
      </c>
      <c r="J975" s="3">
        <v>45875</v>
      </c>
      <c r="K975" s="14">
        <v>41</v>
      </c>
      <c r="L975" s="17">
        <v>3.5</v>
      </c>
      <c r="M975" s="2" t="b">
        <v>0</v>
      </c>
      <c r="N975" s="2"/>
      <c r="O975" s="2" t="str">
        <f>IF(Table1[[#This Row],[is_returned]]=TRUE,IF(Table1[[#This Row],[return_reason]]="","Error","OK"),"OK")</f>
        <v>OK</v>
      </c>
      <c r="P975" s="8">
        <f>Table1[[#This Row],[original_price]]*Table1[[#This Row],[markdown_percentage]]/100</f>
        <v>0</v>
      </c>
      <c r="Q97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975" s="25">
        <f>Table1[[#This Row],[current_price]]*Table1[[#This Row],[stock_quantity]]</f>
        <v>3078.69</v>
      </c>
    </row>
    <row r="976" spans="1:18" x14ac:dyDescent="0.25">
      <c r="A976" s="2" t="s">
        <v>1029</v>
      </c>
      <c r="B976" s="2" t="s">
        <v>42</v>
      </c>
      <c r="C976" s="2" t="s">
        <v>22</v>
      </c>
      <c r="D976" s="2" t="s">
        <v>17</v>
      </c>
      <c r="E976" s="2" t="s">
        <v>55</v>
      </c>
      <c r="F976" s="2" t="s">
        <v>19</v>
      </c>
      <c r="G976" s="8">
        <v>167.46</v>
      </c>
      <c r="H976" s="11">
        <v>0</v>
      </c>
      <c r="I976" s="8">
        <v>167.46</v>
      </c>
      <c r="J976" s="3">
        <v>45522</v>
      </c>
      <c r="K976" s="14">
        <v>4</v>
      </c>
      <c r="L976" s="17">
        <v>1.3</v>
      </c>
      <c r="M976" s="2" t="b">
        <v>0</v>
      </c>
      <c r="N976" s="2"/>
      <c r="O976" s="2" t="str">
        <f>IF(Table1[[#This Row],[is_returned]]=TRUE,IF(Table1[[#This Row],[return_reason]]="","Error","OK"),"OK")</f>
        <v>OK</v>
      </c>
      <c r="P976" s="8">
        <f>Table1[[#This Row],[original_price]]*Table1[[#This Row],[markdown_percentage]]/100</f>
        <v>0</v>
      </c>
      <c r="Q97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976" s="25">
        <f>Table1[[#This Row],[current_price]]*Table1[[#This Row],[stock_quantity]]</f>
        <v>669.84</v>
      </c>
    </row>
    <row r="977" spans="1:18" x14ac:dyDescent="0.25">
      <c r="A977" s="2" t="s">
        <v>1030</v>
      </c>
      <c r="B977" s="2" t="s">
        <v>30</v>
      </c>
      <c r="C977" s="2" t="s">
        <v>32</v>
      </c>
      <c r="D977" s="2" t="s">
        <v>34</v>
      </c>
      <c r="E977" s="2" t="s">
        <v>24</v>
      </c>
      <c r="F977" s="2" t="s">
        <v>44</v>
      </c>
      <c r="G977" s="8">
        <v>111.24</v>
      </c>
      <c r="H977" s="11">
        <v>34.299999999999997</v>
      </c>
      <c r="I977" s="8">
        <v>73.08</v>
      </c>
      <c r="J977" s="3">
        <v>45875</v>
      </c>
      <c r="K977" s="14">
        <v>3</v>
      </c>
      <c r="L977" s="17">
        <v>2.2000000000000002</v>
      </c>
      <c r="M977" s="2" t="b">
        <v>0</v>
      </c>
      <c r="N977" s="2"/>
      <c r="O977" s="2" t="str">
        <f>IF(Table1[[#This Row],[is_returned]]=TRUE,IF(Table1[[#This Row],[return_reason]]="","Error","OK"),"OK")</f>
        <v>OK</v>
      </c>
      <c r="P977" s="8">
        <f>Table1[[#This Row],[original_price]]*Table1[[#This Row],[markdown_percentage]]/100</f>
        <v>38.155319999999996</v>
      </c>
      <c r="Q97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977" s="25">
        <f>Table1[[#This Row],[current_price]]*Table1[[#This Row],[stock_quantity]]</f>
        <v>219.24</v>
      </c>
    </row>
    <row r="978" spans="1:18" x14ac:dyDescent="0.25">
      <c r="A978" s="2" t="s">
        <v>1031</v>
      </c>
      <c r="B978" s="2" t="s">
        <v>38</v>
      </c>
      <c r="C978" s="2" t="s">
        <v>22</v>
      </c>
      <c r="D978" s="2" t="s">
        <v>34</v>
      </c>
      <c r="E978" s="2" t="s">
        <v>49</v>
      </c>
      <c r="F978" s="2" t="s">
        <v>64</v>
      </c>
      <c r="G978" s="8">
        <v>59.36</v>
      </c>
      <c r="H978" s="11">
        <v>0</v>
      </c>
      <c r="I978" s="8">
        <v>59.36</v>
      </c>
      <c r="J978" s="3">
        <v>45875</v>
      </c>
      <c r="K978" s="14">
        <v>16</v>
      </c>
      <c r="L978" s="17"/>
      <c r="M978" s="2" t="b">
        <v>0</v>
      </c>
      <c r="N978" s="2"/>
      <c r="O978" s="2" t="str">
        <f>IF(Table1[[#This Row],[is_returned]]=TRUE,IF(Table1[[#This Row],[return_reason]]="","Error","OK"),"OK")</f>
        <v>OK</v>
      </c>
      <c r="P978" s="8">
        <f>Table1[[#This Row],[original_price]]*Table1[[#This Row],[markdown_percentage]]/100</f>
        <v>0</v>
      </c>
      <c r="Q97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978" s="25">
        <f>Table1[[#This Row],[current_price]]*Table1[[#This Row],[stock_quantity]]</f>
        <v>949.76</v>
      </c>
    </row>
    <row r="979" spans="1:18" x14ac:dyDescent="0.25">
      <c r="A979" s="2" t="s">
        <v>1032</v>
      </c>
      <c r="B979" s="2" t="s">
        <v>30</v>
      </c>
      <c r="C979" s="2" t="s">
        <v>32</v>
      </c>
      <c r="D979" s="2" t="s">
        <v>34</v>
      </c>
      <c r="E979" s="2" t="s">
        <v>39</v>
      </c>
      <c r="F979" s="2" t="s">
        <v>64</v>
      </c>
      <c r="G979" s="8">
        <v>199.46</v>
      </c>
      <c r="H979" s="11">
        <v>0</v>
      </c>
      <c r="I979" s="8">
        <v>199.46</v>
      </c>
      <c r="J979" s="3">
        <v>45875</v>
      </c>
      <c r="K979" s="14">
        <v>15</v>
      </c>
      <c r="L979" s="17">
        <v>1.4</v>
      </c>
      <c r="M979" s="2" t="b">
        <v>0</v>
      </c>
      <c r="N979" s="2"/>
      <c r="O979" s="2" t="str">
        <f>IF(Table1[[#This Row],[is_returned]]=TRUE,IF(Table1[[#This Row],[return_reason]]="","Error","OK"),"OK")</f>
        <v>OK</v>
      </c>
      <c r="P979" s="8">
        <f>Table1[[#This Row],[original_price]]*Table1[[#This Row],[markdown_percentage]]/100</f>
        <v>0</v>
      </c>
      <c r="Q97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979" s="25">
        <f>Table1[[#This Row],[current_price]]*Table1[[#This Row],[stock_quantity]]</f>
        <v>2991.9</v>
      </c>
    </row>
    <row r="980" spans="1:18" x14ac:dyDescent="0.25">
      <c r="A980" s="2" t="s">
        <v>1033</v>
      </c>
      <c r="B980" s="2" t="s">
        <v>30</v>
      </c>
      <c r="C980" s="2" t="s">
        <v>75</v>
      </c>
      <c r="D980" s="2" t="s">
        <v>34</v>
      </c>
      <c r="E980" s="2" t="s">
        <v>58</v>
      </c>
      <c r="F980" s="2" t="s">
        <v>35</v>
      </c>
      <c r="G980" s="8">
        <v>72.75</v>
      </c>
      <c r="H980" s="11">
        <v>50.2</v>
      </c>
      <c r="I980" s="8">
        <v>36.229999999999997</v>
      </c>
      <c r="J980" s="3">
        <v>45875</v>
      </c>
      <c r="K980" s="14">
        <v>28</v>
      </c>
      <c r="L980" s="17">
        <v>3.6</v>
      </c>
      <c r="M980" s="2" t="b">
        <v>0</v>
      </c>
      <c r="N980" s="2"/>
      <c r="O980" s="2" t="str">
        <f>IF(Table1[[#This Row],[is_returned]]=TRUE,IF(Table1[[#This Row],[return_reason]]="","Error","OK"),"OK")</f>
        <v>OK</v>
      </c>
      <c r="P980" s="8">
        <f>Table1[[#This Row],[original_price]]*Table1[[#This Row],[markdown_percentage]]/100</f>
        <v>36.520499999999998</v>
      </c>
      <c r="Q98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980" s="25">
        <f>Table1[[#This Row],[current_price]]*Table1[[#This Row],[stock_quantity]]</f>
        <v>1014.4399999999999</v>
      </c>
    </row>
    <row r="981" spans="1:18" x14ac:dyDescent="0.25">
      <c r="A981" s="2" t="s">
        <v>1034</v>
      </c>
      <c r="B981" s="2" t="s">
        <v>38</v>
      </c>
      <c r="C981" s="2" t="s">
        <v>43</v>
      </c>
      <c r="D981" s="2" t="s">
        <v>34</v>
      </c>
      <c r="E981" s="2" t="s">
        <v>55</v>
      </c>
      <c r="F981" s="2" t="s">
        <v>25</v>
      </c>
      <c r="G981" s="8">
        <v>86.52</v>
      </c>
      <c r="H981" s="11">
        <v>27.6</v>
      </c>
      <c r="I981" s="8">
        <v>62.64</v>
      </c>
      <c r="J981" s="3">
        <v>45875</v>
      </c>
      <c r="K981" s="14">
        <v>47</v>
      </c>
      <c r="L981" s="17">
        <v>1.1000000000000001</v>
      </c>
      <c r="M981" s="2" t="b">
        <v>0</v>
      </c>
      <c r="N981" s="2"/>
      <c r="O981" s="2" t="str">
        <f>IF(Table1[[#This Row],[is_returned]]=TRUE,IF(Table1[[#This Row],[return_reason]]="","Error","OK"),"OK")</f>
        <v>OK</v>
      </c>
      <c r="P981" s="8">
        <f>Table1[[#This Row],[original_price]]*Table1[[#This Row],[markdown_percentage]]/100</f>
        <v>23.879520000000003</v>
      </c>
      <c r="Q98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981" s="25">
        <f>Table1[[#This Row],[current_price]]*Table1[[#This Row],[stock_quantity]]</f>
        <v>2944.08</v>
      </c>
    </row>
    <row r="982" spans="1:18" x14ac:dyDescent="0.25">
      <c r="A982" s="2" t="s">
        <v>1035</v>
      </c>
      <c r="B982" s="2" t="s">
        <v>27</v>
      </c>
      <c r="C982" s="2" t="s">
        <v>75</v>
      </c>
      <c r="D982" s="2" t="s">
        <v>17</v>
      </c>
      <c r="E982" s="2"/>
      <c r="F982" s="2" t="s">
        <v>44</v>
      </c>
      <c r="G982" s="8">
        <v>52.69</v>
      </c>
      <c r="H982" s="11">
        <v>40.200000000000003</v>
      </c>
      <c r="I982" s="8">
        <v>31.51</v>
      </c>
      <c r="J982" s="3">
        <v>45611</v>
      </c>
      <c r="K982" s="14">
        <v>7</v>
      </c>
      <c r="L982" s="17">
        <v>2.7</v>
      </c>
      <c r="M982" s="2" t="b">
        <v>0</v>
      </c>
      <c r="N982" s="2"/>
      <c r="O982" s="2" t="str">
        <f>IF(Table1[[#This Row],[is_returned]]=TRUE,IF(Table1[[#This Row],[return_reason]]="","Error","OK"),"OK")</f>
        <v>OK</v>
      </c>
      <c r="P982" s="8">
        <f>Table1[[#This Row],[original_price]]*Table1[[#This Row],[markdown_percentage]]/100</f>
        <v>21.181380000000001</v>
      </c>
      <c r="Q98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982" s="25">
        <f>Table1[[#This Row],[current_price]]*Table1[[#This Row],[stock_quantity]]</f>
        <v>220.57000000000002</v>
      </c>
    </row>
    <row r="983" spans="1:18" x14ac:dyDescent="0.25">
      <c r="A983" s="2" t="s">
        <v>1036</v>
      </c>
      <c r="B983" s="2" t="s">
        <v>15</v>
      </c>
      <c r="C983" s="2" t="s">
        <v>32</v>
      </c>
      <c r="D983" s="2" t="s">
        <v>34</v>
      </c>
      <c r="E983" s="2" t="s">
        <v>24</v>
      </c>
      <c r="F983" s="2" t="s">
        <v>28</v>
      </c>
      <c r="G983" s="8">
        <v>104.18</v>
      </c>
      <c r="H983" s="11">
        <v>0</v>
      </c>
      <c r="I983" s="8">
        <v>104.18</v>
      </c>
      <c r="J983" s="3">
        <v>45875</v>
      </c>
      <c r="K983" s="14">
        <v>12</v>
      </c>
      <c r="L983" s="17">
        <v>5</v>
      </c>
      <c r="M983" s="2" t="b">
        <v>0</v>
      </c>
      <c r="N983" s="2"/>
      <c r="O983" s="2" t="str">
        <f>IF(Table1[[#This Row],[is_returned]]=TRUE,IF(Table1[[#This Row],[return_reason]]="","Error","OK"),"OK")</f>
        <v>OK</v>
      </c>
      <c r="P983" s="8">
        <f>Table1[[#This Row],[original_price]]*Table1[[#This Row],[markdown_percentage]]/100</f>
        <v>0</v>
      </c>
      <c r="Q98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983" s="25">
        <f>Table1[[#This Row],[current_price]]*Table1[[#This Row],[stock_quantity]]</f>
        <v>1250.1600000000001</v>
      </c>
    </row>
    <row r="984" spans="1:18" x14ac:dyDescent="0.25">
      <c r="A984" s="2" t="s">
        <v>1037</v>
      </c>
      <c r="B984" s="2" t="s">
        <v>15</v>
      </c>
      <c r="C984" s="2" t="s">
        <v>48</v>
      </c>
      <c r="D984" s="2" t="s">
        <v>23</v>
      </c>
      <c r="E984" s="2" t="s">
        <v>24</v>
      </c>
      <c r="F984" s="2" t="s">
        <v>19</v>
      </c>
      <c r="G984" s="8">
        <v>132.38</v>
      </c>
      <c r="H984" s="11">
        <v>58.2</v>
      </c>
      <c r="I984" s="8">
        <v>55.33</v>
      </c>
      <c r="J984" s="3">
        <v>45875</v>
      </c>
      <c r="K984" s="14">
        <v>24</v>
      </c>
      <c r="L984" s="17"/>
      <c r="M984" s="2" t="b">
        <v>0</v>
      </c>
      <c r="N984" s="2"/>
      <c r="O984" s="2" t="str">
        <f>IF(Table1[[#This Row],[is_returned]]=TRUE,IF(Table1[[#This Row],[return_reason]]="","Error","OK"),"OK")</f>
        <v>OK</v>
      </c>
      <c r="P984" s="8">
        <f>Table1[[#This Row],[original_price]]*Table1[[#This Row],[markdown_percentage]]/100</f>
        <v>77.04516000000001</v>
      </c>
      <c r="Q98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984" s="25">
        <f>Table1[[#This Row],[current_price]]*Table1[[#This Row],[stock_quantity]]</f>
        <v>1327.92</v>
      </c>
    </row>
    <row r="985" spans="1:18" x14ac:dyDescent="0.25">
      <c r="A985" s="2" t="s">
        <v>1038</v>
      </c>
      <c r="B985" s="2" t="s">
        <v>30</v>
      </c>
      <c r="C985" s="2" t="s">
        <v>48</v>
      </c>
      <c r="D985" s="2" t="s">
        <v>34</v>
      </c>
      <c r="E985" s="2" t="s">
        <v>18</v>
      </c>
      <c r="F985" s="2" t="s">
        <v>25</v>
      </c>
      <c r="G985" s="8">
        <v>64.400000000000006</v>
      </c>
      <c r="H985" s="11">
        <v>0</v>
      </c>
      <c r="I985" s="8">
        <v>64.400000000000006</v>
      </c>
      <c r="J985" s="3">
        <v>45875</v>
      </c>
      <c r="K985" s="14">
        <v>40</v>
      </c>
      <c r="L985" s="17">
        <v>4.9000000000000004</v>
      </c>
      <c r="M985" s="2" t="b">
        <v>0</v>
      </c>
      <c r="N985" s="2"/>
      <c r="O985" s="2" t="str">
        <f>IF(Table1[[#This Row],[is_returned]]=TRUE,IF(Table1[[#This Row],[return_reason]]="","Error","OK"),"OK")</f>
        <v>OK</v>
      </c>
      <c r="P985" s="8">
        <f>Table1[[#This Row],[original_price]]*Table1[[#This Row],[markdown_percentage]]/100</f>
        <v>0</v>
      </c>
      <c r="Q98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985" s="25">
        <f>Table1[[#This Row],[current_price]]*Table1[[#This Row],[stock_quantity]]</f>
        <v>2576</v>
      </c>
    </row>
    <row r="986" spans="1:18" x14ac:dyDescent="0.25">
      <c r="A986" s="2" t="s">
        <v>1039</v>
      </c>
      <c r="B986" s="2" t="s">
        <v>38</v>
      </c>
      <c r="C986" s="2" t="s">
        <v>16</v>
      </c>
      <c r="D986" s="2" t="s">
        <v>62</v>
      </c>
      <c r="E986" s="2" t="s">
        <v>18</v>
      </c>
      <c r="F986" s="2" t="s">
        <v>40</v>
      </c>
      <c r="G986" s="8">
        <v>34.07</v>
      </c>
      <c r="H986" s="11">
        <v>0</v>
      </c>
      <c r="I986" s="8">
        <v>34.07</v>
      </c>
      <c r="J986" s="3">
        <v>45875</v>
      </c>
      <c r="K986" s="14">
        <v>25</v>
      </c>
      <c r="L986" s="17">
        <v>4.2</v>
      </c>
      <c r="M986" s="2" t="b">
        <v>1</v>
      </c>
      <c r="N986" s="2" t="s">
        <v>125</v>
      </c>
      <c r="O986" s="2" t="str">
        <f>IF(Table1[[#This Row],[is_returned]]=TRUE,IF(Table1[[#This Row],[return_reason]]="","Error","OK"),"OK")</f>
        <v>OK</v>
      </c>
      <c r="P986" s="8">
        <f>Table1[[#This Row],[original_price]]*Table1[[#This Row],[markdown_percentage]]/100</f>
        <v>0</v>
      </c>
      <c r="Q98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986" s="25">
        <f>Table1[[#This Row],[current_price]]*Table1[[#This Row],[stock_quantity]]</f>
        <v>851.75</v>
      </c>
    </row>
    <row r="987" spans="1:18" x14ac:dyDescent="0.25">
      <c r="A987" s="2" t="s">
        <v>1040</v>
      </c>
      <c r="B987" s="2" t="s">
        <v>38</v>
      </c>
      <c r="C987" s="2" t="s">
        <v>16</v>
      </c>
      <c r="D987" s="2" t="s">
        <v>23</v>
      </c>
      <c r="E987" s="2" t="s">
        <v>49</v>
      </c>
      <c r="F987" s="2" t="s">
        <v>19</v>
      </c>
      <c r="G987" s="8">
        <v>43.33</v>
      </c>
      <c r="H987" s="11">
        <v>45.3</v>
      </c>
      <c r="I987" s="8">
        <v>23.7</v>
      </c>
      <c r="J987" s="3">
        <v>45875</v>
      </c>
      <c r="K987" s="14">
        <v>1</v>
      </c>
      <c r="L987" s="17">
        <v>3.4</v>
      </c>
      <c r="M987" s="2" t="b">
        <v>0</v>
      </c>
      <c r="N987" s="2"/>
      <c r="O987" s="2" t="str">
        <f>IF(Table1[[#This Row],[is_returned]]=TRUE,IF(Table1[[#This Row],[return_reason]]="","Error","OK"),"OK")</f>
        <v>OK</v>
      </c>
      <c r="P987" s="8">
        <f>Table1[[#This Row],[original_price]]*Table1[[#This Row],[markdown_percentage]]/100</f>
        <v>19.628489999999996</v>
      </c>
      <c r="Q98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987" s="25">
        <f>Table1[[#This Row],[current_price]]*Table1[[#This Row],[stock_quantity]]</f>
        <v>23.7</v>
      </c>
    </row>
    <row r="988" spans="1:18" x14ac:dyDescent="0.25">
      <c r="A988" s="2" t="s">
        <v>1041</v>
      </c>
      <c r="B988" s="2" t="s">
        <v>15</v>
      </c>
      <c r="C988" s="2" t="s">
        <v>22</v>
      </c>
      <c r="D988" s="2" t="s">
        <v>17</v>
      </c>
      <c r="E988" s="2" t="s">
        <v>18</v>
      </c>
      <c r="F988" s="2" t="s">
        <v>35</v>
      </c>
      <c r="G988" s="8">
        <v>122.92</v>
      </c>
      <c r="H988" s="11">
        <v>0</v>
      </c>
      <c r="I988" s="8">
        <v>122.92</v>
      </c>
      <c r="J988" s="3">
        <v>45602</v>
      </c>
      <c r="K988" s="14">
        <v>41</v>
      </c>
      <c r="L988" s="17">
        <v>2.9</v>
      </c>
      <c r="M988" s="2" t="b">
        <v>0</v>
      </c>
      <c r="N988" s="2"/>
      <c r="O988" s="2" t="str">
        <f>IF(Table1[[#This Row],[is_returned]]=TRUE,IF(Table1[[#This Row],[return_reason]]="","Error","OK"),"OK")</f>
        <v>OK</v>
      </c>
      <c r="P988" s="8">
        <f>Table1[[#This Row],[original_price]]*Table1[[#This Row],[markdown_percentage]]/100</f>
        <v>0</v>
      </c>
      <c r="Q98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988" s="25">
        <f>Table1[[#This Row],[current_price]]*Table1[[#This Row],[stock_quantity]]</f>
        <v>5039.72</v>
      </c>
    </row>
    <row r="989" spans="1:18" x14ac:dyDescent="0.25">
      <c r="A989" s="2" t="s">
        <v>1042</v>
      </c>
      <c r="B989" s="2" t="s">
        <v>30</v>
      </c>
      <c r="C989" s="2" t="s">
        <v>16</v>
      </c>
      <c r="D989" s="2" t="s">
        <v>17</v>
      </c>
      <c r="E989" s="2" t="s">
        <v>39</v>
      </c>
      <c r="F989" s="2" t="s">
        <v>40</v>
      </c>
      <c r="G989" s="8">
        <v>142.84</v>
      </c>
      <c r="H989" s="11">
        <v>0</v>
      </c>
      <c r="I989" s="8">
        <v>142.84</v>
      </c>
      <c r="J989" s="3">
        <v>45702</v>
      </c>
      <c r="K989" s="14">
        <v>36</v>
      </c>
      <c r="L989" s="17"/>
      <c r="M989" s="2" t="b">
        <v>0</v>
      </c>
      <c r="N989" s="2"/>
      <c r="O989" s="2" t="str">
        <f>IF(Table1[[#This Row],[is_returned]]=TRUE,IF(Table1[[#This Row],[return_reason]]="","Error","OK"),"OK")</f>
        <v>OK</v>
      </c>
      <c r="P989" s="8">
        <f>Table1[[#This Row],[original_price]]*Table1[[#This Row],[markdown_percentage]]/100</f>
        <v>0</v>
      </c>
      <c r="Q98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989" s="25">
        <f>Table1[[#This Row],[current_price]]*Table1[[#This Row],[stock_quantity]]</f>
        <v>5142.24</v>
      </c>
    </row>
    <row r="990" spans="1:18" x14ac:dyDescent="0.25">
      <c r="A990" s="2" t="s">
        <v>1043</v>
      </c>
      <c r="B990" s="2" t="s">
        <v>30</v>
      </c>
      <c r="C990" s="2" t="s">
        <v>61</v>
      </c>
      <c r="D990" s="2" t="s">
        <v>62</v>
      </c>
      <c r="E990" s="2" t="s">
        <v>49</v>
      </c>
      <c r="F990" s="2" t="s">
        <v>28</v>
      </c>
      <c r="G990" s="8">
        <v>131.55000000000001</v>
      </c>
      <c r="H990" s="11">
        <v>0</v>
      </c>
      <c r="I990" s="8">
        <v>131.55000000000001</v>
      </c>
      <c r="J990" s="3">
        <v>45875</v>
      </c>
      <c r="K990" s="14">
        <v>45</v>
      </c>
      <c r="L990" s="17">
        <v>1.8</v>
      </c>
      <c r="M990" s="2" t="b">
        <v>0</v>
      </c>
      <c r="N990" s="2"/>
      <c r="O990" s="2" t="str">
        <f>IF(Table1[[#This Row],[is_returned]]=TRUE,IF(Table1[[#This Row],[return_reason]]="","Error","OK"),"OK")</f>
        <v>OK</v>
      </c>
      <c r="P990" s="8">
        <f>Table1[[#This Row],[original_price]]*Table1[[#This Row],[markdown_percentage]]/100</f>
        <v>0</v>
      </c>
      <c r="Q99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990" s="25">
        <f>Table1[[#This Row],[current_price]]*Table1[[#This Row],[stock_quantity]]</f>
        <v>5919.7500000000009</v>
      </c>
    </row>
    <row r="991" spans="1:18" x14ac:dyDescent="0.25">
      <c r="A991" s="2" t="s">
        <v>1044</v>
      </c>
      <c r="B991" s="2" t="s">
        <v>15</v>
      </c>
      <c r="C991" s="2" t="s">
        <v>16</v>
      </c>
      <c r="D991" s="2" t="s">
        <v>17</v>
      </c>
      <c r="E991" s="2" t="s">
        <v>39</v>
      </c>
      <c r="F991" s="2" t="s">
        <v>19</v>
      </c>
      <c r="G991" s="8">
        <v>192.58</v>
      </c>
      <c r="H991" s="11">
        <v>0</v>
      </c>
      <c r="I991" s="8">
        <v>192.58</v>
      </c>
      <c r="J991" s="3">
        <v>45764</v>
      </c>
      <c r="K991" s="14">
        <v>16</v>
      </c>
      <c r="L991" s="17">
        <v>1.2</v>
      </c>
      <c r="M991" s="2" t="b">
        <v>0</v>
      </c>
      <c r="N991" s="2"/>
      <c r="O991" s="2" t="str">
        <f>IF(Table1[[#This Row],[is_returned]]=TRUE,IF(Table1[[#This Row],[return_reason]]="","Error","OK"),"OK")</f>
        <v>OK</v>
      </c>
      <c r="P991" s="8">
        <f>Table1[[#This Row],[original_price]]*Table1[[#This Row],[markdown_percentage]]/100</f>
        <v>0</v>
      </c>
      <c r="Q99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991" s="25">
        <f>Table1[[#This Row],[current_price]]*Table1[[#This Row],[stock_quantity]]</f>
        <v>3081.28</v>
      </c>
    </row>
    <row r="992" spans="1:18" x14ac:dyDescent="0.25">
      <c r="A992" s="2" t="s">
        <v>1045</v>
      </c>
      <c r="B992" s="2" t="s">
        <v>27</v>
      </c>
      <c r="C992" s="2" t="s">
        <v>53</v>
      </c>
      <c r="D992" s="2" t="s">
        <v>17</v>
      </c>
      <c r="E992" s="2"/>
      <c r="F992" s="2" t="s">
        <v>66</v>
      </c>
      <c r="G992" s="8">
        <v>33.56</v>
      </c>
      <c r="H992" s="11">
        <v>0</v>
      </c>
      <c r="I992" s="8">
        <v>33.56</v>
      </c>
      <c r="J992" s="3">
        <v>45743</v>
      </c>
      <c r="K992" s="14">
        <v>24</v>
      </c>
      <c r="L992" s="17">
        <v>3</v>
      </c>
      <c r="M992" s="2" t="b">
        <v>0</v>
      </c>
      <c r="N992" s="2"/>
      <c r="O992" s="2" t="str">
        <f>IF(Table1[[#This Row],[is_returned]]=TRUE,IF(Table1[[#This Row],[return_reason]]="","Error","OK"),"OK")</f>
        <v>OK</v>
      </c>
      <c r="P992" s="8">
        <f>Table1[[#This Row],[original_price]]*Table1[[#This Row],[markdown_percentage]]/100</f>
        <v>0</v>
      </c>
      <c r="Q99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992" s="25">
        <f>Table1[[#This Row],[current_price]]*Table1[[#This Row],[stock_quantity]]</f>
        <v>805.44</v>
      </c>
    </row>
    <row r="993" spans="1:18" x14ac:dyDescent="0.25">
      <c r="A993" s="2" t="s">
        <v>1046</v>
      </c>
      <c r="B993" s="2" t="s">
        <v>27</v>
      </c>
      <c r="C993" s="2" t="s">
        <v>22</v>
      </c>
      <c r="D993" s="2" t="s">
        <v>62</v>
      </c>
      <c r="E993" s="2"/>
      <c r="F993" s="2" t="s">
        <v>44</v>
      </c>
      <c r="G993" s="8">
        <v>59.1</v>
      </c>
      <c r="H993" s="11">
        <v>0</v>
      </c>
      <c r="I993" s="8">
        <v>59.1</v>
      </c>
      <c r="J993" s="3">
        <v>45875</v>
      </c>
      <c r="K993" s="14">
        <v>29</v>
      </c>
      <c r="L993" s="17">
        <v>1.3</v>
      </c>
      <c r="M993" s="2" t="b">
        <v>0</v>
      </c>
      <c r="N993" s="2"/>
      <c r="O993" s="2" t="str">
        <f>IF(Table1[[#This Row],[is_returned]]=TRUE,IF(Table1[[#This Row],[return_reason]]="","Error","OK"),"OK")</f>
        <v>OK</v>
      </c>
      <c r="P993" s="8">
        <f>Table1[[#This Row],[original_price]]*Table1[[#This Row],[markdown_percentage]]/100</f>
        <v>0</v>
      </c>
      <c r="Q99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993" s="25">
        <f>Table1[[#This Row],[current_price]]*Table1[[#This Row],[stock_quantity]]</f>
        <v>1713.9</v>
      </c>
    </row>
    <row r="994" spans="1:18" x14ac:dyDescent="0.25">
      <c r="A994" s="2" t="s">
        <v>1047</v>
      </c>
      <c r="B994" s="2" t="s">
        <v>30</v>
      </c>
      <c r="C994" s="2" t="s">
        <v>61</v>
      </c>
      <c r="D994" s="2" t="s">
        <v>34</v>
      </c>
      <c r="E994" s="2" t="s">
        <v>39</v>
      </c>
      <c r="F994" s="2" t="s">
        <v>40</v>
      </c>
      <c r="G994" s="8">
        <v>109.15</v>
      </c>
      <c r="H994" s="11">
        <v>20.7</v>
      </c>
      <c r="I994" s="8">
        <v>86.56</v>
      </c>
      <c r="J994" s="3">
        <v>45875</v>
      </c>
      <c r="K994" s="14">
        <v>28</v>
      </c>
      <c r="L994" s="17">
        <v>2</v>
      </c>
      <c r="M994" s="2" t="b">
        <v>1</v>
      </c>
      <c r="N994" s="2" t="s">
        <v>115</v>
      </c>
      <c r="O994" s="2" t="str">
        <f>IF(Table1[[#This Row],[is_returned]]=TRUE,IF(Table1[[#This Row],[return_reason]]="","Error","OK"),"OK")</f>
        <v>OK</v>
      </c>
      <c r="P994" s="8">
        <f>Table1[[#This Row],[original_price]]*Table1[[#This Row],[markdown_percentage]]/100</f>
        <v>22.594050000000003</v>
      </c>
      <c r="Q99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994" s="25">
        <f>Table1[[#This Row],[current_price]]*Table1[[#This Row],[stock_quantity]]</f>
        <v>2423.6800000000003</v>
      </c>
    </row>
    <row r="995" spans="1:18" x14ac:dyDescent="0.25">
      <c r="A995" s="2" t="s">
        <v>1048</v>
      </c>
      <c r="B995" s="2" t="s">
        <v>38</v>
      </c>
      <c r="C995" s="2" t="s">
        <v>53</v>
      </c>
      <c r="D995" s="2" t="s">
        <v>34</v>
      </c>
      <c r="E995" s="2"/>
      <c r="F995" s="2" t="s">
        <v>56</v>
      </c>
      <c r="G995" s="8">
        <v>59.1</v>
      </c>
      <c r="H995" s="11">
        <v>0</v>
      </c>
      <c r="I995" s="8">
        <v>59.1</v>
      </c>
      <c r="J995" s="3">
        <v>45875</v>
      </c>
      <c r="K995" s="14">
        <v>47</v>
      </c>
      <c r="L995" s="17">
        <v>4.5999999999999996</v>
      </c>
      <c r="M995" s="2" t="b">
        <v>0</v>
      </c>
      <c r="N995" s="2"/>
      <c r="O995" s="2" t="str">
        <f>IF(Table1[[#This Row],[is_returned]]=TRUE,IF(Table1[[#This Row],[return_reason]]="","Error","OK"),"OK")</f>
        <v>OK</v>
      </c>
      <c r="P995" s="8">
        <f>Table1[[#This Row],[original_price]]*Table1[[#This Row],[markdown_percentage]]/100</f>
        <v>0</v>
      </c>
      <c r="Q99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995" s="25">
        <f>Table1[[#This Row],[current_price]]*Table1[[#This Row],[stock_quantity]]</f>
        <v>2777.7000000000003</v>
      </c>
    </row>
    <row r="996" spans="1:18" x14ac:dyDescent="0.25">
      <c r="A996" s="2" t="s">
        <v>1049</v>
      </c>
      <c r="B996" s="2" t="s">
        <v>30</v>
      </c>
      <c r="C996" s="2" t="s">
        <v>61</v>
      </c>
      <c r="D996" s="2" t="s">
        <v>17</v>
      </c>
      <c r="E996" s="2" t="s">
        <v>58</v>
      </c>
      <c r="F996" s="2" t="s">
        <v>66</v>
      </c>
      <c r="G996" s="8">
        <v>99.33</v>
      </c>
      <c r="H996" s="11">
        <v>0</v>
      </c>
      <c r="I996" s="8">
        <v>99.33</v>
      </c>
      <c r="J996" s="3">
        <v>45798</v>
      </c>
      <c r="K996" s="14">
        <v>16</v>
      </c>
      <c r="L996" s="17">
        <v>3.9</v>
      </c>
      <c r="M996" s="2" t="b">
        <v>0</v>
      </c>
      <c r="N996" s="2"/>
      <c r="O996" s="2" t="str">
        <f>IF(Table1[[#This Row],[is_returned]]=TRUE,IF(Table1[[#This Row],[return_reason]]="","Error","OK"),"OK")</f>
        <v>OK</v>
      </c>
      <c r="P996" s="8">
        <f>Table1[[#This Row],[original_price]]*Table1[[#This Row],[markdown_percentage]]/100</f>
        <v>0</v>
      </c>
      <c r="Q99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996" s="25">
        <f>Table1[[#This Row],[current_price]]*Table1[[#This Row],[stock_quantity]]</f>
        <v>1589.28</v>
      </c>
    </row>
    <row r="997" spans="1:18" x14ac:dyDescent="0.25">
      <c r="A997" s="2" t="s">
        <v>1050</v>
      </c>
      <c r="B997" s="2" t="s">
        <v>42</v>
      </c>
      <c r="C997" s="2" t="s">
        <v>53</v>
      </c>
      <c r="D997" s="2" t="s">
        <v>23</v>
      </c>
      <c r="E997" s="2" t="s">
        <v>18</v>
      </c>
      <c r="F997" s="2" t="s">
        <v>64</v>
      </c>
      <c r="G997" s="8">
        <v>92.75</v>
      </c>
      <c r="H997" s="11">
        <v>0</v>
      </c>
      <c r="I997" s="8">
        <v>92.75</v>
      </c>
      <c r="J997" s="3">
        <v>45875</v>
      </c>
      <c r="K997" s="14">
        <v>29</v>
      </c>
      <c r="L997" s="17"/>
      <c r="M997" s="2" t="b">
        <v>1</v>
      </c>
      <c r="N997" s="2" t="s">
        <v>115</v>
      </c>
      <c r="O997" s="2" t="str">
        <f>IF(Table1[[#This Row],[is_returned]]=TRUE,IF(Table1[[#This Row],[return_reason]]="","Error","OK"),"OK")</f>
        <v>OK</v>
      </c>
      <c r="P997" s="8">
        <f>Table1[[#This Row],[original_price]]*Table1[[#This Row],[markdown_percentage]]/100</f>
        <v>0</v>
      </c>
      <c r="Q99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997" s="25">
        <f>Table1[[#This Row],[current_price]]*Table1[[#This Row],[stock_quantity]]</f>
        <v>2689.75</v>
      </c>
    </row>
    <row r="998" spans="1:18" x14ac:dyDescent="0.25">
      <c r="A998" s="2" t="s">
        <v>1051</v>
      </c>
      <c r="B998" s="2" t="s">
        <v>21</v>
      </c>
      <c r="C998" s="2" t="s">
        <v>16</v>
      </c>
      <c r="D998" s="2" t="s">
        <v>62</v>
      </c>
      <c r="E998" s="2" t="s">
        <v>39</v>
      </c>
      <c r="F998" s="2" t="s">
        <v>56</v>
      </c>
      <c r="G998" s="8">
        <v>116.82</v>
      </c>
      <c r="H998" s="11">
        <v>0</v>
      </c>
      <c r="I998" s="8">
        <v>116.82</v>
      </c>
      <c r="J998" s="3">
        <v>45875</v>
      </c>
      <c r="K998" s="14">
        <v>34</v>
      </c>
      <c r="L998" s="17"/>
      <c r="M998" s="2" t="b">
        <v>0</v>
      </c>
      <c r="N998" s="2"/>
      <c r="O998" s="2" t="str">
        <f>IF(Table1[[#This Row],[is_returned]]=TRUE,IF(Table1[[#This Row],[return_reason]]="","Error","OK"),"OK")</f>
        <v>OK</v>
      </c>
      <c r="P998" s="8">
        <f>Table1[[#This Row],[original_price]]*Table1[[#This Row],[markdown_percentage]]/100</f>
        <v>0</v>
      </c>
      <c r="Q99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998" s="25">
        <f>Table1[[#This Row],[current_price]]*Table1[[#This Row],[stock_quantity]]</f>
        <v>3971.8799999999997</v>
      </c>
    </row>
    <row r="999" spans="1:18" x14ac:dyDescent="0.25">
      <c r="A999" s="2" t="s">
        <v>1052</v>
      </c>
      <c r="B999" s="2" t="s">
        <v>15</v>
      </c>
      <c r="C999" s="2" t="s">
        <v>53</v>
      </c>
      <c r="D999" s="2" t="s">
        <v>62</v>
      </c>
      <c r="E999" s="2" t="s">
        <v>18</v>
      </c>
      <c r="F999" s="2" t="s">
        <v>46</v>
      </c>
      <c r="G999" s="8">
        <v>129.78</v>
      </c>
      <c r="H999" s="11">
        <v>9.5</v>
      </c>
      <c r="I999" s="8">
        <v>117.45</v>
      </c>
      <c r="J999" s="3">
        <v>45875</v>
      </c>
      <c r="K999" s="14">
        <v>17</v>
      </c>
      <c r="L999" s="17">
        <v>4</v>
      </c>
      <c r="M999" s="2" t="b">
        <v>0</v>
      </c>
      <c r="N999" s="2"/>
      <c r="O999" s="2" t="str">
        <f>IF(Table1[[#This Row],[is_returned]]=TRUE,IF(Table1[[#This Row],[return_reason]]="","Error","OK"),"OK")</f>
        <v>OK</v>
      </c>
      <c r="P999" s="8">
        <f>Table1[[#This Row],[original_price]]*Table1[[#This Row],[markdown_percentage]]/100</f>
        <v>12.3291</v>
      </c>
      <c r="Q99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999" s="25">
        <f>Table1[[#This Row],[current_price]]*Table1[[#This Row],[stock_quantity]]</f>
        <v>1996.65</v>
      </c>
    </row>
    <row r="1000" spans="1:18" x14ac:dyDescent="0.25">
      <c r="A1000" s="2" t="s">
        <v>1053</v>
      </c>
      <c r="B1000" s="2" t="s">
        <v>42</v>
      </c>
      <c r="C1000" s="2" t="s">
        <v>32</v>
      </c>
      <c r="D1000" s="2" t="s">
        <v>17</v>
      </c>
      <c r="E1000" s="2" t="s">
        <v>55</v>
      </c>
      <c r="F1000" s="2" t="s">
        <v>70</v>
      </c>
      <c r="G1000" s="8">
        <v>135.69</v>
      </c>
      <c r="H1000" s="11">
        <v>3</v>
      </c>
      <c r="I1000" s="8">
        <v>131.62</v>
      </c>
      <c r="J1000" s="3">
        <v>45533</v>
      </c>
      <c r="K1000" s="14">
        <v>16</v>
      </c>
      <c r="L1000" s="17"/>
      <c r="M1000" s="2" t="b">
        <v>0</v>
      </c>
      <c r="N1000" s="2"/>
      <c r="O1000" s="2" t="str">
        <f>IF(Table1[[#This Row],[is_returned]]=TRUE,IF(Table1[[#This Row],[return_reason]]="","Error","OK"),"OK")</f>
        <v>OK</v>
      </c>
      <c r="P1000" s="8">
        <f>Table1[[#This Row],[original_price]]*Table1[[#This Row],[markdown_percentage]]/100</f>
        <v>4.0706999999999995</v>
      </c>
      <c r="Q100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000" s="25">
        <f>Table1[[#This Row],[current_price]]*Table1[[#This Row],[stock_quantity]]</f>
        <v>2105.92</v>
      </c>
    </row>
    <row r="1001" spans="1:18" x14ac:dyDescent="0.25">
      <c r="A1001" s="2" t="s">
        <v>1054</v>
      </c>
      <c r="B1001" s="2" t="s">
        <v>42</v>
      </c>
      <c r="C1001" s="2" t="s">
        <v>61</v>
      </c>
      <c r="D1001" s="2" t="s">
        <v>34</v>
      </c>
      <c r="E1001" s="2"/>
      <c r="F1001" s="2" t="s">
        <v>19</v>
      </c>
      <c r="G1001" s="8">
        <v>48.14</v>
      </c>
      <c r="H1001" s="11">
        <v>28.3</v>
      </c>
      <c r="I1001" s="8">
        <v>34.520000000000003</v>
      </c>
      <c r="J1001" s="3">
        <v>45875</v>
      </c>
      <c r="K1001" s="14">
        <v>41</v>
      </c>
      <c r="L1001" s="17"/>
      <c r="M1001" s="2" t="b">
        <v>0</v>
      </c>
      <c r="N1001" s="2"/>
      <c r="O1001" s="2" t="str">
        <f>IF(Table1[[#This Row],[is_returned]]=TRUE,IF(Table1[[#This Row],[return_reason]]="","Error","OK"),"OK")</f>
        <v>OK</v>
      </c>
      <c r="P1001" s="8">
        <f>Table1[[#This Row],[original_price]]*Table1[[#This Row],[markdown_percentage]]/100</f>
        <v>13.623620000000001</v>
      </c>
      <c r="Q100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001" s="25">
        <f>Table1[[#This Row],[current_price]]*Table1[[#This Row],[stock_quantity]]</f>
        <v>1415.3200000000002</v>
      </c>
    </row>
    <row r="1002" spans="1:18" x14ac:dyDescent="0.25">
      <c r="A1002" s="2" t="s">
        <v>1055</v>
      </c>
      <c r="B1002" s="2" t="s">
        <v>42</v>
      </c>
      <c r="C1002" s="2" t="s">
        <v>43</v>
      </c>
      <c r="D1002" s="2" t="s">
        <v>34</v>
      </c>
      <c r="E1002" s="2" t="s">
        <v>55</v>
      </c>
      <c r="F1002" s="2" t="s">
        <v>44</v>
      </c>
      <c r="G1002" s="8">
        <v>142.96</v>
      </c>
      <c r="H1002" s="11">
        <v>47.7</v>
      </c>
      <c r="I1002" s="8">
        <v>74.77</v>
      </c>
      <c r="J1002" s="3">
        <v>45875</v>
      </c>
      <c r="K1002" s="14">
        <v>7</v>
      </c>
      <c r="L1002" s="17"/>
      <c r="M1002" s="2" t="b">
        <v>0</v>
      </c>
      <c r="N1002" s="2"/>
      <c r="O1002" s="2" t="str">
        <f>IF(Table1[[#This Row],[is_returned]]=TRUE,IF(Table1[[#This Row],[return_reason]]="","Error","OK"),"OK")</f>
        <v>OK</v>
      </c>
      <c r="P1002" s="8">
        <f>Table1[[#This Row],[original_price]]*Table1[[#This Row],[markdown_percentage]]/100</f>
        <v>68.19192000000001</v>
      </c>
      <c r="Q100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002" s="25">
        <f>Table1[[#This Row],[current_price]]*Table1[[#This Row],[stock_quantity]]</f>
        <v>523.39</v>
      </c>
    </row>
    <row r="1003" spans="1:18" x14ac:dyDescent="0.25">
      <c r="A1003" s="2" t="s">
        <v>1056</v>
      </c>
      <c r="B1003" s="2" t="s">
        <v>21</v>
      </c>
      <c r="C1003" s="2" t="s">
        <v>75</v>
      </c>
      <c r="D1003" s="2" t="s">
        <v>17</v>
      </c>
      <c r="E1003" s="2" t="s">
        <v>24</v>
      </c>
      <c r="F1003" s="2" t="s">
        <v>56</v>
      </c>
      <c r="G1003" s="8">
        <v>51.72</v>
      </c>
      <c r="H1003" s="11">
        <v>0</v>
      </c>
      <c r="I1003" s="8">
        <v>51.72</v>
      </c>
      <c r="J1003" s="3">
        <v>45702</v>
      </c>
      <c r="K1003" s="14">
        <v>50</v>
      </c>
      <c r="L1003" s="17"/>
      <c r="M1003" s="2" t="b">
        <v>0</v>
      </c>
      <c r="N1003" s="2"/>
      <c r="O1003" s="2" t="str">
        <f>IF(Table1[[#This Row],[is_returned]]=TRUE,IF(Table1[[#This Row],[return_reason]]="","Error","OK"),"OK")</f>
        <v>OK</v>
      </c>
      <c r="P1003" s="8">
        <f>Table1[[#This Row],[original_price]]*Table1[[#This Row],[markdown_percentage]]/100</f>
        <v>0</v>
      </c>
      <c r="Q100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003" s="25">
        <f>Table1[[#This Row],[current_price]]*Table1[[#This Row],[stock_quantity]]</f>
        <v>2586</v>
      </c>
    </row>
    <row r="1004" spans="1:18" x14ac:dyDescent="0.25">
      <c r="A1004" s="2" t="s">
        <v>1057</v>
      </c>
      <c r="B1004" s="2" t="s">
        <v>27</v>
      </c>
      <c r="C1004" s="2" t="s">
        <v>16</v>
      </c>
      <c r="D1004" s="2" t="s">
        <v>34</v>
      </c>
      <c r="E1004" s="2"/>
      <c r="F1004" s="2" t="s">
        <v>70</v>
      </c>
      <c r="G1004" s="8">
        <v>18.3</v>
      </c>
      <c r="H1004" s="11">
        <v>38.299999999999997</v>
      </c>
      <c r="I1004" s="8">
        <v>11.29</v>
      </c>
      <c r="J1004" s="3">
        <v>45875</v>
      </c>
      <c r="K1004" s="14">
        <v>14</v>
      </c>
      <c r="L1004" s="17">
        <v>1.1000000000000001</v>
      </c>
      <c r="M1004" s="2" t="b">
        <v>0</v>
      </c>
      <c r="N1004" s="2"/>
      <c r="O1004" s="2" t="str">
        <f>IF(Table1[[#This Row],[is_returned]]=TRUE,IF(Table1[[#This Row],[return_reason]]="","Error","OK"),"OK")</f>
        <v>OK</v>
      </c>
      <c r="P1004" s="8">
        <f>Table1[[#This Row],[original_price]]*Table1[[#This Row],[markdown_percentage]]/100</f>
        <v>7.0088999999999997</v>
      </c>
      <c r="Q100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004" s="25">
        <f>Table1[[#This Row],[current_price]]*Table1[[#This Row],[stock_quantity]]</f>
        <v>158.06</v>
      </c>
    </row>
    <row r="1005" spans="1:18" x14ac:dyDescent="0.25">
      <c r="A1005" s="2" t="s">
        <v>1058</v>
      </c>
      <c r="B1005" s="2" t="s">
        <v>15</v>
      </c>
      <c r="C1005" s="2" t="s">
        <v>43</v>
      </c>
      <c r="D1005" s="2" t="s">
        <v>17</v>
      </c>
      <c r="E1005" s="2" t="s">
        <v>24</v>
      </c>
      <c r="F1005" s="2" t="s">
        <v>64</v>
      </c>
      <c r="G1005" s="8">
        <v>214.99</v>
      </c>
      <c r="H1005" s="11">
        <v>29</v>
      </c>
      <c r="I1005" s="8">
        <v>152.63999999999999</v>
      </c>
      <c r="J1005" s="3">
        <v>45541</v>
      </c>
      <c r="K1005" s="14">
        <v>32</v>
      </c>
      <c r="L1005" s="17">
        <v>2.8</v>
      </c>
      <c r="M1005" s="2" t="b">
        <v>1</v>
      </c>
      <c r="N1005" s="2" t="s">
        <v>125</v>
      </c>
      <c r="O1005" s="2" t="str">
        <f>IF(Table1[[#This Row],[is_returned]]=TRUE,IF(Table1[[#This Row],[return_reason]]="","Error","OK"),"OK")</f>
        <v>OK</v>
      </c>
      <c r="P1005" s="8">
        <f>Table1[[#This Row],[original_price]]*Table1[[#This Row],[markdown_percentage]]/100</f>
        <v>62.347099999999998</v>
      </c>
      <c r="Q100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005" s="25">
        <f>Table1[[#This Row],[current_price]]*Table1[[#This Row],[stock_quantity]]</f>
        <v>4884.4799999999996</v>
      </c>
    </row>
    <row r="1006" spans="1:18" x14ac:dyDescent="0.25">
      <c r="A1006" s="2" t="s">
        <v>1059</v>
      </c>
      <c r="B1006" s="2" t="s">
        <v>27</v>
      </c>
      <c r="C1006" s="2" t="s">
        <v>61</v>
      </c>
      <c r="D1006" s="2" t="s">
        <v>17</v>
      </c>
      <c r="E1006" s="2"/>
      <c r="F1006" s="2" t="s">
        <v>19</v>
      </c>
      <c r="G1006" s="8">
        <v>20.77</v>
      </c>
      <c r="H1006" s="11">
        <v>0</v>
      </c>
      <c r="I1006" s="8">
        <v>20.77</v>
      </c>
      <c r="J1006" s="3">
        <v>45521</v>
      </c>
      <c r="K1006" s="14">
        <v>31</v>
      </c>
      <c r="L1006" s="17">
        <v>2</v>
      </c>
      <c r="M1006" s="2" t="b">
        <v>0</v>
      </c>
      <c r="N1006" s="2"/>
      <c r="O1006" s="2" t="str">
        <f>IF(Table1[[#This Row],[is_returned]]=TRUE,IF(Table1[[#This Row],[return_reason]]="","Error","OK"),"OK")</f>
        <v>OK</v>
      </c>
      <c r="P1006" s="8">
        <f>Table1[[#This Row],[original_price]]*Table1[[#This Row],[markdown_percentage]]/100</f>
        <v>0</v>
      </c>
      <c r="Q100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006" s="25">
        <f>Table1[[#This Row],[current_price]]*Table1[[#This Row],[stock_quantity]]</f>
        <v>643.87</v>
      </c>
    </row>
    <row r="1007" spans="1:18" x14ac:dyDescent="0.25">
      <c r="A1007" s="2" t="s">
        <v>1060</v>
      </c>
      <c r="B1007" s="2" t="s">
        <v>27</v>
      </c>
      <c r="C1007" s="2" t="s">
        <v>61</v>
      </c>
      <c r="D1007" s="2" t="s">
        <v>62</v>
      </c>
      <c r="E1007" s="2"/>
      <c r="F1007" s="2" t="s">
        <v>25</v>
      </c>
      <c r="G1007" s="8">
        <v>77.959999999999994</v>
      </c>
      <c r="H1007" s="11">
        <v>0</v>
      </c>
      <c r="I1007" s="8">
        <v>77.959999999999994</v>
      </c>
      <c r="J1007" s="3">
        <v>45875</v>
      </c>
      <c r="K1007" s="14">
        <v>39</v>
      </c>
      <c r="L1007" s="17">
        <v>4.8</v>
      </c>
      <c r="M1007" s="2" t="b">
        <v>0</v>
      </c>
      <c r="N1007" s="2"/>
      <c r="O1007" s="2" t="str">
        <f>IF(Table1[[#This Row],[is_returned]]=TRUE,IF(Table1[[#This Row],[return_reason]]="","Error","OK"),"OK")</f>
        <v>OK</v>
      </c>
      <c r="P1007" s="8">
        <f>Table1[[#This Row],[original_price]]*Table1[[#This Row],[markdown_percentage]]/100</f>
        <v>0</v>
      </c>
      <c r="Q100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007" s="25">
        <f>Table1[[#This Row],[current_price]]*Table1[[#This Row],[stock_quantity]]</f>
        <v>3040.4399999999996</v>
      </c>
    </row>
    <row r="1008" spans="1:18" x14ac:dyDescent="0.25">
      <c r="A1008" s="2" t="s">
        <v>1061</v>
      </c>
      <c r="B1008" s="2" t="s">
        <v>27</v>
      </c>
      <c r="C1008" s="2" t="s">
        <v>16</v>
      </c>
      <c r="D1008" s="2" t="s">
        <v>34</v>
      </c>
      <c r="E1008" s="2"/>
      <c r="F1008" s="2" t="s">
        <v>66</v>
      </c>
      <c r="G1008" s="8">
        <v>73.33</v>
      </c>
      <c r="H1008" s="11">
        <v>34.6</v>
      </c>
      <c r="I1008" s="8">
        <v>47.96</v>
      </c>
      <c r="J1008" s="3">
        <v>45875</v>
      </c>
      <c r="K1008" s="14">
        <v>45</v>
      </c>
      <c r="L1008" s="17">
        <v>2.1</v>
      </c>
      <c r="M1008" s="2" t="b">
        <v>0</v>
      </c>
      <c r="N1008" s="2"/>
      <c r="O1008" s="2" t="str">
        <f>IF(Table1[[#This Row],[is_returned]]=TRUE,IF(Table1[[#This Row],[return_reason]]="","Error","OK"),"OK")</f>
        <v>OK</v>
      </c>
      <c r="P1008" s="8">
        <f>Table1[[#This Row],[original_price]]*Table1[[#This Row],[markdown_percentage]]/100</f>
        <v>25.37218</v>
      </c>
      <c r="Q100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008" s="25">
        <f>Table1[[#This Row],[current_price]]*Table1[[#This Row],[stock_quantity]]</f>
        <v>2158.1999999999998</v>
      </c>
    </row>
    <row r="1009" spans="1:18" x14ac:dyDescent="0.25">
      <c r="A1009" s="2" t="s">
        <v>1062</v>
      </c>
      <c r="B1009" s="2" t="s">
        <v>27</v>
      </c>
      <c r="C1009" s="2" t="s">
        <v>75</v>
      </c>
      <c r="D1009" s="2" t="s">
        <v>34</v>
      </c>
      <c r="E1009" s="2"/>
      <c r="F1009" s="2" t="s">
        <v>66</v>
      </c>
      <c r="G1009" s="8">
        <v>75.22</v>
      </c>
      <c r="H1009" s="11">
        <v>25.9</v>
      </c>
      <c r="I1009" s="8">
        <v>55.74</v>
      </c>
      <c r="J1009" s="3">
        <v>45875</v>
      </c>
      <c r="K1009" s="14">
        <v>31</v>
      </c>
      <c r="L1009" s="17">
        <v>1.9</v>
      </c>
      <c r="M1009" s="2" t="b">
        <v>1</v>
      </c>
      <c r="N1009" s="2" t="s">
        <v>36</v>
      </c>
      <c r="O1009" s="2" t="str">
        <f>IF(Table1[[#This Row],[is_returned]]=TRUE,IF(Table1[[#This Row],[return_reason]]="","Error","OK"),"OK")</f>
        <v>OK</v>
      </c>
      <c r="P1009" s="8">
        <f>Table1[[#This Row],[original_price]]*Table1[[#This Row],[markdown_percentage]]/100</f>
        <v>19.48198</v>
      </c>
      <c r="Q100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009" s="25">
        <f>Table1[[#This Row],[current_price]]*Table1[[#This Row],[stock_quantity]]</f>
        <v>1727.94</v>
      </c>
    </row>
    <row r="1010" spans="1:18" x14ac:dyDescent="0.25">
      <c r="A1010" s="2" t="s">
        <v>1063</v>
      </c>
      <c r="B1010" s="2" t="s">
        <v>38</v>
      </c>
      <c r="C1010" s="2" t="s">
        <v>61</v>
      </c>
      <c r="D1010" s="2" t="s">
        <v>34</v>
      </c>
      <c r="E1010" s="2" t="s">
        <v>55</v>
      </c>
      <c r="F1010" s="2" t="s">
        <v>28</v>
      </c>
      <c r="G1010" s="8">
        <v>46.65</v>
      </c>
      <c r="H1010" s="11">
        <v>24.2</v>
      </c>
      <c r="I1010" s="8">
        <v>35.36</v>
      </c>
      <c r="J1010" s="3">
        <v>45875</v>
      </c>
      <c r="K1010" s="14">
        <v>8</v>
      </c>
      <c r="L1010" s="17">
        <v>3.2</v>
      </c>
      <c r="M1010" s="2" t="b">
        <v>0</v>
      </c>
      <c r="N1010" s="2"/>
      <c r="O1010" s="2" t="str">
        <f>IF(Table1[[#This Row],[is_returned]]=TRUE,IF(Table1[[#This Row],[return_reason]]="","Error","OK"),"OK")</f>
        <v>OK</v>
      </c>
      <c r="P1010" s="8">
        <f>Table1[[#This Row],[original_price]]*Table1[[#This Row],[markdown_percentage]]/100</f>
        <v>11.289299999999999</v>
      </c>
      <c r="Q101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010" s="25">
        <f>Table1[[#This Row],[current_price]]*Table1[[#This Row],[stock_quantity]]</f>
        <v>282.88</v>
      </c>
    </row>
    <row r="1011" spans="1:18" x14ac:dyDescent="0.25">
      <c r="A1011" s="2" t="s">
        <v>1064</v>
      </c>
      <c r="B1011" s="2" t="s">
        <v>42</v>
      </c>
      <c r="C1011" s="2" t="s">
        <v>43</v>
      </c>
      <c r="D1011" s="2" t="s">
        <v>34</v>
      </c>
      <c r="E1011" s="2" t="s">
        <v>49</v>
      </c>
      <c r="F1011" s="2" t="s">
        <v>25</v>
      </c>
      <c r="G1011" s="8">
        <v>108.19</v>
      </c>
      <c r="H1011" s="11">
        <v>0</v>
      </c>
      <c r="I1011" s="8">
        <v>108.19</v>
      </c>
      <c r="J1011" s="3">
        <v>45875</v>
      </c>
      <c r="K1011" s="14">
        <v>21</v>
      </c>
      <c r="L1011" s="17"/>
      <c r="M1011" s="2" t="b">
        <v>0</v>
      </c>
      <c r="N1011" s="2"/>
      <c r="O1011" s="2" t="str">
        <f>IF(Table1[[#This Row],[is_returned]]=TRUE,IF(Table1[[#This Row],[return_reason]]="","Error","OK"),"OK")</f>
        <v>OK</v>
      </c>
      <c r="P1011" s="8">
        <f>Table1[[#This Row],[original_price]]*Table1[[#This Row],[markdown_percentage]]/100</f>
        <v>0</v>
      </c>
      <c r="Q101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011" s="25">
        <f>Table1[[#This Row],[current_price]]*Table1[[#This Row],[stock_quantity]]</f>
        <v>2271.9899999999998</v>
      </c>
    </row>
    <row r="1012" spans="1:18" x14ac:dyDescent="0.25">
      <c r="A1012" s="2" t="s">
        <v>1065</v>
      </c>
      <c r="B1012" s="2" t="s">
        <v>42</v>
      </c>
      <c r="C1012" s="2" t="s">
        <v>16</v>
      </c>
      <c r="D1012" s="2" t="s">
        <v>17</v>
      </c>
      <c r="E1012" s="2" t="s">
        <v>24</v>
      </c>
      <c r="F1012" s="2" t="s">
        <v>19</v>
      </c>
      <c r="G1012" s="8">
        <v>62.82</v>
      </c>
      <c r="H1012" s="11">
        <v>0</v>
      </c>
      <c r="I1012" s="8">
        <v>62.82</v>
      </c>
      <c r="J1012" s="3">
        <v>45573</v>
      </c>
      <c r="K1012" s="14">
        <v>36</v>
      </c>
      <c r="L1012" s="17">
        <v>2.1</v>
      </c>
      <c r="M1012" s="2" t="b">
        <v>0</v>
      </c>
      <c r="N1012" s="2"/>
      <c r="O1012" s="2" t="str">
        <f>IF(Table1[[#This Row],[is_returned]]=TRUE,IF(Table1[[#This Row],[return_reason]]="","Error","OK"),"OK")</f>
        <v>OK</v>
      </c>
      <c r="P1012" s="8">
        <f>Table1[[#This Row],[original_price]]*Table1[[#This Row],[markdown_percentage]]/100</f>
        <v>0</v>
      </c>
      <c r="Q101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012" s="25">
        <f>Table1[[#This Row],[current_price]]*Table1[[#This Row],[stock_quantity]]</f>
        <v>2261.52</v>
      </c>
    </row>
    <row r="1013" spans="1:18" x14ac:dyDescent="0.25">
      <c r="A1013" s="2" t="s">
        <v>1066</v>
      </c>
      <c r="B1013" s="2" t="s">
        <v>21</v>
      </c>
      <c r="C1013" s="2" t="s">
        <v>16</v>
      </c>
      <c r="D1013" s="2" t="s">
        <v>62</v>
      </c>
      <c r="E1013" s="2" t="s">
        <v>39</v>
      </c>
      <c r="F1013" s="2" t="s">
        <v>25</v>
      </c>
      <c r="G1013" s="8">
        <v>57.32</v>
      </c>
      <c r="H1013" s="11">
        <v>57.4</v>
      </c>
      <c r="I1013" s="8">
        <v>24.42</v>
      </c>
      <c r="J1013" s="3">
        <v>45875</v>
      </c>
      <c r="K1013" s="14">
        <v>46</v>
      </c>
      <c r="L1013" s="17">
        <v>3.1</v>
      </c>
      <c r="M1013" s="2" t="b">
        <v>0</v>
      </c>
      <c r="N1013" s="2"/>
      <c r="O1013" s="2" t="str">
        <f>IF(Table1[[#This Row],[is_returned]]=TRUE,IF(Table1[[#This Row],[return_reason]]="","Error","OK"),"OK")</f>
        <v>OK</v>
      </c>
      <c r="P1013" s="8">
        <f>Table1[[#This Row],[original_price]]*Table1[[#This Row],[markdown_percentage]]/100</f>
        <v>32.901679999999999</v>
      </c>
      <c r="Q101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013" s="25">
        <f>Table1[[#This Row],[current_price]]*Table1[[#This Row],[stock_quantity]]</f>
        <v>1123.3200000000002</v>
      </c>
    </row>
    <row r="1014" spans="1:18" x14ac:dyDescent="0.25">
      <c r="A1014" s="2" t="s">
        <v>1067</v>
      </c>
      <c r="B1014" s="2" t="s">
        <v>15</v>
      </c>
      <c r="C1014" s="2" t="s">
        <v>48</v>
      </c>
      <c r="D1014" s="2" t="s">
        <v>23</v>
      </c>
      <c r="E1014" s="2" t="s">
        <v>49</v>
      </c>
      <c r="F1014" s="2" t="s">
        <v>46</v>
      </c>
      <c r="G1014" s="8">
        <v>153.59</v>
      </c>
      <c r="H1014" s="11">
        <v>0</v>
      </c>
      <c r="I1014" s="8">
        <v>153.59</v>
      </c>
      <c r="J1014" s="3">
        <v>45875</v>
      </c>
      <c r="K1014" s="14">
        <v>31</v>
      </c>
      <c r="L1014" s="17">
        <v>2.9</v>
      </c>
      <c r="M1014" s="2" t="b">
        <v>1</v>
      </c>
      <c r="N1014" s="2" t="s">
        <v>78</v>
      </c>
      <c r="O1014" s="2" t="str">
        <f>IF(Table1[[#This Row],[is_returned]]=TRUE,IF(Table1[[#This Row],[return_reason]]="","Error","OK"),"OK")</f>
        <v>OK</v>
      </c>
      <c r="P1014" s="8">
        <f>Table1[[#This Row],[original_price]]*Table1[[#This Row],[markdown_percentage]]/100</f>
        <v>0</v>
      </c>
      <c r="Q101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014" s="25">
        <f>Table1[[#This Row],[current_price]]*Table1[[#This Row],[stock_quantity]]</f>
        <v>4761.29</v>
      </c>
    </row>
    <row r="1015" spans="1:18" x14ac:dyDescent="0.25">
      <c r="A1015" s="2" t="s">
        <v>1068</v>
      </c>
      <c r="B1015" s="2" t="s">
        <v>30</v>
      </c>
      <c r="C1015" s="2" t="s">
        <v>43</v>
      </c>
      <c r="D1015" s="2" t="s">
        <v>23</v>
      </c>
      <c r="E1015" s="2" t="s">
        <v>18</v>
      </c>
      <c r="F1015" s="2" t="s">
        <v>66</v>
      </c>
      <c r="G1015" s="8">
        <v>101.14</v>
      </c>
      <c r="H1015" s="11">
        <v>0</v>
      </c>
      <c r="I1015" s="8">
        <v>101.14</v>
      </c>
      <c r="J1015" s="3">
        <v>45875</v>
      </c>
      <c r="K1015" s="14">
        <v>43</v>
      </c>
      <c r="L1015" s="17">
        <v>2.8</v>
      </c>
      <c r="M1015" s="2" t="b">
        <v>0</v>
      </c>
      <c r="N1015" s="2"/>
      <c r="O1015" s="2" t="str">
        <f>IF(Table1[[#This Row],[is_returned]]=TRUE,IF(Table1[[#This Row],[return_reason]]="","Error","OK"),"OK")</f>
        <v>OK</v>
      </c>
      <c r="P1015" s="8">
        <f>Table1[[#This Row],[original_price]]*Table1[[#This Row],[markdown_percentage]]/100</f>
        <v>0</v>
      </c>
      <c r="Q101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015" s="25">
        <f>Table1[[#This Row],[current_price]]*Table1[[#This Row],[stock_quantity]]</f>
        <v>4349.0200000000004</v>
      </c>
    </row>
    <row r="1016" spans="1:18" x14ac:dyDescent="0.25">
      <c r="A1016" s="2" t="s">
        <v>1069</v>
      </c>
      <c r="B1016" s="2" t="s">
        <v>38</v>
      </c>
      <c r="C1016" s="2" t="s">
        <v>53</v>
      </c>
      <c r="D1016" s="2" t="s">
        <v>17</v>
      </c>
      <c r="E1016" s="2" t="s">
        <v>49</v>
      </c>
      <c r="F1016" s="2" t="s">
        <v>70</v>
      </c>
      <c r="G1016" s="8">
        <v>43.89</v>
      </c>
      <c r="H1016" s="11">
        <v>15.6</v>
      </c>
      <c r="I1016" s="8">
        <v>37.04</v>
      </c>
      <c r="J1016" s="3">
        <v>45777</v>
      </c>
      <c r="K1016" s="14">
        <v>31</v>
      </c>
      <c r="L1016" s="17">
        <v>1.7</v>
      </c>
      <c r="M1016" s="2" t="b">
        <v>1</v>
      </c>
      <c r="N1016" s="2" t="s">
        <v>125</v>
      </c>
      <c r="O1016" s="2" t="str">
        <f>IF(Table1[[#This Row],[is_returned]]=TRUE,IF(Table1[[#This Row],[return_reason]]="","Error","OK"),"OK")</f>
        <v>OK</v>
      </c>
      <c r="P1016" s="8">
        <f>Table1[[#This Row],[original_price]]*Table1[[#This Row],[markdown_percentage]]/100</f>
        <v>6.8468399999999994</v>
      </c>
      <c r="Q101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016" s="25">
        <f>Table1[[#This Row],[current_price]]*Table1[[#This Row],[stock_quantity]]</f>
        <v>1148.24</v>
      </c>
    </row>
    <row r="1017" spans="1:18" x14ac:dyDescent="0.25">
      <c r="A1017" s="2" t="s">
        <v>1070</v>
      </c>
      <c r="B1017" s="2" t="s">
        <v>15</v>
      </c>
      <c r="C1017" s="2" t="s">
        <v>16</v>
      </c>
      <c r="D1017" s="2" t="s">
        <v>23</v>
      </c>
      <c r="E1017" s="2" t="s">
        <v>39</v>
      </c>
      <c r="F1017" s="2" t="s">
        <v>40</v>
      </c>
      <c r="G1017" s="8">
        <v>130.16</v>
      </c>
      <c r="H1017" s="11">
        <v>47.5</v>
      </c>
      <c r="I1017" s="8">
        <v>68.33</v>
      </c>
      <c r="J1017" s="3">
        <v>45875</v>
      </c>
      <c r="K1017" s="14">
        <v>21</v>
      </c>
      <c r="L1017" s="17"/>
      <c r="M1017" s="2" t="b">
        <v>0</v>
      </c>
      <c r="N1017" s="2"/>
      <c r="O1017" s="2" t="str">
        <f>IF(Table1[[#This Row],[is_returned]]=TRUE,IF(Table1[[#This Row],[return_reason]]="","Error","OK"),"OK")</f>
        <v>OK</v>
      </c>
      <c r="P1017" s="8">
        <f>Table1[[#This Row],[original_price]]*Table1[[#This Row],[markdown_percentage]]/100</f>
        <v>61.825999999999993</v>
      </c>
      <c r="Q101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017" s="25">
        <f>Table1[[#This Row],[current_price]]*Table1[[#This Row],[stock_quantity]]</f>
        <v>1434.93</v>
      </c>
    </row>
    <row r="1018" spans="1:18" x14ac:dyDescent="0.25">
      <c r="A1018" s="2" t="s">
        <v>1071</v>
      </c>
      <c r="B1018" s="2" t="s">
        <v>42</v>
      </c>
      <c r="C1018" s="2" t="s">
        <v>61</v>
      </c>
      <c r="D1018" s="2" t="s">
        <v>23</v>
      </c>
      <c r="E1018" s="2" t="s">
        <v>24</v>
      </c>
      <c r="F1018" s="2" t="s">
        <v>28</v>
      </c>
      <c r="G1018" s="8">
        <v>153.12</v>
      </c>
      <c r="H1018" s="11">
        <v>0</v>
      </c>
      <c r="I1018" s="8">
        <v>153.12</v>
      </c>
      <c r="J1018" s="3">
        <v>45875</v>
      </c>
      <c r="K1018" s="14">
        <v>27</v>
      </c>
      <c r="L1018" s="17">
        <v>3.3</v>
      </c>
      <c r="M1018" s="2" t="b">
        <v>0</v>
      </c>
      <c r="N1018" s="2"/>
      <c r="O1018" s="2" t="str">
        <f>IF(Table1[[#This Row],[is_returned]]=TRUE,IF(Table1[[#This Row],[return_reason]]="","Error","OK"),"OK")</f>
        <v>OK</v>
      </c>
      <c r="P1018" s="8">
        <f>Table1[[#This Row],[original_price]]*Table1[[#This Row],[markdown_percentage]]/100</f>
        <v>0</v>
      </c>
      <c r="Q101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018" s="25">
        <f>Table1[[#This Row],[current_price]]*Table1[[#This Row],[stock_quantity]]</f>
        <v>4134.24</v>
      </c>
    </row>
    <row r="1019" spans="1:18" x14ac:dyDescent="0.25">
      <c r="A1019" s="2" t="s">
        <v>1072</v>
      </c>
      <c r="B1019" s="2" t="s">
        <v>21</v>
      </c>
      <c r="C1019" s="2" t="s">
        <v>75</v>
      </c>
      <c r="D1019" s="2" t="s">
        <v>62</v>
      </c>
      <c r="E1019" s="2" t="s">
        <v>49</v>
      </c>
      <c r="F1019" s="2" t="s">
        <v>44</v>
      </c>
      <c r="G1019" s="8">
        <v>37.119999999999997</v>
      </c>
      <c r="H1019" s="11">
        <v>12.1</v>
      </c>
      <c r="I1019" s="8">
        <v>32.630000000000003</v>
      </c>
      <c r="J1019" s="3">
        <v>45875</v>
      </c>
      <c r="K1019" s="14">
        <v>43</v>
      </c>
      <c r="L1019" s="17">
        <v>3.2</v>
      </c>
      <c r="M1019" s="2" t="b">
        <v>0</v>
      </c>
      <c r="N1019" s="2"/>
      <c r="O1019" s="2" t="str">
        <f>IF(Table1[[#This Row],[is_returned]]=TRUE,IF(Table1[[#This Row],[return_reason]]="","Error","OK"),"OK")</f>
        <v>OK</v>
      </c>
      <c r="P1019" s="8">
        <f>Table1[[#This Row],[original_price]]*Table1[[#This Row],[markdown_percentage]]/100</f>
        <v>4.4915199999999995</v>
      </c>
      <c r="Q101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019" s="25">
        <f>Table1[[#This Row],[current_price]]*Table1[[#This Row],[stock_quantity]]</f>
        <v>1403.0900000000001</v>
      </c>
    </row>
    <row r="1020" spans="1:18" x14ac:dyDescent="0.25">
      <c r="A1020" s="2" t="s">
        <v>1073</v>
      </c>
      <c r="B1020" s="2" t="s">
        <v>21</v>
      </c>
      <c r="C1020" s="2" t="s">
        <v>43</v>
      </c>
      <c r="D1020" s="2" t="s">
        <v>62</v>
      </c>
      <c r="E1020" s="2" t="s">
        <v>49</v>
      </c>
      <c r="F1020" s="2" t="s">
        <v>66</v>
      </c>
      <c r="G1020" s="8">
        <v>41.05</v>
      </c>
      <c r="H1020" s="11">
        <v>0</v>
      </c>
      <c r="I1020" s="8">
        <v>41.05</v>
      </c>
      <c r="J1020" s="3">
        <v>45875</v>
      </c>
      <c r="K1020" s="14">
        <v>24</v>
      </c>
      <c r="L1020" s="17"/>
      <c r="M1020" s="2" t="b">
        <v>0</v>
      </c>
      <c r="N1020" s="2"/>
      <c r="O1020" s="2" t="str">
        <f>IF(Table1[[#This Row],[is_returned]]=TRUE,IF(Table1[[#This Row],[return_reason]]="","Error","OK"),"OK")</f>
        <v>OK</v>
      </c>
      <c r="P1020" s="8">
        <f>Table1[[#This Row],[original_price]]*Table1[[#This Row],[markdown_percentage]]/100</f>
        <v>0</v>
      </c>
      <c r="Q102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020" s="25">
        <f>Table1[[#This Row],[current_price]]*Table1[[#This Row],[stock_quantity]]</f>
        <v>985.19999999999993</v>
      </c>
    </row>
    <row r="1021" spans="1:18" x14ac:dyDescent="0.25">
      <c r="A1021" s="2" t="s">
        <v>1074</v>
      </c>
      <c r="B1021" s="2" t="s">
        <v>30</v>
      </c>
      <c r="C1021" s="2" t="s">
        <v>75</v>
      </c>
      <c r="D1021" s="2" t="s">
        <v>34</v>
      </c>
      <c r="E1021" s="2" t="s">
        <v>58</v>
      </c>
      <c r="F1021" s="2" t="s">
        <v>64</v>
      </c>
      <c r="G1021" s="8">
        <v>61.04</v>
      </c>
      <c r="H1021" s="11">
        <v>0</v>
      </c>
      <c r="I1021" s="8">
        <v>61.04</v>
      </c>
      <c r="J1021" s="3">
        <v>45875</v>
      </c>
      <c r="K1021" s="14">
        <v>43</v>
      </c>
      <c r="L1021" s="17">
        <v>1.9</v>
      </c>
      <c r="M1021" s="2" t="b">
        <v>0</v>
      </c>
      <c r="N1021" s="2"/>
      <c r="O1021" s="2" t="str">
        <f>IF(Table1[[#This Row],[is_returned]]=TRUE,IF(Table1[[#This Row],[return_reason]]="","Error","OK"),"OK")</f>
        <v>OK</v>
      </c>
      <c r="P1021" s="8">
        <f>Table1[[#This Row],[original_price]]*Table1[[#This Row],[markdown_percentage]]/100</f>
        <v>0</v>
      </c>
      <c r="Q102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021" s="25">
        <f>Table1[[#This Row],[current_price]]*Table1[[#This Row],[stock_quantity]]</f>
        <v>2624.72</v>
      </c>
    </row>
    <row r="1022" spans="1:18" x14ac:dyDescent="0.25">
      <c r="A1022" s="2" t="s">
        <v>1075</v>
      </c>
      <c r="B1022" s="2" t="s">
        <v>21</v>
      </c>
      <c r="C1022" s="2" t="s">
        <v>53</v>
      </c>
      <c r="D1022" s="2" t="s">
        <v>62</v>
      </c>
      <c r="E1022" s="2" t="s">
        <v>39</v>
      </c>
      <c r="F1022" s="2" t="s">
        <v>28</v>
      </c>
      <c r="G1022" s="8">
        <v>97.17</v>
      </c>
      <c r="H1022" s="11">
        <v>0</v>
      </c>
      <c r="I1022" s="8">
        <v>97.17</v>
      </c>
      <c r="J1022" s="3">
        <v>45875</v>
      </c>
      <c r="K1022" s="14">
        <v>35</v>
      </c>
      <c r="L1022" s="17">
        <v>3</v>
      </c>
      <c r="M1022" s="2" t="b">
        <v>0</v>
      </c>
      <c r="N1022" s="2"/>
      <c r="O1022" s="2" t="str">
        <f>IF(Table1[[#This Row],[is_returned]]=TRUE,IF(Table1[[#This Row],[return_reason]]="","Error","OK"),"OK")</f>
        <v>OK</v>
      </c>
      <c r="P1022" s="8">
        <f>Table1[[#This Row],[original_price]]*Table1[[#This Row],[markdown_percentage]]/100</f>
        <v>0</v>
      </c>
      <c r="Q102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022" s="25">
        <f>Table1[[#This Row],[current_price]]*Table1[[#This Row],[stock_quantity]]</f>
        <v>3400.9500000000003</v>
      </c>
    </row>
    <row r="1023" spans="1:18" x14ac:dyDescent="0.25">
      <c r="A1023" s="2" t="s">
        <v>1076</v>
      </c>
      <c r="B1023" s="2" t="s">
        <v>27</v>
      </c>
      <c r="C1023" s="2" t="s">
        <v>22</v>
      </c>
      <c r="D1023" s="2" t="s">
        <v>62</v>
      </c>
      <c r="E1023" s="2"/>
      <c r="F1023" s="2" t="s">
        <v>19</v>
      </c>
      <c r="G1023" s="8">
        <v>63.45</v>
      </c>
      <c r="H1023" s="11">
        <v>0</v>
      </c>
      <c r="I1023" s="8">
        <v>63.45</v>
      </c>
      <c r="J1023" s="3">
        <v>45875</v>
      </c>
      <c r="K1023" s="14">
        <v>4</v>
      </c>
      <c r="L1023" s="17">
        <v>3.9</v>
      </c>
      <c r="M1023" s="2" t="b">
        <v>0</v>
      </c>
      <c r="N1023" s="2"/>
      <c r="O1023" s="2" t="str">
        <f>IF(Table1[[#This Row],[is_returned]]=TRUE,IF(Table1[[#This Row],[return_reason]]="","Error","OK"),"OK")</f>
        <v>OK</v>
      </c>
      <c r="P1023" s="8">
        <f>Table1[[#This Row],[original_price]]*Table1[[#This Row],[markdown_percentage]]/100</f>
        <v>0</v>
      </c>
      <c r="Q102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023" s="25">
        <f>Table1[[#This Row],[current_price]]*Table1[[#This Row],[stock_quantity]]</f>
        <v>253.8</v>
      </c>
    </row>
    <row r="1024" spans="1:18" x14ac:dyDescent="0.25">
      <c r="A1024" s="2" t="s">
        <v>1077</v>
      </c>
      <c r="B1024" s="2" t="s">
        <v>21</v>
      </c>
      <c r="C1024" s="2" t="s">
        <v>43</v>
      </c>
      <c r="D1024" s="2" t="s">
        <v>34</v>
      </c>
      <c r="E1024" s="2"/>
      <c r="F1024" s="2" t="s">
        <v>40</v>
      </c>
      <c r="G1024" s="8">
        <v>117.39</v>
      </c>
      <c r="H1024" s="11">
        <v>0</v>
      </c>
      <c r="I1024" s="8">
        <v>117.39</v>
      </c>
      <c r="J1024" s="3">
        <v>45875</v>
      </c>
      <c r="K1024" s="14">
        <v>14</v>
      </c>
      <c r="L1024" s="17">
        <v>3.2</v>
      </c>
      <c r="M1024" s="2" t="b">
        <v>0</v>
      </c>
      <c r="N1024" s="2"/>
      <c r="O1024" s="2" t="str">
        <f>IF(Table1[[#This Row],[is_returned]]=TRUE,IF(Table1[[#This Row],[return_reason]]="","Error","OK"),"OK")</f>
        <v>OK</v>
      </c>
      <c r="P1024" s="8">
        <f>Table1[[#This Row],[original_price]]*Table1[[#This Row],[markdown_percentage]]/100</f>
        <v>0</v>
      </c>
      <c r="Q102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024" s="25">
        <f>Table1[[#This Row],[current_price]]*Table1[[#This Row],[stock_quantity]]</f>
        <v>1643.46</v>
      </c>
    </row>
    <row r="1025" spans="1:18" x14ac:dyDescent="0.25">
      <c r="A1025" s="2" t="s">
        <v>1078</v>
      </c>
      <c r="B1025" s="2" t="s">
        <v>21</v>
      </c>
      <c r="C1025" s="2" t="s">
        <v>32</v>
      </c>
      <c r="D1025" s="2" t="s">
        <v>17</v>
      </c>
      <c r="E1025" s="2" t="s">
        <v>39</v>
      </c>
      <c r="F1025" s="2" t="s">
        <v>70</v>
      </c>
      <c r="G1025" s="8">
        <v>32.89</v>
      </c>
      <c r="H1025" s="11">
        <v>0</v>
      </c>
      <c r="I1025" s="8">
        <v>32.89</v>
      </c>
      <c r="J1025" s="3">
        <v>45846</v>
      </c>
      <c r="K1025" s="14">
        <v>6</v>
      </c>
      <c r="L1025" s="17">
        <v>4.5999999999999996</v>
      </c>
      <c r="M1025" s="2" t="b">
        <v>0</v>
      </c>
      <c r="N1025" s="2"/>
      <c r="O1025" s="2" t="str">
        <f>IF(Table1[[#This Row],[is_returned]]=TRUE,IF(Table1[[#This Row],[return_reason]]="","Error","OK"),"OK")</f>
        <v>OK</v>
      </c>
      <c r="P1025" s="8">
        <f>Table1[[#This Row],[original_price]]*Table1[[#This Row],[markdown_percentage]]/100</f>
        <v>0</v>
      </c>
      <c r="Q102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025" s="25">
        <f>Table1[[#This Row],[current_price]]*Table1[[#This Row],[stock_quantity]]</f>
        <v>197.34</v>
      </c>
    </row>
    <row r="1026" spans="1:18" x14ac:dyDescent="0.25">
      <c r="A1026" s="2" t="s">
        <v>1079</v>
      </c>
      <c r="B1026" s="2" t="s">
        <v>38</v>
      </c>
      <c r="C1026" s="2" t="s">
        <v>53</v>
      </c>
      <c r="D1026" s="2" t="s">
        <v>17</v>
      </c>
      <c r="E1026" s="2" t="s">
        <v>24</v>
      </c>
      <c r="F1026" s="2" t="s">
        <v>44</v>
      </c>
      <c r="G1026" s="8">
        <v>102.6</v>
      </c>
      <c r="H1026" s="11">
        <v>38.6</v>
      </c>
      <c r="I1026" s="8">
        <v>63</v>
      </c>
      <c r="J1026" s="3">
        <v>45787</v>
      </c>
      <c r="K1026" s="14">
        <v>14</v>
      </c>
      <c r="L1026" s="17">
        <v>4</v>
      </c>
      <c r="M1026" s="2" t="b">
        <v>0</v>
      </c>
      <c r="N1026" s="2"/>
      <c r="O1026" s="2" t="str">
        <f>IF(Table1[[#This Row],[is_returned]]=TRUE,IF(Table1[[#This Row],[return_reason]]="","Error","OK"),"OK")</f>
        <v>OK</v>
      </c>
      <c r="P1026" s="8">
        <f>Table1[[#This Row],[original_price]]*Table1[[#This Row],[markdown_percentage]]/100</f>
        <v>39.6036</v>
      </c>
      <c r="Q102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026" s="25">
        <f>Table1[[#This Row],[current_price]]*Table1[[#This Row],[stock_quantity]]</f>
        <v>882</v>
      </c>
    </row>
    <row r="1027" spans="1:18" x14ac:dyDescent="0.25">
      <c r="A1027" s="2" t="s">
        <v>1080</v>
      </c>
      <c r="B1027" s="2" t="s">
        <v>30</v>
      </c>
      <c r="C1027" s="2" t="s">
        <v>61</v>
      </c>
      <c r="D1027" s="2" t="s">
        <v>17</v>
      </c>
      <c r="E1027" s="2" t="s">
        <v>49</v>
      </c>
      <c r="F1027" s="2" t="s">
        <v>64</v>
      </c>
      <c r="G1027" s="8">
        <v>155.91999999999999</v>
      </c>
      <c r="H1027" s="11">
        <v>32.200000000000003</v>
      </c>
      <c r="I1027" s="8">
        <v>105.71</v>
      </c>
      <c r="J1027" s="3">
        <v>45567</v>
      </c>
      <c r="K1027" s="14">
        <v>5</v>
      </c>
      <c r="L1027" s="17">
        <v>2</v>
      </c>
      <c r="M1027" s="2" t="b">
        <v>0</v>
      </c>
      <c r="N1027" s="2"/>
      <c r="O1027" s="2" t="str">
        <f>IF(Table1[[#This Row],[is_returned]]=TRUE,IF(Table1[[#This Row],[return_reason]]="","Error","OK"),"OK")</f>
        <v>OK</v>
      </c>
      <c r="P1027" s="8">
        <f>Table1[[#This Row],[original_price]]*Table1[[#This Row],[markdown_percentage]]/100</f>
        <v>50.206240000000001</v>
      </c>
      <c r="Q102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027" s="25">
        <f>Table1[[#This Row],[current_price]]*Table1[[#This Row],[stock_quantity]]</f>
        <v>528.54999999999995</v>
      </c>
    </row>
    <row r="1028" spans="1:18" x14ac:dyDescent="0.25">
      <c r="A1028" s="2" t="s">
        <v>1081</v>
      </c>
      <c r="B1028" s="2" t="s">
        <v>15</v>
      </c>
      <c r="C1028" s="2" t="s">
        <v>61</v>
      </c>
      <c r="D1028" s="2" t="s">
        <v>34</v>
      </c>
      <c r="E1028" s="2" t="s">
        <v>24</v>
      </c>
      <c r="F1028" s="2" t="s">
        <v>66</v>
      </c>
      <c r="G1028" s="8">
        <v>178.39</v>
      </c>
      <c r="H1028" s="11">
        <v>0</v>
      </c>
      <c r="I1028" s="8">
        <v>178.39</v>
      </c>
      <c r="J1028" s="3">
        <v>45875</v>
      </c>
      <c r="K1028" s="14">
        <v>29</v>
      </c>
      <c r="L1028" s="17">
        <v>4.2</v>
      </c>
      <c r="M1028" s="2" t="b">
        <v>0</v>
      </c>
      <c r="N1028" s="2"/>
      <c r="O1028" s="2" t="str">
        <f>IF(Table1[[#This Row],[is_returned]]=TRUE,IF(Table1[[#This Row],[return_reason]]="","Error","OK"),"OK")</f>
        <v>OK</v>
      </c>
      <c r="P1028" s="8">
        <f>Table1[[#This Row],[original_price]]*Table1[[#This Row],[markdown_percentage]]/100</f>
        <v>0</v>
      </c>
      <c r="Q102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028" s="25">
        <f>Table1[[#This Row],[current_price]]*Table1[[#This Row],[stock_quantity]]</f>
        <v>5173.3099999999995</v>
      </c>
    </row>
    <row r="1029" spans="1:18" x14ac:dyDescent="0.25">
      <c r="A1029" s="2" t="s">
        <v>1082</v>
      </c>
      <c r="B1029" s="2" t="s">
        <v>15</v>
      </c>
      <c r="C1029" s="2" t="s">
        <v>48</v>
      </c>
      <c r="D1029" s="2" t="s">
        <v>17</v>
      </c>
      <c r="E1029" s="2" t="s">
        <v>18</v>
      </c>
      <c r="F1029" s="2" t="s">
        <v>40</v>
      </c>
      <c r="G1029" s="8">
        <v>151.1</v>
      </c>
      <c r="H1029" s="11">
        <v>0</v>
      </c>
      <c r="I1029" s="8">
        <v>151.1</v>
      </c>
      <c r="J1029" s="3">
        <v>45738</v>
      </c>
      <c r="K1029" s="14">
        <v>24</v>
      </c>
      <c r="L1029" s="17">
        <v>2.4</v>
      </c>
      <c r="M1029" s="2" t="b">
        <v>0</v>
      </c>
      <c r="N1029" s="2"/>
      <c r="O1029" s="2" t="str">
        <f>IF(Table1[[#This Row],[is_returned]]=TRUE,IF(Table1[[#This Row],[return_reason]]="","Error","OK"),"OK")</f>
        <v>OK</v>
      </c>
      <c r="P1029" s="8">
        <f>Table1[[#This Row],[original_price]]*Table1[[#This Row],[markdown_percentage]]/100</f>
        <v>0</v>
      </c>
      <c r="Q102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029" s="25">
        <f>Table1[[#This Row],[current_price]]*Table1[[#This Row],[stock_quantity]]</f>
        <v>3626.3999999999996</v>
      </c>
    </row>
    <row r="1030" spans="1:18" x14ac:dyDescent="0.25">
      <c r="A1030" s="2" t="s">
        <v>1083</v>
      </c>
      <c r="B1030" s="2" t="s">
        <v>21</v>
      </c>
      <c r="C1030" s="2" t="s">
        <v>75</v>
      </c>
      <c r="D1030" s="2" t="s">
        <v>62</v>
      </c>
      <c r="E1030" s="2" t="s">
        <v>49</v>
      </c>
      <c r="F1030" s="2" t="s">
        <v>56</v>
      </c>
      <c r="G1030" s="8">
        <v>91.03</v>
      </c>
      <c r="H1030" s="11">
        <v>55.4</v>
      </c>
      <c r="I1030" s="8">
        <v>40.6</v>
      </c>
      <c r="J1030" s="3">
        <v>45875</v>
      </c>
      <c r="K1030" s="14">
        <v>2</v>
      </c>
      <c r="L1030" s="17">
        <v>2.5</v>
      </c>
      <c r="M1030" s="2" t="b">
        <v>0</v>
      </c>
      <c r="N1030" s="2"/>
      <c r="O1030" s="2" t="str">
        <f>IF(Table1[[#This Row],[is_returned]]=TRUE,IF(Table1[[#This Row],[return_reason]]="","Error","OK"),"OK")</f>
        <v>OK</v>
      </c>
      <c r="P1030" s="8">
        <f>Table1[[#This Row],[original_price]]*Table1[[#This Row],[markdown_percentage]]/100</f>
        <v>50.430619999999998</v>
      </c>
      <c r="Q103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030" s="25">
        <f>Table1[[#This Row],[current_price]]*Table1[[#This Row],[stock_quantity]]</f>
        <v>81.2</v>
      </c>
    </row>
    <row r="1031" spans="1:18" x14ac:dyDescent="0.25">
      <c r="A1031" s="2" t="s">
        <v>1084</v>
      </c>
      <c r="B1031" s="2" t="s">
        <v>21</v>
      </c>
      <c r="C1031" s="2" t="s">
        <v>48</v>
      </c>
      <c r="D1031" s="2" t="s">
        <v>34</v>
      </c>
      <c r="E1031" s="2" t="s">
        <v>58</v>
      </c>
      <c r="F1031" s="2" t="s">
        <v>40</v>
      </c>
      <c r="G1031" s="8">
        <v>89.03</v>
      </c>
      <c r="H1031" s="11">
        <v>41.3</v>
      </c>
      <c r="I1031" s="8">
        <v>52.26</v>
      </c>
      <c r="J1031" s="3">
        <v>45875</v>
      </c>
      <c r="K1031" s="14">
        <v>50</v>
      </c>
      <c r="L1031" s="17"/>
      <c r="M1031" s="2" t="b">
        <v>0</v>
      </c>
      <c r="N1031" s="2"/>
      <c r="O1031" s="2" t="str">
        <f>IF(Table1[[#This Row],[is_returned]]=TRUE,IF(Table1[[#This Row],[return_reason]]="","Error","OK"),"OK")</f>
        <v>OK</v>
      </c>
      <c r="P1031" s="8">
        <f>Table1[[#This Row],[original_price]]*Table1[[#This Row],[markdown_percentage]]/100</f>
        <v>36.769390000000001</v>
      </c>
      <c r="Q103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031" s="25">
        <f>Table1[[#This Row],[current_price]]*Table1[[#This Row],[stock_quantity]]</f>
        <v>2613</v>
      </c>
    </row>
    <row r="1032" spans="1:18" x14ac:dyDescent="0.25">
      <c r="A1032" s="2" t="s">
        <v>1085</v>
      </c>
      <c r="B1032" s="2" t="s">
        <v>42</v>
      </c>
      <c r="C1032" s="2" t="s">
        <v>53</v>
      </c>
      <c r="D1032" s="2" t="s">
        <v>62</v>
      </c>
      <c r="E1032" s="2" t="s">
        <v>39</v>
      </c>
      <c r="F1032" s="2" t="s">
        <v>46</v>
      </c>
      <c r="G1032" s="8">
        <v>147.58000000000001</v>
      </c>
      <c r="H1032" s="11">
        <v>0</v>
      </c>
      <c r="I1032" s="8">
        <v>147.58000000000001</v>
      </c>
      <c r="J1032" s="3">
        <v>45875</v>
      </c>
      <c r="K1032" s="14">
        <v>10</v>
      </c>
      <c r="L1032" s="17">
        <v>4.3</v>
      </c>
      <c r="M1032" s="2" t="b">
        <v>0</v>
      </c>
      <c r="N1032" s="2"/>
      <c r="O1032" s="2" t="str">
        <f>IF(Table1[[#This Row],[is_returned]]=TRUE,IF(Table1[[#This Row],[return_reason]]="","Error","OK"),"OK")</f>
        <v>OK</v>
      </c>
      <c r="P1032" s="8">
        <f>Table1[[#This Row],[original_price]]*Table1[[#This Row],[markdown_percentage]]/100</f>
        <v>0</v>
      </c>
      <c r="Q103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032" s="25">
        <f>Table1[[#This Row],[current_price]]*Table1[[#This Row],[stock_quantity]]</f>
        <v>1475.8000000000002</v>
      </c>
    </row>
    <row r="1033" spans="1:18" x14ac:dyDescent="0.25">
      <c r="A1033" s="2" t="s">
        <v>1086</v>
      </c>
      <c r="B1033" s="2" t="s">
        <v>42</v>
      </c>
      <c r="C1033" s="2" t="s">
        <v>32</v>
      </c>
      <c r="D1033" s="2" t="s">
        <v>62</v>
      </c>
      <c r="E1033" s="2" t="s">
        <v>18</v>
      </c>
      <c r="F1033" s="2" t="s">
        <v>44</v>
      </c>
      <c r="G1033" s="8">
        <v>79.98</v>
      </c>
      <c r="H1033" s="11">
        <v>0</v>
      </c>
      <c r="I1033" s="8">
        <v>79.98</v>
      </c>
      <c r="J1033" s="3">
        <v>45875</v>
      </c>
      <c r="K1033" s="14">
        <v>25</v>
      </c>
      <c r="L1033" s="17">
        <v>1.5</v>
      </c>
      <c r="M1033" s="2" t="b">
        <v>0</v>
      </c>
      <c r="N1033" s="2"/>
      <c r="O1033" s="2" t="str">
        <f>IF(Table1[[#This Row],[is_returned]]=TRUE,IF(Table1[[#This Row],[return_reason]]="","Error","OK"),"OK")</f>
        <v>OK</v>
      </c>
      <c r="P1033" s="8">
        <f>Table1[[#This Row],[original_price]]*Table1[[#This Row],[markdown_percentage]]/100</f>
        <v>0</v>
      </c>
      <c r="Q103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033" s="25">
        <f>Table1[[#This Row],[current_price]]*Table1[[#This Row],[stock_quantity]]</f>
        <v>1999.5</v>
      </c>
    </row>
    <row r="1034" spans="1:18" x14ac:dyDescent="0.25">
      <c r="A1034" s="2" t="s">
        <v>1087</v>
      </c>
      <c r="B1034" s="2" t="s">
        <v>42</v>
      </c>
      <c r="C1034" s="2" t="s">
        <v>48</v>
      </c>
      <c r="D1034" s="2" t="s">
        <v>34</v>
      </c>
      <c r="E1034" s="2" t="s">
        <v>55</v>
      </c>
      <c r="F1034" s="2" t="s">
        <v>56</v>
      </c>
      <c r="G1034" s="8">
        <v>86.38</v>
      </c>
      <c r="H1034" s="11">
        <v>0</v>
      </c>
      <c r="I1034" s="8">
        <v>86.38</v>
      </c>
      <c r="J1034" s="3">
        <v>45875</v>
      </c>
      <c r="K1034" s="14">
        <v>40</v>
      </c>
      <c r="L1034" s="17">
        <v>2.7</v>
      </c>
      <c r="M1034" s="2" t="b">
        <v>0</v>
      </c>
      <c r="N1034" s="2"/>
      <c r="O1034" s="2" t="str">
        <f>IF(Table1[[#This Row],[is_returned]]=TRUE,IF(Table1[[#This Row],[return_reason]]="","Error","OK"),"OK")</f>
        <v>OK</v>
      </c>
      <c r="P1034" s="8">
        <f>Table1[[#This Row],[original_price]]*Table1[[#This Row],[markdown_percentage]]/100</f>
        <v>0</v>
      </c>
      <c r="Q103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034" s="25">
        <f>Table1[[#This Row],[current_price]]*Table1[[#This Row],[stock_quantity]]</f>
        <v>3455.2</v>
      </c>
    </row>
    <row r="1035" spans="1:18" x14ac:dyDescent="0.25">
      <c r="A1035" s="2" t="s">
        <v>1088</v>
      </c>
      <c r="B1035" s="2" t="s">
        <v>21</v>
      </c>
      <c r="C1035" s="2" t="s">
        <v>32</v>
      </c>
      <c r="D1035" s="2" t="s">
        <v>62</v>
      </c>
      <c r="E1035" s="2" t="s">
        <v>49</v>
      </c>
      <c r="F1035" s="2" t="s">
        <v>70</v>
      </c>
      <c r="G1035" s="8">
        <v>47.29</v>
      </c>
      <c r="H1035" s="11">
        <v>40.4</v>
      </c>
      <c r="I1035" s="8">
        <v>28.18</v>
      </c>
      <c r="J1035" s="3">
        <v>45875</v>
      </c>
      <c r="K1035" s="14">
        <v>26</v>
      </c>
      <c r="L1035" s="17">
        <v>4.4000000000000004</v>
      </c>
      <c r="M1035" s="2" t="b">
        <v>0</v>
      </c>
      <c r="N1035" s="2"/>
      <c r="O1035" s="2" t="str">
        <f>IF(Table1[[#This Row],[is_returned]]=TRUE,IF(Table1[[#This Row],[return_reason]]="","Error","OK"),"OK")</f>
        <v>OK</v>
      </c>
      <c r="P1035" s="8">
        <f>Table1[[#This Row],[original_price]]*Table1[[#This Row],[markdown_percentage]]/100</f>
        <v>19.105159999999998</v>
      </c>
      <c r="Q103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035" s="25">
        <f>Table1[[#This Row],[current_price]]*Table1[[#This Row],[stock_quantity]]</f>
        <v>732.68</v>
      </c>
    </row>
    <row r="1036" spans="1:18" x14ac:dyDescent="0.25">
      <c r="A1036" s="2" t="s">
        <v>1089</v>
      </c>
      <c r="B1036" s="2" t="s">
        <v>15</v>
      </c>
      <c r="C1036" s="2" t="s">
        <v>75</v>
      </c>
      <c r="D1036" s="2" t="s">
        <v>17</v>
      </c>
      <c r="E1036" s="2" t="s">
        <v>24</v>
      </c>
      <c r="F1036" s="2" t="s">
        <v>64</v>
      </c>
      <c r="G1036" s="8">
        <v>196.54</v>
      </c>
      <c r="H1036" s="11">
        <v>22.6</v>
      </c>
      <c r="I1036" s="8">
        <v>152.12</v>
      </c>
      <c r="J1036" s="3">
        <v>45789</v>
      </c>
      <c r="K1036" s="14">
        <v>33</v>
      </c>
      <c r="L1036" s="17">
        <v>1.4</v>
      </c>
      <c r="M1036" s="2" t="b">
        <v>0</v>
      </c>
      <c r="N1036" s="2"/>
      <c r="O1036" s="2" t="str">
        <f>IF(Table1[[#This Row],[is_returned]]=TRUE,IF(Table1[[#This Row],[return_reason]]="","Error","OK"),"OK")</f>
        <v>OK</v>
      </c>
      <c r="P1036" s="8">
        <f>Table1[[#This Row],[original_price]]*Table1[[#This Row],[markdown_percentage]]/100</f>
        <v>44.418039999999998</v>
      </c>
      <c r="Q103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036" s="25">
        <f>Table1[[#This Row],[current_price]]*Table1[[#This Row],[stock_quantity]]</f>
        <v>5019.96</v>
      </c>
    </row>
    <row r="1037" spans="1:18" x14ac:dyDescent="0.25">
      <c r="A1037" s="2" t="s">
        <v>1090</v>
      </c>
      <c r="B1037" s="2" t="s">
        <v>21</v>
      </c>
      <c r="C1037" s="2" t="s">
        <v>16</v>
      </c>
      <c r="D1037" s="2" t="s">
        <v>17</v>
      </c>
      <c r="E1037" s="2" t="s">
        <v>49</v>
      </c>
      <c r="F1037" s="2" t="s">
        <v>40</v>
      </c>
      <c r="G1037" s="8">
        <v>72.72</v>
      </c>
      <c r="H1037" s="11">
        <v>0</v>
      </c>
      <c r="I1037" s="8">
        <v>72.72</v>
      </c>
      <c r="J1037" s="3">
        <v>45688</v>
      </c>
      <c r="K1037" s="14">
        <v>23</v>
      </c>
      <c r="L1037" s="17">
        <v>1.6</v>
      </c>
      <c r="M1037" s="2" t="b">
        <v>0</v>
      </c>
      <c r="N1037" s="2"/>
      <c r="O1037" s="2" t="str">
        <f>IF(Table1[[#This Row],[is_returned]]=TRUE,IF(Table1[[#This Row],[return_reason]]="","Error","OK"),"OK")</f>
        <v>OK</v>
      </c>
      <c r="P1037" s="8">
        <f>Table1[[#This Row],[original_price]]*Table1[[#This Row],[markdown_percentage]]/100</f>
        <v>0</v>
      </c>
      <c r="Q103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037" s="25">
        <f>Table1[[#This Row],[current_price]]*Table1[[#This Row],[stock_quantity]]</f>
        <v>1672.56</v>
      </c>
    </row>
    <row r="1038" spans="1:18" x14ac:dyDescent="0.25">
      <c r="A1038" s="2" t="s">
        <v>1091</v>
      </c>
      <c r="B1038" s="2" t="s">
        <v>21</v>
      </c>
      <c r="C1038" s="2" t="s">
        <v>61</v>
      </c>
      <c r="D1038" s="2" t="s">
        <v>62</v>
      </c>
      <c r="E1038" s="2" t="s">
        <v>49</v>
      </c>
      <c r="F1038" s="2" t="s">
        <v>56</v>
      </c>
      <c r="G1038" s="8">
        <v>115.5</v>
      </c>
      <c r="H1038" s="11">
        <v>0</v>
      </c>
      <c r="I1038" s="8">
        <v>115.5</v>
      </c>
      <c r="J1038" s="3">
        <v>45875</v>
      </c>
      <c r="K1038" s="14">
        <v>36</v>
      </c>
      <c r="L1038" s="17"/>
      <c r="M1038" s="2" t="b">
        <v>1</v>
      </c>
      <c r="N1038" s="2" t="s">
        <v>83</v>
      </c>
      <c r="O1038" s="2" t="str">
        <f>IF(Table1[[#This Row],[is_returned]]=TRUE,IF(Table1[[#This Row],[return_reason]]="","Error","OK"),"OK")</f>
        <v>OK</v>
      </c>
      <c r="P1038" s="8">
        <f>Table1[[#This Row],[original_price]]*Table1[[#This Row],[markdown_percentage]]/100</f>
        <v>0</v>
      </c>
      <c r="Q103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038" s="25">
        <f>Table1[[#This Row],[current_price]]*Table1[[#This Row],[stock_quantity]]</f>
        <v>4158</v>
      </c>
    </row>
    <row r="1039" spans="1:18" x14ac:dyDescent="0.25">
      <c r="A1039" s="2" t="s">
        <v>1092</v>
      </c>
      <c r="B1039" s="2" t="s">
        <v>27</v>
      </c>
      <c r="C1039" s="2" t="s">
        <v>48</v>
      </c>
      <c r="D1039" s="2" t="s">
        <v>62</v>
      </c>
      <c r="E1039" s="2"/>
      <c r="F1039" s="2" t="s">
        <v>40</v>
      </c>
      <c r="G1039" s="8">
        <v>68.22</v>
      </c>
      <c r="H1039" s="11">
        <v>8.1</v>
      </c>
      <c r="I1039" s="8">
        <v>62.69</v>
      </c>
      <c r="J1039" s="3">
        <v>45875</v>
      </c>
      <c r="K1039" s="14">
        <v>28</v>
      </c>
      <c r="L1039" s="17">
        <v>4</v>
      </c>
      <c r="M1039" s="2" t="b">
        <v>0</v>
      </c>
      <c r="N1039" s="2"/>
      <c r="O1039" s="2" t="str">
        <f>IF(Table1[[#This Row],[is_returned]]=TRUE,IF(Table1[[#This Row],[return_reason]]="","Error","OK"),"OK")</f>
        <v>OK</v>
      </c>
      <c r="P1039" s="8">
        <f>Table1[[#This Row],[original_price]]*Table1[[#This Row],[markdown_percentage]]/100</f>
        <v>5.5258199999999995</v>
      </c>
      <c r="Q103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039" s="25">
        <f>Table1[[#This Row],[current_price]]*Table1[[#This Row],[stock_quantity]]</f>
        <v>1755.32</v>
      </c>
    </row>
    <row r="1040" spans="1:18" x14ac:dyDescent="0.25">
      <c r="A1040" s="2" t="s">
        <v>1093</v>
      </c>
      <c r="B1040" s="2" t="s">
        <v>21</v>
      </c>
      <c r="C1040" s="2" t="s">
        <v>43</v>
      </c>
      <c r="D1040" s="2" t="s">
        <v>34</v>
      </c>
      <c r="E1040" s="2" t="s">
        <v>49</v>
      </c>
      <c r="F1040" s="2" t="s">
        <v>28</v>
      </c>
      <c r="G1040" s="8">
        <v>91.03</v>
      </c>
      <c r="H1040" s="11">
        <v>0</v>
      </c>
      <c r="I1040" s="8">
        <v>91.03</v>
      </c>
      <c r="J1040" s="3">
        <v>45875</v>
      </c>
      <c r="K1040" s="14">
        <v>20</v>
      </c>
      <c r="L1040" s="17">
        <v>2.1</v>
      </c>
      <c r="M1040" s="2" t="b">
        <v>0</v>
      </c>
      <c r="N1040" s="2"/>
      <c r="O1040" s="2" t="str">
        <f>IF(Table1[[#This Row],[is_returned]]=TRUE,IF(Table1[[#This Row],[return_reason]]="","Error","OK"),"OK")</f>
        <v>OK</v>
      </c>
      <c r="P1040" s="8">
        <f>Table1[[#This Row],[original_price]]*Table1[[#This Row],[markdown_percentage]]/100</f>
        <v>0</v>
      </c>
      <c r="Q104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040" s="25">
        <f>Table1[[#This Row],[current_price]]*Table1[[#This Row],[stock_quantity]]</f>
        <v>1820.6</v>
      </c>
    </row>
    <row r="1041" spans="1:18" x14ac:dyDescent="0.25">
      <c r="A1041" s="2" t="s">
        <v>1094</v>
      </c>
      <c r="B1041" s="2" t="s">
        <v>15</v>
      </c>
      <c r="C1041" s="2" t="s">
        <v>75</v>
      </c>
      <c r="D1041" s="2" t="s">
        <v>34</v>
      </c>
      <c r="E1041" s="2" t="s">
        <v>49</v>
      </c>
      <c r="F1041" s="2" t="s">
        <v>66</v>
      </c>
      <c r="G1041" s="8">
        <v>100.39</v>
      </c>
      <c r="H1041" s="11">
        <v>16.5</v>
      </c>
      <c r="I1041" s="8">
        <v>83.83</v>
      </c>
      <c r="J1041" s="3">
        <v>45875</v>
      </c>
      <c r="K1041" s="14">
        <v>17</v>
      </c>
      <c r="L1041" s="17">
        <v>4.5999999999999996</v>
      </c>
      <c r="M1041" s="2" t="b">
        <v>0</v>
      </c>
      <c r="N1041" s="2"/>
      <c r="O1041" s="2" t="str">
        <f>IF(Table1[[#This Row],[is_returned]]=TRUE,IF(Table1[[#This Row],[return_reason]]="","Error","OK"),"OK")</f>
        <v>OK</v>
      </c>
      <c r="P1041" s="8">
        <f>Table1[[#This Row],[original_price]]*Table1[[#This Row],[markdown_percentage]]/100</f>
        <v>16.564350000000001</v>
      </c>
      <c r="Q104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041" s="25">
        <f>Table1[[#This Row],[current_price]]*Table1[[#This Row],[stock_quantity]]</f>
        <v>1425.11</v>
      </c>
    </row>
    <row r="1042" spans="1:18" x14ac:dyDescent="0.25">
      <c r="A1042" s="2" t="s">
        <v>1095</v>
      </c>
      <c r="B1042" s="2" t="s">
        <v>21</v>
      </c>
      <c r="C1042" s="2" t="s">
        <v>61</v>
      </c>
      <c r="D1042" s="2" t="s">
        <v>34</v>
      </c>
      <c r="E1042" s="2" t="s">
        <v>55</v>
      </c>
      <c r="F1042" s="2" t="s">
        <v>64</v>
      </c>
      <c r="G1042" s="8">
        <v>100.03</v>
      </c>
      <c r="H1042" s="11">
        <v>0</v>
      </c>
      <c r="I1042" s="8">
        <v>100.03</v>
      </c>
      <c r="J1042" s="3">
        <v>45875</v>
      </c>
      <c r="K1042" s="14">
        <v>39</v>
      </c>
      <c r="L1042" s="17">
        <v>1.2</v>
      </c>
      <c r="M1042" s="2" t="b">
        <v>0</v>
      </c>
      <c r="N1042" s="2"/>
      <c r="O1042" s="2" t="str">
        <f>IF(Table1[[#This Row],[is_returned]]=TRUE,IF(Table1[[#This Row],[return_reason]]="","Error","OK"),"OK")</f>
        <v>OK</v>
      </c>
      <c r="P1042" s="8">
        <f>Table1[[#This Row],[original_price]]*Table1[[#This Row],[markdown_percentage]]/100</f>
        <v>0</v>
      </c>
      <c r="Q104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042" s="25">
        <f>Table1[[#This Row],[current_price]]*Table1[[#This Row],[stock_quantity]]</f>
        <v>3901.17</v>
      </c>
    </row>
    <row r="1043" spans="1:18" x14ac:dyDescent="0.25">
      <c r="A1043" s="2" t="s">
        <v>1096</v>
      </c>
      <c r="B1043" s="2" t="s">
        <v>27</v>
      </c>
      <c r="C1043" s="2" t="s">
        <v>61</v>
      </c>
      <c r="D1043" s="2" t="s">
        <v>17</v>
      </c>
      <c r="E1043" s="2"/>
      <c r="F1043" s="2" t="s">
        <v>35</v>
      </c>
      <c r="G1043" s="8">
        <v>50.14</v>
      </c>
      <c r="H1043" s="11">
        <v>29.2</v>
      </c>
      <c r="I1043" s="8">
        <v>35.5</v>
      </c>
      <c r="J1043" s="3">
        <v>45692</v>
      </c>
      <c r="K1043" s="14">
        <v>33</v>
      </c>
      <c r="L1043" s="17">
        <v>4.4000000000000004</v>
      </c>
      <c r="M1043" s="2" t="b">
        <v>0</v>
      </c>
      <c r="N1043" s="2"/>
      <c r="O1043" s="2" t="str">
        <f>IF(Table1[[#This Row],[is_returned]]=TRUE,IF(Table1[[#This Row],[return_reason]]="","Error","OK"),"OK")</f>
        <v>OK</v>
      </c>
      <c r="P1043" s="8">
        <f>Table1[[#This Row],[original_price]]*Table1[[#This Row],[markdown_percentage]]/100</f>
        <v>14.640879999999999</v>
      </c>
      <c r="Q104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043" s="25">
        <f>Table1[[#This Row],[current_price]]*Table1[[#This Row],[stock_quantity]]</f>
        <v>1171.5</v>
      </c>
    </row>
    <row r="1044" spans="1:18" x14ac:dyDescent="0.25">
      <c r="A1044" s="2" t="s">
        <v>1097</v>
      </c>
      <c r="B1044" s="2" t="s">
        <v>38</v>
      </c>
      <c r="C1044" s="2" t="s">
        <v>16</v>
      </c>
      <c r="D1044" s="2" t="s">
        <v>62</v>
      </c>
      <c r="E1044" s="2" t="s">
        <v>18</v>
      </c>
      <c r="F1044" s="2" t="s">
        <v>28</v>
      </c>
      <c r="G1044" s="8">
        <v>33.130000000000003</v>
      </c>
      <c r="H1044" s="11">
        <v>0</v>
      </c>
      <c r="I1044" s="8">
        <v>33.130000000000003</v>
      </c>
      <c r="J1044" s="3">
        <v>45875</v>
      </c>
      <c r="K1044" s="14">
        <v>41</v>
      </c>
      <c r="L1044" s="17">
        <v>3.3</v>
      </c>
      <c r="M1044" s="2" t="b">
        <v>0</v>
      </c>
      <c r="N1044" s="2"/>
      <c r="O1044" s="2" t="str">
        <f>IF(Table1[[#This Row],[is_returned]]=TRUE,IF(Table1[[#This Row],[return_reason]]="","Error","OK"),"OK")</f>
        <v>OK</v>
      </c>
      <c r="P1044" s="8">
        <f>Table1[[#This Row],[original_price]]*Table1[[#This Row],[markdown_percentage]]/100</f>
        <v>0</v>
      </c>
      <c r="Q104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044" s="25">
        <f>Table1[[#This Row],[current_price]]*Table1[[#This Row],[stock_quantity]]</f>
        <v>1358.3300000000002</v>
      </c>
    </row>
    <row r="1045" spans="1:18" x14ac:dyDescent="0.25">
      <c r="A1045" s="2" t="s">
        <v>1098</v>
      </c>
      <c r="B1045" s="2" t="s">
        <v>27</v>
      </c>
      <c r="C1045" s="2" t="s">
        <v>48</v>
      </c>
      <c r="D1045" s="2" t="s">
        <v>17</v>
      </c>
      <c r="E1045" s="2"/>
      <c r="F1045" s="2" t="s">
        <v>64</v>
      </c>
      <c r="G1045" s="8">
        <v>67.67</v>
      </c>
      <c r="H1045" s="11">
        <v>0</v>
      </c>
      <c r="I1045" s="8">
        <v>67.67</v>
      </c>
      <c r="J1045" s="3">
        <v>45560</v>
      </c>
      <c r="K1045" s="14">
        <v>7</v>
      </c>
      <c r="L1045" s="17">
        <v>3.3</v>
      </c>
      <c r="M1045" s="2" t="b">
        <v>0</v>
      </c>
      <c r="N1045" s="2"/>
      <c r="O1045" s="2" t="str">
        <f>IF(Table1[[#This Row],[is_returned]]=TRUE,IF(Table1[[#This Row],[return_reason]]="","Error","OK"),"OK")</f>
        <v>OK</v>
      </c>
      <c r="P1045" s="8">
        <f>Table1[[#This Row],[original_price]]*Table1[[#This Row],[markdown_percentage]]/100</f>
        <v>0</v>
      </c>
      <c r="Q104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045" s="25">
        <f>Table1[[#This Row],[current_price]]*Table1[[#This Row],[stock_quantity]]</f>
        <v>473.69</v>
      </c>
    </row>
    <row r="1046" spans="1:18" x14ac:dyDescent="0.25">
      <c r="A1046" s="2" t="s">
        <v>1099</v>
      </c>
      <c r="B1046" s="2" t="s">
        <v>38</v>
      </c>
      <c r="C1046" s="2" t="s">
        <v>32</v>
      </c>
      <c r="D1046" s="2" t="s">
        <v>62</v>
      </c>
      <c r="E1046" s="2" t="s">
        <v>39</v>
      </c>
      <c r="F1046" s="2" t="s">
        <v>28</v>
      </c>
      <c r="G1046" s="8">
        <v>93.94</v>
      </c>
      <c r="H1046" s="11">
        <v>56.3</v>
      </c>
      <c r="I1046" s="8">
        <v>41.05</v>
      </c>
      <c r="J1046" s="3">
        <v>45875</v>
      </c>
      <c r="K1046" s="14">
        <v>36</v>
      </c>
      <c r="L1046" s="17">
        <v>1.1000000000000001</v>
      </c>
      <c r="M1046" s="2" t="b">
        <v>0</v>
      </c>
      <c r="N1046" s="2"/>
      <c r="O1046" s="2" t="str">
        <f>IF(Table1[[#This Row],[is_returned]]=TRUE,IF(Table1[[#This Row],[return_reason]]="","Error","OK"),"OK")</f>
        <v>OK</v>
      </c>
      <c r="P1046" s="8">
        <f>Table1[[#This Row],[original_price]]*Table1[[#This Row],[markdown_percentage]]/100</f>
        <v>52.88821999999999</v>
      </c>
      <c r="Q104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046" s="25">
        <f>Table1[[#This Row],[current_price]]*Table1[[#This Row],[stock_quantity]]</f>
        <v>1477.8</v>
      </c>
    </row>
    <row r="1047" spans="1:18" x14ac:dyDescent="0.25">
      <c r="A1047" s="2" t="s">
        <v>1100</v>
      </c>
      <c r="B1047" s="2" t="s">
        <v>21</v>
      </c>
      <c r="C1047" s="2" t="s">
        <v>32</v>
      </c>
      <c r="D1047" s="2" t="s">
        <v>34</v>
      </c>
      <c r="E1047" s="2" t="s">
        <v>55</v>
      </c>
      <c r="F1047" s="2" t="s">
        <v>28</v>
      </c>
      <c r="G1047" s="8">
        <v>34.56</v>
      </c>
      <c r="H1047" s="11">
        <v>11.2</v>
      </c>
      <c r="I1047" s="8">
        <v>30.69</v>
      </c>
      <c r="J1047" s="3">
        <v>45875</v>
      </c>
      <c r="K1047" s="14">
        <v>46</v>
      </c>
      <c r="L1047" s="17">
        <v>3.4</v>
      </c>
      <c r="M1047" s="2" t="b">
        <v>0</v>
      </c>
      <c r="N1047" s="2"/>
      <c r="O1047" s="2" t="str">
        <f>IF(Table1[[#This Row],[is_returned]]=TRUE,IF(Table1[[#This Row],[return_reason]]="","Error","OK"),"OK")</f>
        <v>OK</v>
      </c>
      <c r="P1047" s="8">
        <f>Table1[[#This Row],[original_price]]*Table1[[#This Row],[markdown_percentage]]/100</f>
        <v>3.8707199999999999</v>
      </c>
      <c r="Q104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047" s="25">
        <f>Table1[[#This Row],[current_price]]*Table1[[#This Row],[stock_quantity]]</f>
        <v>1411.74</v>
      </c>
    </row>
    <row r="1048" spans="1:18" x14ac:dyDescent="0.25">
      <c r="A1048" s="2" t="s">
        <v>1101</v>
      </c>
      <c r="B1048" s="2" t="s">
        <v>15</v>
      </c>
      <c r="C1048" s="2" t="s">
        <v>53</v>
      </c>
      <c r="D1048" s="2" t="s">
        <v>62</v>
      </c>
      <c r="E1048" s="2" t="s">
        <v>58</v>
      </c>
      <c r="F1048" s="2" t="s">
        <v>28</v>
      </c>
      <c r="G1048" s="8">
        <v>235.33</v>
      </c>
      <c r="H1048" s="11">
        <v>0</v>
      </c>
      <c r="I1048" s="8">
        <v>235.33</v>
      </c>
      <c r="J1048" s="3">
        <v>45875</v>
      </c>
      <c r="K1048" s="14">
        <v>11</v>
      </c>
      <c r="L1048" s="17">
        <v>4.7</v>
      </c>
      <c r="M1048" s="2" t="b">
        <v>1</v>
      </c>
      <c r="N1048" s="2" t="s">
        <v>73</v>
      </c>
      <c r="O1048" s="2" t="str">
        <f>IF(Table1[[#This Row],[is_returned]]=TRUE,IF(Table1[[#This Row],[return_reason]]="","Error","OK"),"OK")</f>
        <v>OK</v>
      </c>
      <c r="P1048" s="8">
        <f>Table1[[#This Row],[original_price]]*Table1[[#This Row],[markdown_percentage]]/100</f>
        <v>0</v>
      </c>
      <c r="Q104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048" s="25">
        <f>Table1[[#This Row],[current_price]]*Table1[[#This Row],[stock_quantity]]</f>
        <v>2588.63</v>
      </c>
    </row>
    <row r="1049" spans="1:18" x14ac:dyDescent="0.25">
      <c r="A1049" s="2" t="s">
        <v>1102</v>
      </c>
      <c r="B1049" s="2" t="s">
        <v>21</v>
      </c>
      <c r="C1049" s="2" t="s">
        <v>22</v>
      </c>
      <c r="D1049" s="2" t="s">
        <v>17</v>
      </c>
      <c r="E1049" s="2" t="s">
        <v>55</v>
      </c>
      <c r="F1049" s="2" t="s">
        <v>19</v>
      </c>
      <c r="G1049" s="8">
        <v>25.45</v>
      </c>
      <c r="H1049" s="11">
        <v>0</v>
      </c>
      <c r="I1049" s="8">
        <v>25.45</v>
      </c>
      <c r="J1049" s="3">
        <v>45514</v>
      </c>
      <c r="K1049" s="14">
        <v>29</v>
      </c>
      <c r="L1049" s="17">
        <v>3.7</v>
      </c>
      <c r="M1049" s="2" t="b">
        <v>0</v>
      </c>
      <c r="N1049" s="2"/>
      <c r="O1049" s="2" t="str">
        <f>IF(Table1[[#This Row],[is_returned]]=TRUE,IF(Table1[[#This Row],[return_reason]]="","Error","OK"),"OK")</f>
        <v>OK</v>
      </c>
      <c r="P1049" s="8">
        <f>Table1[[#This Row],[original_price]]*Table1[[#This Row],[markdown_percentage]]/100</f>
        <v>0</v>
      </c>
      <c r="Q104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049" s="25">
        <f>Table1[[#This Row],[current_price]]*Table1[[#This Row],[stock_quantity]]</f>
        <v>738.05</v>
      </c>
    </row>
    <row r="1050" spans="1:18" x14ac:dyDescent="0.25">
      <c r="A1050" s="2" t="s">
        <v>1103</v>
      </c>
      <c r="B1050" s="2" t="s">
        <v>21</v>
      </c>
      <c r="C1050" s="2" t="s">
        <v>61</v>
      </c>
      <c r="D1050" s="2" t="s">
        <v>23</v>
      </c>
      <c r="E1050" s="2" t="s">
        <v>18</v>
      </c>
      <c r="F1050" s="2" t="s">
        <v>40</v>
      </c>
      <c r="G1050" s="8">
        <v>71.44</v>
      </c>
      <c r="H1050" s="11">
        <v>0</v>
      </c>
      <c r="I1050" s="8">
        <v>71.44</v>
      </c>
      <c r="J1050" s="3">
        <v>45875</v>
      </c>
      <c r="K1050" s="14">
        <v>18</v>
      </c>
      <c r="L1050" s="17">
        <v>4.3</v>
      </c>
      <c r="M1050" s="2" t="b">
        <v>0</v>
      </c>
      <c r="N1050" s="2"/>
      <c r="O1050" s="2" t="str">
        <f>IF(Table1[[#This Row],[is_returned]]=TRUE,IF(Table1[[#This Row],[return_reason]]="","Error","OK"),"OK")</f>
        <v>OK</v>
      </c>
      <c r="P1050" s="8">
        <f>Table1[[#This Row],[original_price]]*Table1[[#This Row],[markdown_percentage]]/100</f>
        <v>0</v>
      </c>
      <c r="Q105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050" s="25">
        <f>Table1[[#This Row],[current_price]]*Table1[[#This Row],[stock_quantity]]</f>
        <v>1285.92</v>
      </c>
    </row>
    <row r="1051" spans="1:18" x14ac:dyDescent="0.25">
      <c r="A1051" s="2" t="s">
        <v>1104</v>
      </c>
      <c r="B1051" s="2" t="s">
        <v>42</v>
      </c>
      <c r="C1051" s="2" t="s">
        <v>32</v>
      </c>
      <c r="D1051" s="2" t="s">
        <v>62</v>
      </c>
      <c r="E1051" s="2" t="s">
        <v>18</v>
      </c>
      <c r="F1051" s="2" t="s">
        <v>35</v>
      </c>
      <c r="G1051" s="8">
        <v>98.33</v>
      </c>
      <c r="H1051" s="11">
        <v>0</v>
      </c>
      <c r="I1051" s="8">
        <v>98.33</v>
      </c>
      <c r="J1051" s="3">
        <v>45875</v>
      </c>
      <c r="K1051" s="14">
        <v>46</v>
      </c>
      <c r="L1051" s="17">
        <v>3.7</v>
      </c>
      <c r="M1051" s="2" t="b">
        <v>0</v>
      </c>
      <c r="N1051" s="2"/>
      <c r="O1051" s="2" t="str">
        <f>IF(Table1[[#This Row],[is_returned]]=TRUE,IF(Table1[[#This Row],[return_reason]]="","Error","OK"),"OK")</f>
        <v>OK</v>
      </c>
      <c r="P1051" s="8">
        <f>Table1[[#This Row],[original_price]]*Table1[[#This Row],[markdown_percentage]]/100</f>
        <v>0</v>
      </c>
      <c r="Q105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051" s="25">
        <f>Table1[[#This Row],[current_price]]*Table1[[#This Row],[stock_quantity]]</f>
        <v>4523.18</v>
      </c>
    </row>
    <row r="1052" spans="1:18" x14ac:dyDescent="0.25">
      <c r="A1052" s="2" t="s">
        <v>1105</v>
      </c>
      <c r="B1052" s="2" t="s">
        <v>42</v>
      </c>
      <c r="C1052" s="2" t="s">
        <v>75</v>
      </c>
      <c r="D1052" s="2" t="s">
        <v>17</v>
      </c>
      <c r="E1052" s="2" t="s">
        <v>39</v>
      </c>
      <c r="F1052" s="2" t="s">
        <v>44</v>
      </c>
      <c r="G1052" s="8">
        <v>171.1</v>
      </c>
      <c r="H1052" s="11">
        <v>0</v>
      </c>
      <c r="I1052" s="8">
        <v>171.1</v>
      </c>
      <c r="J1052" s="3">
        <v>45861</v>
      </c>
      <c r="K1052" s="14">
        <v>34</v>
      </c>
      <c r="L1052" s="17"/>
      <c r="M1052" s="2" t="b">
        <v>0</v>
      </c>
      <c r="N1052" s="2"/>
      <c r="O1052" s="2" t="str">
        <f>IF(Table1[[#This Row],[is_returned]]=TRUE,IF(Table1[[#This Row],[return_reason]]="","Error","OK"),"OK")</f>
        <v>OK</v>
      </c>
      <c r="P1052" s="8">
        <f>Table1[[#This Row],[original_price]]*Table1[[#This Row],[markdown_percentage]]/100</f>
        <v>0</v>
      </c>
      <c r="Q105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052" s="25">
        <f>Table1[[#This Row],[current_price]]*Table1[[#This Row],[stock_quantity]]</f>
        <v>5817.4</v>
      </c>
    </row>
    <row r="1053" spans="1:18" x14ac:dyDescent="0.25">
      <c r="A1053" s="2" t="s">
        <v>1106</v>
      </c>
      <c r="B1053" s="2" t="s">
        <v>42</v>
      </c>
      <c r="C1053" s="2" t="s">
        <v>75</v>
      </c>
      <c r="D1053" s="2" t="s">
        <v>23</v>
      </c>
      <c r="E1053" s="2" t="s">
        <v>55</v>
      </c>
      <c r="F1053" s="2" t="s">
        <v>35</v>
      </c>
      <c r="G1053" s="8">
        <v>155.57</v>
      </c>
      <c r="H1053" s="11">
        <v>0</v>
      </c>
      <c r="I1053" s="8">
        <v>155.57</v>
      </c>
      <c r="J1053" s="3">
        <v>45875</v>
      </c>
      <c r="K1053" s="14">
        <v>48</v>
      </c>
      <c r="L1053" s="17">
        <v>3.8</v>
      </c>
      <c r="M1053" s="2" t="b">
        <v>0</v>
      </c>
      <c r="N1053" s="2"/>
      <c r="O1053" s="2" t="str">
        <f>IF(Table1[[#This Row],[is_returned]]=TRUE,IF(Table1[[#This Row],[return_reason]]="","Error","OK"),"OK")</f>
        <v>OK</v>
      </c>
      <c r="P1053" s="8">
        <f>Table1[[#This Row],[original_price]]*Table1[[#This Row],[markdown_percentage]]/100</f>
        <v>0</v>
      </c>
      <c r="Q105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053" s="25">
        <f>Table1[[#This Row],[current_price]]*Table1[[#This Row],[stock_quantity]]</f>
        <v>7467.36</v>
      </c>
    </row>
    <row r="1054" spans="1:18" x14ac:dyDescent="0.25">
      <c r="A1054" s="2" t="s">
        <v>1107</v>
      </c>
      <c r="B1054" s="2" t="s">
        <v>15</v>
      </c>
      <c r="C1054" s="2" t="s">
        <v>43</v>
      </c>
      <c r="D1054" s="2" t="s">
        <v>34</v>
      </c>
      <c r="E1054" s="2" t="s">
        <v>24</v>
      </c>
      <c r="F1054" s="2" t="s">
        <v>46</v>
      </c>
      <c r="G1054" s="8">
        <v>198.44</v>
      </c>
      <c r="H1054" s="11">
        <v>0</v>
      </c>
      <c r="I1054" s="8">
        <v>198.44</v>
      </c>
      <c r="J1054" s="3">
        <v>45875</v>
      </c>
      <c r="K1054" s="14">
        <v>40</v>
      </c>
      <c r="L1054" s="17">
        <v>2.2000000000000002</v>
      </c>
      <c r="M1054" s="2" t="b">
        <v>0</v>
      </c>
      <c r="N1054" s="2"/>
      <c r="O1054" s="2" t="str">
        <f>IF(Table1[[#This Row],[is_returned]]=TRUE,IF(Table1[[#This Row],[return_reason]]="","Error","OK"),"OK")</f>
        <v>OK</v>
      </c>
      <c r="P1054" s="8">
        <f>Table1[[#This Row],[original_price]]*Table1[[#This Row],[markdown_percentage]]/100</f>
        <v>0</v>
      </c>
      <c r="Q105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054" s="25">
        <f>Table1[[#This Row],[current_price]]*Table1[[#This Row],[stock_quantity]]</f>
        <v>7937.6</v>
      </c>
    </row>
    <row r="1055" spans="1:18" x14ac:dyDescent="0.25">
      <c r="A1055" s="2" t="s">
        <v>1108</v>
      </c>
      <c r="B1055" s="2" t="s">
        <v>30</v>
      </c>
      <c r="C1055" s="2" t="s">
        <v>53</v>
      </c>
      <c r="D1055" s="2" t="s">
        <v>17</v>
      </c>
      <c r="E1055" s="2" t="s">
        <v>58</v>
      </c>
      <c r="F1055" s="2" t="s">
        <v>28</v>
      </c>
      <c r="G1055" s="8">
        <v>175.85</v>
      </c>
      <c r="H1055" s="11">
        <v>18.100000000000001</v>
      </c>
      <c r="I1055" s="8">
        <v>144.02000000000001</v>
      </c>
      <c r="J1055" s="3">
        <v>45686</v>
      </c>
      <c r="K1055" s="14">
        <v>4</v>
      </c>
      <c r="L1055" s="17">
        <v>4</v>
      </c>
      <c r="M1055" s="2" t="b">
        <v>0</v>
      </c>
      <c r="N1055" s="2"/>
      <c r="O1055" s="2" t="str">
        <f>IF(Table1[[#This Row],[is_returned]]=TRUE,IF(Table1[[#This Row],[return_reason]]="","Error","OK"),"OK")</f>
        <v>OK</v>
      </c>
      <c r="P1055" s="8">
        <f>Table1[[#This Row],[original_price]]*Table1[[#This Row],[markdown_percentage]]/100</f>
        <v>31.828850000000003</v>
      </c>
      <c r="Q105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055" s="25">
        <f>Table1[[#This Row],[current_price]]*Table1[[#This Row],[stock_quantity]]</f>
        <v>576.08000000000004</v>
      </c>
    </row>
    <row r="1056" spans="1:18" x14ac:dyDescent="0.25">
      <c r="A1056" s="2" t="s">
        <v>1109</v>
      </c>
      <c r="B1056" s="2" t="s">
        <v>15</v>
      </c>
      <c r="C1056" s="2" t="s">
        <v>75</v>
      </c>
      <c r="D1056" s="2" t="s">
        <v>62</v>
      </c>
      <c r="E1056" s="2" t="s">
        <v>58</v>
      </c>
      <c r="F1056" s="2" t="s">
        <v>25</v>
      </c>
      <c r="G1056" s="8">
        <v>100.23</v>
      </c>
      <c r="H1056" s="11">
        <v>0</v>
      </c>
      <c r="I1056" s="8">
        <v>100.23</v>
      </c>
      <c r="J1056" s="3">
        <v>45875</v>
      </c>
      <c r="K1056" s="14">
        <v>12</v>
      </c>
      <c r="L1056" s="17">
        <v>3.5</v>
      </c>
      <c r="M1056" s="2" t="b">
        <v>0</v>
      </c>
      <c r="N1056" s="2"/>
      <c r="O1056" s="2" t="str">
        <f>IF(Table1[[#This Row],[is_returned]]=TRUE,IF(Table1[[#This Row],[return_reason]]="","Error","OK"),"OK")</f>
        <v>OK</v>
      </c>
      <c r="P1056" s="8">
        <f>Table1[[#This Row],[original_price]]*Table1[[#This Row],[markdown_percentage]]/100</f>
        <v>0</v>
      </c>
      <c r="Q105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056" s="25">
        <f>Table1[[#This Row],[current_price]]*Table1[[#This Row],[stock_quantity]]</f>
        <v>1202.76</v>
      </c>
    </row>
    <row r="1057" spans="1:18" x14ac:dyDescent="0.25">
      <c r="A1057" s="2" t="s">
        <v>1110</v>
      </c>
      <c r="B1057" s="2" t="s">
        <v>15</v>
      </c>
      <c r="C1057" s="2" t="s">
        <v>16</v>
      </c>
      <c r="D1057" s="2" t="s">
        <v>23</v>
      </c>
      <c r="E1057" s="2" t="s">
        <v>49</v>
      </c>
      <c r="F1057" s="2" t="s">
        <v>56</v>
      </c>
      <c r="G1057" s="8">
        <v>88.94</v>
      </c>
      <c r="H1057" s="11">
        <v>0</v>
      </c>
      <c r="I1057" s="8">
        <v>88.94</v>
      </c>
      <c r="J1057" s="3">
        <v>45875</v>
      </c>
      <c r="K1057" s="14">
        <v>36</v>
      </c>
      <c r="L1057" s="17"/>
      <c r="M1057" s="2" t="b">
        <v>0</v>
      </c>
      <c r="N1057" s="2"/>
      <c r="O1057" s="2" t="str">
        <f>IF(Table1[[#This Row],[is_returned]]=TRUE,IF(Table1[[#This Row],[return_reason]]="","Error","OK"),"OK")</f>
        <v>OK</v>
      </c>
      <c r="P1057" s="8">
        <f>Table1[[#This Row],[original_price]]*Table1[[#This Row],[markdown_percentage]]/100</f>
        <v>0</v>
      </c>
      <c r="Q105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057" s="25">
        <f>Table1[[#This Row],[current_price]]*Table1[[#This Row],[stock_quantity]]</f>
        <v>3201.84</v>
      </c>
    </row>
    <row r="1058" spans="1:18" x14ac:dyDescent="0.25">
      <c r="A1058" s="2" t="s">
        <v>1111</v>
      </c>
      <c r="B1058" s="2" t="s">
        <v>15</v>
      </c>
      <c r="C1058" s="2" t="s">
        <v>48</v>
      </c>
      <c r="D1058" s="2" t="s">
        <v>34</v>
      </c>
      <c r="E1058" s="2" t="s">
        <v>49</v>
      </c>
      <c r="F1058" s="2" t="s">
        <v>64</v>
      </c>
      <c r="G1058" s="8">
        <v>205.91</v>
      </c>
      <c r="H1058" s="11">
        <v>0</v>
      </c>
      <c r="I1058" s="8">
        <v>205.91</v>
      </c>
      <c r="J1058" s="3">
        <v>45875</v>
      </c>
      <c r="K1058" s="14">
        <v>3</v>
      </c>
      <c r="L1058" s="17">
        <v>4.8</v>
      </c>
      <c r="M1058" s="2" t="b">
        <v>0</v>
      </c>
      <c r="N1058" s="2"/>
      <c r="O1058" s="2" t="str">
        <f>IF(Table1[[#This Row],[is_returned]]=TRUE,IF(Table1[[#This Row],[return_reason]]="","Error","OK"),"OK")</f>
        <v>OK</v>
      </c>
      <c r="P1058" s="8">
        <f>Table1[[#This Row],[original_price]]*Table1[[#This Row],[markdown_percentage]]/100</f>
        <v>0</v>
      </c>
      <c r="Q105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058" s="25">
        <f>Table1[[#This Row],[current_price]]*Table1[[#This Row],[stock_quantity]]</f>
        <v>617.73</v>
      </c>
    </row>
    <row r="1059" spans="1:18" x14ac:dyDescent="0.25">
      <c r="A1059" s="2" t="s">
        <v>1112</v>
      </c>
      <c r="B1059" s="2" t="s">
        <v>27</v>
      </c>
      <c r="C1059" s="2" t="s">
        <v>22</v>
      </c>
      <c r="D1059" s="2" t="s">
        <v>34</v>
      </c>
      <c r="E1059" s="2"/>
      <c r="F1059" s="2" t="s">
        <v>25</v>
      </c>
      <c r="G1059" s="8">
        <v>29.06</v>
      </c>
      <c r="H1059" s="11">
        <v>1.1000000000000001</v>
      </c>
      <c r="I1059" s="8">
        <v>28.74</v>
      </c>
      <c r="J1059" s="3">
        <v>45875</v>
      </c>
      <c r="K1059" s="14">
        <v>12</v>
      </c>
      <c r="L1059" s="17">
        <v>1.1000000000000001</v>
      </c>
      <c r="M1059" s="2" t="b">
        <v>1</v>
      </c>
      <c r="N1059" s="2" t="s">
        <v>36</v>
      </c>
      <c r="O1059" s="2" t="str">
        <f>IF(Table1[[#This Row],[is_returned]]=TRUE,IF(Table1[[#This Row],[return_reason]]="","Error","OK"),"OK")</f>
        <v>OK</v>
      </c>
      <c r="P1059" s="8">
        <f>Table1[[#This Row],[original_price]]*Table1[[#This Row],[markdown_percentage]]/100</f>
        <v>0.31966</v>
      </c>
      <c r="Q105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059" s="25">
        <f>Table1[[#This Row],[current_price]]*Table1[[#This Row],[stock_quantity]]</f>
        <v>344.88</v>
      </c>
    </row>
    <row r="1060" spans="1:18" x14ac:dyDescent="0.25">
      <c r="A1060" s="2" t="s">
        <v>1113</v>
      </c>
      <c r="B1060" s="2" t="s">
        <v>27</v>
      </c>
      <c r="C1060" s="2" t="s">
        <v>61</v>
      </c>
      <c r="D1060" s="2" t="s">
        <v>62</v>
      </c>
      <c r="E1060" s="2"/>
      <c r="F1060" s="2" t="s">
        <v>70</v>
      </c>
      <c r="G1060" s="8">
        <v>68.56</v>
      </c>
      <c r="H1060" s="11">
        <v>0</v>
      </c>
      <c r="I1060" s="8">
        <v>68.56</v>
      </c>
      <c r="J1060" s="3">
        <v>45875</v>
      </c>
      <c r="K1060" s="14">
        <v>2</v>
      </c>
      <c r="L1060" s="17">
        <v>2.4</v>
      </c>
      <c r="M1060" s="2" t="b">
        <v>0</v>
      </c>
      <c r="N1060" s="2"/>
      <c r="O1060" s="2" t="str">
        <f>IF(Table1[[#This Row],[is_returned]]=TRUE,IF(Table1[[#This Row],[return_reason]]="","Error","OK"),"OK")</f>
        <v>OK</v>
      </c>
      <c r="P1060" s="8">
        <f>Table1[[#This Row],[original_price]]*Table1[[#This Row],[markdown_percentage]]/100</f>
        <v>0</v>
      </c>
      <c r="Q106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060" s="25">
        <f>Table1[[#This Row],[current_price]]*Table1[[#This Row],[stock_quantity]]</f>
        <v>137.12</v>
      </c>
    </row>
    <row r="1061" spans="1:18" x14ac:dyDescent="0.25">
      <c r="A1061" s="2" t="s">
        <v>1114</v>
      </c>
      <c r="B1061" s="2" t="s">
        <v>21</v>
      </c>
      <c r="C1061" s="2" t="s">
        <v>75</v>
      </c>
      <c r="D1061" s="2" t="s">
        <v>62</v>
      </c>
      <c r="E1061" s="2" t="s">
        <v>24</v>
      </c>
      <c r="F1061" s="2" t="s">
        <v>66</v>
      </c>
      <c r="G1061" s="8">
        <v>91.6</v>
      </c>
      <c r="H1061" s="11">
        <v>59.5</v>
      </c>
      <c r="I1061" s="8">
        <v>37.1</v>
      </c>
      <c r="J1061" s="3">
        <v>45875</v>
      </c>
      <c r="K1061" s="14">
        <v>2</v>
      </c>
      <c r="L1061" s="17">
        <v>4.3</v>
      </c>
      <c r="M1061" s="2" t="b">
        <v>0</v>
      </c>
      <c r="N1061" s="2"/>
      <c r="O1061" s="2" t="str">
        <f>IF(Table1[[#This Row],[is_returned]]=TRUE,IF(Table1[[#This Row],[return_reason]]="","Error","OK"),"OK")</f>
        <v>OK</v>
      </c>
      <c r="P1061" s="8">
        <f>Table1[[#This Row],[original_price]]*Table1[[#This Row],[markdown_percentage]]/100</f>
        <v>54.501999999999995</v>
      </c>
      <c r="Q106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061" s="25">
        <f>Table1[[#This Row],[current_price]]*Table1[[#This Row],[stock_quantity]]</f>
        <v>74.2</v>
      </c>
    </row>
    <row r="1062" spans="1:18" x14ac:dyDescent="0.25">
      <c r="A1062" s="2" t="s">
        <v>1115</v>
      </c>
      <c r="B1062" s="2" t="s">
        <v>42</v>
      </c>
      <c r="C1062" s="2" t="s">
        <v>48</v>
      </c>
      <c r="D1062" s="2" t="s">
        <v>62</v>
      </c>
      <c r="E1062" s="2" t="s">
        <v>55</v>
      </c>
      <c r="F1062" s="2" t="s">
        <v>28</v>
      </c>
      <c r="G1062" s="8">
        <v>96.57</v>
      </c>
      <c r="H1062" s="11">
        <v>0</v>
      </c>
      <c r="I1062" s="8">
        <v>96.57</v>
      </c>
      <c r="J1062" s="3">
        <v>45875</v>
      </c>
      <c r="K1062" s="14">
        <v>6</v>
      </c>
      <c r="L1062" s="17">
        <v>1.9</v>
      </c>
      <c r="M1062" s="2" t="b">
        <v>0</v>
      </c>
      <c r="N1062" s="2"/>
      <c r="O1062" s="2" t="str">
        <f>IF(Table1[[#This Row],[is_returned]]=TRUE,IF(Table1[[#This Row],[return_reason]]="","Error","OK"),"OK")</f>
        <v>OK</v>
      </c>
      <c r="P1062" s="8">
        <f>Table1[[#This Row],[original_price]]*Table1[[#This Row],[markdown_percentage]]/100</f>
        <v>0</v>
      </c>
      <c r="Q106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062" s="25">
        <f>Table1[[#This Row],[current_price]]*Table1[[#This Row],[stock_quantity]]</f>
        <v>579.41999999999996</v>
      </c>
    </row>
    <row r="1063" spans="1:18" x14ac:dyDescent="0.25">
      <c r="A1063" s="2" t="s">
        <v>1116</v>
      </c>
      <c r="B1063" s="2" t="s">
        <v>38</v>
      </c>
      <c r="C1063" s="2" t="s">
        <v>48</v>
      </c>
      <c r="D1063" s="2" t="s">
        <v>23</v>
      </c>
      <c r="E1063" s="2" t="s">
        <v>39</v>
      </c>
      <c r="F1063" s="2" t="s">
        <v>25</v>
      </c>
      <c r="G1063" s="8">
        <v>35.630000000000003</v>
      </c>
      <c r="H1063" s="11">
        <v>57.9</v>
      </c>
      <c r="I1063" s="8">
        <v>15</v>
      </c>
      <c r="J1063" s="3">
        <v>45875</v>
      </c>
      <c r="K1063" s="14">
        <v>11</v>
      </c>
      <c r="L1063" s="17">
        <v>1.8</v>
      </c>
      <c r="M1063" s="2" t="b">
        <v>0</v>
      </c>
      <c r="N1063" s="2"/>
      <c r="O1063" s="2" t="str">
        <f>IF(Table1[[#This Row],[is_returned]]=TRUE,IF(Table1[[#This Row],[return_reason]]="","Error","OK"),"OK")</f>
        <v>OK</v>
      </c>
      <c r="P1063" s="8">
        <f>Table1[[#This Row],[original_price]]*Table1[[#This Row],[markdown_percentage]]/100</f>
        <v>20.629770000000004</v>
      </c>
      <c r="Q106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063" s="25">
        <f>Table1[[#This Row],[current_price]]*Table1[[#This Row],[stock_quantity]]</f>
        <v>165</v>
      </c>
    </row>
    <row r="1064" spans="1:18" x14ac:dyDescent="0.25">
      <c r="A1064" s="2" t="s">
        <v>1117</v>
      </c>
      <c r="B1064" s="2" t="s">
        <v>30</v>
      </c>
      <c r="C1064" s="2" t="s">
        <v>22</v>
      </c>
      <c r="D1064" s="2" t="s">
        <v>23</v>
      </c>
      <c r="E1064" s="2" t="s">
        <v>55</v>
      </c>
      <c r="F1064" s="2" t="s">
        <v>46</v>
      </c>
      <c r="G1064" s="8">
        <v>118.98</v>
      </c>
      <c r="H1064" s="11">
        <v>38.1</v>
      </c>
      <c r="I1064" s="8">
        <v>73.650000000000006</v>
      </c>
      <c r="J1064" s="3">
        <v>45875</v>
      </c>
      <c r="K1064" s="14">
        <v>36</v>
      </c>
      <c r="L1064" s="17">
        <v>1.1000000000000001</v>
      </c>
      <c r="M1064" s="2" t="b">
        <v>1</v>
      </c>
      <c r="N1064" s="2" t="s">
        <v>36</v>
      </c>
      <c r="O1064" s="2" t="str">
        <f>IF(Table1[[#This Row],[is_returned]]=TRUE,IF(Table1[[#This Row],[return_reason]]="","Error","OK"),"OK")</f>
        <v>OK</v>
      </c>
      <c r="P1064" s="8">
        <f>Table1[[#This Row],[original_price]]*Table1[[#This Row],[markdown_percentage]]/100</f>
        <v>45.331379999999996</v>
      </c>
      <c r="Q106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064" s="25">
        <f>Table1[[#This Row],[current_price]]*Table1[[#This Row],[stock_quantity]]</f>
        <v>2651.4</v>
      </c>
    </row>
    <row r="1065" spans="1:18" x14ac:dyDescent="0.25">
      <c r="A1065" s="2" t="s">
        <v>1118</v>
      </c>
      <c r="B1065" s="2" t="s">
        <v>30</v>
      </c>
      <c r="C1065" s="2" t="s">
        <v>48</v>
      </c>
      <c r="D1065" s="2" t="s">
        <v>17</v>
      </c>
      <c r="E1065" s="2" t="s">
        <v>18</v>
      </c>
      <c r="F1065" s="2" t="s">
        <v>19</v>
      </c>
      <c r="G1065" s="8">
        <v>62.62</v>
      </c>
      <c r="H1065" s="11">
        <v>10.1</v>
      </c>
      <c r="I1065" s="8">
        <v>56.3</v>
      </c>
      <c r="J1065" s="3">
        <v>45762</v>
      </c>
      <c r="K1065" s="14">
        <v>32</v>
      </c>
      <c r="L1065" s="17">
        <v>2.9</v>
      </c>
      <c r="M1065" s="2" t="b">
        <v>0</v>
      </c>
      <c r="N1065" s="2"/>
      <c r="O1065" s="2" t="str">
        <f>IF(Table1[[#This Row],[is_returned]]=TRUE,IF(Table1[[#This Row],[return_reason]]="","Error","OK"),"OK")</f>
        <v>OK</v>
      </c>
      <c r="P1065" s="8">
        <f>Table1[[#This Row],[original_price]]*Table1[[#This Row],[markdown_percentage]]/100</f>
        <v>6.3246199999999995</v>
      </c>
      <c r="Q106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065" s="25">
        <f>Table1[[#This Row],[current_price]]*Table1[[#This Row],[stock_quantity]]</f>
        <v>1801.6</v>
      </c>
    </row>
    <row r="1066" spans="1:18" x14ac:dyDescent="0.25">
      <c r="A1066" s="2" t="s">
        <v>1119</v>
      </c>
      <c r="B1066" s="2" t="s">
        <v>30</v>
      </c>
      <c r="C1066" s="2" t="s">
        <v>75</v>
      </c>
      <c r="D1066" s="2" t="s">
        <v>62</v>
      </c>
      <c r="E1066" s="2" t="s">
        <v>58</v>
      </c>
      <c r="F1066" s="2" t="s">
        <v>70</v>
      </c>
      <c r="G1066" s="8">
        <v>153.34</v>
      </c>
      <c r="H1066" s="11">
        <v>55.5</v>
      </c>
      <c r="I1066" s="8">
        <v>68.239999999999995</v>
      </c>
      <c r="J1066" s="3">
        <v>45875</v>
      </c>
      <c r="K1066" s="14">
        <v>46</v>
      </c>
      <c r="L1066" s="17">
        <v>4.2</v>
      </c>
      <c r="M1066" s="2" t="b">
        <v>1</v>
      </c>
      <c r="N1066" s="2" t="s">
        <v>125</v>
      </c>
      <c r="O1066" s="2" t="str">
        <f>IF(Table1[[#This Row],[is_returned]]=TRUE,IF(Table1[[#This Row],[return_reason]]="","Error","OK"),"OK")</f>
        <v>OK</v>
      </c>
      <c r="P1066" s="8">
        <f>Table1[[#This Row],[original_price]]*Table1[[#This Row],[markdown_percentage]]/100</f>
        <v>85.103700000000003</v>
      </c>
      <c r="Q106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066" s="25">
        <f>Table1[[#This Row],[current_price]]*Table1[[#This Row],[stock_quantity]]</f>
        <v>3139.04</v>
      </c>
    </row>
    <row r="1067" spans="1:18" x14ac:dyDescent="0.25">
      <c r="A1067" s="2" t="s">
        <v>1120</v>
      </c>
      <c r="B1067" s="2" t="s">
        <v>21</v>
      </c>
      <c r="C1067" s="2" t="s">
        <v>53</v>
      </c>
      <c r="D1067" s="2" t="s">
        <v>62</v>
      </c>
      <c r="E1067" s="2" t="s">
        <v>24</v>
      </c>
      <c r="F1067" s="2" t="s">
        <v>46</v>
      </c>
      <c r="G1067" s="8">
        <v>71.66</v>
      </c>
      <c r="H1067" s="11">
        <v>49.7</v>
      </c>
      <c r="I1067" s="8">
        <v>36.04</v>
      </c>
      <c r="J1067" s="3">
        <v>45875</v>
      </c>
      <c r="K1067" s="14">
        <v>33</v>
      </c>
      <c r="L1067" s="17"/>
      <c r="M1067" s="2" t="b">
        <v>1</v>
      </c>
      <c r="N1067" s="2" t="s">
        <v>36</v>
      </c>
      <c r="O1067" s="2" t="str">
        <f>IF(Table1[[#This Row],[is_returned]]=TRUE,IF(Table1[[#This Row],[return_reason]]="","Error","OK"),"OK")</f>
        <v>OK</v>
      </c>
      <c r="P1067" s="8">
        <f>Table1[[#This Row],[original_price]]*Table1[[#This Row],[markdown_percentage]]/100</f>
        <v>35.615020000000001</v>
      </c>
      <c r="Q106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067" s="25">
        <f>Table1[[#This Row],[current_price]]*Table1[[#This Row],[stock_quantity]]</f>
        <v>1189.32</v>
      </c>
    </row>
    <row r="1068" spans="1:18" x14ac:dyDescent="0.25">
      <c r="A1068" s="2" t="s">
        <v>1121</v>
      </c>
      <c r="B1068" s="2" t="s">
        <v>42</v>
      </c>
      <c r="C1068" s="2" t="s">
        <v>53</v>
      </c>
      <c r="D1068" s="2" t="s">
        <v>17</v>
      </c>
      <c r="E1068" s="2" t="s">
        <v>39</v>
      </c>
      <c r="F1068" s="2" t="s">
        <v>28</v>
      </c>
      <c r="G1068" s="8">
        <v>107.58</v>
      </c>
      <c r="H1068" s="11">
        <v>55.9</v>
      </c>
      <c r="I1068" s="8">
        <v>47.44</v>
      </c>
      <c r="J1068" s="3">
        <v>45703</v>
      </c>
      <c r="K1068" s="14">
        <v>19</v>
      </c>
      <c r="L1068" s="17">
        <v>4.4000000000000004</v>
      </c>
      <c r="M1068" s="2" t="b">
        <v>0</v>
      </c>
      <c r="N1068" s="2"/>
      <c r="O1068" s="2" t="str">
        <f>IF(Table1[[#This Row],[is_returned]]=TRUE,IF(Table1[[#This Row],[return_reason]]="","Error","OK"),"OK")</f>
        <v>OK</v>
      </c>
      <c r="P1068" s="8">
        <f>Table1[[#This Row],[original_price]]*Table1[[#This Row],[markdown_percentage]]/100</f>
        <v>60.137219999999999</v>
      </c>
      <c r="Q106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068" s="25">
        <f>Table1[[#This Row],[current_price]]*Table1[[#This Row],[stock_quantity]]</f>
        <v>901.3599999999999</v>
      </c>
    </row>
    <row r="1069" spans="1:18" x14ac:dyDescent="0.25">
      <c r="A1069" s="2" t="s">
        <v>1122</v>
      </c>
      <c r="B1069" s="2" t="s">
        <v>30</v>
      </c>
      <c r="C1069" s="2" t="s">
        <v>16</v>
      </c>
      <c r="D1069" s="2" t="s">
        <v>17</v>
      </c>
      <c r="E1069" s="2" t="s">
        <v>18</v>
      </c>
      <c r="F1069" s="2" t="s">
        <v>44</v>
      </c>
      <c r="G1069" s="8">
        <v>137.16</v>
      </c>
      <c r="H1069" s="11">
        <v>0</v>
      </c>
      <c r="I1069" s="8">
        <v>137.16</v>
      </c>
      <c r="J1069" s="3">
        <v>45749</v>
      </c>
      <c r="K1069" s="14">
        <v>34</v>
      </c>
      <c r="L1069" s="17">
        <v>4</v>
      </c>
      <c r="M1069" s="2" t="b">
        <v>0</v>
      </c>
      <c r="N1069" s="2"/>
      <c r="O1069" s="2" t="str">
        <f>IF(Table1[[#This Row],[is_returned]]=TRUE,IF(Table1[[#This Row],[return_reason]]="","Error","OK"),"OK")</f>
        <v>OK</v>
      </c>
      <c r="P1069" s="8">
        <f>Table1[[#This Row],[original_price]]*Table1[[#This Row],[markdown_percentage]]/100</f>
        <v>0</v>
      </c>
      <c r="Q106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069" s="25">
        <f>Table1[[#This Row],[current_price]]*Table1[[#This Row],[stock_quantity]]</f>
        <v>4663.4399999999996</v>
      </c>
    </row>
    <row r="1070" spans="1:18" x14ac:dyDescent="0.25">
      <c r="A1070" s="2" t="s">
        <v>1123</v>
      </c>
      <c r="B1070" s="2" t="s">
        <v>21</v>
      </c>
      <c r="C1070" s="2" t="s">
        <v>32</v>
      </c>
      <c r="D1070" s="2" t="s">
        <v>23</v>
      </c>
      <c r="E1070" s="2" t="s">
        <v>58</v>
      </c>
      <c r="F1070" s="2" t="s">
        <v>35</v>
      </c>
      <c r="G1070" s="8">
        <v>119.29</v>
      </c>
      <c r="H1070" s="11">
        <v>0</v>
      </c>
      <c r="I1070" s="8">
        <v>119.29</v>
      </c>
      <c r="J1070" s="3">
        <v>45875</v>
      </c>
      <c r="K1070" s="14">
        <v>3</v>
      </c>
      <c r="L1070" s="17"/>
      <c r="M1070" s="2" t="b">
        <v>0</v>
      </c>
      <c r="N1070" s="2"/>
      <c r="O1070" s="2" t="str">
        <f>IF(Table1[[#This Row],[is_returned]]=TRUE,IF(Table1[[#This Row],[return_reason]]="","Error","OK"),"OK")</f>
        <v>OK</v>
      </c>
      <c r="P1070" s="8">
        <f>Table1[[#This Row],[original_price]]*Table1[[#This Row],[markdown_percentage]]/100</f>
        <v>0</v>
      </c>
      <c r="Q107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070" s="25">
        <f>Table1[[#This Row],[current_price]]*Table1[[#This Row],[stock_quantity]]</f>
        <v>357.87</v>
      </c>
    </row>
    <row r="1071" spans="1:18" x14ac:dyDescent="0.25">
      <c r="A1071" s="2" t="s">
        <v>1124</v>
      </c>
      <c r="B1071" s="2" t="s">
        <v>21</v>
      </c>
      <c r="C1071" s="2" t="s">
        <v>43</v>
      </c>
      <c r="D1071" s="2" t="s">
        <v>17</v>
      </c>
      <c r="E1071" s="2" t="s">
        <v>58</v>
      </c>
      <c r="F1071" s="2" t="s">
        <v>64</v>
      </c>
      <c r="G1071" s="8">
        <v>104.09</v>
      </c>
      <c r="H1071" s="11">
        <v>0</v>
      </c>
      <c r="I1071" s="8">
        <v>104.09</v>
      </c>
      <c r="J1071" s="3">
        <v>45647</v>
      </c>
      <c r="K1071" s="14">
        <v>29</v>
      </c>
      <c r="L1071" s="17"/>
      <c r="M1071" s="2" t="b">
        <v>0</v>
      </c>
      <c r="N1071" s="2"/>
      <c r="O1071" s="2" t="str">
        <f>IF(Table1[[#This Row],[is_returned]]=TRUE,IF(Table1[[#This Row],[return_reason]]="","Error","OK"),"OK")</f>
        <v>OK</v>
      </c>
      <c r="P1071" s="8">
        <f>Table1[[#This Row],[original_price]]*Table1[[#This Row],[markdown_percentage]]/100</f>
        <v>0</v>
      </c>
      <c r="Q107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071" s="25">
        <f>Table1[[#This Row],[current_price]]*Table1[[#This Row],[stock_quantity]]</f>
        <v>3018.61</v>
      </c>
    </row>
    <row r="1072" spans="1:18" x14ac:dyDescent="0.25">
      <c r="A1072" s="2" t="s">
        <v>1125</v>
      </c>
      <c r="B1072" s="2" t="s">
        <v>42</v>
      </c>
      <c r="C1072" s="2" t="s">
        <v>32</v>
      </c>
      <c r="D1072" s="2" t="s">
        <v>34</v>
      </c>
      <c r="E1072" s="2"/>
      <c r="F1072" s="2" t="s">
        <v>25</v>
      </c>
      <c r="G1072" s="8">
        <v>73.069999999999993</v>
      </c>
      <c r="H1072" s="11">
        <v>0</v>
      </c>
      <c r="I1072" s="8">
        <v>73.069999999999993</v>
      </c>
      <c r="J1072" s="3">
        <v>45875</v>
      </c>
      <c r="K1072" s="14">
        <v>5</v>
      </c>
      <c r="L1072" s="17">
        <v>4.2</v>
      </c>
      <c r="M1072" s="2" t="b">
        <v>0</v>
      </c>
      <c r="N1072" s="2"/>
      <c r="O1072" s="2" t="str">
        <f>IF(Table1[[#This Row],[is_returned]]=TRUE,IF(Table1[[#This Row],[return_reason]]="","Error","OK"),"OK")</f>
        <v>OK</v>
      </c>
      <c r="P1072" s="8">
        <f>Table1[[#This Row],[original_price]]*Table1[[#This Row],[markdown_percentage]]/100</f>
        <v>0</v>
      </c>
      <c r="Q107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072" s="25">
        <f>Table1[[#This Row],[current_price]]*Table1[[#This Row],[stock_quantity]]</f>
        <v>365.34999999999997</v>
      </c>
    </row>
    <row r="1073" spans="1:18" x14ac:dyDescent="0.25">
      <c r="A1073" s="2" t="s">
        <v>1126</v>
      </c>
      <c r="B1073" s="2" t="s">
        <v>38</v>
      </c>
      <c r="C1073" s="2" t="s">
        <v>16</v>
      </c>
      <c r="D1073" s="2" t="s">
        <v>34</v>
      </c>
      <c r="E1073" s="2" t="s">
        <v>49</v>
      </c>
      <c r="F1073" s="2" t="s">
        <v>46</v>
      </c>
      <c r="G1073" s="8">
        <v>76.94</v>
      </c>
      <c r="H1073" s="11">
        <v>7.6</v>
      </c>
      <c r="I1073" s="8">
        <v>71.09</v>
      </c>
      <c r="J1073" s="3">
        <v>45875</v>
      </c>
      <c r="K1073" s="14">
        <v>20</v>
      </c>
      <c r="L1073" s="17">
        <v>3.7</v>
      </c>
      <c r="M1073" s="2" t="b">
        <v>0</v>
      </c>
      <c r="N1073" s="2"/>
      <c r="O1073" s="2" t="str">
        <f>IF(Table1[[#This Row],[is_returned]]=TRUE,IF(Table1[[#This Row],[return_reason]]="","Error","OK"),"OK")</f>
        <v>OK</v>
      </c>
      <c r="P1073" s="8">
        <f>Table1[[#This Row],[original_price]]*Table1[[#This Row],[markdown_percentage]]/100</f>
        <v>5.8474399999999989</v>
      </c>
      <c r="Q107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073" s="25">
        <f>Table1[[#This Row],[current_price]]*Table1[[#This Row],[stock_quantity]]</f>
        <v>1421.8000000000002</v>
      </c>
    </row>
    <row r="1074" spans="1:18" x14ac:dyDescent="0.25">
      <c r="A1074" s="2" t="s">
        <v>1127</v>
      </c>
      <c r="B1074" s="2" t="s">
        <v>38</v>
      </c>
      <c r="C1074" s="2" t="s">
        <v>75</v>
      </c>
      <c r="D1074" s="2" t="s">
        <v>23</v>
      </c>
      <c r="E1074" s="2" t="s">
        <v>18</v>
      </c>
      <c r="F1074" s="2" t="s">
        <v>56</v>
      </c>
      <c r="G1074" s="8">
        <v>119.92</v>
      </c>
      <c r="H1074" s="11">
        <v>0</v>
      </c>
      <c r="I1074" s="8">
        <v>119.92</v>
      </c>
      <c r="J1074" s="3">
        <v>45875</v>
      </c>
      <c r="K1074" s="14">
        <v>37</v>
      </c>
      <c r="L1074" s="17">
        <v>5</v>
      </c>
      <c r="M1074" s="2" t="b">
        <v>0</v>
      </c>
      <c r="N1074" s="2"/>
      <c r="O1074" s="2" t="str">
        <f>IF(Table1[[#This Row],[is_returned]]=TRUE,IF(Table1[[#This Row],[return_reason]]="","Error","OK"),"OK")</f>
        <v>OK</v>
      </c>
      <c r="P1074" s="8">
        <f>Table1[[#This Row],[original_price]]*Table1[[#This Row],[markdown_percentage]]/100</f>
        <v>0</v>
      </c>
      <c r="Q107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074" s="25">
        <f>Table1[[#This Row],[current_price]]*Table1[[#This Row],[stock_quantity]]</f>
        <v>4437.04</v>
      </c>
    </row>
    <row r="1075" spans="1:18" x14ac:dyDescent="0.25">
      <c r="A1075" s="2" t="s">
        <v>1128</v>
      </c>
      <c r="B1075" s="2" t="s">
        <v>15</v>
      </c>
      <c r="C1075" s="2" t="s">
        <v>53</v>
      </c>
      <c r="D1075" s="2" t="s">
        <v>23</v>
      </c>
      <c r="E1075" s="2" t="s">
        <v>55</v>
      </c>
      <c r="F1075" s="2" t="s">
        <v>35</v>
      </c>
      <c r="G1075" s="8">
        <v>116.49</v>
      </c>
      <c r="H1075" s="11">
        <v>0</v>
      </c>
      <c r="I1075" s="8">
        <v>116.49</v>
      </c>
      <c r="J1075" s="3">
        <v>45875</v>
      </c>
      <c r="K1075" s="14">
        <v>17</v>
      </c>
      <c r="L1075" s="17">
        <v>3.3</v>
      </c>
      <c r="M1075" s="2" t="b">
        <v>1</v>
      </c>
      <c r="N1075" s="2" t="s">
        <v>78</v>
      </c>
      <c r="O1075" s="2" t="str">
        <f>IF(Table1[[#This Row],[is_returned]]=TRUE,IF(Table1[[#This Row],[return_reason]]="","Error","OK"),"OK")</f>
        <v>OK</v>
      </c>
      <c r="P1075" s="8">
        <f>Table1[[#This Row],[original_price]]*Table1[[#This Row],[markdown_percentage]]/100</f>
        <v>0</v>
      </c>
      <c r="Q107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075" s="25">
        <f>Table1[[#This Row],[current_price]]*Table1[[#This Row],[stock_quantity]]</f>
        <v>1980.33</v>
      </c>
    </row>
    <row r="1076" spans="1:18" x14ac:dyDescent="0.25">
      <c r="A1076" s="2" t="s">
        <v>1129</v>
      </c>
      <c r="B1076" s="2" t="s">
        <v>30</v>
      </c>
      <c r="C1076" s="2" t="s">
        <v>61</v>
      </c>
      <c r="D1076" s="2" t="s">
        <v>34</v>
      </c>
      <c r="E1076" s="2" t="s">
        <v>18</v>
      </c>
      <c r="F1076" s="2" t="s">
        <v>25</v>
      </c>
      <c r="G1076" s="8">
        <v>179.59</v>
      </c>
      <c r="H1076" s="11">
        <v>14.7</v>
      </c>
      <c r="I1076" s="8">
        <v>153.19</v>
      </c>
      <c r="J1076" s="3">
        <v>45875</v>
      </c>
      <c r="K1076" s="14">
        <v>47</v>
      </c>
      <c r="L1076" s="17">
        <v>2.9</v>
      </c>
      <c r="M1076" s="2" t="b">
        <v>0</v>
      </c>
      <c r="N1076" s="2"/>
      <c r="O1076" s="2" t="str">
        <f>IF(Table1[[#This Row],[is_returned]]=TRUE,IF(Table1[[#This Row],[return_reason]]="","Error","OK"),"OK")</f>
        <v>OK</v>
      </c>
      <c r="P1076" s="8">
        <f>Table1[[#This Row],[original_price]]*Table1[[#This Row],[markdown_percentage]]/100</f>
        <v>26.399729999999998</v>
      </c>
      <c r="Q107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076" s="25">
        <f>Table1[[#This Row],[current_price]]*Table1[[#This Row],[stock_quantity]]</f>
        <v>7199.93</v>
      </c>
    </row>
    <row r="1077" spans="1:18" x14ac:dyDescent="0.25">
      <c r="A1077" s="2" t="s">
        <v>1130</v>
      </c>
      <c r="B1077" s="2" t="s">
        <v>27</v>
      </c>
      <c r="C1077" s="2" t="s">
        <v>22</v>
      </c>
      <c r="D1077" s="2" t="s">
        <v>23</v>
      </c>
      <c r="E1077" s="2"/>
      <c r="F1077" s="2" t="s">
        <v>28</v>
      </c>
      <c r="G1077" s="8">
        <v>33.799999999999997</v>
      </c>
      <c r="H1077" s="11">
        <v>0</v>
      </c>
      <c r="I1077" s="8">
        <v>33.799999999999997</v>
      </c>
      <c r="J1077" s="3">
        <v>45875</v>
      </c>
      <c r="K1077" s="14">
        <v>34</v>
      </c>
      <c r="L1077" s="17">
        <v>4.8</v>
      </c>
      <c r="M1077" s="2" t="b">
        <v>0</v>
      </c>
      <c r="N1077" s="2"/>
      <c r="O1077" s="2" t="str">
        <f>IF(Table1[[#This Row],[is_returned]]=TRUE,IF(Table1[[#This Row],[return_reason]]="","Error","OK"),"OK")</f>
        <v>OK</v>
      </c>
      <c r="P1077" s="8">
        <f>Table1[[#This Row],[original_price]]*Table1[[#This Row],[markdown_percentage]]/100</f>
        <v>0</v>
      </c>
      <c r="Q107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077" s="25">
        <f>Table1[[#This Row],[current_price]]*Table1[[#This Row],[stock_quantity]]</f>
        <v>1149.1999999999998</v>
      </c>
    </row>
    <row r="1078" spans="1:18" x14ac:dyDescent="0.25">
      <c r="A1078" s="2" t="s">
        <v>1131</v>
      </c>
      <c r="B1078" s="2" t="s">
        <v>21</v>
      </c>
      <c r="C1078" s="2" t="s">
        <v>22</v>
      </c>
      <c r="D1078" s="2" t="s">
        <v>34</v>
      </c>
      <c r="E1078" s="2" t="s">
        <v>24</v>
      </c>
      <c r="F1078" s="2" t="s">
        <v>56</v>
      </c>
      <c r="G1078" s="8">
        <v>41.57</v>
      </c>
      <c r="H1078" s="11">
        <v>3.3</v>
      </c>
      <c r="I1078" s="8">
        <v>40.200000000000003</v>
      </c>
      <c r="J1078" s="3">
        <v>45875</v>
      </c>
      <c r="K1078" s="14">
        <v>5</v>
      </c>
      <c r="L1078" s="17">
        <v>2.9</v>
      </c>
      <c r="M1078" s="2" t="b">
        <v>0</v>
      </c>
      <c r="N1078" s="2"/>
      <c r="O1078" s="2" t="str">
        <f>IF(Table1[[#This Row],[is_returned]]=TRUE,IF(Table1[[#This Row],[return_reason]]="","Error","OK"),"OK")</f>
        <v>OK</v>
      </c>
      <c r="P1078" s="8">
        <f>Table1[[#This Row],[original_price]]*Table1[[#This Row],[markdown_percentage]]/100</f>
        <v>1.3718099999999998</v>
      </c>
      <c r="Q107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078" s="25">
        <f>Table1[[#This Row],[current_price]]*Table1[[#This Row],[stock_quantity]]</f>
        <v>201</v>
      </c>
    </row>
    <row r="1079" spans="1:18" x14ac:dyDescent="0.25">
      <c r="A1079" s="2" t="s">
        <v>1132</v>
      </c>
      <c r="B1079" s="2" t="s">
        <v>30</v>
      </c>
      <c r="C1079" s="2" t="s">
        <v>75</v>
      </c>
      <c r="D1079" s="2" t="s">
        <v>17</v>
      </c>
      <c r="E1079" s="2" t="s">
        <v>18</v>
      </c>
      <c r="F1079" s="2" t="s">
        <v>66</v>
      </c>
      <c r="G1079" s="8">
        <v>139.1</v>
      </c>
      <c r="H1079" s="11">
        <v>47</v>
      </c>
      <c r="I1079" s="8">
        <v>73.72</v>
      </c>
      <c r="J1079" s="3">
        <v>45661</v>
      </c>
      <c r="K1079" s="14">
        <v>6</v>
      </c>
      <c r="L1079" s="17">
        <v>3.4</v>
      </c>
      <c r="M1079" s="2" t="b">
        <v>0</v>
      </c>
      <c r="N1079" s="2"/>
      <c r="O1079" s="2" t="str">
        <f>IF(Table1[[#This Row],[is_returned]]=TRUE,IF(Table1[[#This Row],[return_reason]]="","Error","OK"),"OK")</f>
        <v>OK</v>
      </c>
      <c r="P1079" s="8">
        <f>Table1[[#This Row],[original_price]]*Table1[[#This Row],[markdown_percentage]]/100</f>
        <v>65.376999999999995</v>
      </c>
      <c r="Q107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079" s="25">
        <f>Table1[[#This Row],[current_price]]*Table1[[#This Row],[stock_quantity]]</f>
        <v>442.32</v>
      </c>
    </row>
    <row r="1080" spans="1:18" x14ac:dyDescent="0.25">
      <c r="A1080" s="2" t="s">
        <v>1133</v>
      </c>
      <c r="B1080" s="2" t="s">
        <v>42</v>
      </c>
      <c r="C1080" s="2" t="s">
        <v>43</v>
      </c>
      <c r="D1080" s="2" t="s">
        <v>34</v>
      </c>
      <c r="E1080" s="2" t="s">
        <v>24</v>
      </c>
      <c r="F1080" s="2" t="s">
        <v>25</v>
      </c>
      <c r="G1080" s="8">
        <v>102.04</v>
      </c>
      <c r="H1080" s="11">
        <v>0</v>
      </c>
      <c r="I1080" s="8">
        <v>102.04</v>
      </c>
      <c r="J1080" s="3">
        <v>45875</v>
      </c>
      <c r="K1080" s="14">
        <v>34</v>
      </c>
      <c r="L1080" s="17">
        <v>3.4</v>
      </c>
      <c r="M1080" s="2" t="b">
        <v>0</v>
      </c>
      <c r="N1080" s="2"/>
      <c r="O1080" s="2" t="str">
        <f>IF(Table1[[#This Row],[is_returned]]=TRUE,IF(Table1[[#This Row],[return_reason]]="","Error","OK"),"OK")</f>
        <v>OK</v>
      </c>
      <c r="P1080" s="8">
        <f>Table1[[#This Row],[original_price]]*Table1[[#This Row],[markdown_percentage]]/100</f>
        <v>0</v>
      </c>
      <c r="Q108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080" s="25">
        <f>Table1[[#This Row],[current_price]]*Table1[[#This Row],[stock_quantity]]</f>
        <v>3469.36</v>
      </c>
    </row>
    <row r="1081" spans="1:18" x14ac:dyDescent="0.25">
      <c r="A1081" s="2" t="s">
        <v>1134</v>
      </c>
      <c r="B1081" s="2" t="s">
        <v>38</v>
      </c>
      <c r="C1081" s="2" t="s">
        <v>61</v>
      </c>
      <c r="D1081" s="2" t="s">
        <v>34</v>
      </c>
      <c r="E1081" s="2" t="s">
        <v>49</v>
      </c>
      <c r="F1081" s="2" t="s">
        <v>64</v>
      </c>
      <c r="G1081" s="8">
        <v>47.25</v>
      </c>
      <c r="H1081" s="11">
        <v>54.2</v>
      </c>
      <c r="I1081" s="8">
        <v>21.64</v>
      </c>
      <c r="J1081" s="3">
        <v>45875</v>
      </c>
      <c r="K1081" s="14">
        <v>4</v>
      </c>
      <c r="L1081" s="17">
        <v>4.9000000000000004</v>
      </c>
      <c r="M1081" s="2" t="b">
        <v>0</v>
      </c>
      <c r="N1081" s="2"/>
      <c r="O1081" s="2" t="str">
        <f>IF(Table1[[#This Row],[is_returned]]=TRUE,IF(Table1[[#This Row],[return_reason]]="","Error","OK"),"OK")</f>
        <v>OK</v>
      </c>
      <c r="P1081" s="8">
        <f>Table1[[#This Row],[original_price]]*Table1[[#This Row],[markdown_percentage]]/100</f>
        <v>25.609500000000004</v>
      </c>
      <c r="Q108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081" s="25">
        <f>Table1[[#This Row],[current_price]]*Table1[[#This Row],[stock_quantity]]</f>
        <v>86.56</v>
      </c>
    </row>
    <row r="1082" spans="1:18" x14ac:dyDescent="0.25">
      <c r="A1082" s="2" t="s">
        <v>1135</v>
      </c>
      <c r="B1082" s="2" t="s">
        <v>42</v>
      </c>
      <c r="C1082" s="2" t="s">
        <v>22</v>
      </c>
      <c r="D1082" s="2" t="s">
        <v>62</v>
      </c>
      <c r="E1082" s="2" t="s">
        <v>55</v>
      </c>
      <c r="F1082" s="2" t="s">
        <v>35</v>
      </c>
      <c r="G1082" s="8">
        <v>55.08</v>
      </c>
      <c r="H1082" s="11">
        <v>0</v>
      </c>
      <c r="I1082" s="8">
        <v>55.08</v>
      </c>
      <c r="J1082" s="3">
        <v>45875</v>
      </c>
      <c r="K1082" s="14">
        <v>48</v>
      </c>
      <c r="L1082" s="17">
        <v>4.0999999999999996</v>
      </c>
      <c r="M1082" s="2" t="b">
        <v>0</v>
      </c>
      <c r="N1082" s="2"/>
      <c r="O1082" s="2" t="str">
        <f>IF(Table1[[#This Row],[is_returned]]=TRUE,IF(Table1[[#This Row],[return_reason]]="","Error","OK"),"OK")</f>
        <v>OK</v>
      </c>
      <c r="P1082" s="8">
        <f>Table1[[#This Row],[original_price]]*Table1[[#This Row],[markdown_percentage]]/100</f>
        <v>0</v>
      </c>
      <c r="Q108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082" s="25">
        <f>Table1[[#This Row],[current_price]]*Table1[[#This Row],[stock_quantity]]</f>
        <v>2643.84</v>
      </c>
    </row>
    <row r="1083" spans="1:18" x14ac:dyDescent="0.25">
      <c r="A1083" s="2" t="s">
        <v>1136</v>
      </c>
      <c r="B1083" s="2" t="s">
        <v>15</v>
      </c>
      <c r="C1083" s="2" t="s">
        <v>75</v>
      </c>
      <c r="D1083" s="2" t="s">
        <v>23</v>
      </c>
      <c r="E1083" s="2" t="s">
        <v>24</v>
      </c>
      <c r="F1083" s="2" t="s">
        <v>46</v>
      </c>
      <c r="G1083" s="8">
        <v>88.32</v>
      </c>
      <c r="H1083" s="11">
        <v>54.8</v>
      </c>
      <c r="I1083" s="8">
        <v>39.92</v>
      </c>
      <c r="J1083" s="3">
        <v>45875</v>
      </c>
      <c r="K1083" s="14">
        <v>36</v>
      </c>
      <c r="L1083" s="17">
        <v>3.1</v>
      </c>
      <c r="M1083" s="2" t="b">
        <v>0</v>
      </c>
      <c r="N1083" s="2"/>
      <c r="O1083" s="2" t="str">
        <f>IF(Table1[[#This Row],[is_returned]]=TRUE,IF(Table1[[#This Row],[return_reason]]="","Error","OK"),"OK")</f>
        <v>OK</v>
      </c>
      <c r="P1083" s="8">
        <f>Table1[[#This Row],[original_price]]*Table1[[#This Row],[markdown_percentage]]/100</f>
        <v>48.399359999999994</v>
      </c>
      <c r="Q108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083" s="25">
        <f>Table1[[#This Row],[current_price]]*Table1[[#This Row],[stock_quantity]]</f>
        <v>1437.1200000000001</v>
      </c>
    </row>
    <row r="1084" spans="1:18" x14ac:dyDescent="0.25">
      <c r="A1084" s="2" t="s">
        <v>1137</v>
      </c>
      <c r="B1084" s="2" t="s">
        <v>38</v>
      </c>
      <c r="C1084" s="2" t="s">
        <v>43</v>
      </c>
      <c r="D1084" s="2" t="s">
        <v>34</v>
      </c>
      <c r="E1084" s="2" t="s">
        <v>58</v>
      </c>
      <c r="F1084" s="2" t="s">
        <v>19</v>
      </c>
      <c r="G1084" s="8">
        <v>74.900000000000006</v>
      </c>
      <c r="H1084" s="11">
        <v>16.8</v>
      </c>
      <c r="I1084" s="8">
        <v>62.32</v>
      </c>
      <c r="J1084" s="3">
        <v>45875</v>
      </c>
      <c r="K1084" s="14">
        <v>13</v>
      </c>
      <c r="L1084" s="17"/>
      <c r="M1084" s="2" t="b">
        <v>1</v>
      </c>
      <c r="N1084" s="2" t="s">
        <v>36</v>
      </c>
      <c r="O1084" s="2" t="str">
        <f>IF(Table1[[#This Row],[is_returned]]=TRUE,IF(Table1[[#This Row],[return_reason]]="","Error","OK"),"OK")</f>
        <v>OK</v>
      </c>
      <c r="P1084" s="8">
        <f>Table1[[#This Row],[original_price]]*Table1[[#This Row],[markdown_percentage]]/100</f>
        <v>12.583200000000001</v>
      </c>
      <c r="Q108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084" s="25">
        <f>Table1[[#This Row],[current_price]]*Table1[[#This Row],[stock_quantity]]</f>
        <v>810.16</v>
      </c>
    </row>
    <row r="1085" spans="1:18" x14ac:dyDescent="0.25">
      <c r="A1085" s="2" t="s">
        <v>1138</v>
      </c>
      <c r="B1085" s="2" t="s">
        <v>38</v>
      </c>
      <c r="C1085" s="2" t="s">
        <v>43</v>
      </c>
      <c r="D1085" s="2" t="s">
        <v>23</v>
      </c>
      <c r="E1085" s="2" t="s">
        <v>58</v>
      </c>
      <c r="F1085" s="2" t="s">
        <v>35</v>
      </c>
      <c r="G1085" s="8">
        <v>69.88</v>
      </c>
      <c r="H1085" s="11">
        <v>57.4</v>
      </c>
      <c r="I1085" s="8">
        <v>29.77</v>
      </c>
      <c r="J1085" s="3">
        <v>45875</v>
      </c>
      <c r="K1085" s="14">
        <v>30</v>
      </c>
      <c r="L1085" s="17">
        <v>4.2</v>
      </c>
      <c r="M1085" s="2" t="b">
        <v>0</v>
      </c>
      <c r="N1085" s="2"/>
      <c r="O1085" s="2" t="str">
        <f>IF(Table1[[#This Row],[is_returned]]=TRUE,IF(Table1[[#This Row],[return_reason]]="","Error","OK"),"OK")</f>
        <v>OK</v>
      </c>
      <c r="P1085" s="8">
        <f>Table1[[#This Row],[original_price]]*Table1[[#This Row],[markdown_percentage]]/100</f>
        <v>40.11112</v>
      </c>
      <c r="Q108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085" s="25">
        <f>Table1[[#This Row],[current_price]]*Table1[[#This Row],[stock_quantity]]</f>
        <v>893.1</v>
      </c>
    </row>
    <row r="1086" spans="1:18" x14ac:dyDescent="0.25">
      <c r="A1086" s="2" t="s">
        <v>1139</v>
      </c>
      <c r="B1086" s="2" t="s">
        <v>30</v>
      </c>
      <c r="C1086" s="2" t="s">
        <v>22</v>
      </c>
      <c r="D1086" s="2" t="s">
        <v>34</v>
      </c>
      <c r="E1086" s="2" t="s">
        <v>39</v>
      </c>
      <c r="F1086" s="2" t="s">
        <v>40</v>
      </c>
      <c r="G1086" s="8">
        <v>142.83000000000001</v>
      </c>
      <c r="H1086" s="11">
        <v>0</v>
      </c>
      <c r="I1086" s="8">
        <v>142.83000000000001</v>
      </c>
      <c r="J1086" s="3">
        <v>45875</v>
      </c>
      <c r="K1086" s="14">
        <v>25</v>
      </c>
      <c r="L1086" s="17">
        <v>3.5</v>
      </c>
      <c r="M1086" s="2" t="b">
        <v>0</v>
      </c>
      <c r="N1086" s="2"/>
      <c r="O1086" s="2" t="str">
        <f>IF(Table1[[#This Row],[is_returned]]=TRUE,IF(Table1[[#This Row],[return_reason]]="","Error","OK"),"OK")</f>
        <v>OK</v>
      </c>
      <c r="P1086" s="8">
        <f>Table1[[#This Row],[original_price]]*Table1[[#This Row],[markdown_percentage]]/100</f>
        <v>0</v>
      </c>
      <c r="Q108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086" s="25">
        <f>Table1[[#This Row],[current_price]]*Table1[[#This Row],[stock_quantity]]</f>
        <v>3570.7500000000005</v>
      </c>
    </row>
    <row r="1087" spans="1:18" x14ac:dyDescent="0.25">
      <c r="A1087" s="2" t="s">
        <v>1140</v>
      </c>
      <c r="B1087" s="2" t="s">
        <v>30</v>
      </c>
      <c r="C1087" s="2" t="s">
        <v>16</v>
      </c>
      <c r="D1087" s="2" t="s">
        <v>34</v>
      </c>
      <c r="E1087" s="2"/>
      <c r="F1087" s="2" t="s">
        <v>66</v>
      </c>
      <c r="G1087" s="8">
        <v>140.16999999999999</v>
      </c>
      <c r="H1087" s="11">
        <v>0</v>
      </c>
      <c r="I1087" s="8">
        <v>140.16999999999999</v>
      </c>
      <c r="J1087" s="3">
        <v>45875</v>
      </c>
      <c r="K1087" s="14">
        <v>43</v>
      </c>
      <c r="L1087" s="17">
        <v>3.1</v>
      </c>
      <c r="M1087" s="2" t="b">
        <v>0</v>
      </c>
      <c r="N1087" s="2"/>
      <c r="O1087" s="2" t="str">
        <f>IF(Table1[[#This Row],[is_returned]]=TRUE,IF(Table1[[#This Row],[return_reason]]="","Error","OK"),"OK")</f>
        <v>OK</v>
      </c>
      <c r="P1087" s="8">
        <f>Table1[[#This Row],[original_price]]*Table1[[#This Row],[markdown_percentage]]/100</f>
        <v>0</v>
      </c>
      <c r="Q108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087" s="25">
        <f>Table1[[#This Row],[current_price]]*Table1[[#This Row],[stock_quantity]]</f>
        <v>6027.3099999999995</v>
      </c>
    </row>
    <row r="1088" spans="1:18" x14ac:dyDescent="0.25">
      <c r="A1088" s="2" t="s">
        <v>1141</v>
      </c>
      <c r="B1088" s="2" t="s">
        <v>21</v>
      </c>
      <c r="C1088" s="2" t="s">
        <v>61</v>
      </c>
      <c r="D1088" s="2" t="s">
        <v>23</v>
      </c>
      <c r="E1088" s="2" t="s">
        <v>58</v>
      </c>
      <c r="F1088" s="2" t="s">
        <v>70</v>
      </c>
      <c r="G1088" s="8">
        <v>106.11</v>
      </c>
      <c r="H1088" s="11">
        <v>33.799999999999997</v>
      </c>
      <c r="I1088" s="8">
        <v>70.239999999999995</v>
      </c>
      <c r="J1088" s="3">
        <v>45875</v>
      </c>
      <c r="K1088" s="14">
        <v>15</v>
      </c>
      <c r="L1088" s="17">
        <v>4.5</v>
      </c>
      <c r="M1088" s="2" t="b">
        <v>0</v>
      </c>
      <c r="N1088" s="2"/>
      <c r="O1088" s="2" t="str">
        <f>IF(Table1[[#This Row],[is_returned]]=TRUE,IF(Table1[[#This Row],[return_reason]]="","Error","OK"),"OK")</f>
        <v>OK</v>
      </c>
      <c r="P1088" s="8">
        <f>Table1[[#This Row],[original_price]]*Table1[[#This Row],[markdown_percentage]]/100</f>
        <v>35.865179999999995</v>
      </c>
      <c r="Q108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088" s="25">
        <f>Table1[[#This Row],[current_price]]*Table1[[#This Row],[stock_quantity]]</f>
        <v>1053.5999999999999</v>
      </c>
    </row>
    <row r="1089" spans="1:18" x14ac:dyDescent="0.25">
      <c r="A1089" s="2" t="s">
        <v>1142</v>
      </c>
      <c r="B1089" s="2" t="s">
        <v>42</v>
      </c>
      <c r="C1089" s="2" t="s">
        <v>48</v>
      </c>
      <c r="D1089" s="2" t="s">
        <v>62</v>
      </c>
      <c r="E1089" s="2" t="s">
        <v>55</v>
      </c>
      <c r="F1089" s="2" t="s">
        <v>25</v>
      </c>
      <c r="G1089" s="8">
        <v>53.23</v>
      </c>
      <c r="H1089" s="11">
        <v>0</v>
      </c>
      <c r="I1089" s="8">
        <v>53.23</v>
      </c>
      <c r="J1089" s="3">
        <v>45875</v>
      </c>
      <c r="K1089" s="14">
        <v>41</v>
      </c>
      <c r="L1089" s="17">
        <v>2.8</v>
      </c>
      <c r="M1089" s="2" t="b">
        <v>1</v>
      </c>
      <c r="N1089" s="2" t="s">
        <v>36</v>
      </c>
      <c r="O1089" s="2" t="str">
        <f>IF(Table1[[#This Row],[is_returned]]=TRUE,IF(Table1[[#This Row],[return_reason]]="","Error","OK"),"OK")</f>
        <v>OK</v>
      </c>
      <c r="P1089" s="8">
        <f>Table1[[#This Row],[original_price]]*Table1[[#This Row],[markdown_percentage]]/100</f>
        <v>0</v>
      </c>
      <c r="Q108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089" s="25">
        <f>Table1[[#This Row],[current_price]]*Table1[[#This Row],[stock_quantity]]</f>
        <v>2182.4299999999998</v>
      </c>
    </row>
    <row r="1090" spans="1:18" x14ac:dyDescent="0.25">
      <c r="A1090" s="2" t="s">
        <v>1143</v>
      </c>
      <c r="B1090" s="2" t="s">
        <v>15</v>
      </c>
      <c r="C1090" s="2" t="s">
        <v>32</v>
      </c>
      <c r="D1090" s="2" t="s">
        <v>17</v>
      </c>
      <c r="E1090" s="2" t="s">
        <v>49</v>
      </c>
      <c r="F1090" s="2" t="s">
        <v>28</v>
      </c>
      <c r="G1090" s="8">
        <v>92.25</v>
      </c>
      <c r="H1090" s="11">
        <v>0</v>
      </c>
      <c r="I1090" s="8">
        <v>92.25</v>
      </c>
      <c r="J1090" s="3">
        <v>45805</v>
      </c>
      <c r="K1090" s="14">
        <v>22</v>
      </c>
      <c r="L1090" s="17">
        <v>3.3</v>
      </c>
      <c r="M1090" s="2" t="b">
        <v>1</v>
      </c>
      <c r="N1090" s="2" t="s">
        <v>125</v>
      </c>
      <c r="O1090" s="2" t="str">
        <f>IF(Table1[[#This Row],[is_returned]]=TRUE,IF(Table1[[#This Row],[return_reason]]="","Error","OK"),"OK")</f>
        <v>OK</v>
      </c>
      <c r="P1090" s="8">
        <f>Table1[[#This Row],[original_price]]*Table1[[#This Row],[markdown_percentage]]/100</f>
        <v>0</v>
      </c>
      <c r="Q109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090" s="25">
        <f>Table1[[#This Row],[current_price]]*Table1[[#This Row],[stock_quantity]]</f>
        <v>2029.5</v>
      </c>
    </row>
    <row r="1091" spans="1:18" x14ac:dyDescent="0.25">
      <c r="A1091" s="2" t="s">
        <v>1144</v>
      </c>
      <c r="B1091" s="2" t="s">
        <v>27</v>
      </c>
      <c r="C1091" s="2" t="s">
        <v>53</v>
      </c>
      <c r="D1091" s="2" t="s">
        <v>62</v>
      </c>
      <c r="E1091" s="2"/>
      <c r="F1091" s="2" t="s">
        <v>70</v>
      </c>
      <c r="G1091" s="8">
        <v>39.17</v>
      </c>
      <c r="H1091" s="11">
        <v>0</v>
      </c>
      <c r="I1091" s="8">
        <v>39.17</v>
      </c>
      <c r="J1091" s="3">
        <v>45875</v>
      </c>
      <c r="K1091" s="14">
        <v>4</v>
      </c>
      <c r="L1091" s="17">
        <v>3.5</v>
      </c>
      <c r="M1091" s="2" t="b">
        <v>1</v>
      </c>
      <c r="N1091" s="2" t="s">
        <v>36</v>
      </c>
      <c r="O1091" s="2" t="str">
        <f>IF(Table1[[#This Row],[is_returned]]=TRUE,IF(Table1[[#This Row],[return_reason]]="","Error","OK"),"OK")</f>
        <v>OK</v>
      </c>
      <c r="P1091" s="8">
        <f>Table1[[#This Row],[original_price]]*Table1[[#This Row],[markdown_percentage]]/100</f>
        <v>0</v>
      </c>
      <c r="Q109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091" s="25">
        <f>Table1[[#This Row],[current_price]]*Table1[[#This Row],[stock_quantity]]</f>
        <v>156.68</v>
      </c>
    </row>
    <row r="1092" spans="1:18" x14ac:dyDescent="0.25">
      <c r="A1092" s="2" t="s">
        <v>1145</v>
      </c>
      <c r="B1092" s="2" t="s">
        <v>27</v>
      </c>
      <c r="C1092" s="2" t="s">
        <v>61</v>
      </c>
      <c r="D1092" s="2" t="s">
        <v>17</v>
      </c>
      <c r="E1092" s="2"/>
      <c r="F1092" s="2" t="s">
        <v>35</v>
      </c>
      <c r="G1092" s="8">
        <v>72.83</v>
      </c>
      <c r="H1092" s="11">
        <v>0</v>
      </c>
      <c r="I1092" s="8">
        <v>72.83</v>
      </c>
      <c r="J1092" s="3">
        <v>45622</v>
      </c>
      <c r="K1092" s="14">
        <v>6</v>
      </c>
      <c r="L1092" s="17">
        <v>2</v>
      </c>
      <c r="M1092" s="2" t="b">
        <v>0</v>
      </c>
      <c r="N1092" s="2"/>
      <c r="O1092" s="2" t="str">
        <f>IF(Table1[[#This Row],[is_returned]]=TRUE,IF(Table1[[#This Row],[return_reason]]="","Error","OK"),"OK")</f>
        <v>OK</v>
      </c>
      <c r="P1092" s="8">
        <f>Table1[[#This Row],[original_price]]*Table1[[#This Row],[markdown_percentage]]/100</f>
        <v>0</v>
      </c>
      <c r="Q109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092" s="25">
        <f>Table1[[#This Row],[current_price]]*Table1[[#This Row],[stock_quantity]]</f>
        <v>436.98</v>
      </c>
    </row>
    <row r="1093" spans="1:18" x14ac:dyDescent="0.25">
      <c r="A1093" s="2" t="s">
        <v>1146</v>
      </c>
      <c r="B1093" s="2" t="s">
        <v>38</v>
      </c>
      <c r="C1093" s="2" t="s">
        <v>75</v>
      </c>
      <c r="D1093" s="2" t="s">
        <v>23</v>
      </c>
      <c r="E1093" s="2" t="s">
        <v>39</v>
      </c>
      <c r="F1093" s="2" t="s">
        <v>70</v>
      </c>
      <c r="G1093" s="8">
        <v>29.73</v>
      </c>
      <c r="H1093" s="11">
        <v>28.7</v>
      </c>
      <c r="I1093" s="8">
        <v>21.2</v>
      </c>
      <c r="J1093" s="3">
        <v>45875</v>
      </c>
      <c r="K1093" s="14">
        <v>37</v>
      </c>
      <c r="L1093" s="17">
        <v>2.5</v>
      </c>
      <c r="M1093" s="2" t="b">
        <v>0</v>
      </c>
      <c r="N1093" s="2"/>
      <c r="O1093" s="2" t="str">
        <f>IF(Table1[[#This Row],[is_returned]]=TRUE,IF(Table1[[#This Row],[return_reason]]="","Error","OK"),"OK")</f>
        <v>OK</v>
      </c>
      <c r="P1093" s="8">
        <f>Table1[[#This Row],[original_price]]*Table1[[#This Row],[markdown_percentage]]/100</f>
        <v>8.5325100000000003</v>
      </c>
      <c r="Q109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093" s="25">
        <f>Table1[[#This Row],[current_price]]*Table1[[#This Row],[stock_quantity]]</f>
        <v>784.4</v>
      </c>
    </row>
    <row r="1094" spans="1:18" x14ac:dyDescent="0.25">
      <c r="A1094" s="2" t="s">
        <v>1147</v>
      </c>
      <c r="B1094" s="2" t="s">
        <v>42</v>
      </c>
      <c r="C1094" s="2" t="s">
        <v>43</v>
      </c>
      <c r="D1094" s="2" t="s">
        <v>23</v>
      </c>
      <c r="E1094" s="2" t="s">
        <v>18</v>
      </c>
      <c r="F1094" s="2" t="s">
        <v>28</v>
      </c>
      <c r="G1094" s="8">
        <v>144.1</v>
      </c>
      <c r="H1094" s="11">
        <v>0</v>
      </c>
      <c r="I1094" s="8">
        <v>144.1</v>
      </c>
      <c r="J1094" s="3">
        <v>45875</v>
      </c>
      <c r="K1094" s="14">
        <v>36</v>
      </c>
      <c r="L1094" s="17">
        <v>2.5</v>
      </c>
      <c r="M1094" s="2" t="b">
        <v>0</v>
      </c>
      <c r="N1094" s="2"/>
      <c r="O1094" s="2" t="str">
        <f>IF(Table1[[#This Row],[is_returned]]=TRUE,IF(Table1[[#This Row],[return_reason]]="","Error","OK"),"OK")</f>
        <v>OK</v>
      </c>
      <c r="P1094" s="8">
        <f>Table1[[#This Row],[original_price]]*Table1[[#This Row],[markdown_percentage]]/100</f>
        <v>0</v>
      </c>
      <c r="Q109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094" s="25">
        <f>Table1[[#This Row],[current_price]]*Table1[[#This Row],[stock_quantity]]</f>
        <v>5187.5999999999995</v>
      </c>
    </row>
    <row r="1095" spans="1:18" x14ac:dyDescent="0.25">
      <c r="A1095" s="2" t="s">
        <v>1148</v>
      </c>
      <c r="B1095" s="2" t="s">
        <v>42</v>
      </c>
      <c r="C1095" s="2" t="s">
        <v>48</v>
      </c>
      <c r="D1095" s="2" t="s">
        <v>62</v>
      </c>
      <c r="E1095" s="2" t="s">
        <v>18</v>
      </c>
      <c r="F1095" s="2" t="s">
        <v>70</v>
      </c>
      <c r="G1095" s="8">
        <v>109.23</v>
      </c>
      <c r="H1095" s="11">
        <v>10.8</v>
      </c>
      <c r="I1095" s="8">
        <v>97.43</v>
      </c>
      <c r="J1095" s="3">
        <v>45875</v>
      </c>
      <c r="K1095" s="14">
        <v>38</v>
      </c>
      <c r="L1095" s="17">
        <v>3.3</v>
      </c>
      <c r="M1095" s="2" t="b">
        <v>0</v>
      </c>
      <c r="N1095" s="2"/>
      <c r="O1095" s="2" t="str">
        <f>IF(Table1[[#This Row],[is_returned]]=TRUE,IF(Table1[[#This Row],[return_reason]]="","Error","OK"),"OK")</f>
        <v>OK</v>
      </c>
      <c r="P1095" s="8">
        <f>Table1[[#This Row],[original_price]]*Table1[[#This Row],[markdown_percentage]]/100</f>
        <v>11.796840000000001</v>
      </c>
      <c r="Q109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095" s="25">
        <f>Table1[[#This Row],[current_price]]*Table1[[#This Row],[stock_quantity]]</f>
        <v>3702.34</v>
      </c>
    </row>
    <row r="1096" spans="1:18" x14ac:dyDescent="0.25">
      <c r="A1096" s="2" t="s">
        <v>1149</v>
      </c>
      <c r="B1096" s="2" t="s">
        <v>15</v>
      </c>
      <c r="C1096" s="2" t="s">
        <v>43</v>
      </c>
      <c r="D1096" s="2" t="s">
        <v>23</v>
      </c>
      <c r="E1096" s="2" t="s">
        <v>18</v>
      </c>
      <c r="F1096" s="2" t="s">
        <v>25</v>
      </c>
      <c r="G1096" s="8">
        <v>180.65</v>
      </c>
      <c r="H1096" s="11">
        <v>17.5</v>
      </c>
      <c r="I1096" s="8">
        <v>149.04</v>
      </c>
      <c r="J1096" s="3">
        <v>45875</v>
      </c>
      <c r="K1096" s="14">
        <v>41</v>
      </c>
      <c r="L1096" s="17">
        <v>1.4</v>
      </c>
      <c r="M1096" s="2" t="b">
        <v>0</v>
      </c>
      <c r="N1096" s="2"/>
      <c r="O1096" s="2" t="str">
        <f>IF(Table1[[#This Row],[is_returned]]=TRUE,IF(Table1[[#This Row],[return_reason]]="","Error","OK"),"OK")</f>
        <v>OK</v>
      </c>
      <c r="P1096" s="8">
        <f>Table1[[#This Row],[original_price]]*Table1[[#This Row],[markdown_percentage]]/100</f>
        <v>31.61375</v>
      </c>
      <c r="Q109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096" s="25">
        <f>Table1[[#This Row],[current_price]]*Table1[[#This Row],[stock_quantity]]</f>
        <v>6110.6399999999994</v>
      </c>
    </row>
    <row r="1097" spans="1:18" x14ac:dyDescent="0.25">
      <c r="A1097" s="2" t="s">
        <v>1150</v>
      </c>
      <c r="B1097" s="2" t="s">
        <v>15</v>
      </c>
      <c r="C1097" s="2" t="s">
        <v>32</v>
      </c>
      <c r="D1097" s="2" t="s">
        <v>17</v>
      </c>
      <c r="E1097" s="2" t="s">
        <v>58</v>
      </c>
      <c r="F1097" s="2" t="s">
        <v>46</v>
      </c>
      <c r="G1097" s="8">
        <v>129.24</v>
      </c>
      <c r="H1097" s="11">
        <v>46.2</v>
      </c>
      <c r="I1097" s="8">
        <v>69.53</v>
      </c>
      <c r="J1097" s="3">
        <v>45743</v>
      </c>
      <c r="K1097" s="14">
        <v>28</v>
      </c>
      <c r="L1097" s="17">
        <v>3.2</v>
      </c>
      <c r="M1097" s="2" t="b">
        <v>0</v>
      </c>
      <c r="N1097" s="2"/>
      <c r="O1097" s="2" t="str">
        <f>IF(Table1[[#This Row],[is_returned]]=TRUE,IF(Table1[[#This Row],[return_reason]]="","Error","OK"),"OK")</f>
        <v>OK</v>
      </c>
      <c r="P1097" s="8">
        <f>Table1[[#This Row],[original_price]]*Table1[[#This Row],[markdown_percentage]]/100</f>
        <v>59.708880000000008</v>
      </c>
      <c r="Q109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097" s="25">
        <f>Table1[[#This Row],[current_price]]*Table1[[#This Row],[stock_quantity]]</f>
        <v>1946.8400000000001</v>
      </c>
    </row>
    <row r="1098" spans="1:18" x14ac:dyDescent="0.25">
      <c r="A1098" s="2" t="s">
        <v>1151</v>
      </c>
      <c r="B1098" s="2" t="s">
        <v>30</v>
      </c>
      <c r="C1098" s="2" t="s">
        <v>61</v>
      </c>
      <c r="D1098" s="2" t="s">
        <v>62</v>
      </c>
      <c r="E1098" s="2" t="s">
        <v>55</v>
      </c>
      <c r="F1098" s="2" t="s">
        <v>44</v>
      </c>
      <c r="G1098" s="8">
        <v>195.67</v>
      </c>
      <c r="H1098" s="11">
        <v>47.1</v>
      </c>
      <c r="I1098" s="8">
        <v>103.51</v>
      </c>
      <c r="J1098" s="3">
        <v>45875</v>
      </c>
      <c r="K1098" s="14">
        <v>36</v>
      </c>
      <c r="L1098" s="17">
        <v>4</v>
      </c>
      <c r="M1098" s="2" t="b">
        <v>0</v>
      </c>
      <c r="N1098" s="2"/>
      <c r="O1098" s="2" t="str">
        <f>IF(Table1[[#This Row],[is_returned]]=TRUE,IF(Table1[[#This Row],[return_reason]]="","Error","OK"),"OK")</f>
        <v>OK</v>
      </c>
      <c r="P1098" s="8">
        <f>Table1[[#This Row],[original_price]]*Table1[[#This Row],[markdown_percentage]]/100</f>
        <v>92.160569999999993</v>
      </c>
      <c r="Q109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098" s="25">
        <f>Table1[[#This Row],[current_price]]*Table1[[#This Row],[stock_quantity]]</f>
        <v>3726.36</v>
      </c>
    </row>
    <row r="1099" spans="1:18" x14ac:dyDescent="0.25">
      <c r="A1099" s="2" t="s">
        <v>1152</v>
      </c>
      <c r="B1099" s="2" t="s">
        <v>27</v>
      </c>
      <c r="C1099" s="2" t="s">
        <v>32</v>
      </c>
      <c r="D1099" s="2" t="s">
        <v>23</v>
      </c>
      <c r="E1099" s="2"/>
      <c r="F1099" s="2" t="s">
        <v>64</v>
      </c>
      <c r="G1099" s="8">
        <v>65.64</v>
      </c>
      <c r="H1099" s="11">
        <v>20.7</v>
      </c>
      <c r="I1099" s="8">
        <v>52.05</v>
      </c>
      <c r="J1099" s="3">
        <v>45875</v>
      </c>
      <c r="K1099" s="14">
        <v>20</v>
      </c>
      <c r="L1099" s="17">
        <v>2.6</v>
      </c>
      <c r="M1099" s="2" t="b">
        <v>0</v>
      </c>
      <c r="N1099" s="2"/>
      <c r="O1099" s="2" t="str">
        <f>IF(Table1[[#This Row],[is_returned]]=TRUE,IF(Table1[[#This Row],[return_reason]]="","Error","OK"),"OK")</f>
        <v>OK</v>
      </c>
      <c r="P1099" s="8">
        <f>Table1[[#This Row],[original_price]]*Table1[[#This Row],[markdown_percentage]]/100</f>
        <v>13.587480000000001</v>
      </c>
      <c r="Q109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099" s="25">
        <f>Table1[[#This Row],[current_price]]*Table1[[#This Row],[stock_quantity]]</f>
        <v>1041</v>
      </c>
    </row>
    <row r="1100" spans="1:18" x14ac:dyDescent="0.25">
      <c r="A1100" s="2" t="s">
        <v>1153</v>
      </c>
      <c r="B1100" s="2" t="s">
        <v>38</v>
      </c>
      <c r="C1100" s="2" t="s">
        <v>48</v>
      </c>
      <c r="D1100" s="2" t="s">
        <v>17</v>
      </c>
      <c r="E1100" s="2" t="s">
        <v>55</v>
      </c>
      <c r="F1100" s="2" t="s">
        <v>66</v>
      </c>
      <c r="G1100" s="8">
        <v>113.18</v>
      </c>
      <c r="H1100" s="11">
        <v>0</v>
      </c>
      <c r="I1100" s="8">
        <v>113.18</v>
      </c>
      <c r="J1100" s="3">
        <v>45749</v>
      </c>
      <c r="K1100" s="14">
        <v>3</v>
      </c>
      <c r="L1100" s="17">
        <v>4.9000000000000004</v>
      </c>
      <c r="M1100" s="2" t="b">
        <v>0</v>
      </c>
      <c r="N1100" s="2"/>
      <c r="O1100" s="2" t="str">
        <f>IF(Table1[[#This Row],[is_returned]]=TRUE,IF(Table1[[#This Row],[return_reason]]="","Error","OK"),"OK")</f>
        <v>OK</v>
      </c>
      <c r="P1100" s="8">
        <f>Table1[[#This Row],[original_price]]*Table1[[#This Row],[markdown_percentage]]/100</f>
        <v>0</v>
      </c>
      <c r="Q110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100" s="25">
        <f>Table1[[#This Row],[current_price]]*Table1[[#This Row],[stock_quantity]]</f>
        <v>339.54</v>
      </c>
    </row>
    <row r="1101" spans="1:18" x14ac:dyDescent="0.25">
      <c r="A1101" s="2" t="s">
        <v>1154</v>
      </c>
      <c r="B1101" s="2" t="s">
        <v>30</v>
      </c>
      <c r="C1101" s="2" t="s">
        <v>53</v>
      </c>
      <c r="D1101" s="2" t="s">
        <v>34</v>
      </c>
      <c r="E1101" s="2" t="s">
        <v>18</v>
      </c>
      <c r="F1101" s="2" t="s">
        <v>56</v>
      </c>
      <c r="G1101" s="8">
        <v>173.69</v>
      </c>
      <c r="H1101" s="11">
        <v>0</v>
      </c>
      <c r="I1101" s="8">
        <v>173.69</v>
      </c>
      <c r="J1101" s="3">
        <v>45875</v>
      </c>
      <c r="K1101" s="14">
        <v>25</v>
      </c>
      <c r="L1101" s="17">
        <v>3.6</v>
      </c>
      <c r="M1101" s="2" t="b">
        <v>0</v>
      </c>
      <c r="N1101" s="2"/>
      <c r="O1101" s="2" t="str">
        <f>IF(Table1[[#This Row],[is_returned]]=TRUE,IF(Table1[[#This Row],[return_reason]]="","Error","OK"),"OK")</f>
        <v>OK</v>
      </c>
      <c r="P1101" s="8">
        <f>Table1[[#This Row],[original_price]]*Table1[[#This Row],[markdown_percentage]]/100</f>
        <v>0</v>
      </c>
      <c r="Q110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101" s="25">
        <f>Table1[[#This Row],[current_price]]*Table1[[#This Row],[stock_quantity]]</f>
        <v>4342.25</v>
      </c>
    </row>
    <row r="1102" spans="1:18" x14ac:dyDescent="0.25">
      <c r="A1102" s="2" t="s">
        <v>1155</v>
      </c>
      <c r="B1102" s="2" t="s">
        <v>15</v>
      </c>
      <c r="C1102" s="2" t="s">
        <v>16</v>
      </c>
      <c r="D1102" s="2" t="s">
        <v>34</v>
      </c>
      <c r="E1102" s="2" t="s">
        <v>39</v>
      </c>
      <c r="F1102" s="2" t="s">
        <v>40</v>
      </c>
      <c r="G1102" s="8">
        <v>156.54</v>
      </c>
      <c r="H1102" s="11">
        <v>0</v>
      </c>
      <c r="I1102" s="8">
        <v>156.54</v>
      </c>
      <c r="J1102" s="3">
        <v>45875</v>
      </c>
      <c r="K1102" s="14">
        <v>23</v>
      </c>
      <c r="L1102" s="17">
        <v>1.8</v>
      </c>
      <c r="M1102" s="2" t="b">
        <v>0</v>
      </c>
      <c r="N1102" s="2"/>
      <c r="O1102" s="2" t="str">
        <f>IF(Table1[[#This Row],[is_returned]]=TRUE,IF(Table1[[#This Row],[return_reason]]="","Error","OK"),"OK")</f>
        <v>OK</v>
      </c>
      <c r="P1102" s="8">
        <f>Table1[[#This Row],[original_price]]*Table1[[#This Row],[markdown_percentage]]/100</f>
        <v>0</v>
      </c>
      <c r="Q110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102" s="25">
        <f>Table1[[#This Row],[current_price]]*Table1[[#This Row],[stock_quantity]]</f>
        <v>3600.4199999999996</v>
      </c>
    </row>
    <row r="1103" spans="1:18" x14ac:dyDescent="0.25">
      <c r="A1103" s="2" t="s">
        <v>1156</v>
      </c>
      <c r="B1103" s="2" t="s">
        <v>42</v>
      </c>
      <c r="C1103" s="2" t="s">
        <v>48</v>
      </c>
      <c r="D1103" s="2" t="s">
        <v>17</v>
      </c>
      <c r="E1103" s="2" t="s">
        <v>18</v>
      </c>
      <c r="F1103" s="2" t="s">
        <v>70</v>
      </c>
      <c r="G1103" s="8">
        <v>103.78</v>
      </c>
      <c r="H1103" s="11">
        <v>39</v>
      </c>
      <c r="I1103" s="8">
        <v>63.31</v>
      </c>
      <c r="J1103" s="3">
        <v>45577</v>
      </c>
      <c r="K1103" s="14">
        <v>5</v>
      </c>
      <c r="L1103" s="17"/>
      <c r="M1103" s="2" t="b">
        <v>0</v>
      </c>
      <c r="N1103" s="2"/>
      <c r="O1103" s="2" t="str">
        <f>IF(Table1[[#This Row],[is_returned]]=TRUE,IF(Table1[[#This Row],[return_reason]]="","Error","OK"),"OK")</f>
        <v>OK</v>
      </c>
      <c r="P1103" s="8">
        <f>Table1[[#This Row],[original_price]]*Table1[[#This Row],[markdown_percentage]]/100</f>
        <v>40.474200000000003</v>
      </c>
      <c r="Q110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103" s="25">
        <f>Table1[[#This Row],[current_price]]*Table1[[#This Row],[stock_quantity]]</f>
        <v>316.55</v>
      </c>
    </row>
    <row r="1104" spans="1:18" x14ac:dyDescent="0.25">
      <c r="A1104" s="2" t="s">
        <v>1157</v>
      </c>
      <c r="B1104" s="2" t="s">
        <v>27</v>
      </c>
      <c r="C1104" s="2" t="s">
        <v>61</v>
      </c>
      <c r="D1104" s="2" t="s">
        <v>34</v>
      </c>
      <c r="E1104" s="2"/>
      <c r="F1104" s="2" t="s">
        <v>28</v>
      </c>
      <c r="G1104" s="8">
        <v>79.599999999999994</v>
      </c>
      <c r="H1104" s="11">
        <v>0</v>
      </c>
      <c r="I1104" s="8">
        <v>79.599999999999994</v>
      </c>
      <c r="J1104" s="3">
        <v>45875</v>
      </c>
      <c r="K1104" s="14">
        <v>22</v>
      </c>
      <c r="L1104" s="17"/>
      <c r="M1104" s="2" t="b">
        <v>0</v>
      </c>
      <c r="N1104" s="2"/>
      <c r="O1104" s="2" t="str">
        <f>IF(Table1[[#This Row],[is_returned]]=TRUE,IF(Table1[[#This Row],[return_reason]]="","Error","OK"),"OK")</f>
        <v>OK</v>
      </c>
      <c r="P1104" s="8">
        <f>Table1[[#This Row],[original_price]]*Table1[[#This Row],[markdown_percentage]]/100</f>
        <v>0</v>
      </c>
      <c r="Q110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104" s="25">
        <f>Table1[[#This Row],[current_price]]*Table1[[#This Row],[stock_quantity]]</f>
        <v>1751.1999999999998</v>
      </c>
    </row>
    <row r="1105" spans="1:18" x14ac:dyDescent="0.25">
      <c r="A1105" s="2" t="s">
        <v>1158</v>
      </c>
      <c r="B1105" s="2" t="s">
        <v>27</v>
      </c>
      <c r="C1105" s="2" t="s">
        <v>53</v>
      </c>
      <c r="D1105" s="2" t="s">
        <v>34</v>
      </c>
      <c r="E1105" s="2"/>
      <c r="F1105" s="2" t="s">
        <v>56</v>
      </c>
      <c r="G1105" s="8">
        <v>34.18</v>
      </c>
      <c r="H1105" s="11">
        <v>18.899999999999999</v>
      </c>
      <c r="I1105" s="8">
        <v>27.72</v>
      </c>
      <c r="J1105" s="3">
        <v>45875</v>
      </c>
      <c r="K1105" s="14">
        <v>50</v>
      </c>
      <c r="L1105" s="17">
        <v>3.6</v>
      </c>
      <c r="M1105" s="2" t="b">
        <v>0</v>
      </c>
      <c r="N1105" s="2"/>
      <c r="O1105" s="2" t="str">
        <f>IF(Table1[[#This Row],[is_returned]]=TRUE,IF(Table1[[#This Row],[return_reason]]="","Error","OK"),"OK")</f>
        <v>OK</v>
      </c>
      <c r="P1105" s="8">
        <f>Table1[[#This Row],[original_price]]*Table1[[#This Row],[markdown_percentage]]/100</f>
        <v>6.4600199999999992</v>
      </c>
      <c r="Q110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105" s="25">
        <f>Table1[[#This Row],[current_price]]*Table1[[#This Row],[stock_quantity]]</f>
        <v>1386</v>
      </c>
    </row>
    <row r="1106" spans="1:18" x14ac:dyDescent="0.25">
      <c r="A1106" s="2" t="s">
        <v>1159</v>
      </c>
      <c r="B1106" s="2" t="s">
        <v>38</v>
      </c>
      <c r="C1106" s="2" t="s">
        <v>61</v>
      </c>
      <c r="D1106" s="2" t="s">
        <v>23</v>
      </c>
      <c r="E1106" s="2" t="s">
        <v>49</v>
      </c>
      <c r="F1106" s="2" t="s">
        <v>44</v>
      </c>
      <c r="G1106" s="8">
        <v>58.44</v>
      </c>
      <c r="H1106" s="11">
        <v>0</v>
      </c>
      <c r="I1106" s="8">
        <v>58.44</v>
      </c>
      <c r="J1106" s="3">
        <v>45875</v>
      </c>
      <c r="K1106" s="14">
        <v>3</v>
      </c>
      <c r="L1106" s="17">
        <v>2.6</v>
      </c>
      <c r="M1106" s="2" t="b">
        <v>1</v>
      </c>
      <c r="N1106" s="2" t="s">
        <v>125</v>
      </c>
      <c r="O1106" s="2" t="str">
        <f>IF(Table1[[#This Row],[is_returned]]=TRUE,IF(Table1[[#This Row],[return_reason]]="","Error","OK"),"OK")</f>
        <v>OK</v>
      </c>
      <c r="P1106" s="8">
        <f>Table1[[#This Row],[original_price]]*Table1[[#This Row],[markdown_percentage]]/100</f>
        <v>0</v>
      </c>
      <c r="Q110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106" s="25">
        <f>Table1[[#This Row],[current_price]]*Table1[[#This Row],[stock_quantity]]</f>
        <v>175.32</v>
      </c>
    </row>
    <row r="1107" spans="1:18" x14ac:dyDescent="0.25">
      <c r="A1107" s="2" t="s">
        <v>1160</v>
      </c>
      <c r="B1107" s="2" t="s">
        <v>27</v>
      </c>
      <c r="C1107" s="2" t="s">
        <v>16</v>
      </c>
      <c r="D1107" s="2" t="s">
        <v>62</v>
      </c>
      <c r="E1107" s="2"/>
      <c r="F1107" s="2" t="s">
        <v>64</v>
      </c>
      <c r="G1107" s="8">
        <v>30.62</v>
      </c>
      <c r="H1107" s="11">
        <v>0</v>
      </c>
      <c r="I1107" s="8">
        <v>30.62</v>
      </c>
      <c r="J1107" s="3">
        <v>45875</v>
      </c>
      <c r="K1107" s="14">
        <v>31</v>
      </c>
      <c r="L1107" s="17">
        <v>3</v>
      </c>
      <c r="M1107" s="2" t="b">
        <v>1</v>
      </c>
      <c r="N1107" s="2" t="s">
        <v>78</v>
      </c>
      <c r="O1107" s="2" t="str">
        <f>IF(Table1[[#This Row],[is_returned]]=TRUE,IF(Table1[[#This Row],[return_reason]]="","Error","OK"),"OK")</f>
        <v>OK</v>
      </c>
      <c r="P1107" s="8">
        <f>Table1[[#This Row],[original_price]]*Table1[[#This Row],[markdown_percentage]]/100</f>
        <v>0</v>
      </c>
      <c r="Q110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107" s="25">
        <f>Table1[[#This Row],[current_price]]*Table1[[#This Row],[stock_quantity]]</f>
        <v>949.22</v>
      </c>
    </row>
    <row r="1108" spans="1:18" x14ac:dyDescent="0.25">
      <c r="A1108" s="2" t="s">
        <v>1161</v>
      </c>
      <c r="B1108" s="2" t="s">
        <v>15</v>
      </c>
      <c r="C1108" s="2" t="s">
        <v>22</v>
      </c>
      <c r="D1108" s="2" t="s">
        <v>34</v>
      </c>
      <c r="E1108" s="2" t="s">
        <v>49</v>
      </c>
      <c r="F1108" s="2" t="s">
        <v>66</v>
      </c>
      <c r="G1108" s="8">
        <v>213.94</v>
      </c>
      <c r="H1108" s="11">
        <v>0</v>
      </c>
      <c r="I1108" s="8">
        <v>213.94</v>
      </c>
      <c r="J1108" s="3">
        <v>45875</v>
      </c>
      <c r="K1108" s="14">
        <v>16</v>
      </c>
      <c r="L1108" s="17">
        <v>4.7</v>
      </c>
      <c r="M1108" s="2" t="b">
        <v>0</v>
      </c>
      <c r="N1108" s="2"/>
      <c r="O1108" s="2" t="str">
        <f>IF(Table1[[#This Row],[is_returned]]=TRUE,IF(Table1[[#This Row],[return_reason]]="","Error","OK"),"OK")</f>
        <v>OK</v>
      </c>
      <c r="P1108" s="8">
        <f>Table1[[#This Row],[original_price]]*Table1[[#This Row],[markdown_percentage]]/100</f>
        <v>0</v>
      </c>
      <c r="Q110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108" s="25">
        <f>Table1[[#This Row],[current_price]]*Table1[[#This Row],[stock_quantity]]</f>
        <v>3423.04</v>
      </c>
    </row>
    <row r="1109" spans="1:18" x14ac:dyDescent="0.25">
      <c r="A1109" s="2" t="s">
        <v>1162</v>
      </c>
      <c r="B1109" s="2" t="s">
        <v>38</v>
      </c>
      <c r="C1109" s="2" t="s">
        <v>75</v>
      </c>
      <c r="D1109" s="2" t="s">
        <v>34</v>
      </c>
      <c r="E1109" s="2" t="s">
        <v>18</v>
      </c>
      <c r="F1109" s="2" t="s">
        <v>25</v>
      </c>
      <c r="G1109" s="8">
        <v>29.31</v>
      </c>
      <c r="H1109" s="11">
        <v>0</v>
      </c>
      <c r="I1109" s="8">
        <v>29.31</v>
      </c>
      <c r="J1109" s="3">
        <v>45875</v>
      </c>
      <c r="K1109" s="14">
        <v>25</v>
      </c>
      <c r="L1109" s="17">
        <v>4.5999999999999996</v>
      </c>
      <c r="M1109" s="2" t="b">
        <v>1</v>
      </c>
      <c r="N1109" s="2" t="s">
        <v>115</v>
      </c>
      <c r="O1109" s="2" t="str">
        <f>IF(Table1[[#This Row],[is_returned]]=TRUE,IF(Table1[[#This Row],[return_reason]]="","Error","OK"),"OK")</f>
        <v>OK</v>
      </c>
      <c r="P1109" s="8">
        <f>Table1[[#This Row],[original_price]]*Table1[[#This Row],[markdown_percentage]]/100</f>
        <v>0</v>
      </c>
      <c r="Q110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109" s="25">
        <f>Table1[[#This Row],[current_price]]*Table1[[#This Row],[stock_quantity]]</f>
        <v>732.75</v>
      </c>
    </row>
    <row r="1110" spans="1:18" x14ac:dyDescent="0.25">
      <c r="A1110" s="2" t="s">
        <v>1163</v>
      </c>
      <c r="B1110" s="2" t="s">
        <v>21</v>
      </c>
      <c r="C1110" s="2" t="s">
        <v>75</v>
      </c>
      <c r="D1110" s="2" t="s">
        <v>17</v>
      </c>
      <c r="E1110" s="2" t="s">
        <v>58</v>
      </c>
      <c r="F1110" s="2" t="s">
        <v>19</v>
      </c>
      <c r="G1110" s="8">
        <v>49.12</v>
      </c>
      <c r="H1110" s="11">
        <v>0</v>
      </c>
      <c r="I1110" s="8">
        <v>49.12</v>
      </c>
      <c r="J1110" s="3">
        <v>45836</v>
      </c>
      <c r="K1110" s="14">
        <v>47</v>
      </c>
      <c r="L1110" s="17"/>
      <c r="M1110" s="2" t="b">
        <v>0</v>
      </c>
      <c r="N1110" s="2"/>
      <c r="O1110" s="2" t="str">
        <f>IF(Table1[[#This Row],[is_returned]]=TRUE,IF(Table1[[#This Row],[return_reason]]="","Error","OK"),"OK")</f>
        <v>OK</v>
      </c>
      <c r="P1110" s="8">
        <f>Table1[[#This Row],[original_price]]*Table1[[#This Row],[markdown_percentage]]/100</f>
        <v>0</v>
      </c>
      <c r="Q111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110" s="25">
        <f>Table1[[#This Row],[current_price]]*Table1[[#This Row],[stock_quantity]]</f>
        <v>2308.64</v>
      </c>
    </row>
    <row r="1111" spans="1:18" x14ac:dyDescent="0.25">
      <c r="A1111" s="2" t="s">
        <v>1164</v>
      </c>
      <c r="B1111" s="2" t="s">
        <v>38</v>
      </c>
      <c r="C1111" s="2" t="s">
        <v>32</v>
      </c>
      <c r="D1111" s="2" t="s">
        <v>34</v>
      </c>
      <c r="E1111" s="2"/>
      <c r="F1111" s="2" t="s">
        <v>66</v>
      </c>
      <c r="G1111" s="8">
        <v>113.23</v>
      </c>
      <c r="H1111" s="11">
        <v>0</v>
      </c>
      <c r="I1111" s="8">
        <v>113.23</v>
      </c>
      <c r="J1111" s="3">
        <v>45875</v>
      </c>
      <c r="K1111" s="14">
        <v>13</v>
      </c>
      <c r="L1111" s="17">
        <v>3.7</v>
      </c>
      <c r="M1111" s="2" t="b">
        <v>0</v>
      </c>
      <c r="N1111" s="2"/>
      <c r="O1111" s="2" t="str">
        <f>IF(Table1[[#This Row],[is_returned]]=TRUE,IF(Table1[[#This Row],[return_reason]]="","Error","OK"),"OK")</f>
        <v>OK</v>
      </c>
      <c r="P1111" s="8">
        <f>Table1[[#This Row],[original_price]]*Table1[[#This Row],[markdown_percentage]]/100</f>
        <v>0</v>
      </c>
      <c r="Q111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111" s="25">
        <f>Table1[[#This Row],[current_price]]*Table1[[#This Row],[stock_quantity]]</f>
        <v>1471.99</v>
      </c>
    </row>
    <row r="1112" spans="1:18" x14ac:dyDescent="0.25">
      <c r="A1112" s="2" t="s">
        <v>1165</v>
      </c>
      <c r="B1112" s="2" t="s">
        <v>15</v>
      </c>
      <c r="C1112" s="2" t="s">
        <v>32</v>
      </c>
      <c r="D1112" s="2" t="s">
        <v>17</v>
      </c>
      <c r="E1112" s="2" t="s">
        <v>49</v>
      </c>
      <c r="F1112" s="2" t="s">
        <v>70</v>
      </c>
      <c r="G1112" s="8">
        <v>103.65</v>
      </c>
      <c r="H1112" s="11">
        <v>0</v>
      </c>
      <c r="I1112" s="8">
        <v>103.65</v>
      </c>
      <c r="J1112" s="3">
        <v>45612</v>
      </c>
      <c r="K1112" s="14">
        <v>4</v>
      </c>
      <c r="L1112" s="17">
        <v>1</v>
      </c>
      <c r="M1112" s="2" t="b">
        <v>0</v>
      </c>
      <c r="N1112" s="2"/>
      <c r="O1112" s="2" t="str">
        <f>IF(Table1[[#This Row],[is_returned]]=TRUE,IF(Table1[[#This Row],[return_reason]]="","Error","OK"),"OK")</f>
        <v>OK</v>
      </c>
      <c r="P1112" s="8">
        <f>Table1[[#This Row],[original_price]]*Table1[[#This Row],[markdown_percentage]]/100</f>
        <v>0</v>
      </c>
      <c r="Q111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112" s="25">
        <f>Table1[[#This Row],[current_price]]*Table1[[#This Row],[stock_quantity]]</f>
        <v>414.6</v>
      </c>
    </row>
    <row r="1113" spans="1:18" x14ac:dyDescent="0.25">
      <c r="A1113" s="2" t="s">
        <v>1166</v>
      </c>
      <c r="B1113" s="2" t="s">
        <v>42</v>
      </c>
      <c r="C1113" s="2" t="s">
        <v>53</v>
      </c>
      <c r="D1113" s="2" t="s">
        <v>34</v>
      </c>
      <c r="E1113" s="2"/>
      <c r="F1113" s="2" t="s">
        <v>40</v>
      </c>
      <c r="G1113" s="8">
        <v>71.84</v>
      </c>
      <c r="H1113" s="11">
        <v>49.4</v>
      </c>
      <c r="I1113" s="8">
        <v>36.35</v>
      </c>
      <c r="J1113" s="3">
        <v>45875</v>
      </c>
      <c r="K1113" s="14">
        <v>25</v>
      </c>
      <c r="L1113" s="17"/>
      <c r="M1113" s="2" t="b">
        <v>0</v>
      </c>
      <c r="N1113" s="2"/>
      <c r="O1113" s="2" t="str">
        <f>IF(Table1[[#This Row],[is_returned]]=TRUE,IF(Table1[[#This Row],[return_reason]]="","Error","OK"),"OK")</f>
        <v>OK</v>
      </c>
      <c r="P1113" s="8">
        <f>Table1[[#This Row],[original_price]]*Table1[[#This Row],[markdown_percentage]]/100</f>
        <v>35.488959999999999</v>
      </c>
      <c r="Q111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113" s="25">
        <f>Table1[[#This Row],[current_price]]*Table1[[#This Row],[stock_quantity]]</f>
        <v>908.75</v>
      </c>
    </row>
    <row r="1114" spans="1:18" x14ac:dyDescent="0.25">
      <c r="A1114" s="2" t="s">
        <v>1167</v>
      </c>
      <c r="B1114" s="2" t="s">
        <v>30</v>
      </c>
      <c r="C1114" s="2" t="s">
        <v>16</v>
      </c>
      <c r="D1114" s="2" t="s">
        <v>23</v>
      </c>
      <c r="E1114" s="2" t="s">
        <v>24</v>
      </c>
      <c r="F1114" s="2" t="s">
        <v>40</v>
      </c>
      <c r="G1114" s="8">
        <v>128.31</v>
      </c>
      <c r="H1114" s="11">
        <v>0</v>
      </c>
      <c r="I1114" s="8">
        <v>128.31</v>
      </c>
      <c r="J1114" s="3">
        <v>45875</v>
      </c>
      <c r="K1114" s="14">
        <v>36</v>
      </c>
      <c r="L1114" s="17">
        <v>4</v>
      </c>
      <c r="M1114" s="2" t="b">
        <v>1</v>
      </c>
      <c r="N1114" s="2" t="s">
        <v>115</v>
      </c>
      <c r="O1114" s="2" t="str">
        <f>IF(Table1[[#This Row],[is_returned]]=TRUE,IF(Table1[[#This Row],[return_reason]]="","Error","OK"),"OK")</f>
        <v>OK</v>
      </c>
      <c r="P1114" s="8">
        <f>Table1[[#This Row],[original_price]]*Table1[[#This Row],[markdown_percentage]]/100</f>
        <v>0</v>
      </c>
      <c r="Q111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114" s="25">
        <f>Table1[[#This Row],[current_price]]*Table1[[#This Row],[stock_quantity]]</f>
        <v>4619.16</v>
      </c>
    </row>
    <row r="1115" spans="1:18" x14ac:dyDescent="0.25">
      <c r="A1115" s="2" t="s">
        <v>1168</v>
      </c>
      <c r="B1115" s="2" t="s">
        <v>30</v>
      </c>
      <c r="C1115" s="2" t="s">
        <v>75</v>
      </c>
      <c r="D1115" s="2" t="s">
        <v>23</v>
      </c>
      <c r="E1115" s="2" t="s">
        <v>24</v>
      </c>
      <c r="F1115" s="2" t="s">
        <v>44</v>
      </c>
      <c r="G1115" s="8">
        <v>118.97</v>
      </c>
      <c r="H1115" s="11">
        <v>0</v>
      </c>
      <c r="I1115" s="8">
        <v>118.97</v>
      </c>
      <c r="J1115" s="3">
        <v>45875</v>
      </c>
      <c r="K1115" s="14">
        <v>45</v>
      </c>
      <c r="L1115" s="17">
        <v>3.8</v>
      </c>
      <c r="M1115" s="2" t="b">
        <v>0</v>
      </c>
      <c r="N1115" s="2"/>
      <c r="O1115" s="2" t="str">
        <f>IF(Table1[[#This Row],[is_returned]]=TRUE,IF(Table1[[#This Row],[return_reason]]="","Error","OK"),"OK")</f>
        <v>OK</v>
      </c>
      <c r="P1115" s="8">
        <f>Table1[[#This Row],[original_price]]*Table1[[#This Row],[markdown_percentage]]/100</f>
        <v>0</v>
      </c>
      <c r="Q111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115" s="25">
        <f>Table1[[#This Row],[current_price]]*Table1[[#This Row],[stock_quantity]]</f>
        <v>5353.65</v>
      </c>
    </row>
    <row r="1116" spans="1:18" x14ac:dyDescent="0.25">
      <c r="A1116" s="2" t="s">
        <v>1169</v>
      </c>
      <c r="B1116" s="2" t="s">
        <v>38</v>
      </c>
      <c r="C1116" s="2" t="s">
        <v>16</v>
      </c>
      <c r="D1116" s="2" t="s">
        <v>23</v>
      </c>
      <c r="E1116" s="2" t="s">
        <v>39</v>
      </c>
      <c r="F1116" s="2" t="s">
        <v>19</v>
      </c>
      <c r="G1116" s="8">
        <v>31.98</v>
      </c>
      <c r="H1116" s="11">
        <v>16.5</v>
      </c>
      <c r="I1116" s="8">
        <v>26.7</v>
      </c>
      <c r="J1116" s="3">
        <v>45875</v>
      </c>
      <c r="K1116" s="14">
        <v>48</v>
      </c>
      <c r="L1116" s="17">
        <v>1.8</v>
      </c>
      <c r="M1116" s="2" t="b">
        <v>0</v>
      </c>
      <c r="N1116" s="2"/>
      <c r="O1116" s="2" t="str">
        <f>IF(Table1[[#This Row],[is_returned]]=TRUE,IF(Table1[[#This Row],[return_reason]]="","Error","OK"),"OK")</f>
        <v>OK</v>
      </c>
      <c r="P1116" s="8">
        <f>Table1[[#This Row],[original_price]]*Table1[[#This Row],[markdown_percentage]]/100</f>
        <v>5.2766999999999999</v>
      </c>
      <c r="Q111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116" s="25">
        <f>Table1[[#This Row],[current_price]]*Table1[[#This Row],[stock_quantity]]</f>
        <v>1281.5999999999999</v>
      </c>
    </row>
    <row r="1117" spans="1:18" x14ac:dyDescent="0.25">
      <c r="A1117" s="2" t="s">
        <v>1170</v>
      </c>
      <c r="B1117" s="2" t="s">
        <v>21</v>
      </c>
      <c r="C1117" s="2" t="s">
        <v>32</v>
      </c>
      <c r="D1117" s="2" t="s">
        <v>23</v>
      </c>
      <c r="E1117" s="2" t="s">
        <v>49</v>
      </c>
      <c r="F1117" s="2" t="s">
        <v>66</v>
      </c>
      <c r="G1117" s="8">
        <v>115.89</v>
      </c>
      <c r="H1117" s="11">
        <v>26.8</v>
      </c>
      <c r="I1117" s="8">
        <v>84.83</v>
      </c>
      <c r="J1117" s="3">
        <v>45875</v>
      </c>
      <c r="K1117" s="14">
        <v>26</v>
      </c>
      <c r="L1117" s="17">
        <v>4.5999999999999996</v>
      </c>
      <c r="M1117" s="2" t="b">
        <v>0</v>
      </c>
      <c r="N1117" s="2"/>
      <c r="O1117" s="2" t="str">
        <f>IF(Table1[[#This Row],[is_returned]]=TRUE,IF(Table1[[#This Row],[return_reason]]="","Error","OK"),"OK")</f>
        <v>OK</v>
      </c>
      <c r="P1117" s="8">
        <f>Table1[[#This Row],[original_price]]*Table1[[#This Row],[markdown_percentage]]/100</f>
        <v>31.058520000000001</v>
      </c>
      <c r="Q111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117" s="25">
        <f>Table1[[#This Row],[current_price]]*Table1[[#This Row],[stock_quantity]]</f>
        <v>2205.58</v>
      </c>
    </row>
    <row r="1118" spans="1:18" x14ac:dyDescent="0.25">
      <c r="A1118" s="2" t="s">
        <v>1171</v>
      </c>
      <c r="B1118" s="2" t="s">
        <v>42</v>
      </c>
      <c r="C1118" s="2" t="s">
        <v>53</v>
      </c>
      <c r="D1118" s="2" t="s">
        <v>34</v>
      </c>
      <c r="E1118" s="2" t="s">
        <v>18</v>
      </c>
      <c r="F1118" s="2" t="s">
        <v>25</v>
      </c>
      <c r="G1118" s="8">
        <v>140.06</v>
      </c>
      <c r="H1118" s="11">
        <v>0</v>
      </c>
      <c r="I1118" s="8">
        <v>140.06</v>
      </c>
      <c r="J1118" s="3">
        <v>45875</v>
      </c>
      <c r="K1118" s="14">
        <v>37</v>
      </c>
      <c r="L1118" s="17">
        <v>2.2999999999999998</v>
      </c>
      <c r="M1118" s="2" t="b">
        <v>0</v>
      </c>
      <c r="N1118" s="2"/>
      <c r="O1118" s="2" t="str">
        <f>IF(Table1[[#This Row],[is_returned]]=TRUE,IF(Table1[[#This Row],[return_reason]]="","Error","OK"),"OK")</f>
        <v>OK</v>
      </c>
      <c r="P1118" s="8">
        <f>Table1[[#This Row],[original_price]]*Table1[[#This Row],[markdown_percentage]]/100</f>
        <v>0</v>
      </c>
      <c r="Q111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118" s="25">
        <f>Table1[[#This Row],[current_price]]*Table1[[#This Row],[stock_quantity]]</f>
        <v>5182.22</v>
      </c>
    </row>
    <row r="1119" spans="1:18" x14ac:dyDescent="0.25">
      <c r="A1119" s="2" t="s">
        <v>1172</v>
      </c>
      <c r="B1119" s="2" t="s">
        <v>30</v>
      </c>
      <c r="C1119" s="2" t="s">
        <v>43</v>
      </c>
      <c r="D1119" s="2" t="s">
        <v>34</v>
      </c>
      <c r="E1119" s="2" t="s">
        <v>55</v>
      </c>
      <c r="F1119" s="2" t="s">
        <v>25</v>
      </c>
      <c r="G1119" s="8">
        <v>154.82</v>
      </c>
      <c r="H1119" s="11">
        <v>0</v>
      </c>
      <c r="I1119" s="8">
        <v>154.82</v>
      </c>
      <c r="J1119" s="3">
        <v>45875</v>
      </c>
      <c r="K1119" s="14">
        <v>10</v>
      </c>
      <c r="L1119" s="17">
        <v>4.0999999999999996</v>
      </c>
      <c r="M1119" s="2" t="b">
        <v>0</v>
      </c>
      <c r="N1119" s="2"/>
      <c r="O1119" s="2" t="str">
        <f>IF(Table1[[#This Row],[is_returned]]=TRUE,IF(Table1[[#This Row],[return_reason]]="","Error","OK"),"OK")</f>
        <v>OK</v>
      </c>
      <c r="P1119" s="8">
        <f>Table1[[#This Row],[original_price]]*Table1[[#This Row],[markdown_percentage]]/100</f>
        <v>0</v>
      </c>
      <c r="Q111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119" s="25">
        <f>Table1[[#This Row],[current_price]]*Table1[[#This Row],[stock_quantity]]</f>
        <v>1548.1999999999998</v>
      </c>
    </row>
    <row r="1120" spans="1:18" x14ac:dyDescent="0.25">
      <c r="A1120" s="2" t="s">
        <v>1173</v>
      </c>
      <c r="B1120" s="2" t="s">
        <v>42</v>
      </c>
      <c r="C1120" s="2" t="s">
        <v>22</v>
      </c>
      <c r="D1120" s="2" t="s">
        <v>23</v>
      </c>
      <c r="E1120" s="2" t="s">
        <v>18</v>
      </c>
      <c r="F1120" s="2" t="s">
        <v>44</v>
      </c>
      <c r="G1120" s="8">
        <v>114.21</v>
      </c>
      <c r="H1120" s="11">
        <v>20.2</v>
      </c>
      <c r="I1120" s="8">
        <v>91.14</v>
      </c>
      <c r="J1120" s="3">
        <v>45875</v>
      </c>
      <c r="K1120" s="14">
        <v>5</v>
      </c>
      <c r="L1120" s="17">
        <v>2</v>
      </c>
      <c r="M1120" s="2" t="b">
        <v>1</v>
      </c>
      <c r="N1120" s="2" t="s">
        <v>125</v>
      </c>
      <c r="O1120" s="2" t="str">
        <f>IF(Table1[[#This Row],[is_returned]]=TRUE,IF(Table1[[#This Row],[return_reason]]="","Error","OK"),"OK")</f>
        <v>OK</v>
      </c>
      <c r="P1120" s="8">
        <f>Table1[[#This Row],[original_price]]*Table1[[#This Row],[markdown_percentage]]/100</f>
        <v>23.070419999999999</v>
      </c>
      <c r="Q112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120" s="25">
        <f>Table1[[#This Row],[current_price]]*Table1[[#This Row],[stock_quantity]]</f>
        <v>455.7</v>
      </c>
    </row>
    <row r="1121" spans="1:18" x14ac:dyDescent="0.25">
      <c r="A1121" s="2" t="s">
        <v>1174</v>
      </c>
      <c r="B1121" s="2" t="s">
        <v>30</v>
      </c>
      <c r="C1121" s="2" t="s">
        <v>16</v>
      </c>
      <c r="D1121" s="2" t="s">
        <v>23</v>
      </c>
      <c r="E1121" s="2" t="s">
        <v>18</v>
      </c>
      <c r="F1121" s="2" t="s">
        <v>44</v>
      </c>
      <c r="G1121" s="8">
        <v>114.84</v>
      </c>
      <c r="H1121" s="11">
        <v>0</v>
      </c>
      <c r="I1121" s="8">
        <v>114.84</v>
      </c>
      <c r="J1121" s="3">
        <v>45875</v>
      </c>
      <c r="K1121" s="14">
        <v>38</v>
      </c>
      <c r="L1121" s="17">
        <v>2.6</v>
      </c>
      <c r="M1121" s="2" t="b">
        <v>1</v>
      </c>
      <c r="N1121" s="2" t="s">
        <v>36</v>
      </c>
      <c r="O1121" s="2" t="str">
        <f>IF(Table1[[#This Row],[is_returned]]=TRUE,IF(Table1[[#This Row],[return_reason]]="","Error","OK"),"OK")</f>
        <v>OK</v>
      </c>
      <c r="P1121" s="8">
        <f>Table1[[#This Row],[original_price]]*Table1[[#This Row],[markdown_percentage]]/100</f>
        <v>0</v>
      </c>
      <c r="Q112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121" s="25">
        <f>Table1[[#This Row],[current_price]]*Table1[[#This Row],[stock_quantity]]</f>
        <v>4363.92</v>
      </c>
    </row>
    <row r="1122" spans="1:18" x14ac:dyDescent="0.25">
      <c r="A1122" s="2" t="s">
        <v>1175</v>
      </c>
      <c r="B1122" s="2" t="s">
        <v>42</v>
      </c>
      <c r="C1122" s="2" t="s">
        <v>43</v>
      </c>
      <c r="D1122" s="2" t="s">
        <v>23</v>
      </c>
      <c r="E1122" s="2" t="s">
        <v>18</v>
      </c>
      <c r="F1122" s="2" t="s">
        <v>64</v>
      </c>
      <c r="G1122" s="8">
        <v>131.32</v>
      </c>
      <c r="H1122" s="11">
        <v>6.8</v>
      </c>
      <c r="I1122" s="8">
        <v>122.39</v>
      </c>
      <c r="J1122" s="3">
        <v>45875</v>
      </c>
      <c r="K1122" s="14">
        <v>18</v>
      </c>
      <c r="L1122" s="17">
        <v>2</v>
      </c>
      <c r="M1122" s="2" t="b">
        <v>0</v>
      </c>
      <c r="N1122" s="2"/>
      <c r="O1122" s="2" t="str">
        <f>IF(Table1[[#This Row],[is_returned]]=TRUE,IF(Table1[[#This Row],[return_reason]]="","Error","OK"),"OK")</f>
        <v>OK</v>
      </c>
      <c r="P1122" s="8">
        <f>Table1[[#This Row],[original_price]]*Table1[[#This Row],[markdown_percentage]]/100</f>
        <v>8.9297599999999981</v>
      </c>
      <c r="Q112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122" s="25">
        <f>Table1[[#This Row],[current_price]]*Table1[[#This Row],[stock_quantity]]</f>
        <v>2203.02</v>
      </c>
    </row>
    <row r="1123" spans="1:18" x14ac:dyDescent="0.25">
      <c r="A1123" s="2" t="s">
        <v>1176</v>
      </c>
      <c r="B1123" s="2" t="s">
        <v>21</v>
      </c>
      <c r="C1123" s="2" t="s">
        <v>43</v>
      </c>
      <c r="D1123" s="2" t="s">
        <v>34</v>
      </c>
      <c r="E1123" s="2" t="s">
        <v>39</v>
      </c>
      <c r="F1123" s="2" t="s">
        <v>25</v>
      </c>
      <c r="G1123" s="8">
        <v>91.41</v>
      </c>
      <c r="H1123" s="11">
        <v>32.1</v>
      </c>
      <c r="I1123" s="8">
        <v>62.07</v>
      </c>
      <c r="J1123" s="3">
        <v>45875</v>
      </c>
      <c r="K1123" s="14">
        <v>49</v>
      </c>
      <c r="L1123" s="17">
        <v>2.2999999999999998</v>
      </c>
      <c r="M1123" s="2" t="b">
        <v>0</v>
      </c>
      <c r="N1123" s="2"/>
      <c r="O1123" s="2" t="str">
        <f>IF(Table1[[#This Row],[is_returned]]=TRUE,IF(Table1[[#This Row],[return_reason]]="","Error","OK"),"OK")</f>
        <v>OK</v>
      </c>
      <c r="P1123" s="8">
        <f>Table1[[#This Row],[original_price]]*Table1[[#This Row],[markdown_percentage]]/100</f>
        <v>29.342610000000001</v>
      </c>
      <c r="Q112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123" s="25">
        <f>Table1[[#This Row],[current_price]]*Table1[[#This Row],[stock_quantity]]</f>
        <v>3041.43</v>
      </c>
    </row>
    <row r="1124" spans="1:18" x14ac:dyDescent="0.25">
      <c r="A1124" s="2" t="s">
        <v>1177</v>
      </c>
      <c r="B1124" s="2" t="s">
        <v>15</v>
      </c>
      <c r="C1124" s="2" t="s">
        <v>61</v>
      </c>
      <c r="D1124" s="2" t="s">
        <v>34</v>
      </c>
      <c r="E1124" s="2" t="s">
        <v>55</v>
      </c>
      <c r="F1124" s="2" t="s">
        <v>28</v>
      </c>
      <c r="G1124" s="8">
        <v>202.28</v>
      </c>
      <c r="H1124" s="11">
        <v>0</v>
      </c>
      <c r="I1124" s="8">
        <v>202.28</v>
      </c>
      <c r="J1124" s="3">
        <v>45875</v>
      </c>
      <c r="K1124" s="14">
        <v>4</v>
      </c>
      <c r="L1124" s="17"/>
      <c r="M1124" s="2" t="b">
        <v>0</v>
      </c>
      <c r="N1124" s="2"/>
      <c r="O1124" s="2" t="str">
        <f>IF(Table1[[#This Row],[is_returned]]=TRUE,IF(Table1[[#This Row],[return_reason]]="","Error","OK"),"OK")</f>
        <v>OK</v>
      </c>
      <c r="P1124" s="8">
        <f>Table1[[#This Row],[original_price]]*Table1[[#This Row],[markdown_percentage]]/100</f>
        <v>0</v>
      </c>
      <c r="Q112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124" s="25">
        <f>Table1[[#This Row],[current_price]]*Table1[[#This Row],[stock_quantity]]</f>
        <v>809.12</v>
      </c>
    </row>
    <row r="1125" spans="1:18" x14ac:dyDescent="0.25">
      <c r="A1125" s="2" t="s">
        <v>1178</v>
      </c>
      <c r="B1125" s="2" t="s">
        <v>38</v>
      </c>
      <c r="C1125" s="2" t="s">
        <v>75</v>
      </c>
      <c r="D1125" s="2" t="s">
        <v>34</v>
      </c>
      <c r="E1125" s="2" t="s">
        <v>58</v>
      </c>
      <c r="F1125" s="2" t="s">
        <v>19</v>
      </c>
      <c r="G1125" s="8">
        <v>119.63</v>
      </c>
      <c r="H1125" s="11">
        <v>0</v>
      </c>
      <c r="I1125" s="8">
        <v>119.63</v>
      </c>
      <c r="J1125" s="3">
        <v>45875</v>
      </c>
      <c r="K1125" s="14">
        <v>14</v>
      </c>
      <c r="L1125" s="17">
        <v>2.1</v>
      </c>
      <c r="M1125" s="2" t="b">
        <v>0</v>
      </c>
      <c r="N1125" s="2"/>
      <c r="O1125" s="2" t="str">
        <f>IF(Table1[[#This Row],[is_returned]]=TRUE,IF(Table1[[#This Row],[return_reason]]="","Error","OK"),"OK")</f>
        <v>OK</v>
      </c>
      <c r="P1125" s="8">
        <f>Table1[[#This Row],[original_price]]*Table1[[#This Row],[markdown_percentage]]/100</f>
        <v>0</v>
      </c>
      <c r="Q112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125" s="25">
        <f>Table1[[#This Row],[current_price]]*Table1[[#This Row],[stock_quantity]]</f>
        <v>1674.82</v>
      </c>
    </row>
    <row r="1126" spans="1:18" x14ac:dyDescent="0.25">
      <c r="A1126" s="2" t="s">
        <v>1179</v>
      </c>
      <c r="B1126" s="2" t="s">
        <v>30</v>
      </c>
      <c r="C1126" s="2" t="s">
        <v>32</v>
      </c>
      <c r="D1126" s="2" t="s">
        <v>62</v>
      </c>
      <c r="E1126" s="2" t="s">
        <v>24</v>
      </c>
      <c r="F1126" s="2" t="s">
        <v>44</v>
      </c>
      <c r="G1126" s="8">
        <v>167.89</v>
      </c>
      <c r="H1126" s="11">
        <v>0</v>
      </c>
      <c r="I1126" s="8">
        <v>167.89</v>
      </c>
      <c r="J1126" s="3">
        <v>45875</v>
      </c>
      <c r="K1126" s="14">
        <v>12</v>
      </c>
      <c r="L1126" s="17">
        <v>1</v>
      </c>
      <c r="M1126" s="2" t="b">
        <v>0</v>
      </c>
      <c r="N1126" s="2"/>
      <c r="O1126" s="2" t="str">
        <f>IF(Table1[[#This Row],[is_returned]]=TRUE,IF(Table1[[#This Row],[return_reason]]="","Error","OK"),"OK")</f>
        <v>OK</v>
      </c>
      <c r="P1126" s="8">
        <f>Table1[[#This Row],[original_price]]*Table1[[#This Row],[markdown_percentage]]/100</f>
        <v>0</v>
      </c>
      <c r="Q112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126" s="25">
        <f>Table1[[#This Row],[current_price]]*Table1[[#This Row],[stock_quantity]]</f>
        <v>2014.6799999999998</v>
      </c>
    </row>
    <row r="1127" spans="1:18" x14ac:dyDescent="0.25">
      <c r="A1127" s="2" t="s">
        <v>1180</v>
      </c>
      <c r="B1127" s="2" t="s">
        <v>30</v>
      </c>
      <c r="C1127" s="2" t="s">
        <v>22</v>
      </c>
      <c r="D1127" s="2" t="s">
        <v>17</v>
      </c>
      <c r="E1127" s="2" t="s">
        <v>18</v>
      </c>
      <c r="F1127" s="2" t="s">
        <v>44</v>
      </c>
      <c r="G1127" s="8">
        <v>100.39</v>
      </c>
      <c r="H1127" s="11">
        <v>0</v>
      </c>
      <c r="I1127" s="8">
        <v>100.39</v>
      </c>
      <c r="J1127" s="3">
        <v>45723</v>
      </c>
      <c r="K1127" s="14">
        <v>24</v>
      </c>
      <c r="L1127" s="17">
        <v>3.2</v>
      </c>
      <c r="M1127" s="2" t="b">
        <v>1</v>
      </c>
      <c r="N1127" s="2" t="s">
        <v>83</v>
      </c>
      <c r="O1127" s="2" t="str">
        <f>IF(Table1[[#This Row],[is_returned]]=TRUE,IF(Table1[[#This Row],[return_reason]]="","Error","OK"),"OK")</f>
        <v>OK</v>
      </c>
      <c r="P1127" s="8">
        <f>Table1[[#This Row],[original_price]]*Table1[[#This Row],[markdown_percentage]]/100</f>
        <v>0</v>
      </c>
      <c r="Q112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127" s="25">
        <f>Table1[[#This Row],[current_price]]*Table1[[#This Row],[stock_quantity]]</f>
        <v>2409.36</v>
      </c>
    </row>
    <row r="1128" spans="1:18" x14ac:dyDescent="0.25">
      <c r="A1128" s="2" t="s">
        <v>1181</v>
      </c>
      <c r="B1128" s="2" t="s">
        <v>42</v>
      </c>
      <c r="C1128" s="2" t="s">
        <v>61</v>
      </c>
      <c r="D1128" s="2" t="s">
        <v>62</v>
      </c>
      <c r="E1128" s="2" t="s">
        <v>24</v>
      </c>
      <c r="F1128" s="2" t="s">
        <v>40</v>
      </c>
      <c r="G1128" s="8">
        <v>162.41999999999999</v>
      </c>
      <c r="H1128" s="11">
        <v>40.9</v>
      </c>
      <c r="I1128" s="8">
        <v>95.99</v>
      </c>
      <c r="J1128" s="3">
        <v>45875</v>
      </c>
      <c r="K1128" s="14">
        <v>32</v>
      </c>
      <c r="L1128" s="17">
        <v>1</v>
      </c>
      <c r="M1128" s="2" t="b">
        <v>0</v>
      </c>
      <c r="N1128" s="2"/>
      <c r="O1128" s="2" t="str">
        <f>IF(Table1[[#This Row],[is_returned]]=TRUE,IF(Table1[[#This Row],[return_reason]]="","Error","OK"),"OK")</f>
        <v>OK</v>
      </c>
      <c r="P1128" s="8">
        <f>Table1[[#This Row],[original_price]]*Table1[[#This Row],[markdown_percentage]]/100</f>
        <v>66.429779999999994</v>
      </c>
      <c r="Q112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128" s="25">
        <f>Table1[[#This Row],[current_price]]*Table1[[#This Row],[stock_quantity]]</f>
        <v>3071.68</v>
      </c>
    </row>
    <row r="1129" spans="1:18" x14ac:dyDescent="0.25">
      <c r="A1129" s="2" t="s">
        <v>1182</v>
      </c>
      <c r="B1129" s="2" t="s">
        <v>30</v>
      </c>
      <c r="C1129" s="2" t="s">
        <v>61</v>
      </c>
      <c r="D1129" s="2" t="s">
        <v>17</v>
      </c>
      <c r="E1129" s="2" t="s">
        <v>55</v>
      </c>
      <c r="F1129" s="2" t="s">
        <v>40</v>
      </c>
      <c r="G1129" s="8">
        <v>65.069999999999993</v>
      </c>
      <c r="H1129" s="11">
        <v>5.0999999999999996</v>
      </c>
      <c r="I1129" s="8">
        <v>61.75</v>
      </c>
      <c r="J1129" s="3">
        <v>45674</v>
      </c>
      <c r="K1129" s="14">
        <v>16</v>
      </c>
      <c r="L1129" s="17">
        <v>4.3</v>
      </c>
      <c r="M1129" s="2" t="b">
        <v>0</v>
      </c>
      <c r="N1129" s="2"/>
      <c r="O1129" s="2" t="str">
        <f>IF(Table1[[#This Row],[is_returned]]=TRUE,IF(Table1[[#This Row],[return_reason]]="","Error","OK"),"OK")</f>
        <v>OK</v>
      </c>
      <c r="P1129" s="8">
        <f>Table1[[#This Row],[original_price]]*Table1[[#This Row],[markdown_percentage]]/100</f>
        <v>3.3185699999999994</v>
      </c>
      <c r="Q112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129" s="25">
        <f>Table1[[#This Row],[current_price]]*Table1[[#This Row],[stock_quantity]]</f>
        <v>988</v>
      </c>
    </row>
    <row r="1130" spans="1:18" x14ac:dyDescent="0.25">
      <c r="A1130" s="2" t="s">
        <v>1183</v>
      </c>
      <c r="B1130" s="2" t="s">
        <v>38</v>
      </c>
      <c r="C1130" s="2" t="s">
        <v>75</v>
      </c>
      <c r="D1130" s="2" t="s">
        <v>17</v>
      </c>
      <c r="E1130" s="2" t="s">
        <v>49</v>
      </c>
      <c r="F1130" s="2" t="s">
        <v>19</v>
      </c>
      <c r="G1130" s="8">
        <v>78.099999999999994</v>
      </c>
      <c r="H1130" s="11">
        <v>48.7</v>
      </c>
      <c r="I1130" s="8">
        <v>40.07</v>
      </c>
      <c r="J1130" s="3">
        <v>45783</v>
      </c>
      <c r="K1130" s="14">
        <v>0</v>
      </c>
      <c r="L1130" s="17"/>
      <c r="M1130" s="2" t="b">
        <v>0</v>
      </c>
      <c r="N1130" s="2"/>
      <c r="O1130" s="2" t="str">
        <f>IF(Table1[[#This Row],[is_returned]]=TRUE,IF(Table1[[#This Row],[return_reason]]="","Error","OK"),"OK")</f>
        <v>OK</v>
      </c>
      <c r="P1130" s="8">
        <f>Table1[[#This Row],[original_price]]*Table1[[#This Row],[markdown_percentage]]/100</f>
        <v>38.034700000000001</v>
      </c>
      <c r="Q113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130" s="25">
        <f>Table1[[#This Row],[current_price]]*Table1[[#This Row],[stock_quantity]]</f>
        <v>0</v>
      </c>
    </row>
    <row r="1131" spans="1:18" x14ac:dyDescent="0.25">
      <c r="A1131" s="2" t="s">
        <v>1184</v>
      </c>
      <c r="B1131" s="2" t="s">
        <v>15</v>
      </c>
      <c r="C1131" s="2" t="s">
        <v>16</v>
      </c>
      <c r="D1131" s="2" t="s">
        <v>17</v>
      </c>
      <c r="E1131" s="2" t="s">
        <v>58</v>
      </c>
      <c r="F1131" s="2" t="s">
        <v>44</v>
      </c>
      <c r="G1131" s="8">
        <v>115.73</v>
      </c>
      <c r="H1131" s="11">
        <v>59.8</v>
      </c>
      <c r="I1131" s="8">
        <v>46.52</v>
      </c>
      <c r="J1131" s="3">
        <v>45563</v>
      </c>
      <c r="K1131" s="14">
        <v>10</v>
      </c>
      <c r="L1131" s="17">
        <v>4.2</v>
      </c>
      <c r="M1131" s="2" t="b">
        <v>0</v>
      </c>
      <c r="N1131" s="2"/>
      <c r="O1131" s="2" t="str">
        <f>IF(Table1[[#This Row],[is_returned]]=TRUE,IF(Table1[[#This Row],[return_reason]]="","Error","OK"),"OK")</f>
        <v>OK</v>
      </c>
      <c r="P1131" s="8">
        <f>Table1[[#This Row],[original_price]]*Table1[[#This Row],[markdown_percentage]]/100</f>
        <v>69.20653999999999</v>
      </c>
      <c r="Q113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131" s="25">
        <f>Table1[[#This Row],[current_price]]*Table1[[#This Row],[stock_quantity]]</f>
        <v>465.20000000000005</v>
      </c>
    </row>
    <row r="1132" spans="1:18" x14ac:dyDescent="0.25">
      <c r="A1132" s="2" t="s">
        <v>1185</v>
      </c>
      <c r="B1132" s="2" t="s">
        <v>27</v>
      </c>
      <c r="C1132" s="2" t="s">
        <v>53</v>
      </c>
      <c r="D1132" s="2" t="s">
        <v>34</v>
      </c>
      <c r="E1132" s="2"/>
      <c r="F1132" s="2" t="s">
        <v>64</v>
      </c>
      <c r="G1132" s="8">
        <v>21.57</v>
      </c>
      <c r="H1132" s="11">
        <v>11.9</v>
      </c>
      <c r="I1132" s="8">
        <v>19</v>
      </c>
      <c r="J1132" s="3">
        <v>45875</v>
      </c>
      <c r="K1132" s="14">
        <v>37</v>
      </c>
      <c r="L1132" s="17">
        <v>3</v>
      </c>
      <c r="M1132" s="2" t="b">
        <v>1</v>
      </c>
      <c r="N1132" s="2" t="s">
        <v>115</v>
      </c>
      <c r="O1132" s="2" t="str">
        <f>IF(Table1[[#This Row],[is_returned]]=TRUE,IF(Table1[[#This Row],[return_reason]]="","Error","OK"),"OK")</f>
        <v>OK</v>
      </c>
      <c r="P1132" s="8">
        <f>Table1[[#This Row],[original_price]]*Table1[[#This Row],[markdown_percentage]]/100</f>
        <v>2.5668299999999999</v>
      </c>
      <c r="Q113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132" s="25">
        <f>Table1[[#This Row],[current_price]]*Table1[[#This Row],[stock_quantity]]</f>
        <v>703</v>
      </c>
    </row>
    <row r="1133" spans="1:18" x14ac:dyDescent="0.25">
      <c r="A1133" s="2" t="s">
        <v>1186</v>
      </c>
      <c r="B1133" s="2" t="s">
        <v>42</v>
      </c>
      <c r="C1133" s="2" t="s">
        <v>32</v>
      </c>
      <c r="D1133" s="2" t="s">
        <v>34</v>
      </c>
      <c r="E1133" s="2" t="s">
        <v>39</v>
      </c>
      <c r="F1133" s="2" t="s">
        <v>70</v>
      </c>
      <c r="G1133" s="8">
        <v>75.849999999999994</v>
      </c>
      <c r="H1133" s="11">
        <v>50.3</v>
      </c>
      <c r="I1133" s="8">
        <v>37.700000000000003</v>
      </c>
      <c r="J1133" s="3">
        <v>45875</v>
      </c>
      <c r="K1133" s="14">
        <v>50</v>
      </c>
      <c r="L1133" s="17">
        <v>4.7</v>
      </c>
      <c r="M1133" s="2" t="b">
        <v>1</v>
      </c>
      <c r="N1133" s="2" t="s">
        <v>83</v>
      </c>
      <c r="O1133" s="2" t="str">
        <f>IF(Table1[[#This Row],[is_returned]]=TRUE,IF(Table1[[#This Row],[return_reason]]="","Error","OK"),"OK")</f>
        <v>OK</v>
      </c>
      <c r="P1133" s="8">
        <f>Table1[[#This Row],[original_price]]*Table1[[#This Row],[markdown_percentage]]/100</f>
        <v>38.152549999999998</v>
      </c>
      <c r="Q113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133" s="25">
        <f>Table1[[#This Row],[current_price]]*Table1[[#This Row],[stock_quantity]]</f>
        <v>1885.0000000000002</v>
      </c>
    </row>
    <row r="1134" spans="1:18" x14ac:dyDescent="0.25">
      <c r="A1134" s="2" t="s">
        <v>1187</v>
      </c>
      <c r="B1134" s="2" t="s">
        <v>15</v>
      </c>
      <c r="C1134" s="2" t="s">
        <v>22</v>
      </c>
      <c r="D1134" s="2" t="s">
        <v>62</v>
      </c>
      <c r="E1134" s="2" t="s">
        <v>24</v>
      </c>
      <c r="F1134" s="2" t="s">
        <v>46</v>
      </c>
      <c r="G1134" s="8">
        <v>170.91</v>
      </c>
      <c r="H1134" s="11">
        <v>0</v>
      </c>
      <c r="I1134" s="8">
        <v>170.91</v>
      </c>
      <c r="J1134" s="3">
        <v>45875</v>
      </c>
      <c r="K1134" s="14">
        <v>36</v>
      </c>
      <c r="L1134" s="17">
        <v>1.6</v>
      </c>
      <c r="M1134" s="2" t="b">
        <v>1</v>
      </c>
      <c r="N1134" s="2" t="s">
        <v>83</v>
      </c>
      <c r="O1134" s="2" t="str">
        <f>IF(Table1[[#This Row],[is_returned]]=TRUE,IF(Table1[[#This Row],[return_reason]]="","Error","OK"),"OK")</f>
        <v>OK</v>
      </c>
      <c r="P1134" s="8">
        <f>Table1[[#This Row],[original_price]]*Table1[[#This Row],[markdown_percentage]]/100</f>
        <v>0</v>
      </c>
      <c r="Q113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134" s="25">
        <f>Table1[[#This Row],[current_price]]*Table1[[#This Row],[stock_quantity]]</f>
        <v>6152.76</v>
      </c>
    </row>
    <row r="1135" spans="1:18" x14ac:dyDescent="0.25">
      <c r="A1135" s="2" t="s">
        <v>1188</v>
      </c>
      <c r="B1135" s="2" t="s">
        <v>30</v>
      </c>
      <c r="C1135" s="2" t="s">
        <v>48</v>
      </c>
      <c r="D1135" s="2" t="s">
        <v>34</v>
      </c>
      <c r="E1135" s="2" t="s">
        <v>18</v>
      </c>
      <c r="F1135" s="2" t="s">
        <v>35</v>
      </c>
      <c r="G1135" s="8">
        <v>94.06</v>
      </c>
      <c r="H1135" s="11">
        <v>22.4</v>
      </c>
      <c r="I1135" s="8">
        <v>72.989999999999995</v>
      </c>
      <c r="J1135" s="3">
        <v>45875</v>
      </c>
      <c r="K1135" s="14">
        <v>0</v>
      </c>
      <c r="L1135" s="17"/>
      <c r="M1135" s="2" t="b">
        <v>0</v>
      </c>
      <c r="N1135" s="2"/>
      <c r="O1135" s="2" t="str">
        <f>IF(Table1[[#This Row],[is_returned]]=TRUE,IF(Table1[[#This Row],[return_reason]]="","Error","OK"),"OK")</f>
        <v>OK</v>
      </c>
      <c r="P1135" s="8">
        <f>Table1[[#This Row],[original_price]]*Table1[[#This Row],[markdown_percentage]]/100</f>
        <v>21.06944</v>
      </c>
      <c r="Q113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135" s="25">
        <f>Table1[[#This Row],[current_price]]*Table1[[#This Row],[stock_quantity]]</f>
        <v>0</v>
      </c>
    </row>
    <row r="1136" spans="1:18" x14ac:dyDescent="0.25">
      <c r="A1136" s="2" t="s">
        <v>1189</v>
      </c>
      <c r="B1136" s="2" t="s">
        <v>38</v>
      </c>
      <c r="C1136" s="2" t="s">
        <v>48</v>
      </c>
      <c r="D1136" s="2" t="s">
        <v>62</v>
      </c>
      <c r="E1136" s="2" t="s">
        <v>39</v>
      </c>
      <c r="F1136" s="2" t="s">
        <v>44</v>
      </c>
      <c r="G1136" s="8">
        <v>84.44</v>
      </c>
      <c r="H1136" s="11">
        <v>0</v>
      </c>
      <c r="I1136" s="8">
        <v>84.44</v>
      </c>
      <c r="J1136" s="3">
        <v>45875</v>
      </c>
      <c r="K1136" s="14">
        <v>2</v>
      </c>
      <c r="L1136" s="17">
        <v>1.1000000000000001</v>
      </c>
      <c r="M1136" s="2" t="b">
        <v>0</v>
      </c>
      <c r="N1136" s="2"/>
      <c r="O1136" s="2" t="str">
        <f>IF(Table1[[#This Row],[is_returned]]=TRUE,IF(Table1[[#This Row],[return_reason]]="","Error","OK"),"OK")</f>
        <v>OK</v>
      </c>
      <c r="P1136" s="8">
        <f>Table1[[#This Row],[original_price]]*Table1[[#This Row],[markdown_percentage]]/100</f>
        <v>0</v>
      </c>
      <c r="Q113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136" s="25">
        <f>Table1[[#This Row],[current_price]]*Table1[[#This Row],[stock_quantity]]</f>
        <v>168.88</v>
      </c>
    </row>
    <row r="1137" spans="1:18" x14ac:dyDescent="0.25">
      <c r="A1137" s="2" t="s">
        <v>1190</v>
      </c>
      <c r="B1137" s="2" t="s">
        <v>15</v>
      </c>
      <c r="C1137" s="2" t="s">
        <v>16</v>
      </c>
      <c r="D1137" s="2" t="s">
        <v>62</v>
      </c>
      <c r="E1137" s="2" t="s">
        <v>55</v>
      </c>
      <c r="F1137" s="2" t="s">
        <v>25</v>
      </c>
      <c r="G1137" s="8">
        <v>93.11</v>
      </c>
      <c r="H1137" s="11">
        <v>0</v>
      </c>
      <c r="I1137" s="8">
        <v>93.11</v>
      </c>
      <c r="J1137" s="3">
        <v>45875</v>
      </c>
      <c r="K1137" s="14">
        <v>43</v>
      </c>
      <c r="L1137" s="17">
        <v>2.8</v>
      </c>
      <c r="M1137" s="2" t="b">
        <v>0</v>
      </c>
      <c r="N1137" s="2"/>
      <c r="O1137" s="2" t="str">
        <f>IF(Table1[[#This Row],[is_returned]]=TRUE,IF(Table1[[#This Row],[return_reason]]="","Error","OK"),"OK")</f>
        <v>OK</v>
      </c>
      <c r="P1137" s="8">
        <f>Table1[[#This Row],[original_price]]*Table1[[#This Row],[markdown_percentage]]/100</f>
        <v>0</v>
      </c>
      <c r="Q113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137" s="25">
        <f>Table1[[#This Row],[current_price]]*Table1[[#This Row],[stock_quantity]]</f>
        <v>4003.73</v>
      </c>
    </row>
    <row r="1138" spans="1:18" x14ac:dyDescent="0.25">
      <c r="A1138" s="2" t="s">
        <v>1191</v>
      </c>
      <c r="B1138" s="2" t="s">
        <v>21</v>
      </c>
      <c r="C1138" s="2" t="s">
        <v>16</v>
      </c>
      <c r="D1138" s="2" t="s">
        <v>23</v>
      </c>
      <c r="E1138" s="2" t="s">
        <v>39</v>
      </c>
      <c r="F1138" s="2" t="s">
        <v>44</v>
      </c>
      <c r="G1138" s="8">
        <v>84.85</v>
      </c>
      <c r="H1138" s="11">
        <v>8.8000000000000007</v>
      </c>
      <c r="I1138" s="8">
        <v>77.38</v>
      </c>
      <c r="J1138" s="3">
        <v>45875</v>
      </c>
      <c r="K1138" s="14">
        <v>19</v>
      </c>
      <c r="L1138" s="17">
        <v>4.0999999999999996</v>
      </c>
      <c r="M1138" s="2" t="b">
        <v>1</v>
      </c>
      <c r="N1138" s="2" t="s">
        <v>115</v>
      </c>
      <c r="O1138" s="2" t="str">
        <f>IF(Table1[[#This Row],[is_returned]]=TRUE,IF(Table1[[#This Row],[return_reason]]="","Error","OK"),"OK")</f>
        <v>OK</v>
      </c>
      <c r="P1138" s="8">
        <f>Table1[[#This Row],[original_price]]*Table1[[#This Row],[markdown_percentage]]/100</f>
        <v>7.466800000000001</v>
      </c>
      <c r="Q113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138" s="25">
        <f>Table1[[#This Row],[current_price]]*Table1[[#This Row],[stock_quantity]]</f>
        <v>1470.2199999999998</v>
      </c>
    </row>
    <row r="1139" spans="1:18" x14ac:dyDescent="0.25">
      <c r="A1139" s="2" t="s">
        <v>1192</v>
      </c>
      <c r="B1139" s="2" t="s">
        <v>30</v>
      </c>
      <c r="C1139" s="2" t="s">
        <v>22</v>
      </c>
      <c r="D1139" s="2" t="s">
        <v>17</v>
      </c>
      <c r="E1139" s="2" t="s">
        <v>58</v>
      </c>
      <c r="F1139" s="2" t="s">
        <v>46</v>
      </c>
      <c r="G1139" s="8">
        <v>138.41</v>
      </c>
      <c r="H1139" s="11">
        <v>0</v>
      </c>
      <c r="I1139" s="8">
        <v>138.41</v>
      </c>
      <c r="J1139" s="3">
        <v>45613</v>
      </c>
      <c r="K1139" s="14">
        <v>40</v>
      </c>
      <c r="L1139" s="17">
        <v>3.1</v>
      </c>
      <c r="M1139" s="2" t="b">
        <v>0</v>
      </c>
      <c r="N1139" s="2"/>
      <c r="O1139" s="2" t="str">
        <f>IF(Table1[[#This Row],[is_returned]]=TRUE,IF(Table1[[#This Row],[return_reason]]="","Error","OK"),"OK")</f>
        <v>OK</v>
      </c>
      <c r="P1139" s="8">
        <f>Table1[[#This Row],[original_price]]*Table1[[#This Row],[markdown_percentage]]/100</f>
        <v>0</v>
      </c>
      <c r="Q113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139" s="25">
        <f>Table1[[#This Row],[current_price]]*Table1[[#This Row],[stock_quantity]]</f>
        <v>5536.4</v>
      </c>
    </row>
    <row r="1140" spans="1:18" x14ac:dyDescent="0.25">
      <c r="A1140" s="2" t="s">
        <v>1193</v>
      </c>
      <c r="B1140" s="2" t="s">
        <v>27</v>
      </c>
      <c r="C1140" s="2" t="s">
        <v>16</v>
      </c>
      <c r="D1140" s="2" t="s">
        <v>34</v>
      </c>
      <c r="E1140" s="2"/>
      <c r="F1140" s="2" t="s">
        <v>25</v>
      </c>
      <c r="G1140" s="8">
        <v>20.190000000000001</v>
      </c>
      <c r="H1140" s="11">
        <v>21.6</v>
      </c>
      <c r="I1140" s="8">
        <v>15.83</v>
      </c>
      <c r="J1140" s="3">
        <v>45875</v>
      </c>
      <c r="K1140" s="14">
        <v>45</v>
      </c>
      <c r="L1140" s="17">
        <v>4.4000000000000004</v>
      </c>
      <c r="M1140" s="2" t="b">
        <v>1</v>
      </c>
      <c r="N1140" s="2" t="s">
        <v>115</v>
      </c>
      <c r="O1140" s="2" t="str">
        <f>IF(Table1[[#This Row],[is_returned]]=TRUE,IF(Table1[[#This Row],[return_reason]]="","Error","OK"),"OK")</f>
        <v>OK</v>
      </c>
      <c r="P1140" s="8">
        <f>Table1[[#This Row],[original_price]]*Table1[[#This Row],[markdown_percentage]]/100</f>
        <v>4.36104</v>
      </c>
      <c r="Q114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140" s="25">
        <f>Table1[[#This Row],[current_price]]*Table1[[#This Row],[stock_quantity]]</f>
        <v>712.35</v>
      </c>
    </row>
    <row r="1141" spans="1:18" x14ac:dyDescent="0.25">
      <c r="A1141" s="2" t="s">
        <v>1194</v>
      </c>
      <c r="B1141" s="2" t="s">
        <v>42</v>
      </c>
      <c r="C1141" s="2" t="s">
        <v>32</v>
      </c>
      <c r="D1141" s="2" t="s">
        <v>34</v>
      </c>
      <c r="E1141" s="2" t="s">
        <v>58</v>
      </c>
      <c r="F1141" s="2" t="s">
        <v>40</v>
      </c>
      <c r="G1141" s="8">
        <v>124.17</v>
      </c>
      <c r="H1141" s="11">
        <v>37.6</v>
      </c>
      <c r="I1141" s="8">
        <v>77.48</v>
      </c>
      <c r="J1141" s="3">
        <v>45875</v>
      </c>
      <c r="K1141" s="14">
        <v>24</v>
      </c>
      <c r="L1141" s="17">
        <v>2.2999999999999998</v>
      </c>
      <c r="M1141" s="2" t="b">
        <v>0</v>
      </c>
      <c r="N1141" s="2"/>
      <c r="O1141" s="2" t="str">
        <f>IF(Table1[[#This Row],[is_returned]]=TRUE,IF(Table1[[#This Row],[return_reason]]="","Error","OK"),"OK")</f>
        <v>OK</v>
      </c>
      <c r="P1141" s="8">
        <f>Table1[[#This Row],[original_price]]*Table1[[#This Row],[markdown_percentage]]/100</f>
        <v>46.687920000000005</v>
      </c>
      <c r="Q114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141" s="25">
        <f>Table1[[#This Row],[current_price]]*Table1[[#This Row],[stock_quantity]]</f>
        <v>1859.52</v>
      </c>
    </row>
    <row r="1142" spans="1:18" x14ac:dyDescent="0.25">
      <c r="A1142" s="2" t="s">
        <v>1195</v>
      </c>
      <c r="B1142" s="2" t="s">
        <v>15</v>
      </c>
      <c r="C1142" s="2" t="s">
        <v>32</v>
      </c>
      <c r="D1142" s="2" t="s">
        <v>17</v>
      </c>
      <c r="E1142" s="2" t="s">
        <v>24</v>
      </c>
      <c r="F1142" s="2" t="s">
        <v>19</v>
      </c>
      <c r="G1142" s="8">
        <v>133.91999999999999</v>
      </c>
      <c r="H1142" s="11">
        <v>0</v>
      </c>
      <c r="I1142" s="8">
        <v>133.91999999999999</v>
      </c>
      <c r="J1142" s="3">
        <v>45760</v>
      </c>
      <c r="K1142" s="14">
        <v>41</v>
      </c>
      <c r="L1142" s="17">
        <v>2.8</v>
      </c>
      <c r="M1142" s="2" t="b">
        <v>0</v>
      </c>
      <c r="N1142" s="2"/>
      <c r="O1142" s="2" t="str">
        <f>IF(Table1[[#This Row],[is_returned]]=TRUE,IF(Table1[[#This Row],[return_reason]]="","Error","OK"),"OK")</f>
        <v>OK</v>
      </c>
      <c r="P1142" s="8">
        <f>Table1[[#This Row],[original_price]]*Table1[[#This Row],[markdown_percentage]]/100</f>
        <v>0</v>
      </c>
      <c r="Q114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142" s="25">
        <f>Table1[[#This Row],[current_price]]*Table1[[#This Row],[stock_quantity]]</f>
        <v>5490.7199999999993</v>
      </c>
    </row>
    <row r="1143" spans="1:18" x14ac:dyDescent="0.25">
      <c r="A1143" s="2" t="s">
        <v>1196</v>
      </c>
      <c r="B1143" s="2" t="s">
        <v>27</v>
      </c>
      <c r="C1143" s="2" t="s">
        <v>32</v>
      </c>
      <c r="D1143" s="2" t="s">
        <v>17</v>
      </c>
      <c r="E1143" s="2"/>
      <c r="F1143" s="2" t="s">
        <v>40</v>
      </c>
      <c r="G1143" s="8">
        <v>77.78</v>
      </c>
      <c r="H1143" s="11">
        <v>0</v>
      </c>
      <c r="I1143" s="8">
        <v>77.78</v>
      </c>
      <c r="J1143" s="3">
        <v>45845</v>
      </c>
      <c r="K1143" s="14">
        <v>23</v>
      </c>
      <c r="L1143" s="17">
        <v>2.5</v>
      </c>
      <c r="M1143" s="2" t="b">
        <v>1</v>
      </c>
      <c r="N1143" s="2" t="s">
        <v>73</v>
      </c>
      <c r="O1143" s="2" t="str">
        <f>IF(Table1[[#This Row],[is_returned]]=TRUE,IF(Table1[[#This Row],[return_reason]]="","Error","OK"),"OK")</f>
        <v>OK</v>
      </c>
      <c r="P1143" s="8">
        <f>Table1[[#This Row],[original_price]]*Table1[[#This Row],[markdown_percentage]]/100</f>
        <v>0</v>
      </c>
      <c r="Q114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143" s="25">
        <f>Table1[[#This Row],[current_price]]*Table1[[#This Row],[stock_quantity]]</f>
        <v>1788.94</v>
      </c>
    </row>
    <row r="1144" spans="1:18" x14ac:dyDescent="0.25">
      <c r="A1144" s="2" t="s">
        <v>1197</v>
      </c>
      <c r="B1144" s="2" t="s">
        <v>42</v>
      </c>
      <c r="C1144" s="2" t="s">
        <v>43</v>
      </c>
      <c r="D1144" s="2" t="s">
        <v>23</v>
      </c>
      <c r="E1144" s="2" t="s">
        <v>49</v>
      </c>
      <c r="F1144" s="2" t="s">
        <v>70</v>
      </c>
      <c r="G1144" s="8">
        <v>157.69</v>
      </c>
      <c r="H1144" s="11">
        <v>35.9</v>
      </c>
      <c r="I1144" s="8">
        <v>101.08</v>
      </c>
      <c r="J1144" s="3">
        <v>45875</v>
      </c>
      <c r="K1144" s="14">
        <v>6</v>
      </c>
      <c r="L1144" s="17">
        <v>1</v>
      </c>
      <c r="M1144" s="2" t="b">
        <v>0</v>
      </c>
      <c r="N1144" s="2"/>
      <c r="O1144" s="2" t="str">
        <f>IF(Table1[[#This Row],[is_returned]]=TRUE,IF(Table1[[#This Row],[return_reason]]="","Error","OK"),"OK")</f>
        <v>OK</v>
      </c>
      <c r="P1144" s="8">
        <f>Table1[[#This Row],[original_price]]*Table1[[#This Row],[markdown_percentage]]/100</f>
        <v>56.610709999999997</v>
      </c>
      <c r="Q114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144" s="25">
        <f>Table1[[#This Row],[current_price]]*Table1[[#This Row],[stock_quantity]]</f>
        <v>606.48</v>
      </c>
    </row>
    <row r="1145" spans="1:18" x14ac:dyDescent="0.25">
      <c r="A1145" s="2" t="s">
        <v>1198</v>
      </c>
      <c r="B1145" s="2" t="s">
        <v>21</v>
      </c>
      <c r="C1145" s="2" t="s">
        <v>16</v>
      </c>
      <c r="D1145" s="2" t="s">
        <v>23</v>
      </c>
      <c r="E1145" s="2" t="s">
        <v>24</v>
      </c>
      <c r="F1145" s="2" t="s">
        <v>28</v>
      </c>
      <c r="G1145" s="8">
        <v>99.57</v>
      </c>
      <c r="H1145" s="11">
        <v>0</v>
      </c>
      <c r="I1145" s="8">
        <v>99.57</v>
      </c>
      <c r="J1145" s="3">
        <v>45875</v>
      </c>
      <c r="K1145" s="14">
        <v>17</v>
      </c>
      <c r="L1145" s="17">
        <v>1</v>
      </c>
      <c r="M1145" s="2" t="b">
        <v>0</v>
      </c>
      <c r="N1145" s="2"/>
      <c r="O1145" s="2" t="str">
        <f>IF(Table1[[#This Row],[is_returned]]=TRUE,IF(Table1[[#This Row],[return_reason]]="","Error","OK"),"OK")</f>
        <v>OK</v>
      </c>
      <c r="P1145" s="8">
        <f>Table1[[#This Row],[original_price]]*Table1[[#This Row],[markdown_percentage]]/100</f>
        <v>0</v>
      </c>
      <c r="Q114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145" s="25">
        <f>Table1[[#This Row],[current_price]]*Table1[[#This Row],[stock_quantity]]</f>
        <v>1692.6899999999998</v>
      </c>
    </row>
    <row r="1146" spans="1:18" x14ac:dyDescent="0.25">
      <c r="A1146" s="2" t="s">
        <v>1199</v>
      </c>
      <c r="B1146" s="2" t="s">
        <v>27</v>
      </c>
      <c r="C1146" s="2" t="s">
        <v>16</v>
      </c>
      <c r="D1146" s="2" t="s">
        <v>62</v>
      </c>
      <c r="E1146" s="2"/>
      <c r="F1146" s="2" t="s">
        <v>70</v>
      </c>
      <c r="G1146" s="8">
        <v>43.61</v>
      </c>
      <c r="H1146" s="11">
        <v>33.299999999999997</v>
      </c>
      <c r="I1146" s="8">
        <v>29.09</v>
      </c>
      <c r="J1146" s="3">
        <v>45875</v>
      </c>
      <c r="K1146" s="14">
        <v>47</v>
      </c>
      <c r="L1146" s="17">
        <v>2.5</v>
      </c>
      <c r="M1146" s="2" t="b">
        <v>0</v>
      </c>
      <c r="N1146" s="2"/>
      <c r="O1146" s="2" t="str">
        <f>IF(Table1[[#This Row],[is_returned]]=TRUE,IF(Table1[[#This Row],[return_reason]]="","Error","OK"),"OK")</f>
        <v>OK</v>
      </c>
      <c r="P1146" s="8">
        <f>Table1[[#This Row],[original_price]]*Table1[[#This Row],[markdown_percentage]]/100</f>
        <v>14.522129999999999</v>
      </c>
      <c r="Q114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146" s="25">
        <f>Table1[[#This Row],[current_price]]*Table1[[#This Row],[stock_quantity]]</f>
        <v>1367.23</v>
      </c>
    </row>
    <row r="1147" spans="1:18" x14ac:dyDescent="0.25">
      <c r="A1147" s="2" t="s">
        <v>1200</v>
      </c>
      <c r="B1147" s="2" t="s">
        <v>15</v>
      </c>
      <c r="C1147" s="2" t="s">
        <v>61</v>
      </c>
      <c r="D1147" s="2" t="s">
        <v>23</v>
      </c>
      <c r="E1147" s="2" t="s">
        <v>58</v>
      </c>
      <c r="F1147" s="2" t="s">
        <v>70</v>
      </c>
      <c r="G1147" s="8">
        <v>88.87</v>
      </c>
      <c r="H1147" s="11">
        <v>0</v>
      </c>
      <c r="I1147" s="8">
        <v>88.87</v>
      </c>
      <c r="J1147" s="3">
        <v>45875</v>
      </c>
      <c r="K1147" s="14">
        <v>27</v>
      </c>
      <c r="L1147" s="17">
        <v>2.4</v>
      </c>
      <c r="M1147" s="2" t="b">
        <v>0</v>
      </c>
      <c r="N1147" s="2"/>
      <c r="O1147" s="2" t="str">
        <f>IF(Table1[[#This Row],[is_returned]]=TRUE,IF(Table1[[#This Row],[return_reason]]="","Error","OK"),"OK")</f>
        <v>OK</v>
      </c>
      <c r="P1147" s="8">
        <f>Table1[[#This Row],[original_price]]*Table1[[#This Row],[markdown_percentage]]/100</f>
        <v>0</v>
      </c>
      <c r="Q114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147" s="25">
        <f>Table1[[#This Row],[current_price]]*Table1[[#This Row],[stock_quantity]]</f>
        <v>2399.4900000000002</v>
      </c>
    </row>
    <row r="1148" spans="1:18" x14ac:dyDescent="0.25">
      <c r="A1148" s="2" t="s">
        <v>1201</v>
      </c>
      <c r="B1148" s="2" t="s">
        <v>38</v>
      </c>
      <c r="C1148" s="2" t="s">
        <v>75</v>
      </c>
      <c r="D1148" s="2" t="s">
        <v>34</v>
      </c>
      <c r="E1148" s="2" t="s">
        <v>58</v>
      </c>
      <c r="F1148" s="2" t="s">
        <v>35</v>
      </c>
      <c r="G1148" s="8">
        <v>112.6</v>
      </c>
      <c r="H1148" s="11">
        <v>19.8</v>
      </c>
      <c r="I1148" s="8">
        <v>90.31</v>
      </c>
      <c r="J1148" s="3">
        <v>45875</v>
      </c>
      <c r="K1148" s="14">
        <v>2</v>
      </c>
      <c r="L1148" s="17">
        <v>1</v>
      </c>
      <c r="M1148" s="2" t="b">
        <v>0</v>
      </c>
      <c r="N1148" s="2"/>
      <c r="O1148" s="2" t="str">
        <f>IF(Table1[[#This Row],[is_returned]]=TRUE,IF(Table1[[#This Row],[return_reason]]="","Error","OK"),"OK")</f>
        <v>OK</v>
      </c>
      <c r="P1148" s="8">
        <f>Table1[[#This Row],[original_price]]*Table1[[#This Row],[markdown_percentage]]/100</f>
        <v>22.294799999999999</v>
      </c>
      <c r="Q114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148" s="25">
        <f>Table1[[#This Row],[current_price]]*Table1[[#This Row],[stock_quantity]]</f>
        <v>180.62</v>
      </c>
    </row>
    <row r="1149" spans="1:18" x14ac:dyDescent="0.25">
      <c r="A1149" s="2" t="s">
        <v>1202</v>
      </c>
      <c r="B1149" s="2" t="s">
        <v>21</v>
      </c>
      <c r="C1149" s="2" t="s">
        <v>22</v>
      </c>
      <c r="D1149" s="2" t="s">
        <v>34</v>
      </c>
      <c r="E1149" s="2" t="s">
        <v>18</v>
      </c>
      <c r="F1149" s="2" t="s">
        <v>46</v>
      </c>
      <c r="G1149" s="8">
        <v>33.35</v>
      </c>
      <c r="H1149" s="11">
        <v>0</v>
      </c>
      <c r="I1149" s="8">
        <v>33.35</v>
      </c>
      <c r="J1149" s="3">
        <v>45875</v>
      </c>
      <c r="K1149" s="14">
        <v>29</v>
      </c>
      <c r="L1149" s="17">
        <v>1.2</v>
      </c>
      <c r="M1149" s="2" t="b">
        <v>0</v>
      </c>
      <c r="N1149" s="2"/>
      <c r="O1149" s="2" t="str">
        <f>IF(Table1[[#This Row],[is_returned]]=TRUE,IF(Table1[[#This Row],[return_reason]]="","Error","OK"),"OK")</f>
        <v>OK</v>
      </c>
      <c r="P1149" s="8">
        <f>Table1[[#This Row],[original_price]]*Table1[[#This Row],[markdown_percentage]]/100</f>
        <v>0</v>
      </c>
      <c r="Q114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149" s="25">
        <f>Table1[[#This Row],[current_price]]*Table1[[#This Row],[stock_quantity]]</f>
        <v>967.15000000000009</v>
      </c>
    </row>
    <row r="1150" spans="1:18" x14ac:dyDescent="0.25">
      <c r="A1150" s="2" t="s">
        <v>1203</v>
      </c>
      <c r="B1150" s="2" t="s">
        <v>38</v>
      </c>
      <c r="C1150" s="2" t="s">
        <v>75</v>
      </c>
      <c r="D1150" s="2" t="s">
        <v>34</v>
      </c>
      <c r="E1150" s="2" t="s">
        <v>24</v>
      </c>
      <c r="F1150" s="2" t="s">
        <v>64</v>
      </c>
      <c r="G1150" s="8">
        <v>115.82</v>
      </c>
      <c r="H1150" s="11">
        <v>2.9</v>
      </c>
      <c r="I1150" s="8">
        <v>112.46</v>
      </c>
      <c r="J1150" s="3">
        <v>45875</v>
      </c>
      <c r="K1150" s="14">
        <v>46</v>
      </c>
      <c r="L1150" s="17"/>
      <c r="M1150" s="2" t="b">
        <v>0</v>
      </c>
      <c r="N1150" s="2"/>
      <c r="O1150" s="2" t="str">
        <f>IF(Table1[[#This Row],[is_returned]]=TRUE,IF(Table1[[#This Row],[return_reason]]="","Error","OK"),"OK")</f>
        <v>OK</v>
      </c>
      <c r="P1150" s="8">
        <f>Table1[[#This Row],[original_price]]*Table1[[#This Row],[markdown_percentage]]/100</f>
        <v>3.3587799999999999</v>
      </c>
      <c r="Q115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150" s="25">
        <f>Table1[[#This Row],[current_price]]*Table1[[#This Row],[stock_quantity]]</f>
        <v>5173.16</v>
      </c>
    </row>
    <row r="1151" spans="1:18" x14ac:dyDescent="0.25">
      <c r="A1151" s="2" t="s">
        <v>1204</v>
      </c>
      <c r="B1151" s="2" t="s">
        <v>21</v>
      </c>
      <c r="C1151" s="2" t="s">
        <v>32</v>
      </c>
      <c r="D1151" s="2" t="s">
        <v>34</v>
      </c>
      <c r="E1151" s="2" t="s">
        <v>18</v>
      </c>
      <c r="F1151" s="2" t="s">
        <v>35</v>
      </c>
      <c r="G1151" s="8">
        <v>107.79</v>
      </c>
      <c r="H1151" s="11">
        <v>3.1</v>
      </c>
      <c r="I1151" s="8">
        <v>104.45</v>
      </c>
      <c r="J1151" s="3">
        <v>45875</v>
      </c>
      <c r="K1151" s="14">
        <v>6</v>
      </c>
      <c r="L1151" s="17">
        <v>2.8</v>
      </c>
      <c r="M1151" s="2" t="b">
        <v>0</v>
      </c>
      <c r="N1151" s="2"/>
      <c r="O1151" s="2" t="str">
        <f>IF(Table1[[#This Row],[is_returned]]=TRUE,IF(Table1[[#This Row],[return_reason]]="","Error","OK"),"OK")</f>
        <v>OK</v>
      </c>
      <c r="P1151" s="8">
        <f>Table1[[#This Row],[original_price]]*Table1[[#This Row],[markdown_percentage]]/100</f>
        <v>3.3414899999999998</v>
      </c>
      <c r="Q115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151" s="25">
        <f>Table1[[#This Row],[current_price]]*Table1[[#This Row],[stock_quantity]]</f>
        <v>626.70000000000005</v>
      </c>
    </row>
    <row r="1152" spans="1:18" x14ac:dyDescent="0.25">
      <c r="A1152" s="2" t="s">
        <v>1205</v>
      </c>
      <c r="B1152" s="2" t="s">
        <v>21</v>
      </c>
      <c r="C1152" s="2" t="s">
        <v>48</v>
      </c>
      <c r="D1152" s="2" t="s">
        <v>62</v>
      </c>
      <c r="E1152" s="2" t="s">
        <v>39</v>
      </c>
      <c r="F1152" s="2" t="s">
        <v>35</v>
      </c>
      <c r="G1152" s="8">
        <v>53.87</v>
      </c>
      <c r="H1152" s="11">
        <v>0</v>
      </c>
      <c r="I1152" s="8">
        <v>53.87</v>
      </c>
      <c r="J1152" s="3">
        <v>45875</v>
      </c>
      <c r="K1152" s="14">
        <v>50</v>
      </c>
      <c r="L1152" s="17">
        <v>4.2</v>
      </c>
      <c r="M1152" s="2" t="b">
        <v>1</v>
      </c>
      <c r="N1152" s="2" t="s">
        <v>78</v>
      </c>
      <c r="O1152" s="2" t="str">
        <f>IF(Table1[[#This Row],[is_returned]]=TRUE,IF(Table1[[#This Row],[return_reason]]="","Error","OK"),"OK")</f>
        <v>OK</v>
      </c>
      <c r="P1152" s="8">
        <f>Table1[[#This Row],[original_price]]*Table1[[#This Row],[markdown_percentage]]/100</f>
        <v>0</v>
      </c>
      <c r="Q115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152" s="25">
        <f>Table1[[#This Row],[current_price]]*Table1[[#This Row],[stock_quantity]]</f>
        <v>2693.5</v>
      </c>
    </row>
    <row r="1153" spans="1:18" x14ac:dyDescent="0.25">
      <c r="A1153" s="2" t="s">
        <v>1206</v>
      </c>
      <c r="B1153" s="2" t="s">
        <v>21</v>
      </c>
      <c r="C1153" s="2" t="s">
        <v>61</v>
      </c>
      <c r="D1153" s="2" t="s">
        <v>17</v>
      </c>
      <c r="E1153" s="2" t="s">
        <v>55</v>
      </c>
      <c r="F1153" s="2" t="s">
        <v>46</v>
      </c>
      <c r="G1153" s="8">
        <v>72.5</v>
      </c>
      <c r="H1153" s="11">
        <v>40.799999999999997</v>
      </c>
      <c r="I1153" s="8">
        <v>42.92</v>
      </c>
      <c r="J1153" s="3">
        <v>45656</v>
      </c>
      <c r="K1153" s="14">
        <v>23</v>
      </c>
      <c r="L1153" s="17">
        <v>4.4000000000000004</v>
      </c>
      <c r="M1153" s="2" t="b">
        <v>0</v>
      </c>
      <c r="N1153" s="2"/>
      <c r="O1153" s="2" t="str">
        <f>IF(Table1[[#This Row],[is_returned]]=TRUE,IF(Table1[[#This Row],[return_reason]]="","Error","OK"),"OK")</f>
        <v>OK</v>
      </c>
      <c r="P1153" s="8">
        <f>Table1[[#This Row],[original_price]]*Table1[[#This Row],[markdown_percentage]]/100</f>
        <v>29.58</v>
      </c>
      <c r="Q115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153" s="25">
        <f>Table1[[#This Row],[current_price]]*Table1[[#This Row],[stock_quantity]]</f>
        <v>987.16000000000008</v>
      </c>
    </row>
    <row r="1154" spans="1:18" x14ac:dyDescent="0.25">
      <c r="A1154" s="2" t="s">
        <v>1207</v>
      </c>
      <c r="B1154" s="2" t="s">
        <v>30</v>
      </c>
      <c r="C1154" s="2" t="s">
        <v>61</v>
      </c>
      <c r="D1154" s="2" t="s">
        <v>17</v>
      </c>
      <c r="E1154" s="2" t="s">
        <v>39</v>
      </c>
      <c r="F1154" s="2" t="s">
        <v>40</v>
      </c>
      <c r="G1154" s="8">
        <v>152.32</v>
      </c>
      <c r="H1154" s="11">
        <v>0</v>
      </c>
      <c r="I1154" s="8">
        <v>152.32</v>
      </c>
      <c r="J1154" s="3">
        <v>45817</v>
      </c>
      <c r="K1154" s="14">
        <v>15</v>
      </c>
      <c r="L1154" s="17"/>
      <c r="M1154" s="2" t="b">
        <v>0</v>
      </c>
      <c r="N1154" s="2"/>
      <c r="O1154" s="2" t="str">
        <f>IF(Table1[[#This Row],[is_returned]]=TRUE,IF(Table1[[#This Row],[return_reason]]="","Error","OK"),"OK")</f>
        <v>OK</v>
      </c>
      <c r="P1154" s="8">
        <f>Table1[[#This Row],[original_price]]*Table1[[#This Row],[markdown_percentage]]/100</f>
        <v>0</v>
      </c>
      <c r="Q115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154" s="25">
        <f>Table1[[#This Row],[current_price]]*Table1[[#This Row],[stock_quantity]]</f>
        <v>2284.7999999999997</v>
      </c>
    </row>
    <row r="1155" spans="1:18" x14ac:dyDescent="0.25">
      <c r="A1155" s="2" t="s">
        <v>1208</v>
      </c>
      <c r="B1155" s="2" t="s">
        <v>42</v>
      </c>
      <c r="C1155" s="2" t="s">
        <v>48</v>
      </c>
      <c r="D1155" s="2" t="s">
        <v>23</v>
      </c>
      <c r="E1155" s="2" t="s">
        <v>58</v>
      </c>
      <c r="F1155" s="2" t="s">
        <v>19</v>
      </c>
      <c r="G1155" s="8">
        <v>67.63</v>
      </c>
      <c r="H1155" s="11">
        <v>0</v>
      </c>
      <c r="I1155" s="8">
        <v>67.63</v>
      </c>
      <c r="J1155" s="3">
        <v>45875</v>
      </c>
      <c r="K1155" s="14">
        <v>9</v>
      </c>
      <c r="L1155" s="17">
        <v>4.7</v>
      </c>
      <c r="M1155" s="2" t="b">
        <v>0</v>
      </c>
      <c r="N1155" s="2"/>
      <c r="O1155" s="2" t="str">
        <f>IF(Table1[[#This Row],[is_returned]]=TRUE,IF(Table1[[#This Row],[return_reason]]="","Error","OK"),"OK")</f>
        <v>OK</v>
      </c>
      <c r="P1155" s="8">
        <f>Table1[[#This Row],[original_price]]*Table1[[#This Row],[markdown_percentage]]/100</f>
        <v>0</v>
      </c>
      <c r="Q115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155" s="25">
        <f>Table1[[#This Row],[current_price]]*Table1[[#This Row],[stock_quantity]]</f>
        <v>608.66999999999996</v>
      </c>
    </row>
    <row r="1156" spans="1:18" x14ac:dyDescent="0.25">
      <c r="A1156" s="2" t="s">
        <v>1209</v>
      </c>
      <c r="B1156" s="2" t="s">
        <v>15</v>
      </c>
      <c r="C1156" s="2" t="s">
        <v>22</v>
      </c>
      <c r="D1156" s="2" t="s">
        <v>62</v>
      </c>
      <c r="E1156" s="2" t="s">
        <v>55</v>
      </c>
      <c r="F1156" s="2" t="s">
        <v>66</v>
      </c>
      <c r="G1156" s="8">
        <v>221.94</v>
      </c>
      <c r="H1156" s="11">
        <v>0</v>
      </c>
      <c r="I1156" s="8">
        <v>221.94</v>
      </c>
      <c r="J1156" s="3">
        <v>45875</v>
      </c>
      <c r="K1156" s="14">
        <v>35</v>
      </c>
      <c r="L1156" s="17">
        <v>1.5</v>
      </c>
      <c r="M1156" s="2" t="b">
        <v>0</v>
      </c>
      <c r="N1156" s="2"/>
      <c r="O1156" s="2" t="str">
        <f>IF(Table1[[#This Row],[is_returned]]=TRUE,IF(Table1[[#This Row],[return_reason]]="","Error","OK"),"OK")</f>
        <v>OK</v>
      </c>
      <c r="P1156" s="8">
        <f>Table1[[#This Row],[original_price]]*Table1[[#This Row],[markdown_percentage]]/100</f>
        <v>0</v>
      </c>
      <c r="Q115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156" s="25">
        <f>Table1[[#This Row],[current_price]]*Table1[[#This Row],[stock_quantity]]</f>
        <v>7767.9</v>
      </c>
    </row>
    <row r="1157" spans="1:18" x14ac:dyDescent="0.25">
      <c r="A1157" s="2" t="s">
        <v>1210</v>
      </c>
      <c r="B1157" s="2" t="s">
        <v>38</v>
      </c>
      <c r="C1157" s="2" t="s">
        <v>16</v>
      </c>
      <c r="D1157" s="2" t="s">
        <v>34</v>
      </c>
      <c r="E1157" s="2" t="s">
        <v>55</v>
      </c>
      <c r="F1157" s="2" t="s">
        <v>25</v>
      </c>
      <c r="G1157" s="8">
        <v>118.77</v>
      </c>
      <c r="H1157" s="11">
        <v>8.4</v>
      </c>
      <c r="I1157" s="8">
        <v>108.79</v>
      </c>
      <c r="J1157" s="3">
        <v>45875</v>
      </c>
      <c r="K1157" s="14">
        <v>30</v>
      </c>
      <c r="L1157" s="17">
        <v>4.5999999999999996</v>
      </c>
      <c r="M1157" s="2" t="b">
        <v>1</v>
      </c>
      <c r="N1157" s="2" t="s">
        <v>125</v>
      </c>
      <c r="O1157" s="2" t="str">
        <f>IF(Table1[[#This Row],[is_returned]]=TRUE,IF(Table1[[#This Row],[return_reason]]="","Error","OK"),"OK")</f>
        <v>OK</v>
      </c>
      <c r="P1157" s="8">
        <f>Table1[[#This Row],[original_price]]*Table1[[#This Row],[markdown_percentage]]/100</f>
        <v>9.97668</v>
      </c>
      <c r="Q115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157" s="25">
        <f>Table1[[#This Row],[current_price]]*Table1[[#This Row],[stock_quantity]]</f>
        <v>3263.7000000000003</v>
      </c>
    </row>
    <row r="1158" spans="1:18" x14ac:dyDescent="0.25">
      <c r="A1158" s="2" t="s">
        <v>1211</v>
      </c>
      <c r="B1158" s="2" t="s">
        <v>21</v>
      </c>
      <c r="C1158" s="2" t="s">
        <v>75</v>
      </c>
      <c r="D1158" s="2" t="s">
        <v>34</v>
      </c>
      <c r="E1158" s="2" t="s">
        <v>55</v>
      </c>
      <c r="F1158" s="2" t="s">
        <v>46</v>
      </c>
      <c r="G1158" s="8">
        <v>100.17</v>
      </c>
      <c r="H1158" s="11">
        <v>0</v>
      </c>
      <c r="I1158" s="8">
        <v>100.17</v>
      </c>
      <c r="J1158" s="3">
        <v>45875</v>
      </c>
      <c r="K1158" s="14">
        <v>18</v>
      </c>
      <c r="L1158" s="17">
        <v>1.2</v>
      </c>
      <c r="M1158" s="2" t="b">
        <v>0</v>
      </c>
      <c r="N1158" s="2"/>
      <c r="O1158" s="2" t="str">
        <f>IF(Table1[[#This Row],[is_returned]]=TRUE,IF(Table1[[#This Row],[return_reason]]="","Error","OK"),"OK")</f>
        <v>OK</v>
      </c>
      <c r="P1158" s="8">
        <f>Table1[[#This Row],[original_price]]*Table1[[#This Row],[markdown_percentage]]/100</f>
        <v>0</v>
      </c>
      <c r="Q115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158" s="25">
        <f>Table1[[#This Row],[current_price]]*Table1[[#This Row],[stock_quantity]]</f>
        <v>1803.06</v>
      </c>
    </row>
    <row r="1159" spans="1:18" x14ac:dyDescent="0.25">
      <c r="A1159" s="2" t="s">
        <v>1212</v>
      </c>
      <c r="B1159" s="2" t="s">
        <v>27</v>
      </c>
      <c r="C1159" s="2" t="s">
        <v>32</v>
      </c>
      <c r="D1159" s="2" t="s">
        <v>62</v>
      </c>
      <c r="E1159" s="2"/>
      <c r="F1159" s="2" t="s">
        <v>35</v>
      </c>
      <c r="G1159" s="8">
        <v>18.45</v>
      </c>
      <c r="H1159" s="11">
        <v>0</v>
      </c>
      <c r="I1159" s="8">
        <v>18.45</v>
      </c>
      <c r="J1159" s="3">
        <v>45875</v>
      </c>
      <c r="K1159" s="14">
        <v>39</v>
      </c>
      <c r="L1159" s="17">
        <v>2.2000000000000002</v>
      </c>
      <c r="M1159" s="2" t="b">
        <v>0</v>
      </c>
      <c r="N1159" s="2"/>
      <c r="O1159" s="2" t="str">
        <f>IF(Table1[[#This Row],[is_returned]]=TRUE,IF(Table1[[#This Row],[return_reason]]="","Error","OK"),"OK")</f>
        <v>OK</v>
      </c>
      <c r="P1159" s="8">
        <f>Table1[[#This Row],[original_price]]*Table1[[#This Row],[markdown_percentage]]/100</f>
        <v>0</v>
      </c>
      <c r="Q115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159" s="25">
        <f>Table1[[#This Row],[current_price]]*Table1[[#This Row],[stock_quantity]]</f>
        <v>719.55</v>
      </c>
    </row>
    <row r="1160" spans="1:18" x14ac:dyDescent="0.25">
      <c r="A1160" s="2" t="s">
        <v>1213</v>
      </c>
      <c r="B1160" s="2" t="s">
        <v>27</v>
      </c>
      <c r="C1160" s="2" t="s">
        <v>61</v>
      </c>
      <c r="D1160" s="2" t="s">
        <v>62</v>
      </c>
      <c r="E1160" s="2"/>
      <c r="F1160" s="2" t="s">
        <v>66</v>
      </c>
      <c r="G1160" s="8">
        <v>45.56</v>
      </c>
      <c r="H1160" s="11">
        <v>13.5</v>
      </c>
      <c r="I1160" s="8">
        <v>39.409999999999997</v>
      </c>
      <c r="J1160" s="3">
        <v>45875</v>
      </c>
      <c r="K1160" s="14">
        <v>40</v>
      </c>
      <c r="L1160" s="17">
        <v>3.2</v>
      </c>
      <c r="M1160" s="2" t="b">
        <v>0</v>
      </c>
      <c r="N1160" s="2"/>
      <c r="O1160" s="2" t="str">
        <f>IF(Table1[[#This Row],[is_returned]]=TRUE,IF(Table1[[#This Row],[return_reason]]="","Error","OK"),"OK")</f>
        <v>OK</v>
      </c>
      <c r="P1160" s="8">
        <f>Table1[[#This Row],[original_price]]*Table1[[#This Row],[markdown_percentage]]/100</f>
        <v>6.1506000000000007</v>
      </c>
      <c r="Q116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160" s="25">
        <f>Table1[[#This Row],[current_price]]*Table1[[#This Row],[stock_quantity]]</f>
        <v>1576.3999999999999</v>
      </c>
    </row>
    <row r="1161" spans="1:18" x14ac:dyDescent="0.25">
      <c r="A1161" s="2" t="s">
        <v>1214</v>
      </c>
      <c r="B1161" s="2" t="s">
        <v>21</v>
      </c>
      <c r="C1161" s="2" t="s">
        <v>22</v>
      </c>
      <c r="D1161" s="2" t="s">
        <v>17</v>
      </c>
      <c r="E1161" s="2" t="s">
        <v>39</v>
      </c>
      <c r="F1161" s="2" t="s">
        <v>66</v>
      </c>
      <c r="G1161" s="8">
        <v>62.21</v>
      </c>
      <c r="H1161" s="11">
        <v>0</v>
      </c>
      <c r="I1161" s="8">
        <v>62.21</v>
      </c>
      <c r="J1161" s="3">
        <v>45861</v>
      </c>
      <c r="K1161" s="14">
        <v>38</v>
      </c>
      <c r="L1161" s="17">
        <v>2.6</v>
      </c>
      <c r="M1161" s="2" t="b">
        <v>0</v>
      </c>
      <c r="N1161" s="2"/>
      <c r="O1161" s="2" t="str">
        <f>IF(Table1[[#This Row],[is_returned]]=TRUE,IF(Table1[[#This Row],[return_reason]]="","Error","OK"),"OK")</f>
        <v>OK</v>
      </c>
      <c r="P1161" s="8">
        <f>Table1[[#This Row],[original_price]]*Table1[[#This Row],[markdown_percentage]]/100</f>
        <v>0</v>
      </c>
      <c r="Q116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161" s="25">
        <f>Table1[[#This Row],[current_price]]*Table1[[#This Row],[stock_quantity]]</f>
        <v>2363.98</v>
      </c>
    </row>
    <row r="1162" spans="1:18" x14ac:dyDescent="0.25">
      <c r="A1162" s="2" t="s">
        <v>1215</v>
      </c>
      <c r="B1162" s="2" t="s">
        <v>27</v>
      </c>
      <c r="C1162" s="2" t="s">
        <v>75</v>
      </c>
      <c r="D1162" s="2" t="s">
        <v>23</v>
      </c>
      <c r="E1162" s="2"/>
      <c r="F1162" s="2" t="s">
        <v>44</v>
      </c>
      <c r="G1162" s="8">
        <v>37.020000000000003</v>
      </c>
      <c r="H1162" s="11">
        <v>0</v>
      </c>
      <c r="I1162" s="8">
        <v>37.020000000000003</v>
      </c>
      <c r="J1162" s="3">
        <v>45875</v>
      </c>
      <c r="K1162" s="14">
        <v>12</v>
      </c>
      <c r="L1162" s="17">
        <v>4.3</v>
      </c>
      <c r="M1162" s="2" t="b">
        <v>0</v>
      </c>
      <c r="N1162" s="2"/>
      <c r="O1162" s="2" t="str">
        <f>IF(Table1[[#This Row],[is_returned]]=TRUE,IF(Table1[[#This Row],[return_reason]]="","Error","OK"),"OK")</f>
        <v>OK</v>
      </c>
      <c r="P1162" s="8">
        <f>Table1[[#This Row],[original_price]]*Table1[[#This Row],[markdown_percentage]]/100</f>
        <v>0</v>
      </c>
      <c r="Q116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162" s="25">
        <f>Table1[[#This Row],[current_price]]*Table1[[#This Row],[stock_quantity]]</f>
        <v>444.24</v>
      </c>
    </row>
    <row r="1163" spans="1:18" x14ac:dyDescent="0.25">
      <c r="A1163" s="2" t="s">
        <v>1216</v>
      </c>
      <c r="B1163" s="2" t="s">
        <v>42</v>
      </c>
      <c r="C1163" s="2" t="s">
        <v>16</v>
      </c>
      <c r="D1163" s="2" t="s">
        <v>62</v>
      </c>
      <c r="E1163" s="2" t="s">
        <v>18</v>
      </c>
      <c r="F1163" s="2" t="s">
        <v>56</v>
      </c>
      <c r="G1163" s="8">
        <v>51.86</v>
      </c>
      <c r="H1163" s="11">
        <v>39</v>
      </c>
      <c r="I1163" s="8">
        <v>31.63</v>
      </c>
      <c r="J1163" s="3">
        <v>45875</v>
      </c>
      <c r="K1163" s="14">
        <v>40</v>
      </c>
      <c r="L1163" s="17">
        <v>2.4</v>
      </c>
      <c r="M1163" s="2" t="b">
        <v>0</v>
      </c>
      <c r="N1163" s="2"/>
      <c r="O1163" s="2" t="str">
        <f>IF(Table1[[#This Row],[is_returned]]=TRUE,IF(Table1[[#This Row],[return_reason]]="","Error","OK"),"OK")</f>
        <v>OK</v>
      </c>
      <c r="P1163" s="8">
        <f>Table1[[#This Row],[original_price]]*Table1[[#This Row],[markdown_percentage]]/100</f>
        <v>20.2254</v>
      </c>
      <c r="Q116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163" s="25">
        <f>Table1[[#This Row],[current_price]]*Table1[[#This Row],[stock_quantity]]</f>
        <v>1265.2</v>
      </c>
    </row>
    <row r="1164" spans="1:18" x14ac:dyDescent="0.25">
      <c r="A1164" s="2" t="s">
        <v>1217</v>
      </c>
      <c r="B1164" s="2" t="s">
        <v>42</v>
      </c>
      <c r="C1164" s="2" t="s">
        <v>16</v>
      </c>
      <c r="D1164" s="2" t="s">
        <v>17</v>
      </c>
      <c r="E1164" s="2" t="s">
        <v>55</v>
      </c>
      <c r="F1164" s="2" t="s">
        <v>66</v>
      </c>
      <c r="G1164" s="8">
        <v>76.239999999999995</v>
      </c>
      <c r="H1164" s="11">
        <v>0</v>
      </c>
      <c r="I1164" s="8">
        <v>76.239999999999995</v>
      </c>
      <c r="J1164" s="3">
        <v>45664</v>
      </c>
      <c r="K1164" s="14">
        <v>14</v>
      </c>
      <c r="L1164" s="17">
        <v>2.8</v>
      </c>
      <c r="M1164" s="2" t="b">
        <v>0</v>
      </c>
      <c r="N1164" s="2"/>
      <c r="O1164" s="2" t="str">
        <f>IF(Table1[[#This Row],[is_returned]]=TRUE,IF(Table1[[#This Row],[return_reason]]="","Error","OK"),"OK")</f>
        <v>OK</v>
      </c>
      <c r="P1164" s="8">
        <f>Table1[[#This Row],[original_price]]*Table1[[#This Row],[markdown_percentage]]/100</f>
        <v>0</v>
      </c>
      <c r="Q116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164" s="25">
        <f>Table1[[#This Row],[current_price]]*Table1[[#This Row],[stock_quantity]]</f>
        <v>1067.3599999999999</v>
      </c>
    </row>
    <row r="1165" spans="1:18" x14ac:dyDescent="0.25">
      <c r="A1165" s="2" t="s">
        <v>1218</v>
      </c>
      <c r="B1165" s="2" t="s">
        <v>27</v>
      </c>
      <c r="C1165" s="2" t="s">
        <v>16</v>
      </c>
      <c r="D1165" s="2" t="s">
        <v>34</v>
      </c>
      <c r="E1165" s="2"/>
      <c r="F1165" s="2" t="s">
        <v>40</v>
      </c>
      <c r="G1165" s="8">
        <v>74.17</v>
      </c>
      <c r="H1165" s="11">
        <v>0</v>
      </c>
      <c r="I1165" s="8">
        <v>74.17</v>
      </c>
      <c r="J1165" s="3">
        <v>45875</v>
      </c>
      <c r="K1165" s="14">
        <v>24</v>
      </c>
      <c r="L1165" s="17">
        <v>1.7</v>
      </c>
      <c r="M1165" s="2" t="b">
        <v>0</v>
      </c>
      <c r="N1165" s="2"/>
      <c r="O1165" s="2" t="str">
        <f>IF(Table1[[#This Row],[is_returned]]=TRUE,IF(Table1[[#This Row],[return_reason]]="","Error","OK"),"OK")</f>
        <v>OK</v>
      </c>
      <c r="P1165" s="8">
        <f>Table1[[#This Row],[original_price]]*Table1[[#This Row],[markdown_percentage]]/100</f>
        <v>0</v>
      </c>
      <c r="Q116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165" s="25">
        <f>Table1[[#This Row],[current_price]]*Table1[[#This Row],[stock_quantity]]</f>
        <v>1780.08</v>
      </c>
    </row>
    <row r="1166" spans="1:18" x14ac:dyDescent="0.25">
      <c r="A1166" s="2" t="s">
        <v>1219</v>
      </c>
      <c r="B1166" s="2" t="s">
        <v>38</v>
      </c>
      <c r="C1166" s="2" t="s">
        <v>75</v>
      </c>
      <c r="D1166" s="2" t="s">
        <v>17</v>
      </c>
      <c r="E1166" s="2" t="s">
        <v>24</v>
      </c>
      <c r="F1166" s="2" t="s">
        <v>56</v>
      </c>
      <c r="G1166" s="8">
        <v>75.989999999999995</v>
      </c>
      <c r="H1166" s="11">
        <v>0</v>
      </c>
      <c r="I1166" s="8">
        <v>75.989999999999995</v>
      </c>
      <c r="J1166" s="3">
        <v>45706</v>
      </c>
      <c r="K1166" s="14">
        <v>19</v>
      </c>
      <c r="L1166" s="17">
        <v>1.7</v>
      </c>
      <c r="M1166" s="2" t="b">
        <v>1</v>
      </c>
      <c r="N1166" s="2" t="s">
        <v>73</v>
      </c>
      <c r="O1166" s="2" t="str">
        <f>IF(Table1[[#This Row],[is_returned]]=TRUE,IF(Table1[[#This Row],[return_reason]]="","Error","OK"),"OK")</f>
        <v>OK</v>
      </c>
      <c r="P1166" s="8">
        <f>Table1[[#This Row],[original_price]]*Table1[[#This Row],[markdown_percentage]]/100</f>
        <v>0</v>
      </c>
      <c r="Q116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166" s="25">
        <f>Table1[[#This Row],[current_price]]*Table1[[#This Row],[stock_quantity]]</f>
        <v>1443.81</v>
      </c>
    </row>
    <row r="1167" spans="1:18" x14ac:dyDescent="0.25">
      <c r="A1167" s="2" t="s">
        <v>1220</v>
      </c>
      <c r="B1167" s="2" t="s">
        <v>38</v>
      </c>
      <c r="C1167" s="2" t="s">
        <v>48</v>
      </c>
      <c r="D1167" s="2" t="s">
        <v>23</v>
      </c>
      <c r="E1167" s="2" t="s">
        <v>55</v>
      </c>
      <c r="F1167" s="2" t="s">
        <v>64</v>
      </c>
      <c r="G1167" s="8">
        <v>62.33</v>
      </c>
      <c r="H1167" s="11">
        <v>49.4</v>
      </c>
      <c r="I1167" s="8">
        <v>31.54</v>
      </c>
      <c r="J1167" s="3">
        <v>45875</v>
      </c>
      <c r="K1167" s="14">
        <v>46</v>
      </c>
      <c r="L1167" s="17">
        <v>3.5</v>
      </c>
      <c r="M1167" s="2" t="b">
        <v>0</v>
      </c>
      <c r="N1167" s="2"/>
      <c r="O1167" s="2" t="str">
        <f>IF(Table1[[#This Row],[is_returned]]=TRUE,IF(Table1[[#This Row],[return_reason]]="","Error","OK"),"OK")</f>
        <v>OK</v>
      </c>
      <c r="P1167" s="8">
        <f>Table1[[#This Row],[original_price]]*Table1[[#This Row],[markdown_percentage]]/100</f>
        <v>30.79102</v>
      </c>
      <c r="Q116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167" s="25">
        <f>Table1[[#This Row],[current_price]]*Table1[[#This Row],[stock_quantity]]</f>
        <v>1450.84</v>
      </c>
    </row>
    <row r="1168" spans="1:18" x14ac:dyDescent="0.25">
      <c r="A1168" s="2" t="s">
        <v>1221</v>
      </c>
      <c r="B1168" s="2" t="s">
        <v>38</v>
      </c>
      <c r="C1168" s="2" t="s">
        <v>43</v>
      </c>
      <c r="D1168" s="2" t="s">
        <v>23</v>
      </c>
      <c r="E1168" s="2" t="s">
        <v>49</v>
      </c>
      <c r="F1168" s="2" t="s">
        <v>19</v>
      </c>
      <c r="G1168" s="8">
        <v>93.59</v>
      </c>
      <c r="H1168" s="11">
        <v>0</v>
      </c>
      <c r="I1168" s="8">
        <v>93.59</v>
      </c>
      <c r="J1168" s="3">
        <v>45875</v>
      </c>
      <c r="K1168" s="14">
        <v>38</v>
      </c>
      <c r="L1168" s="17">
        <v>1.9</v>
      </c>
      <c r="M1168" s="2" t="b">
        <v>0</v>
      </c>
      <c r="N1168" s="2"/>
      <c r="O1168" s="2" t="str">
        <f>IF(Table1[[#This Row],[is_returned]]=TRUE,IF(Table1[[#This Row],[return_reason]]="","Error","OK"),"OK")</f>
        <v>OK</v>
      </c>
      <c r="P1168" s="8">
        <f>Table1[[#This Row],[original_price]]*Table1[[#This Row],[markdown_percentage]]/100</f>
        <v>0</v>
      </c>
      <c r="Q116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168" s="25">
        <f>Table1[[#This Row],[current_price]]*Table1[[#This Row],[stock_quantity]]</f>
        <v>3556.42</v>
      </c>
    </row>
    <row r="1169" spans="1:18" x14ac:dyDescent="0.25">
      <c r="A1169" s="2" t="s">
        <v>1222</v>
      </c>
      <c r="B1169" s="2" t="s">
        <v>21</v>
      </c>
      <c r="C1169" s="2" t="s">
        <v>75</v>
      </c>
      <c r="D1169" s="2" t="s">
        <v>34</v>
      </c>
      <c r="E1169" s="2"/>
      <c r="F1169" s="2" t="s">
        <v>44</v>
      </c>
      <c r="G1169" s="8">
        <v>72.83</v>
      </c>
      <c r="H1169" s="11">
        <v>35.700000000000003</v>
      </c>
      <c r="I1169" s="8">
        <v>46.83</v>
      </c>
      <c r="J1169" s="3">
        <v>45875</v>
      </c>
      <c r="K1169" s="14">
        <v>11</v>
      </c>
      <c r="L1169" s="17">
        <v>3.1</v>
      </c>
      <c r="M1169" s="2" t="b">
        <v>0</v>
      </c>
      <c r="N1169" s="2"/>
      <c r="O1169" s="2" t="str">
        <f>IF(Table1[[#This Row],[is_returned]]=TRUE,IF(Table1[[#This Row],[return_reason]]="","Error","OK"),"OK")</f>
        <v>OK</v>
      </c>
      <c r="P1169" s="8">
        <f>Table1[[#This Row],[original_price]]*Table1[[#This Row],[markdown_percentage]]/100</f>
        <v>26.000309999999999</v>
      </c>
      <c r="Q116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169" s="25">
        <f>Table1[[#This Row],[current_price]]*Table1[[#This Row],[stock_quantity]]</f>
        <v>515.13</v>
      </c>
    </row>
    <row r="1170" spans="1:18" x14ac:dyDescent="0.25">
      <c r="A1170" s="2" t="s">
        <v>1223</v>
      </c>
      <c r="B1170" s="2" t="s">
        <v>15</v>
      </c>
      <c r="C1170" s="2" t="s">
        <v>22</v>
      </c>
      <c r="D1170" s="2" t="s">
        <v>23</v>
      </c>
      <c r="E1170" s="2" t="s">
        <v>49</v>
      </c>
      <c r="F1170" s="2" t="s">
        <v>40</v>
      </c>
      <c r="G1170" s="8">
        <v>134.59</v>
      </c>
      <c r="H1170" s="11">
        <v>33.6</v>
      </c>
      <c r="I1170" s="8">
        <v>89.37</v>
      </c>
      <c r="J1170" s="3">
        <v>45875</v>
      </c>
      <c r="K1170" s="14">
        <v>42</v>
      </c>
      <c r="L1170" s="17">
        <v>2.9</v>
      </c>
      <c r="M1170" s="2" t="b">
        <v>0</v>
      </c>
      <c r="N1170" s="2"/>
      <c r="O1170" s="2" t="str">
        <f>IF(Table1[[#This Row],[is_returned]]=TRUE,IF(Table1[[#This Row],[return_reason]]="","Error","OK"),"OK")</f>
        <v>OK</v>
      </c>
      <c r="P1170" s="8">
        <f>Table1[[#This Row],[original_price]]*Table1[[#This Row],[markdown_percentage]]/100</f>
        <v>45.222239999999999</v>
      </c>
      <c r="Q117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170" s="25">
        <f>Table1[[#This Row],[current_price]]*Table1[[#This Row],[stock_quantity]]</f>
        <v>3753.54</v>
      </c>
    </row>
    <row r="1171" spans="1:18" x14ac:dyDescent="0.25">
      <c r="A1171" s="2" t="s">
        <v>1224</v>
      </c>
      <c r="B1171" s="2" t="s">
        <v>38</v>
      </c>
      <c r="C1171" s="2" t="s">
        <v>16</v>
      </c>
      <c r="D1171" s="2" t="s">
        <v>17</v>
      </c>
      <c r="E1171" s="2"/>
      <c r="F1171" s="2" t="s">
        <v>56</v>
      </c>
      <c r="G1171" s="8">
        <v>71.599999999999994</v>
      </c>
      <c r="H1171" s="11">
        <v>41.9</v>
      </c>
      <c r="I1171" s="8">
        <v>41.6</v>
      </c>
      <c r="J1171" s="3">
        <v>45759</v>
      </c>
      <c r="K1171" s="14">
        <v>16</v>
      </c>
      <c r="L1171" s="17">
        <v>2.8</v>
      </c>
      <c r="M1171" s="2" t="b">
        <v>0</v>
      </c>
      <c r="N1171" s="2"/>
      <c r="O1171" s="2" t="str">
        <f>IF(Table1[[#This Row],[is_returned]]=TRUE,IF(Table1[[#This Row],[return_reason]]="","Error","OK"),"OK")</f>
        <v>OK</v>
      </c>
      <c r="P1171" s="8">
        <f>Table1[[#This Row],[original_price]]*Table1[[#This Row],[markdown_percentage]]/100</f>
        <v>30.000399999999996</v>
      </c>
      <c r="Q117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171" s="25">
        <f>Table1[[#This Row],[current_price]]*Table1[[#This Row],[stock_quantity]]</f>
        <v>665.6</v>
      </c>
    </row>
    <row r="1172" spans="1:18" x14ac:dyDescent="0.25">
      <c r="A1172" s="2" t="s">
        <v>1225</v>
      </c>
      <c r="B1172" s="2" t="s">
        <v>30</v>
      </c>
      <c r="C1172" s="2" t="s">
        <v>53</v>
      </c>
      <c r="D1172" s="2" t="s">
        <v>62</v>
      </c>
      <c r="E1172" s="2" t="s">
        <v>18</v>
      </c>
      <c r="F1172" s="2" t="s">
        <v>19</v>
      </c>
      <c r="G1172" s="8">
        <v>62.35</v>
      </c>
      <c r="H1172" s="11">
        <v>53.5</v>
      </c>
      <c r="I1172" s="8">
        <v>28.99</v>
      </c>
      <c r="J1172" s="3">
        <v>45875</v>
      </c>
      <c r="K1172" s="14">
        <v>1</v>
      </c>
      <c r="L1172" s="17">
        <v>4.0999999999999996</v>
      </c>
      <c r="M1172" s="2" t="b">
        <v>0</v>
      </c>
      <c r="N1172" s="2"/>
      <c r="O1172" s="2" t="str">
        <f>IF(Table1[[#This Row],[is_returned]]=TRUE,IF(Table1[[#This Row],[return_reason]]="","Error","OK"),"OK")</f>
        <v>OK</v>
      </c>
      <c r="P1172" s="8">
        <f>Table1[[#This Row],[original_price]]*Table1[[#This Row],[markdown_percentage]]/100</f>
        <v>33.357250000000001</v>
      </c>
      <c r="Q117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172" s="25">
        <f>Table1[[#This Row],[current_price]]*Table1[[#This Row],[stock_quantity]]</f>
        <v>28.99</v>
      </c>
    </row>
    <row r="1173" spans="1:18" x14ac:dyDescent="0.25">
      <c r="A1173" s="2" t="s">
        <v>1226</v>
      </c>
      <c r="B1173" s="2" t="s">
        <v>15</v>
      </c>
      <c r="C1173" s="2" t="s">
        <v>53</v>
      </c>
      <c r="D1173" s="2" t="s">
        <v>17</v>
      </c>
      <c r="E1173" s="2" t="s">
        <v>55</v>
      </c>
      <c r="F1173" s="2" t="s">
        <v>64</v>
      </c>
      <c r="G1173" s="8">
        <v>80.55</v>
      </c>
      <c r="H1173" s="11">
        <v>43.7</v>
      </c>
      <c r="I1173" s="8">
        <v>45.35</v>
      </c>
      <c r="J1173" s="3">
        <v>45586</v>
      </c>
      <c r="K1173" s="14">
        <v>41</v>
      </c>
      <c r="L1173" s="17">
        <v>4.8</v>
      </c>
      <c r="M1173" s="2" t="b">
        <v>1</v>
      </c>
      <c r="N1173" s="2" t="s">
        <v>115</v>
      </c>
      <c r="O1173" s="2" t="str">
        <f>IF(Table1[[#This Row],[is_returned]]=TRUE,IF(Table1[[#This Row],[return_reason]]="","Error","OK"),"OK")</f>
        <v>OK</v>
      </c>
      <c r="P1173" s="8">
        <f>Table1[[#This Row],[original_price]]*Table1[[#This Row],[markdown_percentage]]/100</f>
        <v>35.20035</v>
      </c>
      <c r="Q117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173" s="25">
        <f>Table1[[#This Row],[current_price]]*Table1[[#This Row],[stock_quantity]]</f>
        <v>1859.3500000000001</v>
      </c>
    </row>
    <row r="1174" spans="1:18" x14ac:dyDescent="0.25">
      <c r="A1174" s="2" t="s">
        <v>1227</v>
      </c>
      <c r="B1174" s="2" t="s">
        <v>30</v>
      </c>
      <c r="C1174" s="2" t="s">
        <v>32</v>
      </c>
      <c r="D1174" s="2" t="s">
        <v>23</v>
      </c>
      <c r="E1174" s="2" t="s">
        <v>58</v>
      </c>
      <c r="F1174" s="2" t="s">
        <v>56</v>
      </c>
      <c r="G1174" s="8">
        <v>171.48</v>
      </c>
      <c r="H1174" s="11">
        <v>0</v>
      </c>
      <c r="I1174" s="8">
        <v>171.48</v>
      </c>
      <c r="J1174" s="3">
        <v>45875</v>
      </c>
      <c r="K1174" s="14">
        <v>15</v>
      </c>
      <c r="L1174" s="17">
        <v>2.4</v>
      </c>
      <c r="M1174" s="2" t="b">
        <v>0</v>
      </c>
      <c r="N1174" s="2"/>
      <c r="O1174" s="2" t="str">
        <f>IF(Table1[[#This Row],[is_returned]]=TRUE,IF(Table1[[#This Row],[return_reason]]="","Error","OK"),"OK")</f>
        <v>OK</v>
      </c>
      <c r="P1174" s="8">
        <f>Table1[[#This Row],[original_price]]*Table1[[#This Row],[markdown_percentage]]/100</f>
        <v>0</v>
      </c>
      <c r="Q117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174" s="25">
        <f>Table1[[#This Row],[current_price]]*Table1[[#This Row],[stock_quantity]]</f>
        <v>2572.1999999999998</v>
      </c>
    </row>
    <row r="1175" spans="1:18" x14ac:dyDescent="0.25">
      <c r="A1175" s="2" t="s">
        <v>1228</v>
      </c>
      <c r="B1175" s="2" t="s">
        <v>21</v>
      </c>
      <c r="C1175" s="2" t="s">
        <v>53</v>
      </c>
      <c r="D1175" s="2" t="s">
        <v>17</v>
      </c>
      <c r="E1175" s="2" t="s">
        <v>18</v>
      </c>
      <c r="F1175" s="2" t="s">
        <v>64</v>
      </c>
      <c r="G1175" s="8">
        <v>30.81</v>
      </c>
      <c r="H1175" s="11">
        <v>15.7</v>
      </c>
      <c r="I1175" s="8">
        <v>25.97</v>
      </c>
      <c r="J1175" s="3">
        <v>45554</v>
      </c>
      <c r="K1175" s="14">
        <v>4</v>
      </c>
      <c r="L1175" s="17"/>
      <c r="M1175" s="2" t="b">
        <v>0</v>
      </c>
      <c r="N1175" s="2"/>
      <c r="O1175" s="2" t="str">
        <f>IF(Table1[[#This Row],[is_returned]]=TRUE,IF(Table1[[#This Row],[return_reason]]="","Error","OK"),"OK")</f>
        <v>OK</v>
      </c>
      <c r="P1175" s="8">
        <f>Table1[[#This Row],[original_price]]*Table1[[#This Row],[markdown_percentage]]/100</f>
        <v>4.8371699999999995</v>
      </c>
      <c r="Q117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175" s="25">
        <f>Table1[[#This Row],[current_price]]*Table1[[#This Row],[stock_quantity]]</f>
        <v>103.88</v>
      </c>
    </row>
    <row r="1176" spans="1:18" x14ac:dyDescent="0.25">
      <c r="A1176" s="2" t="s">
        <v>1229</v>
      </c>
      <c r="B1176" s="2" t="s">
        <v>42</v>
      </c>
      <c r="C1176" s="2" t="s">
        <v>48</v>
      </c>
      <c r="D1176" s="2" t="s">
        <v>62</v>
      </c>
      <c r="E1176" s="2" t="s">
        <v>24</v>
      </c>
      <c r="F1176" s="2" t="s">
        <v>44</v>
      </c>
      <c r="G1176" s="8">
        <v>97.14</v>
      </c>
      <c r="H1176" s="11">
        <v>0</v>
      </c>
      <c r="I1176" s="8">
        <v>97.14</v>
      </c>
      <c r="J1176" s="3">
        <v>45875</v>
      </c>
      <c r="K1176" s="14">
        <v>20</v>
      </c>
      <c r="L1176" s="17">
        <v>4.0999999999999996</v>
      </c>
      <c r="M1176" s="2" t="b">
        <v>0</v>
      </c>
      <c r="N1176" s="2"/>
      <c r="O1176" s="2" t="str">
        <f>IF(Table1[[#This Row],[is_returned]]=TRUE,IF(Table1[[#This Row],[return_reason]]="","Error","OK"),"OK")</f>
        <v>OK</v>
      </c>
      <c r="P1176" s="8">
        <f>Table1[[#This Row],[original_price]]*Table1[[#This Row],[markdown_percentage]]/100</f>
        <v>0</v>
      </c>
      <c r="Q117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176" s="25">
        <f>Table1[[#This Row],[current_price]]*Table1[[#This Row],[stock_quantity]]</f>
        <v>1942.8</v>
      </c>
    </row>
    <row r="1177" spans="1:18" x14ac:dyDescent="0.25">
      <c r="A1177" s="2" t="s">
        <v>1230</v>
      </c>
      <c r="B1177" s="2" t="s">
        <v>30</v>
      </c>
      <c r="C1177" s="2" t="s">
        <v>75</v>
      </c>
      <c r="D1177" s="2" t="s">
        <v>34</v>
      </c>
      <c r="E1177" s="2" t="s">
        <v>39</v>
      </c>
      <c r="F1177" s="2" t="s">
        <v>35</v>
      </c>
      <c r="G1177" s="8">
        <v>128.27000000000001</v>
      </c>
      <c r="H1177" s="11">
        <v>0</v>
      </c>
      <c r="I1177" s="8">
        <v>128.27000000000001</v>
      </c>
      <c r="J1177" s="3">
        <v>45875</v>
      </c>
      <c r="K1177" s="14">
        <v>28</v>
      </c>
      <c r="L1177" s="17"/>
      <c r="M1177" s="2" t="b">
        <v>0</v>
      </c>
      <c r="N1177" s="2"/>
      <c r="O1177" s="2" t="str">
        <f>IF(Table1[[#This Row],[is_returned]]=TRUE,IF(Table1[[#This Row],[return_reason]]="","Error","OK"),"OK")</f>
        <v>OK</v>
      </c>
      <c r="P1177" s="8">
        <f>Table1[[#This Row],[original_price]]*Table1[[#This Row],[markdown_percentage]]/100</f>
        <v>0</v>
      </c>
      <c r="Q117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177" s="25">
        <f>Table1[[#This Row],[current_price]]*Table1[[#This Row],[stock_quantity]]</f>
        <v>3591.5600000000004</v>
      </c>
    </row>
    <row r="1178" spans="1:18" x14ac:dyDescent="0.25">
      <c r="A1178" s="2" t="s">
        <v>1231</v>
      </c>
      <c r="B1178" s="2" t="s">
        <v>42</v>
      </c>
      <c r="C1178" s="2" t="s">
        <v>16</v>
      </c>
      <c r="D1178" s="2" t="s">
        <v>23</v>
      </c>
      <c r="E1178" s="2" t="s">
        <v>18</v>
      </c>
      <c r="F1178" s="2" t="s">
        <v>46</v>
      </c>
      <c r="G1178" s="8">
        <v>174.86</v>
      </c>
      <c r="H1178" s="11">
        <v>0</v>
      </c>
      <c r="I1178" s="8">
        <v>174.86</v>
      </c>
      <c r="J1178" s="3">
        <v>45875</v>
      </c>
      <c r="K1178" s="14">
        <v>43</v>
      </c>
      <c r="L1178" s="17">
        <v>4.5999999999999996</v>
      </c>
      <c r="M1178" s="2" t="b">
        <v>0</v>
      </c>
      <c r="N1178" s="2"/>
      <c r="O1178" s="2" t="str">
        <f>IF(Table1[[#This Row],[is_returned]]=TRUE,IF(Table1[[#This Row],[return_reason]]="","Error","OK"),"OK")</f>
        <v>OK</v>
      </c>
      <c r="P1178" s="8">
        <f>Table1[[#This Row],[original_price]]*Table1[[#This Row],[markdown_percentage]]/100</f>
        <v>0</v>
      </c>
      <c r="Q117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178" s="25">
        <f>Table1[[#This Row],[current_price]]*Table1[[#This Row],[stock_quantity]]</f>
        <v>7518.9800000000005</v>
      </c>
    </row>
    <row r="1179" spans="1:18" x14ac:dyDescent="0.25">
      <c r="A1179" s="2" t="s">
        <v>1232</v>
      </c>
      <c r="B1179" s="2" t="s">
        <v>42</v>
      </c>
      <c r="C1179" s="2" t="s">
        <v>32</v>
      </c>
      <c r="D1179" s="2" t="s">
        <v>23</v>
      </c>
      <c r="E1179" s="2" t="s">
        <v>18</v>
      </c>
      <c r="F1179" s="2" t="s">
        <v>35</v>
      </c>
      <c r="G1179" s="8">
        <v>100.03</v>
      </c>
      <c r="H1179" s="11">
        <v>0</v>
      </c>
      <c r="I1179" s="8">
        <v>100.03</v>
      </c>
      <c r="J1179" s="3">
        <v>45875</v>
      </c>
      <c r="K1179" s="14">
        <v>36</v>
      </c>
      <c r="L1179" s="17">
        <v>1.9</v>
      </c>
      <c r="M1179" s="2" t="b">
        <v>1</v>
      </c>
      <c r="N1179" s="2" t="s">
        <v>83</v>
      </c>
      <c r="O1179" s="2" t="str">
        <f>IF(Table1[[#This Row],[is_returned]]=TRUE,IF(Table1[[#This Row],[return_reason]]="","Error","OK"),"OK")</f>
        <v>OK</v>
      </c>
      <c r="P1179" s="8">
        <f>Table1[[#This Row],[original_price]]*Table1[[#This Row],[markdown_percentage]]/100</f>
        <v>0</v>
      </c>
      <c r="Q117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179" s="25">
        <f>Table1[[#This Row],[current_price]]*Table1[[#This Row],[stock_quantity]]</f>
        <v>3601.08</v>
      </c>
    </row>
    <row r="1180" spans="1:18" x14ac:dyDescent="0.25">
      <c r="A1180" s="2" t="s">
        <v>1233</v>
      </c>
      <c r="B1180" s="2" t="s">
        <v>42</v>
      </c>
      <c r="C1180" s="2" t="s">
        <v>16</v>
      </c>
      <c r="D1180" s="2" t="s">
        <v>23</v>
      </c>
      <c r="E1180" s="2" t="s">
        <v>39</v>
      </c>
      <c r="F1180" s="2" t="s">
        <v>66</v>
      </c>
      <c r="G1180" s="8">
        <v>49.89</v>
      </c>
      <c r="H1180" s="11">
        <v>0</v>
      </c>
      <c r="I1180" s="8">
        <v>49.89</v>
      </c>
      <c r="J1180" s="3">
        <v>45875</v>
      </c>
      <c r="K1180" s="14">
        <v>0</v>
      </c>
      <c r="L1180" s="17">
        <v>3.5</v>
      </c>
      <c r="M1180" s="2" t="b">
        <v>1</v>
      </c>
      <c r="N1180" s="2" t="s">
        <v>125</v>
      </c>
      <c r="O1180" s="2" t="str">
        <f>IF(Table1[[#This Row],[is_returned]]=TRUE,IF(Table1[[#This Row],[return_reason]]="","Error","OK"),"OK")</f>
        <v>OK</v>
      </c>
      <c r="P1180" s="8">
        <f>Table1[[#This Row],[original_price]]*Table1[[#This Row],[markdown_percentage]]/100</f>
        <v>0</v>
      </c>
      <c r="Q118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180" s="25">
        <f>Table1[[#This Row],[current_price]]*Table1[[#This Row],[stock_quantity]]</f>
        <v>0</v>
      </c>
    </row>
    <row r="1181" spans="1:18" x14ac:dyDescent="0.25">
      <c r="A1181" s="2" t="s">
        <v>1234</v>
      </c>
      <c r="B1181" s="2" t="s">
        <v>30</v>
      </c>
      <c r="C1181" s="2" t="s">
        <v>48</v>
      </c>
      <c r="D1181" s="2" t="s">
        <v>34</v>
      </c>
      <c r="E1181" s="2" t="s">
        <v>18</v>
      </c>
      <c r="F1181" s="2" t="s">
        <v>70</v>
      </c>
      <c r="G1181" s="8">
        <v>170.43</v>
      </c>
      <c r="H1181" s="11">
        <v>0</v>
      </c>
      <c r="I1181" s="8">
        <v>170.43</v>
      </c>
      <c r="J1181" s="3">
        <v>45875</v>
      </c>
      <c r="K1181" s="14">
        <v>22</v>
      </c>
      <c r="L1181" s="17"/>
      <c r="M1181" s="2" t="b">
        <v>0</v>
      </c>
      <c r="N1181" s="2"/>
      <c r="O1181" s="2" t="str">
        <f>IF(Table1[[#This Row],[is_returned]]=TRUE,IF(Table1[[#This Row],[return_reason]]="","Error","OK"),"OK")</f>
        <v>OK</v>
      </c>
      <c r="P1181" s="8">
        <f>Table1[[#This Row],[original_price]]*Table1[[#This Row],[markdown_percentage]]/100</f>
        <v>0</v>
      </c>
      <c r="Q118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181" s="25">
        <f>Table1[[#This Row],[current_price]]*Table1[[#This Row],[stock_quantity]]</f>
        <v>3749.46</v>
      </c>
    </row>
    <row r="1182" spans="1:18" x14ac:dyDescent="0.25">
      <c r="A1182" s="2" t="s">
        <v>1235</v>
      </c>
      <c r="B1182" s="2" t="s">
        <v>15</v>
      </c>
      <c r="C1182" s="2" t="s">
        <v>61</v>
      </c>
      <c r="D1182" s="2" t="s">
        <v>62</v>
      </c>
      <c r="E1182" s="2" t="s">
        <v>55</v>
      </c>
      <c r="F1182" s="2" t="s">
        <v>64</v>
      </c>
      <c r="G1182" s="8">
        <v>186.78</v>
      </c>
      <c r="H1182" s="11">
        <v>0</v>
      </c>
      <c r="I1182" s="8">
        <v>186.78</v>
      </c>
      <c r="J1182" s="3">
        <v>45875</v>
      </c>
      <c r="K1182" s="14">
        <v>22</v>
      </c>
      <c r="L1182" s="17">
        <v>2.9</v>
      </c>
      <c r="M1182" s="2" t="b">
        <v>0</v>
      </c>
      <c r="N1182" s="2"/>
      <c r="O1182" s="2" t="str">
        <f>IF(Table1[[#This Row],[is_returned]]=TRUE,IF(Table1[[#This Row],[return_reason]]="","Error","OK"),"OK")</f>
        <v>OK</v>
      </c>
      <c r="P1182" s="8">
        <f>Table1[[#This Row],[original_price]]*Table1[[#This Row],[markdown_percentage]]/100</f>
        <v>0</v>
      </c>
      <c r="Q118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182" s="25">
        <f>Table1[[#This Row],[current_price]]*Table1[[#This Row],[stock_quantity]]</f>
        <v>4109.16</v>
      </c>
    </row>
    <row r="1183" spans="1:18" x14ac:dyDescent="0.25">
      <c r="A1183" s="2" t="s">
        <v>1236</v>
      </c>
      <c r="B1183" s="2" t="s">
        <v>27</v>
      </c>
      <c r="C1183" s="2" t="s">
        <v>75</v>
      </c>
      <c r="D1183" s="2" t="s">
        <v>34</v>
      </c>
      <c r="E1183" s="2"/>
      <c r="F1183" s="2" t="s">
        <v>64</v>
      </c>
      <c r="G1183" s="8">
        <v>63.98</v>
      </c>
      <c r="H1183" s="11">
        <v>0</v>
      </c>
      <c r="I1183" s="8">
        <v>63.98</v>
      </c>
      <c r="J1183" s="3">
        <v>45875</v>
      </c>
      <c r="K1183" s="14">
        <v>36</v>
      </c>
      <c r="L1183" s="17">
        <v>1.7</v>
      </c>
      <c r="M1183" s="2" t="b">
        <v>0</v>
      </c>
      <c r="N1183" s="2"/>
      <c r="O1183" s="2" t="str">
        <f>IF(Table1[[#This Row],[is_returned]]=TRUE,IF(Table1[[#This Row],[return_reason]]="","Error","OK"),"OK")</f>
        <v>OK</v>
      </c>
      <c r="P1183" s="8">
        <f>Table1[[#This Row],[original_price]]*Table1[[#This Row],[markdown_percentage]]/100</f>
        <v>0</v>
      </c>
      <c r="Q118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183" s="25">
        <f>Table1[[#This Row],[current_price]]*Table1[[#This Row],[stock_quantity]]</f>
        <v>2303.2799999999997</v>
      </c>
    </row>
    <row r="1184" spans="1:18" x14ac:dyDescent="0.25">
      <c r="A1184" s="2" t="s">
        <v>1237</v>
      </c>
      <c r="B1184" s="2" t="s">
        <v>15</v>
      </c>
      <c r="C1184" s="2" t="s">
        <v>75</v>
      </c>
      <c r="D1184" s="2" t="s">
        <v>34</v>
      </c>
      <c r="E1184" s="2" t="s">
        <v>55</v>
      </c>
      <c r="F1184" s="2" t="s">
        <v>64</v>
      </c>
      <c r="G1184" s="8">
        <v>225.64</v>
      </c>
      <c r="H1184" s="11">
        <v>0</v>
      </c>
      <c r="I1184" s="8">
        <v>225.64</v>
      </c>
      <c r="J1184" s="3">
        <v>45875</v>
      </c>
      <c r="K1184" s="14">
        <v>31</v>
      </c>
      <c r="L1184" s="17">
        <v>1.3</v>
      </c>
      <c r="M1184" s="2" t="b">
        <v>0</v>
      </c>
      <c r="N1184" s="2"/>
      <c r="O1184" s="2" t="str">
        <f>IF(Table1[[#This Row],[is_returned]]=TRUE,IF(Table1[[#This Row],[return_reason]]="","Error","OK"),"OK")</f>
        <v>OK</v>
      </c>
      <c r="P1184" s="8">
        <f>Table1[[#This Row],[original_price]]*Table1[[#This Row],[markdown_percentage]]/100</f>
        <v>0</v>
      </c>
      <c r="Q118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184" s="25">
        <f>Table1[[#This Row],[current_price]]*Table1[[#This Row],[stock_quantity]]</f>
        <v>6994.8399999999992</v>
      </c>
    </row>
    <row r="1185" spans="1:18" x14ac:dyDescent="0.25">
      <c r="A1185" s="2" t="s">
        <v>1238</v>
      </c>
      <c r="B1185" s="2" t="s">
        <v>21</v>
      </c>
      <c r="C1185" s="2" t="s">
        <v>43</v>
      </c>
      <c r="D1185" s="2" t="s">
        <v>34</v>
      </c>
      <c r="E1185" s="2" t="s">
        <v>55</v>
      </c>
      <c r="F1185" s="2" t="s">
        <v>35</v>
      </c>
      <c r="G1185" s="8">
        <v>115.29</v>
      </c>
      <c r="H1185" s="11">
        <v>13.9</v>
      </c>
      <c r="I1185" s="8">
        <v>99.26</v>
      </c>
      <c r="J1185" s="3">
        <v>45875</v>
      </c>
      <c r="K1185" s="14">
        <v>37</v>
      </c>
      <c r="L1185" s="17"/>
      <c r="M1185" s="2" t="b">
        <v>0</v>
      </c>
      <c r="N1185" s="2"/>
      <c r="O1185" s="2" t="str">
        <f>IF(Table1[[#This Row],[is_returned]]=TRUE,IF(Table1[[#This Row],[return_reason]]="","Error","OK"),"OK")</f>
        <v>OK</v>
      </c>
      <c r="P1185" s="8">
        <f>Table1[[#This Row],[original_price]]*Table1[[#This Row],[markdown_percentage]]/100</f>
        <v>16.025310000000001</v>
      </c>
      <c r="Q118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185" s="25">
        <f>Table1[[#This Row],[current_price]]*Table1[[#This Row],[stock_quantity]]</f>
        <v>3672.6200000000003</v>
      </c>
    </row>
    <row r="1186" spans="1:18" x14ac:dyDescent="0.25">
      <c r="A1186" s="2" t="s">
        <v>1239</v>
      </c>
      <c r="B1186" s="2" t="s">
        <v>38</v>
      </c>
      <c r="C1186" s="2" t="s">
        <v>43</v>
      </c>
      <c r="D1186" s="2" t="s">
        <v>34</v>
      </c>
      <c r="E1186" s="2" t="s">
        <v>55</v>
      </c>
      <c r="F1186" s="2" t="s">
        <v>35</v>
      </c>
      <c r="G1186" s="8">
        <v>92.59</v>
      </c>
      <c r="H1186" s="11">
        <v>0</v>
      </c>
      <c r="I1186" s="8">
        <v>92.59</v>
      </c>
      <c r="J1186" s="3">
        <v>45875</v>
      </c>
      <c r="K1186" s="14">
        <v>39</v>
      </c>
      <c r="L1186" s="17">
        <v>2.2999999999999998</v>
      </c>
      <c r="M1186" s="2" t="b">
        <v>0</v>
      </c>
      <c r="N1186" s="2"/>
      <c r="O1186" s="2" t="str">
        <f>IF(Table1[[#This Row],[is_returned]]=TRUE,IF(Table1[[#This Row],[return_reason]]="","Error","OK"),"OK")</f>
        <v>OK</v>
      </c>
      <c r="P1186" s="8">
        <f>Table1[[#This Row],[original_price]]*Table1[[#This Row],[markdown_percentage]]/100</f>
        <v>0</v>
      </c>
      <c r="Q118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186" s="25">
        <f>Table1[[#This Row],[current_price]]*Table1[[#This Row],[stock_quantity]]</f>
        <v>3611.01</v>
      </c>
    </row>
    <row r="1187" spans="1:18" x14ac:dyDescent="0.25">
      <c r="A1187" s="2" t="s">
        <v>1240</v>
      </c>
      <c r="B1187" s="2" t="s">
        <v>27</v>
      </c>
      <c r="C1187" s="2" t="s">
        <v>22</v>
      </c>
      <c r="D1187" s="2" t="s">
        <v>17</v>
      </c>
      <c r="E1187" s="2"/>
      <c r="F1187" s="2" t="s">
        <v>56</v>
      </c>
      <c r="G1187" s="8">
        <v>67.650000000000006</v>
      </c>
      <c r="H1187" s="11">
        <v>26.2</v>
      </c>
      <c r="I1187" s="8">
        <v>49.93</v>
      </c>
      <c r="J1187" s="3">
        <v>45805</v>
      </c>
      <c r="K1187" s="14">
        <v>23</v>
      </c>
      <c r="L1187" s="17">
        <v>1.7</v>
      </c>
      <c r="M1187" s="2" t="b">
        <v>0</v>
      </c>
      <c r="N1187" s="2"/>
      <c r="O1187" s="2" t="str">
        <f>IF(Table1[[#This Row],[is_returned]]=TRUE,IF(Table1[[#This Row],[return_reason]]="","Error","OK"),"OK")</f>
        <v>OK</v>
      </c>
      <c r="P1187" s="8">
        <f>Table1[[#This Row],[original_price]]*Table1[[#This Row],[markdown_percentage]]/100</f>
        <v>17.724299999999999</v>
      </c>
      <c r="Q118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187" s="25">
        <f>Table1[[#This Row],[current_price]]*Table1[[#This Row],[stock_quantity]]</f>
        <v>1148.3900000000001</v>
      </c>
    </row>
    <row r="1188" spans="1:18" x14ac:dyDescent="0.25">
      <c r="A1188" s="2" t="s">
        <v>1241</v>
      </c>
      <c r="B1188" s="2" t="s">
        <v>15</v>
      </c>
      <c r="C1188" s="2" t="s">
        <v>53</v>
      </c>
      <c r="D1188" s="2" t="s">
        <v>17</v>
      </c>
      <c r="E1188" s="2" t="s">
        <v>24</v>
      </c>
      <c r="F1188" s="2" t="s">
        <v>35</v>
      </c>
      <c r="G1188" s="8">
        <v>128.91999999999999</v>
      </c>
      <c r="H1188" s="11">
        <v>0</v>
      </c>
      <c r="I1188" s="8">
        <v>128.91999999999999</v>
      </c>
      <c r="J1188" s="3">
        <v>45848</v>
      </c>
      <c r="K1188" s="14">
        <v>40</v>
      </c>
      <c r="L1188" s="17">
        <v>1.5</v>
      </c>
      <c r="M1188" s="2" t="b">
        <v>0</v>
      </c>
      <c r="N1188" s="2"/>
      <c r="O1188" s="2" t="str">
        <f>IF(Table1[[#This Row],[is_returned]]=TRUE,IF(Table1[[#This Row],[return_reason]]="","Error","OK"),"OK")</f>
        <v>OK</v>
      </c>
      <c r="P1188" s="8">
        <f>Table1[[#This Row],[original_price]]*Table1[[#This Row],[markdown_percentage]]/100</f>
        <v>0</v>
      </c>
      <c r="Q118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188" s="25">
        <f>Table1[[#This Row],[current_price]]*Table1[[#This Row],[stock_quantity]]</f>
        <v>5156.7999999999993</v>
      </c>
    </row>
    <row r="1189" spans="1:18" x14ac:dyDescent="0.25">
      <c r="A1189" s="2" t="s">
        <v>1242</v>
      </c>
      <c r="B1189" s="2" t="s">
        <v>27</v>
      </c>
      <c r="C1189" s="2" t="s">
        <v>32</v>
      </c>
      <c r="D1189" s="2" t="s">
        <v>34</v>
      </c>
      <c r="E1189" s="2"/>
      <c r="F1189" s="2" t="s">
        <v>19</v>
      </c>
      <c r="G1189" s="8">
        <v>16.510000000000002</v>
      </c>
      <c r="H1189" s="11">
        <v>16.8</v>
      </c>
      <c r="I1189" s="8">
        <v>13.74</v>
      </c>
      <c r="J1189" s="3">
        <v>45875</v>
      </c>
      <c r="K1189" s="14">
        <v>47</v>
      </c>
      <c r="L1189" s="17">
        <v>1.2</v>
      </c>
      <c r="M1189" s="2" t="b">
        <v>0</v>
      </c>
      <c r="N1189" s="2"/>
      <c r="O1189" s="2" t="str">
        <f>IF(Table1[[#This Row],[is_returned]]=TRUE,IF(Table1[[#This Row],[return_reason]]="","Error","OK"),"OK")</f>
        <v>OK</v>
      </c>
      <c r="P1189" s="8">
        <f>Table1[[#This Row],[original_price]]*Table1[[#This Row],[markdown_percentage]]/100</f>
        <v>2.7736800000000006</v>
      </c>
      <c r="Q118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189" s="25">
        <f>Table1[[#This Row],[current_price]]*Table1[[#This Row],[stock_quantity]]</f>
        <v>645.78</v>
      </c>
    </row>
    <row r="1190" spans="1:18" x14ac:dyDescent="0.25">
      <c r="A1190" s="2" t="s">
        <v>1243</v>
      </c>
      <c r="B1190" s="2" t="s">
        <v>30</v>
      </c>
      <c r="C1190" s="2" t="s">
        <v>32</v>
      </c>
      <c r="D1190" s="2" t="s">
        <v>23</v>
      </c>
      <c r="E1190" s="2"/>
      <c r="F1190" s="2" t="s">
        <v>40</v>
      </c>
      <c r="G1190" s="8">
        <v>173.66</v>
      </c>
      <c r="H1190" s="11">
        <v>42.7</v>
      </c>
      <c r="I1190" s="8">
        <v>99.51</v>
      </c>
      <c r="J1190" s="3">
        <v>45875</v>
      </c>
      <c r="K1190" s="14">
        <v>1</v>
      </c>
      <c r="L1190" s="17">
        <v>3.1</v>
      </c>
      <c r="M1190" s="2" t="b">
        <v>0</v>
      </c>
      <c r="N1190" s="2"/>
      <c r="O1190" s="2" t="str">
        <f>IF(Table1[[#This Row],[is_returned]]=TRUE,IF(Table1[[#This Row],[return_reason]]="","Error","OK"),"OK")</f>
        <v>OK</v>
      </c>
      <c r="P1190" s="8">
        <f>Table1[[#This Row],[original_price]]*Table1[[#This Row],[markdown_percentage]]/100</f>
        <v>74.152820000000006</v>
      </c>
      <c r="Q119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190" s="25">
        <f>Table1[[#This Row],[current_price]]*Table1[[#This Row],[stock_quantity]]</f>
        <v>99.51</v>
      </c>
    </row>
    <row r="1191" spans="1:18" x14ac:dyDescent="0.25">
      <c r="A1191" s="2" t="s">
        <v>1244</v>
      </c>
      <c r="B1191" s="2" t="s">
        <v>21</v>
      </c>
      <c r="C1191" s="2" t="s">
        <v>48</v>
      </c>
      <c r="D1191" s="2" t="s">
        <v>17</v>
      </c>
      <c r="E1191" s="2" t="s">
        <v>39</v>
      </c>
      <c r="F1191" s="2" t="s">
        <v>28</v>
      </c>
      <c r="G1191" s="8">
        <v>71.489999999999995</v>
      </c>
      <c r="H1191" s="11">
        <v>20.9</v>
      </c>
      <c r="I1191" s="8">
        <v>56.55</v>
      </c>
      <c r="J1191" s="3">
        <v>45669</v>
      </c>
      <c r="K1191" s="14">
        <v>33</v>
      </c>
      <c r="L1191" s="17">
        <v>1.3</v>
      </c>
      <c r="M1191" s="2" t="b">
        <v>0</v>
      </c>
      <c r="N1191" s="2"/>
      <c r="O1191" s="2" t="str">
        <f>IF(Table1[[#This Row],[is_returned]]=TRUE,IF(Table1[[#This Row],[return_reason]]="","Error","OK"),"OK")</f>
        <v>OK</v>
      </c>
      <c r="P1191" s="8">
        <f>Table1[[#This Row],[original_price]]*Table1[[#This Row],[markdown_percentage]]/100</f>
        <v>14.941409999999998</v>
      </c>
      <c r="Q119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191" s="25">
        <f>Table1[[#This Row],[current_price]]*Table1[[#This Row],[stock_quantity]]</f>
        <v>1866.1499999999999</v>
      </c>
    </row>
    <row r="1192" spans="1:18" x14ac:dyDescent="0.25">
      <c r="A1192" s="2" t="s">
        <v>1245</v>
      </c>
      <c r="B1192" s="2" t="s">
        <v>15</v>
      </c>
      <c r="C1192" s="2" t="s">
        <v>22</v>
      </c>
      <c r="D1192" s="2" t="s">
        <v>34</v>
      </c>
      <c r="E1192" s="2" t="s">
        <v>49</v>
      </c>
      <c r="F1192" s="2" t="s">
        <v>40</v>
      </c>
      <c r="G1192" s="8">
        <v>230.81</v>
      </c>
      <c r="H1192" s="11">
        <v>24.3</v>
      </c>
      <c r="I1192" s="8">
        <v>174.72</v>
      </c>
      <c r="J1192" s="3">
        <v>45875</v>
      </c>
      <c r="K1192" s="14">
        <v>26</v>
      </c>
      <c r="L1192" s="17"/>
      <c r="M1192" s="2" t="b">
        <v>1</v>
      </c>
      <c r="N1192" s="2" t="s">
        <v>73</v>
      </c>
      <c r="O1192" s="2" t="str">
        <f>IF(Table1[[#This Row],[is_returned]]=TRUE,IF(Table1[[#This Row],[return_reason]]="","Error","OK"),"OK")</f>
        <v>OK</v>
      </c>
      <c r="P1192" s="8">
        <f>Table1[[#This Row],[original_price]]*Table1[[#This Row],[markdown_percentage]]/100</f>
        <v>56.086829999999999</v>
      </c>
      <c r="Q119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192" s="25">
        <f>Table1[[#This Row],[current_price]]*Table1[[#This Row],[stock_quantity]]</f>
        <v>4542.72</v>
      </c>
    </row>
    <row r="1193" spans="1:18" x14ac:dyDescent="0.25">
      <c r="A1193" s="2" t="s">
        <v>1246</v>
      </c>
      <c r="B1193" s="2" t="s">
        <v>30</v>
      </c>
      <c r="C1193" s="2" t="s">
        <v>48</v>
      </c>
      <c r="D1193" s="2" t="s">
        <v>17</v>
      </c>
      <c r="E1193" s="2" t="s">
        <v>55</v>
      </c>
      <c r="F1193" s="2" t="s">
        <v>46</v>
      </c>
      <c r="G1193" s="8">
        <v>101</v>
      </c>
      <c r="H1193" s="11">
        <v>58.6</v>
      </c>
      <c r="I1193" s="8">
        <v>41.81</v>
      </c>
      <c r="J1193" s="3">
        <v>45842</v>
      </c>
      <c r="K1193" s="14">
        <v>44</v>
      </c>
      <c r="L1193" s="17">
        <v>1.2</v>
      </c>
      <c r="M1193" s="2" t="b">
        <v>0</v>
      </c>
      <c r="N1193" s="2"/>
      <c r="O1193" s="2" t="str">
        <f>IF(Table1[[#This Row],[is_returned]]=TRUE,IF(Table1[[#This Row],[return_reason]]="","Error","OK"),"OK")</f>
        <v>OK</v>
      </c>
      <c r="P1193" s="8">
        <f>Table1[[#This Row],[original_price]]*Table1[[#This Row],[markdown_percentage]]/100</f>
        <v>59.186000000000007</v>
      </c>
      <c r="Q119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193" s="25">
        <f>Table1[[#This Row],[current_price]]*Table1[[#This Row],[stock_quantity]]</f>
        <v>1839.64</v>
      </c>
    </row>
    <row r="1194" spans="1:18" x14ac:dyDescent="0.25">
      <c r="A1194" s="2" t="s">
        <v>1247</v>
      </c>
      <c r="B1194" s="2" t="s">
        <v>15</v>
      </c>
      <c r="C1194" s="2" t="s">
        <v>43</v>
      </c>
      <c r="D1194" s="2" t="s">
        <v>23</v>
      </c>
      <c r="E1194" s="2" t="s">
        <v>49</v>
      </c>
      <c r="F1194" s="2" t="s">
        <v>70</v>
      </c>
      <c r="G1194" s="8">
        <v>116.37</v>
      </c>
      <c r="H1194" s="11">
        <v>52.6</v>
      </c>
      <c r="I1194" s="8">
        <v>55.16</v>
      </c>
      <c r="J1194" s="3">
        <v>45875</v>
      </c>
      <c r="K1194" s="14">
        <v>43</v>
      </c>
      <c r="L1194" s="17">
        <v>2.4</v>
      </c>
      <c r="M1194" s="2" t="b">
        <v>0</v>
      </c>
      <c r="N1194" s="2"/>
      <c r="O1194" s="2" t="str">
        <f>IF(Table1[[#This Row],[is_returned]]=TRUE,IF(Table1[[#This Row],[return_reason]]="","Error","OK"),"OK")</f>
        <v>OK</v>
      </c>
      <c r="P1194" s="8">
        <f>Table1[[#This Row],[original_price]]*Table1[[#This Row],[markdown_percentage]]/100</f>
        <v>61.210620000000006</v>
      </c>
      <c r="Q119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194" s="25">
        <f>Table1[[#This Row],[current_price]]*Table1[[#This Row],[stock_quantity]]</f>
        <v>2371.8799999999997</v>
      </c>
    </row>
    <row r="1195" spans="1:18" x14ac:dyDescent="0.25">
      <c r="A1195" s="2" t="s">
        <v>1248</v>
      </c>
      <c r="B1195" s="2" t="s">
        <v>30</v>
      </c>
      <c r="C1195" s="2" t="s">
        <v>48</v>
      </c>
      <c r="D1195" s="2" t="s">
        <v>17</v>
      </c>
      <c r="E1195" s="2" t="s">
        <v>24</v>
      </c>
      <c r="F1195" s="2" t="s">
        <v>56</v>
      </c>
      <c r="G1195" s="8">
        <v>150.28</v>
      </c>
      <c r="H1195" s="11">
        <v>8.3000000000000007</v>
      </c>
      <c r="I1195" s="8">
        <v>137.81</v>
      </c>
      <c r="J1195" s="3">
        <v>45679</v>
      </c>
      <c r="K1195" s="14">
        <v>48</v>
      </c>
      <c r="L1195" s="17">
        <v>2.9</v>
      </c>
      <c r="M1195" s="2" t="b">
        <v>0</v>
      </c>
      <c r="N1195" s="2"/>
      <c r="O1195" s="2" t="str">
        <f>IF(Table1[[#This Row],[is_returned]]=TRUE,IF(Table1[[#This Row],[return_reason]]="","Error","OK"),"OK")</f>
        <v>OK</v>
      </c>
      <c r="P1195" s="8">
        <f>Table1[[#This Row],[original_price]]*Table1[[#This Row],[markdown_percentage]]/100</f>
        <v>12.473240000000001</v>
      </c>
      <c r="Q119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195" s="25">
        <f>Table1[[#This Row],[current_price]]*Table1[[#This Row],[stock_quantity]]</f>
        <v>6614.88</v>
      </c>
    </row>
    <row r="1196" spans="1:18" x14ac:dyDescent="0.25">
      <c r="A1196" s="2" t="s">
        <v>1249</v>
      </c>
      <c r="B1196" s="2" t="s">
        <v>15</v>
      </c>
      <c r="C1196" s="2" t="s">
        <v>16</v>
      </c>
      <c r="D1196" s="2" t="s">
        <v>23</v>
      </c>
      <c r="E1196" s="2" t="s">
        <v>18</v>
      </c>
      <c r="F1196" s="2" t="s">
        <v>40</v>
      </c>
      <c r="G1196" s="8">
        <v>107.81</v>
      </c>
      <c r="H1196" s="11">
        <v>0</v>
      </c>
      <c r="I1196" s="8">
        <v>107.81</v>
      </c>
      <c r="J1196" s="3">
        <v>45875</v>
      </c>
      <c r="K1196" s="14">
        <v>15</v>
      </c>
      <c r="L1196" s="17">
        <v>2.7</v>
      </c>
      <c r="M1196" s="2" t="b">
        <v>0</v>
      </c>
      <c r="N1196" s="2"/>
      <c r="O1196" s="2" t="str">
        <f>IF(Table1[[#This Row],[is_returned]]=TRUE,IF(Table1[[#This Row],[return_reason]]="","Error","OK"),"OK")</f>
        <v>OK</v>
      </c>
      <c r="P1196" s="8">
        <f>Table1[[#This Row],[original_price]]*Table1[[#This Row],[markdown_percentage]]/100</f>
        <v>0</v>
      </c>
      <c r="Q119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196" s="25">
        <f>Table1[[#This Row],[current_price]]*Table1[[#This Row],[stock_quantity]]</f>
        <v>1617.15</v>
      </c>
    </row>
    <row r="1197" spans="1:18" x14ac:dyDescent="0.25">
      <c r="A1197" s="2" t="s">
        <v>1250</v>
      </c>
      <c r="B1197" s="2" t="s">
        <v>42</v>
      </c>
      <c r="C1197" s="2" t="s">
        <v>16</v>
      </c>
      <c r="D1197" s="2" t="s">
        <v>17</v>
      </c>
      <c r="E1197" s="2" t="s">
        <v>24</v>
      </c>
      <c r="F1197" s="2" t="s">
        <v>64</v>
      </c>
      <c r="G1197" s="8">
        <v>61.24</v>
      </c>
      <c r="H1197" s="11">
        <v>0</v>
      </c>
      <c r="I1197" s="8">
        <v>61.24</v>
      </c>
      <c r="J1197" s="3">
        <v>45752</v>
      </c>
      <c r="K1197" s="14">
        <v>3</v>
      </c>
      <c r="L1197" s="17"/>
      <c r="M1197" s="2" t="b">
        <v>0</v>
      </c>
      <c r="N1197" s="2"/>
      <c r="O1197" s="2" t="str">
        <f>IF(Table1[[#This Row],[is_returned]]=TRUE,IF(Table1[[#This Row],[return_reason]]="","Error","OK"),"OK")</f>
        <v>OK</v>
      </c>
      <c r="P1197" s="8">
        <f>Table1[[#This Row],[original_price]]*Table1[[#This Row],[markdown_percentage]]/100</f>
        <v>0</v>
      </c>
      <c r="Q119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197" s="25">
        <f>Table1[[#This Row],[current_price]]*Table1[[#This Row],[stock_quantity]]</f>
        <v>183.72</v>
      </c>
    </row>
    <row r="1198" spans="1:18" x14ac:dyDescent="0.25">
      <c r="A1198" s="2" t="s">
        <v>1251</v>
      </c>
      <c r="B1198" s="2" t="s">
        <v>27</v>
      </c>
      <c r="C1198" s="2" t="s">
        <v>16</v>
      </c>
      <c r="D1198" s="2" t="s">
        <v>23</v>
      </c>
      <c r="E1198" s="2"/>
      <c r="F1198" s="2" t="s">
        <v>46</v>
      </c>
      <c r="G1198" s="8">
        <v>34.04</v>
      </c>
      <c r="H1198" s="11">
        <v>0</v>
      </c>
      <c r="I1198" s="8">
        <v>34.04</v>
      </c>
      <c r="J1198" s="3">
        <v>45875</v>
      </c>
      <c r="K1198" s="14">
        <v>3</v>
      </c>
      <c r="L1198" s="17">
        <v>1.9</v>
      </c>
      <c r="M1198" s="2" t="b">
        <v>0</v>
      </c>
      <c r="N1198" s="2"/>
      <c r="O1198" s="2" t="str">
        <f>IF(Table1[[#This Row],[is_returned]]=TRUE,IF(Table1[[#This Row],[return_reason]]="","Error","OK"),"OK")</f>
        <v>OK</v>
      </c>
      <c r="P1198" s="8">
        <f>Table1[[#This Row],[original_price]]*Table1[[#This Row],[markdown_percentage]]/100</f>
        <v>0</v>
      </c>
      <c r="Q119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198" s="25">
        <f>Table1[[#This Row],[current_price]]*Table1[[#This Row],[stock_quantity]]</f>
        <v>102.12</v>
      </c>
    </row>
    <row r="1199" spans="1:18" x14ac:dyDescent="0.25">
      <c r="A1199" s="2" t="s">
        <v>1252</v>
      </c>
      <c r="B1199" s="2" t="s">
        <v>42</v>
      </c>
      <c r="C1199" s="2" t="s">
        <v>61</v>
      </c>
      <c r="D1199" s="2" t="s">
        <v>62</v>
      </c>
      <c r="E1199" s="2" t="s">
        <v>39</v>
      </c>
      <c r="F1199" s="2" t="s">
        <v>70</v>
      </c>
      <c r="G1199" s="8">
        <v>168.16</v>
      </c>
      <c r="H1199" s="11">
        <v>45.9</v>
      </c>
      <c r="I1199" s="8">
        <v>90.97</v>
      </c>
      <c r="J1199" s="3">
        <v>45875</v>
      </c>
      <c r="K1199" s="14">
        <v>44</v>
      </c>
      <c r="L1199" s="17">
        <v>1.5</v>
      </c>
      <c r="M1199" s="2" t="b">
        <v>0</v>
      </c>
      <c r="N1199" s="2"/>
      <c r="O1199" s="2" t="str">
        <f>IF(Table1[[#This Row],[is_returned]]=TRUE,IF(Table1[[#This Row],[return_reason]]="","Error","OK"),"OK")</f>
        <v>OK</v>
      </c>
      <c r="P1199" s="8">
        <f>Table1[[#This Row],[original_price]]*Table1[[#This Row],[markdown_percentage]]/100</f>
        <v>77.18544</v>
      </c>
      <c r="Q119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199" s="25">
        <f>Table1[[#This Row],[current_price]]*Table1[[#This Row],[stock_quantity]]</f>
        <v>4002.68</v>
      </c>
    </row>
    <row r="1200" spans="1:18" x14ac:dyDescent="0.25">
      <c r="A1200" s="2" t="s">
        <v>1253</v>
      </c>
      <c r="B1200" s="2" t="s">
        <v>21</v>
      </c>
      <c r="C1200" s="2" t="s">
        <v>53</v>
      </c>
      <c r="D1200" s="2" t="s">
        <v>34</v>
      </c>
      <c r="E1200" s="2" t="s">
        <v>58</v>
      </c>
      <c r="F1200" s="2" t="s">
        <v>19</v>
      </c>
      <c r="G1200" s="8">
        <v>74.069999999999993</v>
      </c>
      <c r="H1200" s="11">
        <v>0</v>
      </c>
      <c r="I1200" s="8">
        <v>74.069999999999993</v>
      </c>
      <c r="J1200" s="3">
        <v>45875</v>
      </c>
      <c r="K1200" s="14">
        <v>47</v>
      </c>
      <c r="L1200" s="17">
        <v>1.4</v>
      </c>
      <c r="M1200" s="2" t="b">
        <v>0</v>
      </c>
      <c r="N1200" s="2"/>
      <c r="O1200" s="2" t="str">
        <f>IF(Table1[[#This Row],[is_returned]]=TRUE,IF(Table1[[#This Row],[return_reason]]="","Error","OK"),"OK")</f>
        <v>OK</v>
      </c>
      <c r="P1200" s="8">
        <f>Table1[[#This Row],[original_price]]*Table1[[#This Row],[markdown_percentage]]/100</f>
        <v>0</v>
      </c>
      <c r="Q120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200" s="25">
        <f>Table1[[#This Row],[current_price]]*Table1[[#This Row],[stock_quantity]]</f>
        <v>3481.2899999999995</v>
      </c>
    </row>
    <row r="1201" spans="1:18" x14ac:dyDescent="0.25">
      <c r="A1201" s="2" t="s">
        <v>1254</v>
      </c>
      <c r="B1201" s="2" t="s">
        <v>21</v>
      </c>
      <c r="C1201" s="2" t="s">
        <v>75</v>
      </c>
      <c r="D1201" s="2" t="s">
        <v>23</v>
      </c>
      <c r="E1201" s="2" t="s">
        <v>49</v>
      </c>
      <c r="F1201" s="2" t="s">
        <v>70</v>
      </c>
      <c r="G1201" s="8">
        <v>84.75</v>
      </c>
      <c r="H1201" s="11">
        <v>0</v>
      </c>
      <c r="I1201" s="8">
        <v>84.75</v>
      </c>
      <c r="J1201" s="3">
        <v>45875</v>
      </c>
      <c r="K1201" s="14">
        <v>7</v>
      </c>
      <c r="L1201" s="17">
        <v>2.5</v>
      </c>
      <c r="M1201" s="2" t="b">
        <v>0</v>
      </c>
      <c r="N1201" s="2"/>
      <c r="O1201" s="2" t="str">
        <f>IF(Table1[[#This Row],[is_returned]]=TRUE,IF(Table1[[#This Row],[return_reason]]="","Error","OK"),"OK")</f>
        <v>OK</v>
      </c>
      <c r="P1201" s="8">
        <f>Table1[[#This Row],[original_price]]*Table1[[#This Row],[markdown_percentage]]/100</f>
        <v>0</v>
      </c>
      <c r="Q120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201" s="25">
        <f>Table1[[#This Row],[current_price]]*Table1[[#This Row],[stock_quantity]]</f>
        <v>593.25</v>
      </c>
    </row>
    <row r="1202" spans="1:18" x14ac:dyDescent="0.25">
      <c r="A1202" s="2" t="s">
        <v>1255</v>
      </c>
      <c r="B1202" s="2" t="s">
        <v>30</v>
      </c>
      <c r="C1202" s="2" t="s">
        <v>43</v>
      </c>
      <c r="D1202" s="2" t="s">
        <v>62</v>
      </c>
      <c r="E1202" s="2" t="s">
        <v>58</v>
      </c>
      <c r="F1202" s="2" t="s">
        <v>19</v>
      </c>
      <c r="G1202" s="8">
        <v>187.47</v>
      </c>
      <c r="H1202" s="11">
        <v>9.6</v>
      </c>
      <c r="I1202" s="8">
        <v>169.47</v>
      </c>
      <c r="J1202" s="3">
        <v>45875</v>
      </c>
      <c r="K1202" s="14">
        <v>28</v>
      </c>
      <c r="L1202" s="17">
        <v>4</v>
      </c>
      <c r="M1202" s="2" t="b">
        <v>0</v>
      </c>
      <c r="N1202" s="2"/>
      <c r="O1202" s="2" t="str">
        <f>IF(Table1[[#This Row],[is_returned]]=TRUE,IF(Table1[[#This Row],[return_reason]]="","Error","OK"),"OK")</f>
        <v>OK</v>
      </c>
      <c r="P1202" s="8">
        <f>Table1[[#This Row],[original_price]]*Table1[[#This Row],[markdown_percentage]]/100</f>
        <v>17.997119999999999</v>
      </c>
      <c r="Q120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202" s="25">
        <f>Table1[[#This Row],[current_price]]*Table1[[#This Row],[stock_quantity]]</f>
        <v>4745.16</v>
      </c>
    </row>
    <row r="1203" spans="1:18" x14ac:dyDescent="0.25">
      <c r="A1203" s="2" t="s">
        <v>1256</v>
      </c>
      <c r="B1203" s="2" t="s">
        <v>27</v>
      </c>
      <c r="C1203" s="2" t="s">
        <v>22</v>
      </c>
      <c r="D1203" s="2" t="s">
        <v>17</v>
      </c>
      <c r="E1203" s="2"/>
      <c r="F1203" s="2" t="s">
        <v>46</v>
      </c>
      <c r="G1203" s="8">
        <v>45.81</v>
      </c>
      <c r="H1203" s="11">
        <v>14.1</v>
      </c>
      <c r="I1203" s="8">
        <v>39.35</v>
      </c>
      <c r="J1203" s="3">
        <v>45761</v>
      </c>
      <c r="K1203" s="14">
        <v>29</v>
      </c>
      <c r="L1203" s="17"/>
      <c r="M1203" s="2" t="b">
        <v>0</v>
      </c>
      <c r="N1203" s="2"/>
      <c r="O1203" s="2" t="str">
        <f>IF(Table1[[#This Row],[is_returned]]=TRUE,IF(Table1[[#This Row],[return_reason]]="","Error","OK"),"OK")</f>
        <v>OK</v>
      </c>
      <c r="P1203" s="8">
        <f>Table1[[#This Row],[original_price]]*Table1[[#This Row],[markdown_percentage]]/100</f>
        <v>6.4592100000000006</v>
      </c>
      <c r="Q120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203" s="25">
        <f>Table1[[#This Row],[current_price]]*Table1[[#This Row],[stock_quantity]]</f>
        <v>1141.1500000000001</v>
      </c>
    </row>
    <row r="1204" spans="1:18" x14ac:dyDescent="0.25">
      <c r="A1204" s="2" t="s">
        <v>1257</v>
      </c>
      <c r="B1204" s="2" t="s">
        <v>15</v>
      </c>
      <c r="C1204" s="2" t="s">
        <v>32</v>
      </c>
      <c r="D1204" s="2" t="s">
        <v>34</v>
      </c>
      <c r="E1204" s="2" t="s">
        <v>18</v>
      </c>
      <c r="F1204" s="2" t="s">
        <v>70</v>
      </c>
      <c r="G1204" s="8">
        <v>87.09</v>
      </c>
      <c r="H1204" s="11">
        <v>0</v>
      </c>
      <c r="I1204" s="8">
        <v>87.09</v>
      </c>
      <c r="J1204" s="3">
        <v>45875</v>
      </c>
      <c r="K1204" s="14">
        <v>8</v>
      </c>
      <c r="L1204" s="17">
        <v>2.8</v>
      </c>
      <c r="M1204" s="2" t="b">
        <v>0</v>
      </c>
      <c r="N1204" s="2"/>
      <c r="O1204" s="2" t="str">
        <f>IF(Table1[[#This Row],[is_returned]]=TRUE,IF(Table1[[#This Row],[return_reason]]="","Error","OK"),"OK")</f>
        <v>OK</v>
      </c>
      <c r="P1204" s="8">
        <f>Table1[[#This Row],[original_price]]*Table1[[#This Row],[markdown_percentage]]/100</f>
        <v>0</v>
      </c>
      <c r="Q120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204" s="25">
        <f>Table1[[#This Row],[current_price]]*Table1[[#This Row],[stock_quantity]]</f>
        <v>696.72</v>
      </c>
    </row>
    <row r="1205" spans="1:18" x14ac:dyDescent="0.25">
      <c r="A1205" s="2" t="s">
        <v>1258</v>
      </c>
      <c r="B1205" s="2" t="s">
        <v>15</v>
      </c>
      <c r="C1205" s="2" t="s">
        <v>48</v>
      </c>
      <c r="D1205" s="2" t="s">
        <v>62</v>
      </c>
      <c r="E1205" s="2" t="s">
        <v>55</v>
      </c>
      <c r="F1205" s="2" t="s">
        <v>70</v>
      </c>
      <c r="G1205" s="8">
        <v>232.5</v>
      </c>
      <c r="H1205" s="11">
        <v>56.8</v>
      </c>
      <c r="I1205" s="8">
        <v>100.44</v>
      </c>
      <c r="J1205" s="3">
        <v>45875</v>
      </c>
      <c r="K1205" s="14">
        <v>23</v>
      </c>
      <c r="L1205" s="17">
        <v>2.9</v>
      </c>
      <c r="M1205" s="2" t="b">
        <v>1</v>
      </c>
      <c r="N1205" s="2" t="s">
        <v>73</v>
      </c>
      <c r="O1205" s="2" t="str">
        <f>IF(Table1[[#This Row],[is_returned]]=TRUE,IF(Table1[[#This Row],[return_reason]]="","Error","OK"),"OK")</f>
        <v>OK</v>
      </c>
      <c r="P1205" s="8">
        <f>Table1[[#This Row],[original_price]]*Table1[[#This Row],[markdown_percentage]]/100</f>
        <v>132.06</v>
      </c>
      <c r="Q120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205" s="25">
        <f>Table1[[#This Row],[current_price]]*Table1[[#This Row],[stock_quantity]]</f>
        <v>2310.12</v>
      </c>
    </row>
    <row r="1206" spans="1:18" x14ac:dyDescent="0.25">
      <c r="A1206" s="2" t="s">
        <v>1259</v>
      </c>
      <c r="B1206" s="2" t="s">
        <v>30</v>
      </c>
      <c r="C1206" s="2" t="s">
        <v>53</v>
      </c>
      <c r="D1206" s="2" t="s">
        <v>17</v>
      </c>
      <c r="E1206" s="2" t="s">
        <v>55</v>
      </c>
      <c r="F1206" s="2" t="s">
        <v>66</v>
      </c>
      <c r="G1206" s="8">
        <v>184.87</v>
      </c>
      <c r="H1206" s="11">
        <v>0</v>
      </c>
      <c r="I1206" s="8">
        <v>184.87</v>
      </c>
      <c r="J1206" s="3">
        <v>45563</v>
      </c>
      <c r="K1206" s="14">
        <v>32</v>
      </c>
      <c r="L1206" s="17">
        <v>1.8</v>
      </c>
      <c r="M1206" s="2" t="b">
        <v>0</v>
      </c>
      <c r="N1206" s="2"/>
      <c r="O1206" s="2" t="str">
        <f>IF(Table1[[#This Row],[is_returned]]=TRUE,IF(Table1[[#This Row],[return_reason]]="","Error","OK"),"OK")</f>
        <v>OK</v>
      </c>
      <c r="P1206" s="8">
        <f>Table1[[#This Row],[original_price]]*Table1[[#This Row],[markdown_percentage]]/100</f>
        <v>0</v>
      </c>
      <c r="Q120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206" s="25">
        <f>Table1[[#This Row],[current_price]]*Table1[[#This Row],[stock_quantity]]</f>
        <v>5915.84</v>
      </c>
    </row>
    <row r="1207" spans="1:18" x14ac:dyDescent="0.25">
      <c r="A1207" s="2" t="s">
        <v>1260</v>
      </c>
      <c r="B1207" s="2" t="s">
        <v>21</v>
      </c>
      <c r="C1207" s="2" t="s">
        <v>61</v>
      </c>
      <c r="D1207" s="2" t="s">
        <v>34</v>
      </c>
      <c r="E1207" s="2" t="s">
        <v>55</v>
      </c>
      <c r="F1207" s="2" t="s">
        <v>40</v>
      </c>
      <c r="G1207" s="8">
        <v>31.36</v>
      </c>
      <c r="H1207" s="11">
        <v>0</v>
      </c>
      <c r="I1207" s="8">
        <v>31.36</v>
      </c>
      <c r="J1207" s="3">
        <v>45875</v>
      </c>
      <c r="K1207" s="14">
        <v>50</v>
      </c>
      <c r="L1207" s="17">
        <v>3.4</v>
      </c>
      <c r="M1207" s="2" t="b">
        <v>0</v>
      </c>
      <c r="N1207" s="2"/>
      <c r="O1207" s="2" t="str">
        <f>IF(Table1[[#This Row],[is_returned]]=TRUE,IF(Table1[[#This Row],[return_reason]]="","Error","OK"),"OK")</f>
        <v>OK</v>
      </c>
      <c r="P1207" s="8">
        <f>Table1[[#This Row],[original_price]]*Table1[[#This Row],[markdown_percentage]]/100</f>
        <v>0</v>
      </c>
      <c r="Q120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207" s="25">
        <f>Table1[[#This Row],[current_price]]*Table1[[#This Row],[stock_quantity]]</f>
        <v>1568</v>
      </c>
    </row>
    <row r="1208" spans="1:18" x14ac:dyDescent="0.25">
      <c r="A1208" s="2" t="s">
        <v>1261</v>
      </c>
      <c r="B1208" s="2" t="s">
        <v>27</v>
      </c>
      <c r="C1208" s="2" t="s">
        <v>48</v>
      </c>
      <c r="D1208" s="2" t="s">
        <v>23</v>
      </c>
      <c r="E1208" s="2"/>
      <c r="F1208" s="2" t="s">
        <v>64</v>
      </c>
      <c r="G1208" s="8">
        <v>62.26</v>
      </c>
      <c r="H1208" s="11">
        <v>24.6</v>
      </c>
      <c r="I1208" s="8">
        <v>46.94</v>
      </c>
      <c r="J1208" s="3">
        <v>45875</v>
      </c>
      <c r="K1208" s="14">
        <v>33</v>
      </c>
      <c r="L1208" s="17">
        <v>3.5</v>
      </c>
      <c r="M1208" s="2" t="b">
        <v>0</v>
      </c>
      <c r="N1208" s="2"/>
      <c r="O1208" s="2" t="str">
        <f>IF(Table1[[#This Row],[is_returned]]=TRUE,IF(Table1[[#This Row],[return_reason]]="","Error","OK"),"OK")</f>
        <v>OK</v>
      </c>
      <c r="P1208" s="8">
        <f>Table1[[#This Row],[original_price]]*Table1[[#This Row],[markdown_percentage]]/100</f>
        <v>15.31596</v>
      </c>
      <c r="Q120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208" s="25">
        <f>Table1[[#This Row],[current_price]]*Table1[[#This Row],[stock_quantity]]</f>
        <v>1549.02</v>
      </c>
    </row>
    <row r="1209" spans="1:18" x14ac:dyDescent="0.25">
      <c r="A1209" s="2" t="s">
        <v>1262</v>
      </c>
      <c r="B1209" s="2" t="s">
        <v>27</v>
      </c>
      <c r="C1209" s="2" t="s">
        <v>43</v>
      </c>
      <c r="D1209" s="2" t="s">
        <v>62</v>
      </c>
      <c r="E1209" s="2"/>
      <c r="F1209" s="2" t="s">
        <v>64</v>
      </c>
      <c r="G1209" s="8">
        <v>64.819999999999993</v>
      </c>
      <c r="H1209" s="11">
        <v>42.2</v>
      </c>
      <c r="I1209" s="8">
        <v>37.47</v>
      </c>
      <c r="J1209" s="3">
        <v>45875</v>
      </c>
      <c r="K1209" s="14">
        <v>26</v>
      </c>
      <c r="L1209" s="17">
        <v>1.3</v>
      </c>
      <c r="M1209" s="2" t="b">
        <v>0</v>
      </c>
      <c r="N1209" s="2"/>
      <c r="O1209" s="2" t="str">
        <f>IF(Table1[[#This Row],[is_returned]]=TRUE,IF(Table1[[#This Row],[return_reason]]="","Error","OK"),"OK")</f>
        <v>OK</v>
      </c>
      <c r="P1209" s="8">
        <f>Table1[[#This Row],[original_price]]*Table1[[#This Row],[markdown_percentage]]/100</f>
        <v>27.354040000000001</v>
      </c>
      <c r="Q120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209" s="25">
        <f>Table1[[#This Row],[current_price]]*Table1[[#This Row],[stock_quantity]]</f>
        <v>974.22</v>
      </c>
    </row>
    <row r="1210" spans="1:18" x14ac:dyDescent="0.25">
      <c r="A1210" s="2" t="s">
        <v>1263</v>
      </c>
      <c r="B1210" s="2" t="s">
        <v>27</v>
      </c>
      <c r="C1210" s="2" t="s">
        <v>16</v>
      </c>
      <c r="D1210" s="2" t="s">
        <v>17</v>
      </c>
      <c r="E1210" s="2"/>
      <c r="F1210" s="2" t="s">
        <v>44</v>
      </c>
      <c r="G1210" s="8">
        <v>15.92</v>
      </c>
      <c r="H1210" s="11">
        <v>0</v>
      </c>
      <c r="I1210" s="8">
        <v>15.92</v>
      </c>
      <c r="J1210" s="3">
        <v>45541</v>
      </c>
      <c r="K1210" s="14">
        <v>7</v>
      </c>
      <c r="L1210" s="17">
        <v>4.0999999999999996</v>
      </c>
      <c r="M1210" s="2" t="b">
        <v>0</v>
      </c>
      <c r="N1210" s="2"/>
      <c r="O1210" s="2" t="str">
        <f>IF(Table1[[#This Row],[is_returned]]=TRUE,IF(Table1[[#This Row],[return_reason]]="","Error","OK"),"OK")</f>
        <v>OK</v>
      </c>
      <c r="P1210" s="8">
        <f>Table1[[#This Row],[original_price]]*Table1[[#This Row],[markdown_percentage]]/100</f>
        <v>0</v>
      </c>
      <c r="Q121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210" s="25">
        <f>Table1[[#This Row],[current_price]]*Table1[[#This Row],[stock_quantity]]</f>
        <v>111.44</v>
      </c>
    </row>
    <row r="1211" spans="1:18" x14ac:dyDescent="0.25">
      <c r="A1211" s="2" t="s">
        <v>1264</v>
      </c>
      <c r="B1211" s="2" t="s">
        <v>15</v>
      </c>
      <c r="C1211" s="2" t="s">
        <v>48</v>
      </c>
      <c r="D1211" s="2" t="s">
        <v>17</v>
      </c>
      <c r="E1211" s="2" t="s">
        <v>58</v>
      </c>
      <c r="F1211" s="2" t="s">
        <v>66</v>
      </c>
      <c r="G1211" s="8">
        <v>180.83</v>
      </c>
      <c r="H1211" s="11">
        <v>0</v>
      </c>
      <c r="I1211" s="8">
        <v>180.83</v>
      </c>
      <c r="J1211" s="3">
        <v>45537</v>
      </c>
      <c r="K1211" s="14">
        <v>20</v>
      </c>
      <c r="L1211" s="17">
        <v>2</v>
      </c>
      <c r="M1211" s="2" t="b">
        <v>0</v>
      </c>
      <c r="N1211" s="2"/>
      <c r="O1211" s="2" t="str">
        <f>IF(Table1[[#This Row],[is_returned]]=TRUE,IF(Table1[[#This Row],[return_reason]]="","Error","OK"),"OK")</f>
        <v>OK</v>
      </c>
      <c r="P1211" s="8">
        <f>Table1[[#This Row],[original_price]]*Table1[[#This Row],[markdown_percentage]]/100</f>
        <v>0</v>
      </c>
      <c r="Q121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211" s="25">
        <f>Table1[[#This Row],[current_price]]*Table1[[#This Row],[stock_quantity]]</f>
        <v>3616.6000000000004</v>
      </c>
    </row>
    <row r="1212" spans="1:18" x14ac:dyDescent="0.25">
      <c r="A1212" s="2" t="s">
        <v>1265</v>
      </c>
      <c r="B1212" s="2" t="s">
        <v>30</v>
      </c>
      <c r="C1212" s="2" t="s">
        <v>75</v>
      </c>
      <c r="D1212" s="2" t="s">
        <v>62</v>
      </c>
      <c r="E1212" s="2" t="s">
        <v>24</v>
      </c>
      <c r="F1212" s="2" t="s">
        <v>70</v>
      </c>
      <c r="G1212" s="8">
        <v>73.81</v>
      </c>
      <c r="H1212" s="11">
        <v>0</v>
      </c>
      <c r="I1212" s="8">
        <v>73.81</v>
      </c>
      <c r="J1212" s="3">
        <v>45875</v>
      </c>
      <c r="K1212" s="14">
        <v>44</v>
      </c>
      <c r="L1212" s="17">
        <v>1.3</v>
      </c>
      <c r="M1212" s="2" t="b">
        <v>0</v>
      </c>
      <c r="N1212" s="2"/>
      <c r="O1212" s="2" t="str">
        <f>IF(Table1[[#This Row],[is_returned]]=TRUE,IF(Table1[[#This Row],[return_reason]]="","Error","OK"),"OK")</f>
        <v>OK</v>
      </c>
      <c r="P1212" s="8">
        <f>Table1[[#This Row],[original_price]]*Table1[[#This Row],[markdown_percentage]]/100</f>
        <v>0</v>
      </c>
      <c r="Q121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212" s="25">
        <f>Table1[[#This Row],[current_price]]*Table1[[#This Row],[stock_quantity]]</f>
        <v>3247.6400000000003</v>
      </c>
    </row>
    <row r="1213" spans="1:18" x14ac:dyDescent="0.25">
      <c r="A1213" s="2" t="s">
        <v>1266</v>
      </c>
      <c r="B1213" s="2" t="s">
        <v>30</v>
      </c>
      <c r="C1213" s="2" t="s">
        <v>53</v>
      </c>
      <c r="D1213" s="2" t="s">
        <v>62</v>
      </c>
      <c r="E1213" s="2" t="s">
        <v>49</v>
      </c>
      <c r="F1213" s="2" t="s">
        <v>56</v>
      </c>
      <c r="G1213" s="8">
        <v>127.52</v>
      </c>
      <c r="H1213" s="11">
        <v>0</v>
      </c>
      <c r="I1213" s="8">
        <v>127.52</v>
      </c>
      <c r="J1213" s="3">
        <v>45875</v>
      </c>
      <c r="K1213" s="14">
        <v>0</v>
      </c>
      <c r="L1213" s="17">
        <v>3.4</v>
      </c>
      <c r="M1213" s="2" t="b">
        <v>0</v>
      </c>
      <c r="N1213" s="2"/>
      <c r="O1213" s="2" t="str">
        <f>IF(Table1[[#This Row],[is_returned]]=TRUE,IF(Table1[[#This Row],[return_reason]]="","Error","OK"),"OK")</f>
        <v>OK</v>
      </c>
      <c r="P1213" s="8">
        <f>Table1[[#This Row],[original_price]]*Table1[[#This Row],[markdown_percentage]]/100</f>
        <v>0</v>
      </c>
      <c r="Q121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213" s="25">
        <f>Table1[[#This Row],[current_price]]*Table1[[#This Row],[stock_quantity]]</f>
        <v>0</v>
      </c>
    </row>
    <row r="1214" spans="1:18" x14ac:dyDescent="0.25">
      <c r="A1214" s="2" t="s">
        <v>1267</v>
      </c>
      <c r="B1214" s="2" t="s">
        <v>38</v>
      </c>
      <c r="C1214" s="2" t="s">
        <v>48</v>
      </c>
      <c r="D1214" s="2" t="s">
        <v>34</v>
      </c>
      <c r="E1214" s="2"/>
      <c r="F1214" s="2" t="s">
        <v>70</v>
      </c>
      <c r="G1214" s="8">
        <v>52.08</v>
      </c>
      <c r="H1214" s="11">
        <v>0</v>
      </c>
      <c r="I1214" s="8">
        <v>52.08</v>
      </c>
      <c r="J1214" s="3">
        <v>45875</v>
      </c>
      <c r="K1214" s="14">
        <v>12</v>
      </c>
      <c r="L1214" s="17"/>
      <c r="M1214" s="2" t="b">
        <v>0</v>
      </c>
      <c r="N1214" s="2"/>
      <c r="O1214" s="2" t="str">
        <f>IF(Table1[[#This Row],[is_returned]]=TRUE,IF(Table1[[#This Row],[return_reason]]="","Error","OK"),"OK")</f>
        <v>OK</v>
      </c>
      <c r="P1214" s="8">
        <f>Table1[[#This Row],[original_price]]*Table1[[#This Row],[markdown_percentage]]/100</f>
        <v>0</v>
      </c>
      <c r="Q121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214" s="25">
        <f>Table1[[#This Row],[current_price]]*Table1[[#This Row],[stock_quantity]]</f>
        <v>624.96</v>
      </c>
    </row>
    <row r="1215" spans="1:18" x14ac:dyDescent="0.25">
      <c r="A1215" s="2" t="s">
        <v>1268</v>
      </c>
      <c r="B1215" s="2" t="s">
        <v>38</v>
      </c>
      <c r="C1215" s="2" t="s">
        <v>75</v>
      </c>
      <c r="D1215" s="2" t="s">
        <v>23</v>
      </c>
      <c r="E1215" s="2" t="s">
        <v>55</v>
      </c>
      <c r="F1215" s="2" t="s">
        <v>19</v>
      </c>
      <c r="G1215" s="8">
        <v>32.83</v>
      </c>
      <c r="H1215" s="11">
        <v>23</v>
      </c>
      <c r="I1215" s="8">
        <v>25.28</v>
      </c>
      <c r="J1215" s="3">
        <v>45875</v>
      </c>
      <c r="K1215" s="14">
        <v>24</v>
      </c>
      <c r="L1215" s="17">
        <v>1.1000000000000001</v>
      </c>
      <c r="M1215" s="2" t="b">
        <v>0</v>
      </c>
      <c r="N1215" s="2"/>
      <c r="O1215" s="2" t="str">
        <f>IF(Table1[[#This Row],[is_returned]]=TRUE,IF(Table1[[#This Row],[return_reason]]="","Error","OK"),"OK")</f>
        <v>OK</v>
      </c>
      <c r="P1215" s="8">
        <f>Table1[[#This Row],[original_price]]*Table1[[#This Row],[markdown_percentage]]/100</f>
        <v>7.5508999999999995</v>
      </c>
      <c r="Q121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215" s="25">
        <f>Table1[[#This Row],[current_price]]*Table1[[#This Row],[stock_quantity]]</f>
        <v>606.72</v>
      </c>
    </row>
    <row r="1216" spans="1:18" x14ac:dyDescent="0.25">
      <c r="A1216" s="2" t="s">
        <v>1269</v>
      </c>
      <c r="B1216" s="2" t="s">
        <v>21</v>
      </c>
      <c r="C1216" s="2" t="s">
        <v>32</v>
      </c>
      <c r="D1216" s="2" t="s">
        <v>23</v>
      </c>
      <c r="E1216" s="2" t="s">
        <v>39</v>
      </c>
      <c r="F1216" s="2" t="s">
        <v>66</v>
      </c>
      <c r="G1216" s="8">
        <v>108.92</v>
      </c>
      <c r="H1216" s="11">
        <v>0</v>
      </c>
      <c r="I1216" s="8">
        <v>108.92</v>
      </c>
      <c r="J1216" s="3">
        <v>45875</v>
      </c>
      <c r="K1216" s="14">
        <v>6</v>
      </c>
      <c r="L1216" s="17">
        <v>1.8</v>
      </c>
      <c r="M1216" s="2" t="b">
        <v>0</v>
      </c>
      <c r="N1216" s="2"/>
      <c r="O1216" s="2" t="str">
        <f>IF(Table1[[#This Row],[is_returned]]=TRUE,IF(Table1[[#This Row],[return_reason]]="","Error","OK"),"OK")</f>
        <v>OK</v>
      </c>
      <c r="P1216" s="8">
        <f>Table1[[#This Row],[original_price]]*Table1[[#This Row],[markdown_percentage]]/100</f>
        <v>0</v>
      </c>
      <c r="Q121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216" s="25">
        <f>Table1[[#This Row],[current_price]]*Table1[[#This Row],[stock_quantity]]</f>
        <v>653.52</v>
      </c>
    </row>
    <row r="1217" spans="1:18" x14ac:dyDescent="0.25">
      <c r="A1217" s="2" t="s">
        <v>1270</v>
      </c>
      <c r="B1217" s="2" t="s">
        <v>30</v>
      </c>
      <c r="C1217" s="2" t="s">
        <v>75</v>
      </c>
      <c r="D1217" s="2" t="s">
        <v>23</v>
      </c>
      <c r="E1217" s="2"/>
      <c r="F1217" s="2" t="s">
        <v>64</v>
      </c>
      <c r="G1217" s="8">
        <v>85.83</v>
      </c>
      <c r="H1217" s="11">
        <v>47.5</v>
      </c>
      <c r="I1217" s="8">
        <v>45.06</v>
      </c>
      <c r="J1217" s="3">
        <v>45875</v>
      </c>
      <c r="K1217" s="14">
        <v>8</v>
      </c>
      <c r="L1217" s="17">
        <v>1.1000000000000001</v>
      </c>
      <c r="M1217" s="2" t="b">
        <v>0</v>
      </c>
      <c r="N1217" s="2"/>
      <c r="O1217" s="2" t="str">
        <f>IF(Table1[[#This Row],[is_returned]]=TRUE,IF(Table1[[#This Row],[return_reason]]="","Error","OK"),"OK")</f>
        <v>OK</v>
      </c>
      <c r="P1217" s="8">
        <f>Table1[[#This Row],[original_price]]*Table1[[#This Row],[markdown_percentage]]/100</f>
        <v>40.76925</v>
      </c>
      <c r="Q121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217" s="25">
        <f>Table1[[#This Row],[current_price]]*Table1[[#This Row],[stock_quantity]]</f>
        <v>360.48</v>
      </c>
    </row>
    <row r="1218" spans="1:18" x14ac:dyDescent="0.25">
      <c r="A1218" s="2" t="s">
        <v>1271</v>
      </c>
      <c r="B1218" s="2" t="s">
        <v>27</v>
      </c>
      <c r="C1218" s="2" t="s">
        <v>16</v>
      </c>
      <c r="D1218" s="2" t="s">
        <v>17</v>
      </c>
      <c r="E1218" s="2"/>
      <c r="F1218" s="2" t="s">
        <v>44</v>
      </c>
      <c r="G1218" s="8">
        <v>62.02</v>
      </c>
      <c r="H1218" s="11">
        <v>0</v>
      </c>
      <c r="I1218" s="8">
        <v>62.02</v>
      </c>
      <c r="J1218" s="3">
        <v>45772</v>
      </c>
      <c r="K1218" s="14">
        <v>3</v>
      </c>
      <c r="L1218" s="17">
        <v>3.7</v>
      </c>
      <c r="M1218" s="2" t="b">
        <v>0</v>
      </c>
      <c r="N1218" s="2"/>
      <c r="O1218" s="2" t="str">
        <f>IF(Table1[[#This Row],[is_returned]]=TRUE,IF(Table1[[#This Row],[return_reason]]="","Error","OK"),"OK")</f>
        <v>OK</v>
      </c>
      <c r="P1218" s="8">
        <f>Table1[[#This Row],[original_price]]*Table1[[#This Row],[markdown_percentage]]/100</f>
        <v>0</v>
      </c>
      <c r="Q121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218" s="25">
        <f>Table1[[#This Row],[current_price]]*Table1[[#This Row],[stock_quantity]]</f>
        <v>186.06</v>
      </c>
    </row>
    <row r="1219" spans="1:18" x14ac:dyDescent="0.25">
      <c r="A1219" s="2" t="s">
        <v>1272</v>
      </c>
      <c r="B1219" s="2" t="s">
        <v>30</v>
      </c>
      <c r="C1219" s="2" t="s">
        <v>48</v>
      </c>
      <c r="D1219" s="2" t="s">
        <v>62</v>
      </c>
      <c r="E1219" s="2" t="s">
        <v>18</v>
      </c>
      <c r="F1219" s="2" t="s">
        <v>28</v>
      </c>
      <c r="G1219" s="8">
        <v>127.31</v>
      </c>
      <c r="H1219" s="11">
        <v>5.4</v>
      </c>
      <c r="I1219" s="8">
        <v>120.44</v>
      </c>
      <c r="J1219" s="3">
        <v>45875</v>
      </c>
      <c r="K1219" s="14">
        <v>34</v>
      </c>
      <c r="L1219" s="17">
        <v>2.5</v>
      </c>
      <c r="M1219" s="2" t="b">
        <v>0</v>
      </c>
      <c r="N1219" s="2"/>
      <c r="O1219" s="2" t="str">
        <f>IF(Table1[[#This Row],[is_returned]]=TRUE,IF(Table1[[#This Row],[return_reason]]="","Error","OK"),"OK")</f>
        <v>OK</v>
      </c>
      <c r="P1219" s="8">
        <f>Table1[[#This Row],[original_price]]*Table1[[#This Row],[markdown_percentage]]/100</f>
        <v>6.8747400000000001</v>
      </c>
      <c r="Q121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219" s="25">
        <f>Table1[[#This Row],[current_price]]*Table1[[#This Row],[stock_quantity]]</f>
        <v>4094.96</v>
      </c>
    </row>
    <row r="1220" spans="1:18" x14ac:dyDescent="0.25">
      <c r="A1220" s="2" t="s">
        <v>1273</v>
      </c>
      <c r="B1220" s="2" t="s">
        <v>21</v>
      </c>
      <c r="C1220" s="2" t="s">
        <v>53</v>
      </c>
      <c r="D1220" s="2" t="s">
        <v>34</v>
      </c>
      <c r="E1220" s="2"/>
      <c r="F1220" s="2" t="s">
        <v>19</v>
      </c>
      <c r="G1220" s="8">
        <v>35.74</v>
      </c>
      <c r="H1220" s="11">
        <v>0</v>
      </c>
      <c r="I1220" s="8">
        <v>35.74</v>
      </c>
      <c r="J1220" s="3">
        <v>45875</v>
      </c>
      <c r="K1220" s="14">
        <v>33</v>
      </c>
      <c r="L1220" s="17"/>
      <c r="M1220" s="2" t="b">
        <v>1</v>
      </c>
      <c r="N1220" s="2" t="s">
        <v>36</v>
      </c>
      <c r="O1220" s="2" t="str">
        <f>IF(Table1[[#This Row],[is_returned]]=TRUE,IF(Table1[[#This Row],[return_reason]]="","Error","OK"),"OK")</f>
        <v>OK</v>
      </c>
      <c r="P1220" s="8">
        <f>Table1[[#This Row],[original_price]]*Table1[[#This Row],[markdown_percentage]]/100</f>
        <v>0</v>
      </c>
      <c r="Q122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220" s="25">
        <f>Table1[[#This Row],[current_price]]*Table1[[#This Row],[stock_quantity]]</f>
        <v>1179.42</v>
      </c>
    </row>
    <row r="1221" spans="1:18" x14ac:dyDescent="0.25">
      <c r="A1221" s="2" t="s">
        <v>1274</v>
      </c>
      <c r="B1221" s="2" t="s">
        <v>27</v>
      </c>
      <c r="C1221" s="2" t="s">
        <v>48</v>
      </c>
      <c r="D1221" s="2" t="s">
        <v>62</v>
      </c>
      <c r="E1221" s="2"/>
      <c r="F1221" s="2" t="s">
        <v>40</v>
      </c>
      <c r="G1221" s="8">
        <v>69.62</v>
      </c>
      <c r="H1221" s="11">
        <v>27.9</v>
      </c>
      <c r="I1221" s="8">
        <v>50.2</v>
      </c>
      <c r="J1221" s="3">
        <v>45875</v>
      </c>
      <c r="K1221" s="14">
        <v>5</v>
      </c>
      <c r="L1221" s="17">
        <v>1.1000000000000001</v>
      </c>
      <c r="M1221" s="2" t="b">
        <v>0</v>
      </c>
      <c r="N1221" s="2"/>
      <c r="O1221" s="2" t="str">
        <f>IF(Table1[[#This Row],[is_returned]]=TRUE,IF(Table1[[#This Row],[return_reason]]="","Error","OK"),"OK")</f>
        <v>OK</v>
      </c>
      <c r="P1221" s="8">
        <f>Table1[[#This Row],[original_price]]*Table1[[#This Row],[markdown_percentage]]/100</f>
        <v>19.42398</v>
      </c>
      <c r="Q122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221" s="25">
        <f>Table1[[#This Row],[current_price]]*Table1[[#This Row],[stock_quantity]]</f>
        <v>251</v>
      </c>
    </row>
    <row r="1222" spans="1:18" x14ac:dyDescent="0.25">
      <c r="A1222" s="2" t="s">
        <v>1275</v>
      </c>
      <c r="B1222" s="2" t="s">
        <v>21</v>
      </c>
      <c r="C1222" s="2" t="s">
        <v>16</v>
      </c>
      <c r="D1222" s="2" t="s">
        <v>23</v>
      </c>
      <c r="E1222" s="2" t="s">
        <v>49</v>
      </c>
      <c r="F1222" s="2" t="s">
        <v>28</v>
      </c>
      <c r="G1222" s="8">
        <v>92.01</v>
      </c>
      <c r="H1222" s="11">
        <v>28.8</v>
      </c>
      <c r="I1222" s="8">
        <v>65.510000000000005</v>
      </c>
      <c r="J1222" s="3">
        <v>45875</v>
      </c>
      <c r="K1222" s="14">
        <v>37</v>
      </c>
      <c r="L1222" s="17">
        <v>1.9</v>
      </c>
      <c r="M1222" s="2" t="b">
        <v>0</v>
      </c>
      <c r="N1222" s="2"/>
      <c r="O1222" s="2" t="str">
        <f>IF(Table1[[#This Row],[is_returned]]=TRUE,IF(Table1[[#This Row],[return_reason]]="","Error","OK"),"OK")</f>
        <v>OK</v>
      </c>
      <c r="P1222" s="8">
        <f>Table1[[#This Row],[original_price]]*Table1[[#This Row],[markdown_percentage]]/100</f>
        <v>26.498880000000003</v>
      </c>
      <c r="Q122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222" s="25">
        <f>Table1[[#This Row],[current_price]]*Table1[[#This Row],[stock_quantity]]</f>
        <v>2423.8700000000003</v>
      </c>
    </row>
    <row r="1223" spans="1:18" x14ac:dyDescent="0.25">
      <c r="A1223" s="2" t="s">
        <v>1276</v>
      </c>
      <c r="B1223" s="2" t="s">
        <v>30</v>
      </c>
      <c r="C1223" s="2" t="s">
        <v>43</v>
      </c>
      <c r="D1223" s="2" t="s">
        <v>34</v>
      </c>
      <c r="E1223" s="2" t="s">
        <v>58</v>
      </c>
      <c r="F1223" s="2" t="s">
        <v>28</v>
      </c>
      <c r="G1223" s="8">
        <v>110.1</v>
      </c>
      <c r="H1223" s="11">
        <v>0</v>
      </c>
      <c r="I1223" s="8">
        <v>110.1</v>
      </c>
      <c r="J1223" s="3">
        <v>45875</v>
      </c>
      <c r="K1223" s="14">
        <v>13</v>
      </c>
      <c r="L1223" s="17">
        <v>3.6</v>
      </c>
      <c r="M1223" s="2" t="b">
        <v>1</v>
      </c>
      <c r="N1223" s="2" t="s">
        <v>115</v>
      </c>
      <c r="O1223" s="2" t="str">
        <f>IF(Table1[[#This Row],[is_returned]]=TRUE,IF(Table1[[#This Row],[return_reason]]="","Error","OK"),"OK")</f>
        <v>OK</v>
      </c>
      <c r="P1223" s="8">
        <f>Table1[[#This Row],[original_price]]*Table1[[#This Row],[markdown_percentage]]/100</f>
        <v>0</v>
      </c>
      <c r="Q122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223" s="25">
        <f>Table1[[#This Row],[current_price]]*Table1[[#This Row],[stock_quantity]]</f>
        <v>1431.3</v>
      </c>
    </row>
    <row r="1224" spans="1:18" x14ac:dyDescent="0.25">
      <c r="A1224" s="2" t="s">
        <v>1277</v>
      </c>
      <c r="B1224" s="2" t="s">
        <v>38</v>
      </c>
      <c r="C1224" s="2" t="s">
        <v>16</v>
      </c>
      <c r="D1224" s="2" t="s">
        <v>34</v>
      </c>
      <c r="E1224" s="2" t="s">
        <v>49</v>
      </c>
      <c r="F1224" s="2" t="s">
        <v>19</v>
      </c>
      <c r="G1224" s="8">
        <v>109.05</v>
      </c>
      <c r="H1224" s="11">
        <v>0</v>
      </c>
      <c r="I1224" s="8">
        <v>109.05</v>
      </c>
      <c r="J1224" s="3">
        <v>45875</v>
      </c>
      <c r="K1224" s="14">
        <v>13</v>
      </c>
      <c r="L1224" s="17">
        <v>3.7</v>
      </c>
      <c r="M1224" s="2" t="b">
        <v>0</v>
      </c>
      <c r="N1224" s="2"/>
      <c r="O1224" s="2" t="str">
        <f>IF(Table1[[#This Row],[is_returned]]=TRUE,IF(Table1[[#This Row],[return_reason]]="","Error","OK"),"OK")</f>
        <v>OK</v>
      </c>
      <c r="P1224" s="8">
        <f>Table1[[#This Row],[original_price]]*Table1[[#This Row],[markdown_percentage]]/100</f>
        <v>0</v>
      </c>
      <c r="Q122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224" s="25">
        <f>Table1[[#This Row],[current_price]]*Table1[[#This Row],[stock_quantity]]</f>
        <v>1417.6499999999999</v>
      </c>
    </row>
    <row r="1225" spans="1:18" x14ac:dyDescent="0.25">
      <c r="A1225" s="2" t="s">
        <v>1278</v>
      </c>
      <c r="B1225" s="2" t="s">
        <v>27</v>
      </c>
      <c r="C1225" s="2" t="s">
        <v>75</v>
      </c>
      <c r="D1225" s="2" t="s">
        <v>23</v>
      </c>
      <c r="E1225" s="2"/>
      <c r="F1225" s="2" t="s">
        <v>56</v>
      </c>
      <c r="G1225" s="8">
        <v>67.459999999999994</v>
      </c>
      <c r="H1225" s="11">
        <v>0</v>
      </c>
      <c r="I1225" s="8">
        <v>67.459999999999994</v>
      </c>
      <c r="J1225" s="3">
        <v>45875</v>
      </c>
      <c r="K1225" s="14">
        <v>28</v>
      </c>
      <c r="L1225" s="17">
        <v>1.4</v>
      </c>
      <c r="M1225" s="2" t="b">
        <v>0</v>
      </c>
      <c r="N1225" s="2"/>
      <c r="O1225" s="2" t="str">
        <f>IF(Table1[[#This Row],[is_returned]]=TRUE,IF(Table1[[#This Row],[return_reason]]="","Error","OK"),"OK")</f>
        <v>OK</v>
      </c>
      <c r="P1225" s="8">
        <f>Table1[[#This Row],[original_price]]*Table1[[#This Row],[markdown_percentage]]/100</f>
        <v>0</v>
      </c>
      <c r="Q122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225" s="25">
        <f>Table1[[#This Row],[current_price]]*Table1[[#This Row],[stock_quantity]]</f>
        <v>1888.8799999999999</v>
      </c>
    </row>
    <row r="1226" spans="1:18" x14ac:dyDescent="0.25">
      <c r="A1226" s="2" t="s">
        <v>1279</v>
      </c>
      <c r="B1226" s="2" t="s">
        <v>30</v>
      </c>
      <c r="C1226" s="2" t="s">
        <v>53</v>
      </c>
      <c r="D1226" s="2" t="s">
        <v>23</v>
      </c>
      <c r="E1226" s="2" t="s">
        <v>58</v>
      </c>
      <c r="F1226" s="2" t="s">
        <v>35</v>
      </c>
      <c r="G1226" s="8">
        <v>110.11</v>
      </c>
      <c r="H1226" s="11">
        <v>10.199999999999999</v>
      </c>
      <c r="I1226" s="8">
        <v>98.88</v>
      </c>
      <c r="J1226" s="3">
        <v>45875</v>
      </c>
      <c r="K1226" s="14">
        <v>47</v>
      </c>
      <c r="L1226" s="17"/>
      <c r="M1226" s="2" t="b">
        <v>0</v>
      </c>
      <c r="N1226" s="2"/>
      <c r="O1226" s="2" t="str">
        <f>IF(Table1[[#This Row],[is_returned]]=TRUE,IF(Table1[[#This Row],[return_reason]]="","Error","OK"),"OK")</f>
        <v>OK</v>
      </c>
      <c r="P1226" s="8">
        <f>Table1[[#This Row],[original_price]]*Table1[[#This Row],[markdown_percentage]]/100</f>
        <v>11.231219999999999</v>
      </c>
      <c r="Q122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226" s="25">
        <f>Table1[[#This Row],[current_price]]*Table1[[#This Row],[stock_quantity]]</f>
        <v>4647.3599999999997</v>
      </c>
    </row>
    <row r="1227" spans="1:18" x14ac:dyDescent="0.25">
      <c r="A1227" s="2" t="s">
        <v>1280</v>
      </c>
      <c r="B1227" s="2" t="s">
        <v>30</v>
      </c>
      <c r="C1227" s="2" t="s">
        <v>32</v>
      </c>
      <c r="D1227" s="2" t="s">
        <v>62</v>
      </c>
      <c r="E1227" s="2" t="s">
        <v>18</v>
      </c>
      <c r="F1227" s="2" t="s">
        <v>35</v>
      </c>
      <c r="G1227" s="8">
        <v>162.5</v>
      </c>
      <c r="H1227" s="11">
        <v>0</v>
      </c>
      <c r="I1227" s="8">
        <v>162.5</v>
      </c>
      <c r="J1227" s="3">
        <v>45875</v>
      </c>
      <c r="K1227" s="14">
        <v>45</v>
      </c>
      <c r="L1227" s="17"/>
      <c r="M1227" s="2" t="b">
        <v>0</v>
      </c>
      <c r="N1227" s="2"/>
      <c r="O1227" s="2" t="str">
        <f>IF(Table1[[#This Row],[is_returned]]=TRUE,IF(Table1[[#This Row],[return_reason]]="","Error","OK"),"OK")</f>
        <v>OK</v>
      </c>
      <c r="P1227" s="8">
        <f>Table1[[#This Row],[original_price]]*Table1[[#This Row],[markdown_percentage]]/100</f>
        <v>0</v>
      </c>
      <c r="Q122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227" s="25">
        <f>Table1[[#This Row],[current_price]]*Table1[[#This Row],[stock_quantity]]</f>
        <v>7312.5</v>
      </c>
    </row>
    <row r="1228" spans="1:18" x14ac:dyDescent="0.25">
      <c r="A1228" s="2" t="s">
        <v>1281</v>
      </c>
      <c r="B1228" s="2" t="s">
        <v>27</v>
      </c>
      <c r="C1228" s="2" t="s">
        <v>22</v>
      </c>
      <c r="D1228" s="2" t="s">
        <v>62</v>
      </c>
      <c r="E1228" s="2"/>
      <c r="F1228" s="2" t="s">
        <v>28</v>
      </c>
      <c r="G1228" s="8">
        <v>23.8</v>
      </c>
      <c r="H1228" s="11">
        <v>8.3000000000000007</v>
      </c>
      <c r="I1228" s="8">
        <v>21.82</v>
      </c>
      <c r="J1228" s="3">
        <v>45875</v>
      </c>
      <c r="K1228" s="14">
        <v>0</v>
      </c>
      <c r="L1228" s="17">
        <v>3.5</v>
      </c>
      <c r="M1228" s="2" t="b">
        <v>0</v>
      </c>
      <c r="N1228" s="2"/>
      <c r="O1228" s="2" t="str">
        <f>IF(Table1[[#This Row],[is_returned]]=TRUE,IF(Table1[[#This Row],[return_reason]]="","Error","OK"),"OK")</f>
        <v>OK</v>
      </c>
      <c r="P1228" s="8">
        <f>Table1[[#This Row],[original_price]]*Table1[[#This Row],[markdown_percentage]]/100</f>
        <v>1.9754000000000003</v>
      </c>
      <c r="Q122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228" s="25">
        <f>Table1[[#This Row],[current_price]]*Table1[[#This Row],[stock_quantity]]</f>
        <v>0</v>
      </c>
    </row>
    <row r="1229" spans="1:18" x14ac:dyDescent="0.25">
      <c r="A1229" s="2" t="s">
        <v>1282</v>
      </c>
      <c r="B1229" s="2" t="s">
        <v>38</v>
      </c>
      <c r="C1229" s="2" t="s">
        <v>32</v>
      </c>
      <c r="D1229" s="2" t="s">
        <v>34</v>
      </c>
      <c r="E1229" s="2" t="s">
        <v>55</v>
      </c>
      <c r="F1229" s="2" t="s">
        <v>70</v>
      </c>
      <c r="G1229" s="8">
        <v>115.89</v>
      </c>
      <c r="H1229" s="11">
        <v>0</v>
      </c>
      <c r="I1229" s="8">
        <v>115.89</v>
      </c>
      <c r="J1229" s="3">
        <v>45875</v>
      </c>
      <c r="K1229" s="14">
        <v>34</v>
      </c>
      <c r="L1229" s="17">
        <v>2.9</v>
      </c>
      <c r="M1229" s="2" t="b">
        <v>0</v>
      </c>
      <c r="N1229" s="2"/>
      <c r="O1229" s="2" t="str">
        <f>IF(Table1[[#This Row],[is_returned]]=TRUE,IF(Table1[[#This Row],[return_reason]]="","Error","OK"),"OK")</f>
        <v>OK</v>
      </c>
      <c r="P1229" s="8">
        <f>Table1[[#This Row],[original_price]]*Table1[[#This Row],[markdown_percentage]]/100</f>
        <v>0</v>
      </c>
      <c r="Q122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229" s="25">
        <f>Table1[[#This Row],[current_price]]*Table1[[#This Row],[stock_quantity]]</f>
        <v>3940.26</v>
      </c>
    </row>
    <row r="1230" spans="1:18" x14ac:dyDescent="0.25">
      <c r="A1230" s="2" t="s">
        <v>1283</v>
      </c>
      <c r="B1230" s="2" t="s">
        <v>15</v>
      </c>
      <c r="C1230" s="2" t="s">
        <v>48</v>
      </c>
      <c r="D1230" s="2" t="s">
        <v>17</v>
      </c>
      <c r="E1230" s="2" t="s">
        <v>58</v>
      </c>
      <c r="F1230" s="2" t="s">
        <v>19</v>
      </c>
      <c r="G1230" s="8">
        <v>139.19999999999999</v>
      </c>
      <c r="H1230" s="11">
        <v>42.5</v>
      </c>
      <c r="I1230" s="8">
        <v>80.040000000000006</v>
      </c>
      <c r="J1230" s="3">
        <v>45567</v>
      </c>
      <c r="K1230" s="14">
        <v>27</v>
      </c>
      <c r="L1230" s="17">
        <v>2.9</v>
      </c>
      <c r="M1230" s="2" t="b">
        <v>0</v>
      </c>
      <c r="N1230" s="2"/>
      <c r="O1230" s="2" t="str">
        <f>IF(Table1[[#This Row],[is_returned]]=TRUE,IF(Table1[[#This Row],[return_reason]]="","Error","OK"),"OK")</f>
        <v>OK</v>
      </c>
      <c r="P1230" s="8">
        <f>Table1[[#This Row],[original_price]]*Table1[[#This Row],[markdown_percentage]]/100</f>
        <v>59.159999999999989</v>
      </c>
      <c r="Q123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230" s="25">
        <f>Table1[[#This Row],[current_price]]*Table1[[#This Row],[stock_quantity]]</f>
        <v>2161.0800000000004</v>
      </c>
    </row>
    <row r="1231" spans="1:18" x14ac:dyDescent="0.25">
      <c r="A1231" s="2" t="s">
        <v>1284</v>
      </c>
      <c r="B1231" s="2" t="s">
        <v>42</v>
      </c>
      <c r="C1231" s="2" t="s">
        <v>75</v>
      </c>
      <c r="D1231" s="2" t="s">
        <v>34</v>
      </c>
      <c r="E1231" s="2" t="s">
        <v>39</v>
      </c>
      <c r="F1231" s="2" t="s">
        <v>64</v>
      </c>
      <c r="G1231" s="8">
        <v>120.42</v>
      </c>
      <c r="H1231" s="11">
        <v>36.700000000000003</v>
      </c>
      <c r="I1231" s="8">
        <v>76.23</v>
      </c>
      <c r="J1231" s="3">
        <v>45875</v>
      </c>
      <c r="K1231" s="14">
        <v>46</v>
      </c>
      <c r="L1231" s="17">
        <v>2.4</v>
      </c>
      <c r="M1231" s="2" t="b">
        <v>0</v>
      </c>
      <c r="N1231" s="2"/>
      <c r="O1231" s="2" t="str">
        <f>IF(Table1[[#This Row],[is_returned]]=TRUE,IF(Table1[[#This Row],[return_reason]]="","Error","OK"),"OK")</f>
        <v>OK</v>
      </c>
      <c r="P1231" s="8">
        <f>Table1[[#This Row],[original_price]]*Table1[[#This Row],[markdown_percentage]]/100</f>
        <v>44.194140000000004</v>
      </c>
      <c r="Q123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231" s="25">
        <f>Table1[[#This Row],[current_price]]*Table1[[#This Row],[stock_quantity]]</f>
        <v>3506.5800000000004</v>
      </c>
    </row>
    <row r="1232" spans="1:18" x14ac:dyDescent="0.25">
      <c r="A1232" s="2" t="s">
        <v>1285</v>
      </c>
      <c r="B1232" s="2" t="s">
        <v>27</v>
      </c>
      <c r="C1232" s="2" t="s">
        <v>32</v>
      </c>
      <c r="D1232" s="2" t="s">
        <v>34</v>
      </c>
      <c r="E1232" s="2"/>
      <c r="F1232" s="2" t="s">
        <v>56</v>
      </c>
      <c r="G1232" s="8">
        <v>72.81</v>
      </c>
      <c r="H1232" s="11">
        <v>0</v>
      </c>
      <c r="I1232" s="8">
        <v>72.81</v>
      </c>
      <c r="J1232" s="3">
        <v>45875</v>
      </c>
      <c r="K1232" s="14">
        <v>4</v>
      </c>
      <c r="L1232" s="17">
        <v>4.3</v>
      </c>
      <c r="M1232" s="2" t="b">
        <v>0</v>
      </c>
      <c r="N1232" s="2"/>
      <c r="O1232" s="2" t="str">
        <f>IF(Table1[[#This Row],[is_returned]]=TRUE,IF(Table1[[#This Row],[return_reason]]="","Error","OK"),"OK")</f>
        <v>OK</v>
      </c>
      <c r="P1232" s="8">
        <f>Table1[[#This Row],[original_price]]*Table1[[#This Row],[markdown_percentage]]/100</f>
        <v>0</v>
      </c>
      <c r="Q123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232" s="25">
        <f>Table1[[#This Row],[current_price]]*Table1[[#This Row],[stock_quantity]]</f>
        <v>291.24</v>
      </c>
    </row>
    <row r="1233" spans="1:18" x14ac:dyDescent="0.25">
      <c r="A1233" s="2" t="s">
        <v>1286</v>
      </c>
      <c r="B1233" s="2" t="s">
        <v>27</v>
      </c>
      <c r="C1233" s="2" t="s">
        <v>16</v>
      </c>
      <c r="D1233" s="2" t="s">
        <v>17</v>
      </c>
      <c r="E1233" s="2"/>
      <c r="F1233" s="2" t="s">
        <v>70</v>
      </c>
      <c r="G1233" s="8">
        <v>29.75</v>
      </c>
      <c r="H1233" s="11">
        <v>0</v>
      </c>
      <c r="I1233" s="8">
        <v>29.75</v>
      </c>
      <c r="J1233" s="3">
        <v>45695</v>
      </c>
      <c r="K1233" s="14">
        <v>37</v>
      </c>
      <c r="L1233" s="17">
        <v>3.9</v>
      </c>
      <c r="M1233" s="2" t="b">
        <v>0</v>
      </c>
      <c r="N1233" s="2"/>
      <c r="O1233" s="2" t="str">
        <f>IF(Table1[[#This Row],[is_returned]]=TRUE,IF(Table1[[#This Row],[return_reason]]="","Error","OK"),"OK")</f>
        <v>OK</v>
      </c>
      <c r="P1233" s="8">
        <f>Table1[[#This Row],[original_price]]*Table1[[#This Row],[markdown_percentage]]/100</f>
        <v>0</v>
      </c>
      <c r="Q123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233" s="25">
        <f>Table1[[#This Row],[current_price]]*Table1[[#This Row],[stock_quantity]]</f>
        <v>1100.75</v>
      </c>
    </row>
    <row r="1234" spans="1:18" x14ac:dyDescent="0.25">
      <c r="A1234" s="2" t="s">
        <v>1287</v>
      </c>
      <c r="B1234" s="2" t="s">
        <v>21</v>
      </c>
      <c r="C1234" s="2" t="s">
        <v>61</v>
      </c>
      <c r="D1234" s="2" t="s">
        <v>62</v>
      </c>
      <c r="E1234" s="2" t="s">
        <v>18</v>
      </c>
      <c r="F1234" s="2" t="s">
        <v>28</v>
      </c>
      <c r="G1234" s="8">
        <v>33.630000000000003</v>
      </c>
      <c r="H1234" s="11">
        <v>0</v>
      </c>
      <c r="I1234" s="8">
        <v>33.630000000000003</v>
      </c>
      <c r="J1234" s="3">
        <v>45875</v>
      </c>
      <c r="K1234" s="14">
        <v>13</v>
      </c>
      <c r="L1234" s="17">
        <v>4.7</v>
      </c>
      <c r="M1234" s="2" t="b">
        <v>0</v>
      </c>
      <c r="N1234" s="2"/>
      <c r="O1234" s="2" t="str">
        <f>IF(Table1[[#This Row],[is_returned]]=TRUE,IF(Table1[[#This Row],[return_reason]]="","Error","OK"),"OK")</f>
        <v>OK</v>
      </c>
      <c r="P1234" s="8">
        <f>Table1[[#This Row],[original_price]]*Table1[[#This Row],[markdown_percentage]]/100</f>
        <v>0</v>
      </c>
      <c r="Q123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234" s="25">
        <f>Table1[[#This Row],[current_price]]*Table1[[#This Row],[stock_quantity]]</f>
        <v>437.19000000000005</v>
      </c>
    </row>
    <row r="1235" spans="1:18" x14ac:dyDescent="0.25">
      <c r="A1235" s="2" t="s">
        <v>1288</v>
      </c>
      <c r="B1235" s="2" t="s">
        <v>15</v>
      </c>
      <c r="C1235" s="2" t="s">
        <v>32</v>
      </c>
      <c r="D1235" s="2" t="s">
        <v>34</v>
      </c>
      <c r="E1235" s="2" t="s">
        <v>39</v>
      </c>
      <c r="F1235" s="2" t="s">
        <v>70</v>
      </c>
      <c r="G1235" s="8">
        <v>101.93</v>
      </c>
      <c r="H1235" s="11">
        <v>0</v>
      </c>
      <c r="I1235" s="8">
        <v>101.93</v>
      </c>
      <c r="J1235" s="3">
        <v>45875</v>
      </c>
      <c r="K1235" s="14">
        <v>31</v>
      </c>
      <c r="L1235" s="17"/>
      <c r="M1235" s="2" t="b">
        <v>0</v>
      </c>
      <c r="N1235" s="2"/>
      <c r="O1235" s="2" t="str">
        <f>IF(Table1[[#This Row],[is_returned]]=TRUE,IF(Table1[[#This Row],[return_reason]]="","Error","OK"),"OK")</f>
        <v>OK</v>
      </c>
      <c r="P1235" s="8">
        <f>Table1[[#This Row],[original_price]]*Table1[[#This Row],[markdown_percentage]]/100</f>
        <v>0</v>
      </c>
      <c r="Q123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235" s="25">
        <f>Table1[[#This Row],[current_price]]*Table1[[#This Row],[stock_quantity]]</f>
        <v>3159.8300000000004</v>
      </c>
    </row>
    <row r="1236" spans="1:18" x14ac:dyDescent="0.25">
      <c r="A1236" s="2" t="s">
        <v>1289</v>
      </c>
      <c r="B1236" s="2" t="s">
        <v>27</v>
      </c>
      <c r="C1236" s="2" t="s">
        <v>43</v>
      </c>
      <c r="D1236" s="2" t="s">
        <v>23</v>
      </c>
      <c r="E1236" s="2"/>
      <c r="F1236" s="2" t="s">
        <v>35</v>
      </c>
      <c r="G1236" s="8">
        <v>41.43</v>
      </c>
      <c r="H1236" s="11">
        <v>0</v>
      </c>
      <c r="I1236" s="8">
        <v>41.43</v>
      </c>
      <c r="J1236" s="3">
        <v>45875</v>
      </c>
      <c r="K1236" s="14">
        <v>10</v>
      </c>
      <c r="L1236" s="17"/>
      <c r="M1236" s="2" t="b">
        <v>0</v>
      </c>
      <c r="N1236" s="2"/>
      <c r="O1236" s="2" t="str">
        <f>IF(Table1[[#This Row],[is_returned]]=TRUE,IF(Table1[[#This Row],[return_reason]]="","Error","OK"),"OK")</f>
        <v>OK</v>
      </c>
      <c r="P1236" s="8">
        <f>Table1[[#This Row],[original_price]]*Table1[[#This Row],[markdown_percentage]]/100</f>
        <v>0</v>
      </c>
      <c r="Q123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236" s="25">
        <f>Table1[[#This Row],[current_price]]*Table1[[#This Row],[stock_quantity]]</f>
        <v>414.3</v>
      </c>
    </row>
    <row r="1237" spans="1:18" x14ac:dyDescent="0.25">
      <c r="A1237" s="2" t="s">
        <v>1290</v>
      </c>
      <c r="B1237" s="2" t="s">
        <v>15</v>
      </c>
      <c r="C1237" s="2" t="s">
        <v>53</v>
      </c>
      <c r="D1237" s="2" t="s">
        <v>17</v>
      </c>
      <c r="E1237" s="2" t="s">
        <v>24</v>
      </c>
      <c r="F1237" s="2" t="s">
        <v>46</v>
      </c>
      <c r="G1237" s="8">
        <v>126.14</v>
      </c>
      <c r="H1237" s="11">
        <v>0</v>
      </c>
      <c r="I1237" s="8">
        <v>126.14</v>
      </c>
      <c r="J1237" s="3">
        <v>45795</v>
      </c>
      <c r="K1237" s="14">
        <v>24</v>
      </c>
      <c r="L1237" s="17">
        <v>3.6</v>
      </c>
      <c r="M1237" s="2" t="b">
        <v>0</v>
      </c>
      <c r="N1237" s="2"/>
      <c r="O1237" s="2" t="str">
        <f>IF(Table1[[#This Row],[is_returned]]=TRUE,IF(Table1[[#This Row],[return_reason]]="","Error","OK"),"OK")</f>
        <v>OK</v>
      </c>
      <c r="P1237" s="8">
        <f>Table1[[#This Row],[original_price]]*Table1[[#This Row],[markdown_percentage]]/100</f>
        <v>0</v>
      </c>
      <c r="Q123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237" s="25">
        <f>Table1[[#This Row],[current_price]]*Table1[[#This Row],[stock_quantity]]</f>
        <v>3027.36</v>
      </c>
    </row>
    <row r="1238" spans="1:18" x14ac:dyDescent="0.25">
      <c r="A1238" s="2" t="s">
        <v>1291</v>
      </c>
      <c r="B1238" s="2" t="s">
        <v>38</v>
      </c>
      <c r="C1238" s="2" t="s">
        <v>16</v>
      </c>
      <c r="D1238" s="2" t="s">
        <v>17</v>
      </c>
      <c r="E1238" s="2" t="s">
        <v>58</v>
      </c>
      <c r="F1238" s="2" t="s">
        <v>66</v>
      </c>
      <c r="G1238" s="8">
        <v>96.76</v>
      </c>
      <c r="H1238" s="11">
        <v>0</v>
      </c>
      <c r="I1238" s="8">
        <v>96.76</v>
      </c>
      <c r="J1238" s="3">
        <v>45714</v>
      </c>
      <c r="K1238" s="14">
        <v>6</v>
      </c>
      <c r="L1238" s="17"/>
      <c r="M1238" s="2" t="b">
        <v>0</v>
      </c>
      <c r="N1238" s="2"/>
      <c r="O1238" s="2" t="str">
        <f>IF(Table1[[#This Row],[is_returned]]=TRUE,IF(Table1[[#This Row],[return_reason]]="","Error","OK"),"OK")</f>
        <v>OK</v>
      </c>
      <c r="P1238" s="8">
        <f>Table1[[#This Row],[original_price]]*Table1[[#This Row],[markdown_percentage]]/100</f>
        <v>0</v>
      </c>
      <c r="Q123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238" s="25">
        <f>Table1[[#This Row],[current_price]]*Table1[[#This Row],[stock_quantity]]</f>
        <v>580.56000000000006</v>
      </c>
    </row>
    <row r="1239" spans="1:18" x14ac:dyDescent="0.25">
      <c r="A1239" s="2" t="s">
        <v>1292</v>
      </c>
      <c r="B1239" s="2" t="s">
        <v>21</v>
      </c>
      <c r="C1239" s="2" t="s">
        <v>43</v>
      </c>
      <c r="D1239" s="2" t="s">
        <v>23</v>
      </c>
      <c r="E1239" s="2" t="s">
        <v>55</v>
      </c>
      <c r="F1239" s="2" t="s">
        <v>64</v>
      </c>
      <c r="G1239" s="8">
        <v>114.32</v>
      </c>
      <c r="H1239" s="11">
        <v>0</v>
      </c>
      <c r="I1239" s="8">
        <v>114.32</v>
      </c>
      <c r="J1239" s="3">
        <v>45875</v>
      </c>
      <c r="K1239" s="14">
        <v>27</v>
      </c>
      <c r="L1239" s="17">
        <v>5</v>
      </c>
      <c r="M1239" s="2" t="b">
        <v>0</v>
      </c>
      <c r="N1239" s="2"/>
      <c r="O1239" s="2" t="str">
        <f>IF(Table1[[#This Row],[is_returned]]=TRUE,IF(Table1[[#This Row],[return_reason]]="","Error","OK"),"OK")</f>
        <v>OK</v>
      </c>
      <c r="P1239" s="8">
        <f>Table1[[#This Row],[original_price]]*Table1[[#This Row],[markdown_percentage]]/100</f>
        <v>0</v>
      </c>
      <c r="Q123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239" s="25">
        <f>Table1[[#This Row],[current_price]]*Table1[[#This Row],[stock_quantity]]</f>
        <v>3086.64</v>
      </c>
    </row>
    <row r="1240" spans="1:18" x14ac:dyDescent="0.25">
      <c r="A1240" s="2" t="s">
        <v>1293</v>
      </c>
      <c r="B1240" s="2" t="s">
        <v>30</v>
      </c>
      <c r="C1240" s="2" t="s">
        <v>48</v>
      </c>
      <c r="D1240" s="2" t="s">
        <v>17</v>
      </c>
      <c r="E1240" s="2" t="s">
        <v>39</v>
      </c>
      <c r="F1240" s="2" t="s">
        <v>66</v>
      </c>
      <c r="G1240" s="8">
        <v>102.46</v>
      </c>
      <c r="H1240" s="11">
        <v>0</v>
      </c>
      <c r="I1240" s="8">
        <v>102.46</v>
      </c>
      <c r="J1240" s="3">
        <v>45643</v>
      </c>
      <c r="K1240" s="14">
        <v>20</v>
      </c>
      <c r="L1240" s="17">
        <v>3.7</v>
      </c>
      <c r="M1240" s="2" t="b">
        <v>1</v>
      </c>
      <c r="N1240" s="2" t="s">
        <v>83</v>
      </c>
      <c r="O1240" s="2" t="str">
        <f>IF(Table1[[#This Row],[is_returned]]=TRUE,IF(Table1[[#This Row],[return_reason]]="","Error","OK"),"OK")</f>
        <v>OK</v>
      </c>
      <c r="P1240" s="8">
        <f>Table1[[#This Row],[original_price]]*Table1[[#This Row],[markdown_percentage]]/100</f>
        <v>0</v>
      </c>
      <c r="Q124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240" s="25">
        <f>Table1[[#This Row],[current_price]]*Table1[[#This Row],[stock_quantity]]</f>
        <v>2049.1999999999998</v>
      </c>
    </row>
    <row r="1241" spans="1:18" x14ac:dyDescent="0.25">
      <c r="A1241" s="2" t="s">
        <v>1294</v>
      </c>
      <c r="B1241" s="2" t="s">
        <v>38</v>
      </c>
      <c r="C1241" s="2" t="s">
        <v>22</v>
      </c>
      <c r="D1241" s="2" t="s">
        <v>62</v>
      </c>
      <c r="E1241" s="2" t="s">
        <v>24</v>
      </c>
      <c r="F1241" s="2" t="s">
        <v>25</v>
      </c>
      <c r="G1241" s="8">
        <v>95.7</v>
      </c>
      <c r="H1241" s="11">
        <v>15</v>
      </c>
      <c r="I1241" s="8">
        <v>81.34</v>
      </c>
      <c r="J1241" s="3">
        <v>45875</v>
      </c>
      <c r="K1241" s="14">
        <v>9</v>
      </c>
      <c r="L1241" s="17">
        <v>4.9000000000000004</v>
      </c>
      <c r="M1241" s="2" t="b">
        <v>0</v>
      </c>
      <c r="N1241" s="2"/>
      <c r="O1241" s="2" t="str">
        <f>IF(Table1[[#This Row],[is_returned]]=TRUE,IF(Table1[[#This Row],[return_reason]]="","Error","OK"),"OK")</f>
        <v>OK</v>
      </c>
      <c r="P1241" s="8">
        <f>Table1[[#This Row],[original_price]]*Table1[[#This Row],[markdown_percentage]]/100</f>
        <v>14.355</v>
      </c>
      <c r="Q124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Incorrect Price</v>
      </c>
      <c r="R1241" s="25">
        <f>Table1[[#This Row],[current_price]]*Table1[[#This Row],[stock_quantity]]</f>
        <v>732.06000000000006</v>
      </c>
    </row>
    <row r="1242" spans="1:18" x14ac:dyDescent="0.25">
      <c r="A1242" s="2" t="s">
        <v>1295</v>
      </c>
      <c r="B1242" s="2" t="s">
        <v>38</v>
      </c>
      <c r="C1242" s="2" t="s">
        <v>48</v>
      </c>
      <c r="D1242" s="2" t="s">
        <v>23</v>
      </c>
      <c r="E1242" s="2" t="s">
        <v>58</v>
      </c>
      <c r="F1242" s="2" t="s">
        <v>44</v>
      </c>
      <c r="G1242" s="8">
        <v>55.49</v>
      </c>
      <c r="H1242" s="11">
        <v>0</v>
      </c>
      <c r="I1242" s="8">
        <v>55.49</v>
      </c>
      <c r="J1242" s="3">
        <v>45875</v>
      </c>
      <c r="K1242" s="14">
        <v>25</v>
      </c>
      <c r="L1242" s="17">
        <v>4.5999999999999996</v>
      </c>
      <c r="M1242" s="2" t="b">
        <v>0</v>
      </c>
      <c r="N1242" s="2"/>
      <c r="O1242" s="2" t="str">
        <f>IF(Table1[[#This Row],[is_returned]]=TRUE,IF(Table1[[#This Row],[return_reason]]="","Error","OK"),"OK")</f>
        <v>OK</v>
      </c>
      <c r="P1242" s="8">
        <f>Table1[[#This Row],[original_price]]*Table1[[#This Row],[markdown_percentage]]/100</f>
        <v>0</v>
      </c>
      <c r="Q124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242" s="25">
        <f>Table1[[#This Row],[current_price]]*Table1[[#This Row],[stock_quantity]]</f>
        <v>1387.25</v>
      </c>
    </row>
    <row r="1243" spans="1:18" x14ac:dyDescent="0.25">
      <c r="A1243" s="2" t="s">
        <v>1296</v>
      </c>
      <c r="B1243" s="2" t="s">
        <v>27</v>
      </c>
      <c r="C1243" s="2" t="s">
        <v>53</v>
      </c>
      <c r="D1243" s="2" t="s">
        <v>23</v>
      </c>
      <c r="E1243" s="2"/>
      <c r="F1243" s="2" t="s">
        <v>35</v>
      </c>
      <c r="G1243" s="8">
        <v>30.58</v>
      </c>
      <c r="H1243" s="11">
        <v>9.8000000000000007</v>
      </c>
      <c r="I1243" s="8">
        <v>27.58</v>
      </c>
      <c r="J1243" s="3">
        <v>45875</v>
      </c>
      <c r="K1243" s="14">
        <v>34</v>
      </c>
      <c r="L1243" s="17">
        <v>3.4</v>
      </c>
      <c r="M1243" s="2" t="b">
        <v>0</v>
      </c>
      <c r="N1243" s="2"/>
      <c r="O1243" s="2" t="str">
        <f>IF(Table1[[#This Row],[is_returned]]=TRUE,IF(Table1[[#This Row],[return_reason]]="","Error","OK"),"OK")</f>
        <v>OK</v>
      </c>
      <c r="P1243" s="8">
        <f>Table1[[#This Row],[original_price]]*Table1[[#This Row],[markdown_percentage]]/100</f>
        <v>2.9968400000000002</v>
      </c>
      <c r="Q124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243" s="25">
        <f>Table1[[#This Row],[current_price]]*Table1[[#This Row],[stock_quantity]]</f>
        <v>937.71999999999991</v>
      </c>
    </row>
    <row r="1244" spans="1:18" x14ac:dyDescent="0.25">
      <c r="A1244" s="2" t="s">
        <v>1297</v>
      </c>
      <c r="B1244" s="2" t="s">
        <v>38</v>
      </c>
      <c r="C1244" s="2" t="s">
        <v>43</v>
      </c>
      <c r="D1244" s="2" t="s">
        <v>34</v>
      </c>
      <c r="E1244" s="2" t="s">
        <v>39</v>
      </c>
      <c r="F1244" s="2" t="s">
        <v>19</v>
      </c>
      <c r="G1244" s="8">
        <v>116.58</v>
      </c>
      <c r="H1244" s="11">
        <v>0</v>
      </c>
      <c r="I1244" s="8">
        <v>116.58</v>
      </c>
      <c r="J1244" s="3">
        <v>45875</v>
      </c>
      <c r="K1244" s="14">
        <v>47</v>
      </c>
      <c r="L1244" s="17">
        <v>1.2</v>
      </c>
      <c r="M1244" s="2" t="b">
        <v>0</v>
      </c>
      <c r="N1244" s="2"/>
      <c r="O1244" s="2" t="str">
        <f>IF(Table1[[#This Row],[is_returned]]=TRUE,IF(Table1[[#This Row],[return_reason]]="","Error","OK"),"OK")</f>
        <v>OK</v>
      </c>
      <c r="P1244" s="8">
        <f>Table1[[#This Row],[original_price]]*Table1[[#This Row],[markdown_percentage]]/100</f>
        <v>0</v>
      </c>
      <c r="Q124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244" s="25">
        <f>Table1[[#This Row],[current_price]]*Table1[[#This Row],[stock_quantity]]</f>
        <v>5479.26</v>
      </c>
    </row>
    <row r="1245" spans="1:18" x14ac:dyDescent="0.25">
      <c r="A1245" s="2" t="s">
        <v>1298</v>
      </c>
      <c r="B1245" s="2" t="s">
        <v>42</v>
      </c>
      <c r="C1245" s="2" t="s">
        <v>16</v>
      </c>
      <c r="D1245" s="2" t="s">
        <v>23</v>
      </c>
      <c r="E1245" s="2" t="s">
        <v>18</v>
      </c>
      <c r="F1245" s="2" t="s">
        <v>64</v>
      </c>
      <c r="G1245" s="8">
        <v>79.180000000000007</v>
      </c>
      <c r="H1245" s="11">
        <v>21.1</v>
      </c>
      <c r="I1245" s="8">
        <v>62.47</v>
      </c>
      <c r="J1245" s="3">
        <v>45875</v>
      </c>
      <c r="K1245" s="14">
        <v>36</v>
      </c>
      <c r="L1245" s="17">
        <v>1.5</v>
      </c>
      <c r="M1245" s="2" t="b">
        <v>1</v>
      </c>
      <c r="N1245" s="2" t="s">
        <v>115</v>
      </c>
      <c r="O1245" s="2" t="str">
        <f>IF(Table1[[#This Row],[is_returned]]=TRUE,IF(Table1[[#This Row],[return_reason]]="","Error","OK"),"OK")</f>
        <v>OK</v>
      </c>
      <c r="P1245" s="8">
        <f>Table1[[#This Row],[original_price]]*Table1[[#This Row],[markdown_percentage]]/100</f>
        <v>16.706980000000001</v>
      </c>
      <c r="Q124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245" s="25">
        <f>Table1[[#This Row],[current_price]]*Table1[[#This Row],[stock_quantity]]</f>
        <v>2248.92</v>
      </c>
    </row>
    <row r="1246" spans="1:18" x14ac:dyDescent="0.25">
      <c r="A1246" s="2" t="s">
        <v>1299</v>
      </c>
      <c r="B1246" s="2" t="s">
        <v>42</v>
      </c>
      <c r="C1246" s="2" t="s">
        <v>75</v>
      </c>
      <c r="D1246" s="2" t="s">
        <v>62</v>
      </c>
      <c r="E1246" s="2"/>
      <c r="F1246" s="2" t="s">
        <v>64</v>
      </c>
      <c r="G1246" s="8">
        <v>88.71</v>
      </c>
      <c r="H1246" s="11">
        <v>0</v>
      </c>
      <c r="I1246" s="8">
        <v>88.71</v>
      </c>
      <c r="J1246" s="3">
        <v>45875</v>
      </c>
      <c r="K1246" s="14">
        <v>3</v>
      </c>
      <c r="L1246" s="17">
        <v>3.5</v>
      </c>
      <c r="M1246" s="2" t="b">
        <v>0</v>
      </c>
      <c r="N1246" s="2"/>
      <c r="O1246" s="2" t="str">
        <f>IF(Table1[[#This Row],[is_returned]]=TRUE,IF(Table1[[#This Row],[return_reason]]="","Error","OK"),"OK")</f>
        <v>OK</v>
      </c>
      <c r="P1246" s="8">
        <f>Table1[[#This Row],[original_price]]*Table1[[#This Row],[markdown_percentage]]/100</f>
        <v>0</v>
      </c>
      <c r="Q124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246" s="25">
        <f>Table1[[#This Row],[current_price]]*Table1[[#This Row],[stock_quantity]]</f>
        <v>266.13</v>
      </c>
    </row>
    <row r="1247" spans="1:18" x14ac:dyDescent="0.25">
      <c r="A1247" s="2" t="s">
        <v>1300</v>
      </c>
      <c r="B1247" s="2" t="s">
        <v>42</v>
      </c>
      <c r="C1247" s="2" t="s">
        <v>32</v>
      </c>
      <c r="D1247" s="2" t="s">
        <v>17</v>
      </c>
      <c r="E1247" s="2" t="s">
        <v>49</v>
      </c>
      <c r="F1247" s="2" t="s">
        <v>66</v>
      </c>
      <c r="G1247" s="8">
        <v>150.58000000000001</v>
      </c>
      <c r="H1247" s="11">
        <v>0</v>
      </c>
      <c r="I1247" s="8">
        <v>150.58000000000001</v>
      </c>
      <c r="J1247" s="3">
        <v>45645</v>
      </c>
      <c r="K1247" s="14">
        <v>38</v>
      </c>
      <c r="L1247" s="17">
        <v>2.1</v>
      </c>
      <c r="M1247" s="2" t="b">
        <v>0</v>
      </c>
      <c r="N1247" s="2"/>
      <c r="O1247" s="2" t="str">
        <f>IF(Table1[[#This Row],[is_returned]]=TRUE,IF(Table1[[#This Row],[return_reason]]="","Error","OK"),"OK")</f>
        <v>OK</v>
      </c>
      <c r="P1247" s="8">
        <f>Table1[[#This Row],[original_price]]*Table1[[#This Row],[markdown_percentage]]/100</f>
        <v>0</v>
      </c>
      <c r="Q124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247" s="25">
        <f>Table1[[#This Row],[current_price]]*Table1[[#This Row],[stock_quantity]]</f>
        <v>5722.0400000000009</v>
      </c>
    </row>
    <row r="1248" spans="1:18" x14ac:dyDescent="0.25">
      <c r="A1248" s="2" t="s">
        <v>1301</v>
      </c>
      <c r="B1248" s="2" t="s">
        <v>42</v>
      </c>
      <c r="C1248" s="2" t="s">
        <v>22</v>
      </c>
      <c r="D1248" s="2" t="s">
        <v>62</v>
      </c>
      <c r="E1248" s="2" t="s">
        <v>49</v>
      </c>
      <c r="F1248" s="2" t="s">
        <v>35</v>
      </c>
      <c r="G1248" s="8">
        <v>179.9</v>
      </c>
      <c r="H1248" s="11">
        <v>9.3000000000000007</v>
      </c>
      <c r="I1248" s="8">
        <v>163.16999999999999</v>
      </c>
      <c r="J1248" s="3">
        <v>45875</v>
      </c>
      <c r="K1248" s="14">
        <v>34</v>
      </c>
      <c r="L1248" s="17">
        <v>2.1</v>
      </c>
      <c r="M1248" s="2" t="b">
        <v>0</v>
      </c>
      <c r="N1248" s="2"/>
      <c r="O1248" s="2" t="str">
        <f>IF(Table1[[#This Row],[is_returned]]=TRUE,IF(Table1[[#This Row],[return_reason]]="","Error","OK"),"OK")</f>
        <v>OK</v>
      </c>
      <c r="P1248" s="8">
        <f>Table1[[#This Row],[original_price]]*Table1[[#This Row],[markdown_percentage]]/100</f>
        <v>16.730700000000002</v>
      </c>
      <c r="Q124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248" s="25">
        <f>Table1[[#This Row],[current_price]]*Table1[[#This Row],[stock_quantity]]</f>
        <v>5547.78</v>
      </c>
    </row>
    <row r="1249" spans="1:18" x14ac:dyDescent="0.25">
      <c r="A1249" s="2" t="s">
        <v>1302</v>
      </c>
      <c r="B1249" s="2" t="s">
        <v>15</v>
      </c>
      <c r="C1249" s="2" t="s">
        <v>75</v>
      </c>
      <c r="D1249" s="2" t="s">
        <v>17</v>
      </c>
      <c r="E1249" s="2" t="s">
        <v>18</v>
      </c>
      <c r="F1249" s="2" t="s">
        <v>19</v>
      </c>
      <c r="G1249" s="8">
        <v>135.30000000000001</v>
      </c>
      <c r="H1249" s="11">
        <v>0</v>
      </c>
      <c r="I1249" s="8">
        <v>135.30000000000001</v>
      </c>
      <c r="J1249" s="3">
        <v>45704</v>
      </c>
      <c r="K1249" s="14">
        <v>19</v>
      </c>
      <c r="L1249" s="17">
        <v>4.5999999999999996</v>
      </c>
      <c r="M1249" s="2" t="b">
        <v>0</v>
      </c>
      <c r="N1249" s="2"/>
      <c r="O1249" s="2" t="str">
        <f>IF(Table1[[#This Row],[is_returned]]=TRUE,IF(Table1[[#This Row],[return_reason]]="","Error","OK"),"OK")</f>
        <v>OK</v>
      </c>
      <c r="P1249" s="8">
        <f>Table1[[#This Row],[original_price]]*Table1[[#This Row],[markdown_percentage]]/100</f>
        <v>0</v>
      </c>
      <c r="Q124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249" s="25">
        <f>Table1[[#This Row],[current_price]]*Table1[[#This Row],[stock_quantity]]</f>
        <v>2570.7000000000003</v>
      </c>
    </row>
    <row r="1250" spans="1:18" x14ac:dyDescent="0.25">
      <c r="A1250" s="2" t="s">
        <v>1303</v>
      </c>
      <c r="B1250" s="2" t="s">
        <v>30</v>
      </c>
      <c r="C1250" s="2" t="s">
        <v>22</v>
      </c>
      <c r="D1250" s="2" t="s">
        <v>34</v>
      </c>
      <c r="E1250" s="2" t="s">
        <v>49</v>
      </c>
      <c r="F1250" s="2" t="s">
        <v>28</v>
      </c>
      <c r="G1250" s="8">
        <v>146.43</v>
      </c>
      <c r="H1250" s="11">
        <v>0</v>
      </c>
      <c r="I1250" s="8">
        <v>146.43</v>
      </c>
      <c r="J1250" s="3">
        <v>45875</v>
      </c>
      <c r="K1250" s="14">
        <v>7</v>
      </c>
      <c r="L1250" s="17">
        <v>2.5</v>
      </c>
      <c r="M1250" s="2" t="b">
        <v>0</v>
      </c>
      <c r="N1250" s="2"/>
      <c r="O1250" s="2" t="str">
        <f>IF(Table1[[#This Row],[is_returned]]=TRUE,IF(Table1[[#This Row],[return_reason]]="","Error","OK"),"OK")</f>
        <v>OK</v>
      </c>
      <c r="P1250" s="8">
        <f>Table1[[#This Row],[original_price]]*Table1[[#This Row],[markdown_percentage]]/100</f>
        <v>0</v>
      </c>
      <c r="Q125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250" s="25">
        <f>Table1[[#This Row],[current_price]]*Table1[[#This Row],[stock_quantity]]</f>
        <v>1025.01</v>
      </c>
    </row>
    <row r="1251" spans="1:18" x14ac:dyDescent="0.25">
      <c r="A1251" s="2" t="s">
        <v>1304</v>
      </c>
      <c r="B1251" s="2" t="s">
        <v>15</v>
      </c>
      <c r="C1251" s="2" t="s">
        <v>75</v>
      </c>
      <c r="D1251" s="2" t="s">
        <v>23</v>
      </c>
      <c r="E1251" s="2" t="s">
        <v>58</v>
      </c>
      <c r="F1251" s="2" t="s">
        <v>46</v>
      </c>
      <c r="G1251" s="8">
        <v>160.27000000000001</v>
      </c>
      <c r="H1251" s="11">
        <v>0</v>
      </c>
      <c r="I1251" s="8">
        <v>160.27000000000001</v>
      </c>
      <c r="J1251" s="3">
        <v>45875</v>
      </c>
      <c r="K1251" s="14">
        <v>11</v>
      </c>
      <c r="L1251" s="17">
        <v>2</v>
      </c>
      <c r="M1251" s="2" t="b">
        <v>0</v>
      </c>
      <c r="N1251" s="2"/>
      <c r="O1251" s="2" t="str">
        <f>IF(Table1[[#This Row],[is_returned]]=TRUE,IF(Table1[[#This Row],[return_reason]]="","Error","OK"),"OK")</f>
        <v>OK</v>
      </c>
      <c r="P1251" s="8">
        <f>Table1[[#This Row],[original_price]]*Table1[[#This Row],[markdown_percentage]]/100</f>
        <v>0</v>
      </c>
      <c r="Q125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251" s="25">
        <f>Table1[[#This Row],[current_price]]*Table1[[#This Row],[stock_quantity]]</f>
        <v>1762.97</v>
      </c>
    </row>
    <row r="1252" spans="1:18" x14ac:dyDescent="0.25">
      <c r="A1252" s="2" t="s">
        <v>1305</v>
      </c>
      <c r="B1252" s="2" t="s">
        <v>30</v>
      </c>
      <c r="C1252" s="2" t="s">
        <v>43</v>
      </c>
      <c r="D1252" s="2" t="s">
        <v>23</v>
      </c>
      <c r="E1252" s="2" t="s">
        <v>58</v>
      </c>
      <c r="F1252" s="2" t="s">
        <v>40</v>
      </c>
      <c r="G1252" s="8">
        <v>169.87</v>
      </c>
      <c r="H1252" s="11">
        <v>8.8000000000000007</v>
      </c>
      <c r="I1252" s="8">
        <v>154.91999999999999</v>
      </c>
      <c r="J1252" s="3">
        <v>45875</v>
      </c>
      <c r="K1252" s="14">
        <v>36</v>
      </c>
      <c r="L1252" s="17">
        <v>2.1</v>
      </c>
      <c r="M1252" s="2" t="b">
        <v>0</v>
      </c>
      <c r="N1252" s="2"/>
      <c r="O1252" s="2" t="str">
        <f>IF(Table1[[#This Row],[is_returned]]=TRUE,IF(Table1[[#This Row],[return_reason]]="","Error","OK"),"OK")</f>
        <v>OK</v>
      </c>
      <c r="P1252" s="8">
        <f>Table1[[#This Row],[original_price]]*Table1[[#This Row],[markdown_percentage]]/100</f>
        <v>14.948560000000002</v>
      </c>
      <c r="Q125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252" s="25">
        <f>Table1[[#This Row],[current_price]]*Table1[[#This Row],[stock_quantity]]</f>
        <v>5577.12</v>
      </c>
    </row>
    <row r="1253" spans="1:18" x14ac:dyDescent="0.25">
      <c r="A1253" s="2" t="s">
        <v>1306</v>
      </c>
      <c r="B1253" s="2" t="s">
        <v>30</v>
      </c>
      <c r="C1253" s="2" t="s">
        <v>53</v>
      </c>
      <c r="D1253" s="2" t="s">
        <v>62</v>
      </c>
      <c r="E1253" s="2"/>
      <c r="F1253" s="2" t="s">
        <v>40</v>
      </c>
      <c r="G1253" s="8">
        <v>137.33000000000001</v>
      </c>
      <c r="H1253" s="11">
        <v>0</v>
      </c>
      <c r="I1253" s="8">
        <v>137.33000000000001</v>
      </c>
      <c r="J1253" s="3">
        <v>45875</v>
      </c>
      <c r="K1253" s="14">
        <v>35</v>
      </c>
      <c r="L1253" s="17">
        <v>4.5999999999999996</v>
      </c>
      <c r="M1253" s="2" t="b">
        <v>0</v>
      </c>
      <c r="N1253" s="2"/>
      <c r="O1253" s="2" t="str">
        <f>IF(Table1[[#This Row],[is_returned]]=TRUE,IF(Table1[[#This Row],[return_reason]]="","Error","OK"),"OK")</f>
        <v>OK</v>
      </c>
      <c r="P1253" s="8">
        <f>Table1[[#This Row],[original_price]]*Table1[[#This Row],[markdown_percentage]]/100</f>
        <v>0</v>
      </c>
      <c r="Q125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253" s="25">
        <f>Table1[[#This Row],[current_price]]*Table1[[#This Row],[stock_quantity]]</f>
        <v>4806.55</v>
      </c>
    </row>
    <row r="1254" spans="1:18" x14ac:dyDescent="0.25">
      <c r="A1254" s="2" t="s">
        <v>1307</v>
      </c>
      <c r="B1254" s="2" t="s">
        <v>38</v>
      </c>
      <c r="C1254" s="2" t="s">
        <v>75</v>
      </c>
      <c r="D1254" s="2" t="s">
        <v>62</v>
      </c>
      <c r="E1254" s="2" t="s">
        <v>49</v>
      </c>
      <c r="F1254" s="2" t="s">
        <v>19</v>
      </c>
      <c r="G1254" s="8">
        <v>38.18</v>
      </c>
      <c r="H1254" s="11">
        <v>0</v>
      </c>
      <c r="I1254" s="8">
        <v>38.18</v>
      </c>
      <c r="J1254" s="3">
        <v>45875</v>
      </c>
      <c r="K1254" s="14">
        <v>38</v>
      </c>
      <c r="L1254" s="17"/>
      <c r="M1254" s="2" t="b">
        <v>0</v>
      </c>
      <c r="N1254" s="2"/>
      <c r="O1254" s="2" t="str">
        <f>IF(Table1[[#This Row],[is_returned]]=TRUE,IF(Table1[[#This Row],[return_reason]]="","Error","OK"),"OK")</f>
        <v>OK</v>
      </c>
      <c r="P1254" s="8">
        <f>Table1[[#This Row],[original_price]]*Table1[[#This Row],[markdown_percentage]]/100</f>
        <v>0</v>
      </c>
      <c r="Q125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254" s="25">
        <f>Table1[[#This Row],[current_price]]*Table1[[#This Row],[stock_quantity]]</f>
        <v>1450.84</v>
      </c>
    </row>
    <row r="1255" spans="1:18" x14ac:dyDescent="0.25">
      <c r="A1255" s="2" t="s">
        <v>1308</v>
      </c>
      <c r="B1255" s="2" t="s">
        <v>21</v>
      </c>
      <c r="C1255" s="2" t="s">
        <v>16</v>
      </c>
      <c r="D1255" s="2" t="s">
        <v>62</v>
      </c>
      <c r="E1255" s="2" t="s">
        <v>49</v>
      </c>
      <c r="F1255" s="2" t="s">
        <v>44</v>
      </c>
      <c r="G1255" s="8">
        <v>40.619999999999997</v>
      </c>
      <c r="H1255" s="11">
        <v>20.100000000000001</v>
      </c>
      <c r="I1255" s="8">
        <v>32.46</v>
      </c>
      <c r="J1255" s="3">
        <v>45875</v>
      </c>
      <c r="K1255" s="14">
        <v>7</v>
      </c>
      <c r="L1255" s="17"/>
      <c r="M1255" s="2" t="b">
        <v>0</v>
      </c>
      <c r="N1255" s="2"/>
      <c r="O1255" s="2" t="str">
        <f>IF(Table1[[#This Row],[is_returned]]=TRUE,IF(Table1[[#This Row],[return_reason]]="","Error","OK"),"OK")</f>
        <v>OK</v>
      </c>
      <c r="P1255" s="8">
        <f>Table1[[#This Row],[original_price]]*Table1[[#This Row],[markdown_percentage]]/100</f>
        <v>8.1646199999999993</v>
      </c>
      <c r="Q125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255" s="25">
        <f>Table1[[#This Row],[current_price]]*Table1[[#This Row],[stock_quantity]]</f>
        <v>227.22</v>
      </c>
    </row>
    <row r="1256" spans="1:18" x14ac:dyDescent="0.25">
      <c r="A1256" s="2" t="s">
        <v>1309</v>
      </c>
      <c r="B1256" s="2" t="s">
        <v>38</v>
      </c>
      <c r="C1256" s="2" t="s">
        <v>48</v>
      </c>
      <c r="D1256" s="2" t="s">
        <v>23</v>
      </c>
      <c r="E1256" s="2" t="s">
        <v>55</v>
      </c>
      <c r="F1256" s="2" t="s">
        <v>28</v>
      </c>
      <c r="G1256" s="8">
        <v>56.4</v>
      </c>
      <c r="H1256" s="11">
        <v>23.3</v>
      </c>
      <c r="I1256" s="8">
        <v>43.26</v>
      </c>
      <c r="J1256" s="3">
        <v>45875</v>
      </c>
      <c r="K1256" s="14">
        <v>35</v>
      </c>
      <c r="L1256" s="17"/>
      <c r="M1256" s="2" t="b">
        <v>0</v>
      </c>
      <c r="N1256" s="2"/>
      <c r="O1256" s="2" t="str">
        <f>IF(Table1[[#This Row],[is_returned]]=TRUE,IF(Table1[[#This Row],[return_reason]]="","Error","OK"),"OK")</f>
        <v>OK</v>
      </c>
      <c r="P1256" s="8">
        <f>Table1[[#This Row],[original_price]]*Table1[[#This Row],[markdown_percentage]]/100</f>
        <v>13.141200000000001</v>
      </c>
      <c r="Q125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256" s="25">
        <f>Table1[[#This Row],[current_price]]*Table1[[#This Row],[stock_quantity]]</f>
        <v>1514.1</v>
      </c>
    </row>
    <row r="1257" spans="1:18" x14ac:dyDescent="0.25">
      <c r="A1257" s="2" t="s">
        <v>1310</v>
      </c>
      <c r="B1257" s="2" t="s">
        <v>27</v>
      </c>
      <c r="C1257" s="2" t="s">
        <v>75</v>
      </c>
      <c r="D1257" s="2" t="s">
        <v>62</v>
      </c>
      <c r="E1257" s="2"/>
      <c r="F1257" s="2" t="s">
        <v>46</v>
      </c>
      <c r="G1257" s="8">
        <v>19.559999999999999</v>
      </c>
      <c r="H1257" s="11">
        <v>0</v>
      </c>
      <c r="I1257" s="8">
        <v>19.559999999999999</v>
      </c>
      <c r="J1257" s="3">
        <v>45875</v>
      </c>
      <c r="K1257" s="14">
        <v>13</v>
      </c>
      <c r="L1257" s="17">
        <v>3.1</v>
      </c>
      <c r="M1257" s="2" t="b">
        <v>0</v>
      </c>
      <c r="N1257" s="2"/>
      <c r="O1257" s="2" t="str">
        <f>IF(Table1[[#This Row],[is_returned]]=TRUE,IF(Table1[[#This Row],[return_reason]]="","Error","OK"),"OK")</f>
        <v>OK</v>
      </c>
      <c r="P1257" s="8">
        <f>Table1[[#This Row],[original_price]]*Table1[[#This Row],[markdown_percentage]]/100</f>
        <v>0</v>
      </c>
      <c r="Q125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257" s="25">
        <f>Table1[[#This Row],[current_price]]*Table1[[#This Row],[stock_quantity]]</f>
        <v>254.27999999999997</v>
      </c>
    </row>
    <row r="1258" spans="1:18" x14ac:dyDescent="0.25">
      <c r="A1258" s="2" t="s">
        <v>1311</v>
      </c>
      <c r="B1258" s="2" t="s">
        <v>30</v>
      </c>
      <c r="C1258" s="2" t="s">
        <v>48</v>
      </c>
      <c r="D1258" s="2" t="s">
        <v>23</v>
      </c>
      <c r="E1258" s="2" t="s">
        <v>24</v>
      </c>
      <c r="F1258" s="2" t="s">
        <v>35</v>
      </c>
      <c r="G1258" s="8">
        <v>155.66</v>
      </c>
      <c r="H1258" s="11">
        <v>0</v>
      </c>
      <c r="I1258" s="8">
        <v>155.66</v>
      </c>
      <c r="J1258" s="3">
        <v>45875</v>
      </c>
      <c r="K1258" s="14">
        <v>3</v>
      </c>
      <c r="L1258" s="17">
        <v>4</v>
      </c>
      <c r="M1258" s="2" t="b">
        <v>0</v>
      </c>
      <c r="N1258" s="2"/>
      <c r="O1258" s="2" t="str">
        <f>IF(Table1[[#This Row],[is_returned]]=TRUE,IF(Table1[[#This Row],[return_reason]]="","Error","OK"),"OK")</f>
        <v>OK</v>
      </c>
      <c r="P1258" s="8">
        <f>Table1[[#This Row],[original_price]]*Table1[[#This Row],[markdown_percentage]]/100</f>
        <v>0</v>
      </c>
      <c r="Q125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258" s="25">
        <f>Table1[[#This Row],[current_price]]*Table1[[#This Row],[stock_quantity]]</f>
        <v>466.98</v>
      </c>
    </row>
    <row r="1259" spans="1:18" x14ac:dyDescent="0.25">
      <c r="A1259" s="2" t="s">
        <v>1312</v>
      </c>
      <c r="B1259" s="2" t="s">
        <v>21</v>
      </c>
      <c r="C1259" s="2" t="s">
        <v>16</v>
      </c>
      <c r="D1259" s="2" t="s">
        <v>62</v>
      </c>
      <c r="E1259" s="2" t="s">
        <v>39</v>
      </c>
      <c r="F1259" s="2" t="s">
        <v>66</v>
      </c>
      <c r="G1259" s="8">
        <v>106.2</v>
      </c>
      <c r="H1259" s="11">
        <v>0</v>
      </c>
      <c r="I1259" s="8">
        <v>106.2</v>
      </c>
      <c r="J1259" s="3">
        <v>45875</v>
      </c>
      <c r="K1259" s="14">
        <v>10</v>
      </c>
      <c r="L1259" s="17">
        <v>1.1000000000000001</v>
      </c>
      <c r="M1259" s="2" t="b">
        <v>0</v>
      </c>
      <c r="N1259" s="2"/>
      <c r="O1259" s="2" t="str">
        <f>IF(Table1[[#This Row],[is_returned]]=TRUE,IF(Table1[[#This Row],[return_reason]]="","Error","OK"),"OK")</f>
        <v>OK</v>
      </c>
      <c r="P1259" s="8">
        <f>Table1[[#This Row],[original_price]]*Table1[[#This Row],[markdown_percentage]]/100</f>
        <v>0</v>
      </c>
      <c r="Q125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259" s="25">
        <f>Table1[[#This Row],[current_price]]*Table1[[#This Row],[stock_quantity]]</f>
        <v>1062</v>
      </c>
    </row>
    <row r="1260" spans="1:18" x14ac:dyDescent="0.25">
      <c r="A1260" s="2" t="s">
        <v>1313</v>
      </c>
      <c r="B1260" s="2" t="s">
        <v>15</v>
      </c>
      <c r="C1260" s="2" t="s">
        <v>53</v>
      </c>
      <c r="D1260" s="2" t="s">
        <v>34</v>
      </c>
      <c r="E1260" s="2" t="s">
        <v>49</v>
      </c>
      <c r="F1260" s="2" t="s">
        <v>64</v>
      </c>
      <c r="G1260" s="8">
        <v>158.31</v>
      </c>
      <c r="H1260" s="11">
        <v>0</v>
      </c>
      <c r="I1260" s="8">
        <v>158.31</v>
      </c>
      <c r="J1260" s="3">
        <v>45875</v>
      </c>
      <c r="K1260" s="14">
        <v>7</v>
      </c>
      <c r="L1260" s="17">
        <v>5</v>
      </c>
      <c r="M1260" s="2" t="b">
        <v>0</v>
      </c>
      <c r="N1260" s="2"/>
      <c r="O1260" s="2" t="str">
        <f>IF(Table1[[#This Row],[is_returned]]=TRUE,IF(Table1[[#This Row],[return_reason]]="","Error","OK"),"OK")</f>
        <v>OK</v>
      </c>
      <c r="P1260" s="8">
        <f>Table1[[#This Row],[original_price]]*Table1[[#This Row],[markdown_percentage]]/100</f>
        <v>0</v>
      </c>
      <c r="Q126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260" s="25">
        <f>Table1[[#This Row],[current_price]]*Table1[[#This Row],[stock_quantity]]</f>
        <v>1108.17</v>
      </c>
    </row>
    <row r="1261" spans="1:18" x14ac:dyDescent="0.25">
      <c r="A1261" s="2" t="s">
        <v>1314</v>
      </c>
      <c r="B1261" s="2" t="s">
        <v>42</v>
      </c>
      <c r="C1261" s="2" t="s">
        <v>43</v>
      </c>
      <c r="D1261" s="2" t="s">
        <v>17</v>
      </c>
      <c r="E1261" s="2" t="s">
        <v>18</v>
      </c>
      <c r="F1261" s="2" t="s">
        <v>25</v>
      </c>
      <c r="G1261" s="8">
        <v>102.3</v>
      </c>
      <c r="H1261" s="11">
        <v>42.2</v>
      </c>
      <c r="I1261" s="8">
        <v>59.13</v>
      </c>
      <c r="J1261" s="3">
        <v>45807</v>
      </c>
      <c r="K1261" s="14">
        <v>43</v>
      </c>
      <c r="L1261" s="17">
        <v>1.3</v>
      </c>
      <c r="M1261" s="2" t="b">
        <v>0</v>
      </c>
      <c r="N1261" s="2"/>
      <c r="O1261" s="2" t="str">
        <f>IF(Table1[[#This Row],[is_returned]]=TRUE,IF(Table1[[#This Row],[return_reason]]="","Error","OK"),"OK")</f>
        <v>OK</v>
      </c>
      <c r="P1261" s="8">
        <f>Table1[[#This Row],[original_price]]*Table1[[#This Row],[markdown_percentage]]/100</f>
        <v>43.170600000000007</v>
      </c>
      <c r="Q126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261" s="25">
        <f>Table1[[#This Row],[current_price]]*Table1[[#This Row],[stock_quantity]]</f>
        <v>2542.59</v>
      </c>
    </row>
    <row r="1262" spans="1:18" x14ac:dyDescent="0.25">
      <c r="A1262" s="2" t="s">
        <v>1315</v>
      </c>
      <c r="B1262" s="2" t="s">
        <v>27</v>
      </c>
      <c r="C1262" s="2" t="s">
        <v>61</v>
      </c>
      <c r="D1262" s="2" t="s">
        <v>34</v>
      </c>
      <c r="E1262" s="2"/>
      <c r="F1262" s="2" t="s">
        <v>64</v>
      </c>
      <c r="G1262" s="8">
        <v>53.46</v>
      </c>
      <c r="H1262" s="11">
        <v>58</v>
      </c>
      <c r="I1262" s="8">
        <v>22.45</v>
      </c>
      <c r="J1262" s="3">
        <v>45875</v>
      </c>
      <c r="K1262" s="14">
        <v>6</v>
      </c>
      <c r="L1262" s="17">
        <v>4.2</v>
      </c>
      <c r="M1262" s="2" t="b">
        <v>0</v>
      </c>
      <c r="N1262" s="2"/>
      <c r="O1262" s="2" t="str">
        <f>IF(Table1[[#This Row],[is_returned]]=TRUE,IF(Table1[[#This Row],[return_reason]]="","Error","OK"),"OK")</f>
        <v>OK</v>
      </c>
      <c r="P1262" s="8">
        <f>Table1[[#This Row],[original_price]]*Table1[[#This Row],[markdown_percentage]]/100</f>
        <v>31.006799999999998</v>
      </c>
      <c r="Q126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262" s="25">
        <f>Table1[[#This Row],[current_price]]*Table1[[#This Row],[stock_quantity]]</f>
        <v>134.69999999999999</v>
      </c>
    </row>
    <row r="1263" spans="1:18" x14ac:dyDescent="0.25">
      <c r="A1263" s="2" t="s">
        <v>1316</v>
      </c>
      <c r="B1263" s="2" t="s">
        <v>42</v>
      </c>
      <c r="C1263" s="2" t="s">
        <v>22</v>
      </c>
      <c r="D1263" s="2" t="s">
        <v>62</v>
      </c>
      <c r="E1263" s="2" t="s">
        <v>55</v>
      </c>
      <c r="F1263" s="2" t="s">
        <v>44</v>
      </c>
      <c r="G1263" s="8">
        <v>101.78</v>
      </c>
      <c r="H1263" s="11">
        <v>22.9</v>
      </c>
      <c r="I1263" s="8">
        <v>78.47</v>
      </c>
      <c r="J1263" s="3">
        <v>45875</v>
      </c>
      <c r="K1263" s="14">
        <v>5</v>
      </c>
      <c r="L1263" s="17">
        <v>1.2</v>
      </c>
      <c r="M1263" s="2" t="b">
        <v>1</v>
      </c>
      <c r="N1263" s="2" t="s">
        <v>78</v>
      </c>
      <c r="O1263" s="2" t="str">
        <f>IF(Table1[[#This Row],[is_returned]]=TRUE,IF(Table1[[#This Row],[return_reason]]="","Error","OK"),"OK")</f>
        <v>OK</v>
      </c>
      <c r="P1263" s="8">
        <f>Table1[[#This Row],[original_price]]*Table1[[#This Row],[markdown_percentage]]/100</f>
        <v>23.307619999999996</v>
      </c>
      <c r="Q126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263" s="25">
        <f>Table1[[#This Row],[current_price]]*Table1[[#This Row],[stock_quantity]]</f>
        <v>392.35</v>
      </c>
    </row>
    <row r="1264" spans="1:18" x14ac:dyDescent="0.25">
      <c r="A1264" s="2" t="s">
        <v>1317</v>
      </c>
      <c r="B1264" s="2" t="s">
        <v>15</v>
      </c>
      <c r="C1264" s="2" t="s">
        <v>32</v>
      </c>
      <c r="D1264" s="2" t="s">
        <v>62</v>
      </c>
      <c r="E1264" s="2" t="s">
        <v>58</v>
      </c>
      <c r="F1264" s="2" t="s">
        <v>40</v>
      </c>
      <c r="G1264" s="8">
        <v>112.28</v>
      </c>
      <c r="H1264" s="11">
        <v>0</v>
      </c>
      <c r="I1264" s="8">
        <v>112.28</v>
      </c>
      <c r="J1264" s="3">
        <v>45875</v>
      </c>
      <c r="K1264" s="14">
        <v>41</v>
      </c>
      <c r="L1264" s="17">
        <v>4.0999999999999996</v>
      </c>
      <c r="M1264" s="2" t="b">
        <v>0</v>
      </c>
      <c r="N1264" s="2"/>
      <c r="O1264" s="2" t="str">
        <f>IF(Table1[[#This Row],[is_returned]]=TRUE,IF(Table1[[#This Row],[return_reason]]="","Error","OK"),"OK")</f>
        <v>OK</v>
      </c>
      <c r="P1264" s="8">
        <f>Table1[[#This Row],[original_price]]*Table1[[#This Row],[markdown_percentage]]/100</f>
        <v>0</v>
      </c>
      <c r="Q126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264" s="25">
        <f>Table1[[#This Row],[current_price]]*Table1[[#This Row],[stock_quantity]]</f>
        <v>4603.4800000000005</v>
      </c>
    </row>
    <row r="1265" spans="1:18" x14ac:dyDescent="0.25">
      <c r="A1265" s="2" t="s">
        <v>1318</v>
      </c>
      <c r="B1265" s="2" t="s">
        <v>27</v>
      </c>
      <c r="C1265" s="2" t="s">
        <v>32</v>
      </c>
      <c r="D1265" s="2" t="s">
        <v>23</v>
      </c>
      <c r="E1265" s="2"/>
      <c r="F1265" s="2" t="s">
        <v>25</v>
      </c>
      <c r="G1265" s="8">
        <v>47.51</v>
      </c>
      <c r="H1265" s="11">
        <v>0</v>
      </c>
      <c r="I1265" s="8">
        <v>47.51</v>
      </c>
      <c r="J1265" s="3">
        <v>45875</v>
      </c>
      <c r="K1265" s="14">
        <v>39</v>
      </c>
      <c r="L1265" s="17">
        <v>4.4000000000000004</v>
      </c>
      <c r="M1265" s="2" t="b">
        <v>0</v>
      </c>
      <c r="N1265" s="2"/>
      <c r="O1265" s="2" t="str">
        <f>IF(Table1[[#This Row],[is_returned]]=TRUE,IF(Table1[[#This Row],[return_reason]]="","Error","OK"),"OK")</f>
        <v>OK</v>
      </c>
      <c r="P1265" s="8">
        <f>Table1[[#This Row],[original_price]]*Table1[[#This Row],[markdown_percentage]]/100</f>
        <v>0</v>
      </c>
      <c r="Q126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265" s="25">
        <f>Table1[[#This Row],[current_price]]*Table1[[#This Row],[stock_quantity]]</f>
        <v>1852.8899999999999</v>
      </c>
    </row>
    <row r="1266" spans="1:18" x14ac:dyDescent="0.25">
      <c r="A1266" s="2" t="s">
        <v>1319</v>
      </c>
      <c r="B1266" s="2" t="s">
        <v>21</v>
      </c>
      <c r="C1266" s="2" t="s">
        <v>22</v>
      </c>
      <c r="D1266" s="2" t="s">
        <v>23</v>
      </c>
      <c r="E1266" s="2" t="s">
        <v>49</v>
      </c>
      <c r="F1266" s="2" t="s">
        <v>56</v>
      </c>
      <c r="G1266" s="8">
        <v>80.39</v>
      </c>
      <c r="H1266" s="11">
        <v>0</v>
      </c>
      <c r="I1266" s="8">
        <v>80.39</v>
      </c>
      <c r="J1266" s="3">
        <v>45875</v>
      </c>
      <c r="K1266" s="14">
        <v>24</v>
      </c>
      <c r="L1266" s="17"/>
      <c r="M1266" s="2" t="b">
        <v>0</v>
      </c>
      <c r="N1266" s="2"/>
      <c r="O1266" s="2" t="str">
        <f>IF(Table1[[#This Row],[is_returned]]=TRUE,IF(Table1[[#This Row],[return_reason]]="","Error","OK"),"OK")</f>
        <v>OK</v>
      </c>
      <c r="P1266" s="8">
        <f>Table1[[#This Row],[original_price]]*Table1[[#This Row],[markdown_percentage]]/100</f>
        <v>0</v>
      </c>
      <c r="Q126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266" s="25">
        <f>Table1[[#This Row],[current_price]]*Table1[[#This Row],[stock_quantity]]</f>
        <v>1929.3600000000001</v>
      </c>
    </row>
    <row r="1267" spans="1:18" x14ac:dyDescent="0.25">
      <c r="A1267" s="2" t="s">
        <v>1320</v>
      </c>
      <c r="B1267" s="2" t="s">
        <v>38</v>
      </c>
      <c r="C1267" s="2" t="s">
        <v>43</v>
      </c>
      <c r="D1267" s="2" t="s">
        <v>23</v>
      </c>
      <c r="E1267" s="2" t="s">
        <v>24</v>
      </c>
      <c r="F1267" s="2" t="s">
        <v>19</v>
      </c>
      <c r="G1267" s="8">
        <v>64.75</v>
      </c>
      <c r="H1267" s="11">
        <v>26.4</v>
      </c>
      <c r="I1267" s="8">
        <v>47.66</v>
      </c>
      <c r="J1267" s="3">
        <v>45875</v>
      </c>
      <c r="K1267" s="14">
        <v>7</v>
      </c>
      <c r="L1267" s="17">
        <v>2.9</v>
      </c>
      <c r="M1267" s="2" t="b">
        <v>1</v>
      </c>
      <c r="N1267" s="2" t="s">
        <v>125</v>
      </c>
      <c r="O1267" s="2" t="str">
        <f>IF(Table1[[#This Row],[is_returned]]=TRUE,IF(Table1[[#This Row],[return_reason]]="","Error","OK"),"OK")</f>
        <v>OK</v>
      </c>
      <c r="P1267" s="8">
        <f>Table1[[#This Row],[original_price]]*Table1[[#This Row],[markdown_percentage]]/100</f>
        <v>17.093999999999998</v>
      </c>
      <c r="Q126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267" s="25">
        <f>Table1[[#This Row],[current_price]]*Table1[[#This Row],[stock_quantity]]</f>
        <v>333.62</v>
      </c>
    </row>
    <row r="1268" spans="1:18" x14ac:dyDescent="0.25">
      <c r="A1268" s="2" t="s">
        <v>1321</v>
      </c>
      <c r="B1268" s="2" t="s">
        <v>15</v>
      </c>
      <c r="C1268" s="2" t="s">
        <v>16</v>
      </c>
      <c r="D1268" s="2" t="s">
        <v>23</v>
      </c>
      <c r="E1268" s="2" t="s">
        <v>24</v>
      </c>
      <c r="F1268" s="2" t="s">
        <v>19</v>
      </c>
      <c r="G1268" s="8">
        <v>129.86000000000001</v>
      </c>
      <c r="H1268" s="11">
        <v>0</v>
      </c>
      <c r="I1268" s="8">
        <v>129.86000000000001</v>
      </c>
      <c r="J1268" s="3">
        <v>45875</v>
      </c>
      <c r="K1268" s="14">
        <v>41</v>
      </c>
      <c r="L1268" s="17">
        <v>1.7</v>
      </c>
      <c r="M1268" s="2" t="b">
        <v>0</v>
      </c>
      <c r="N1268" s="2"/>
      <c r="O1268" s="2" t="str">
        <f>IF(Table1[[#This Row],[is_returned]]=TRUE,IF(Table1[[#This Row],[return_reason]]="","Error","OK"),"OK")</f>
        <v>OK</v>
      </c>
      <c r="P1268" s="8">
        <f>Table1[[#This Row],[original_price]]*Table1[[#This Row],[markdown_percentage]]/100</f>
        <v>0</v>
      </c>
      <c r="Q126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268" s="25">
        <f>Table1[[#This Row],[current_price]]*Table1[[#This Row],[stock_quantity]]</f>
        <v>5324.26</v>
      </c>
    </row>
    <row r="1269" spans="1:18" x14ac:dyDescent="0.25">
      <c r="A1269" s="2" t="s">
        <v>1322</v>
      </c>
      <c r="B1269" s="2" t="s">
        <v>38</v>
      </c>
      <c r="C1269" s="2" t="s">
        <v>32</v>
      </c>
      <c r="D1269" s="2" t="s">
        <v>17</v>
      </c>
      <c r="E1269" s="2" t="s">
        <v>24</v>
      </c>
      <c r="F1269" s="2" t="s">
        <v>46</v>
      </c>
      <c r="G1269" s="8">
        <v>32.74</v>
      </c>
      <c r="H1269" s="11">
        <v>0</v>
      </c>
      <c r="I1269" s="8">
        <v>32.74</v>
      </c>
      <c r="J1269" s="3">
        <v>45516</v>
      </c>
      <c r="K1269" s="14">
        <v>23</v>
      </c>
      <c r="L1269" s="17">
        <v>4</v>
      </c>
      <c r="M1269" s="2" t="b">
        <v>1</v>
      </c>
      <c r="N1269" s="2" t="s">
        <v>78</v>
      </c>
      <c r="O1269" s="2" t="str">
        <f>IF(Table1[[#This Row],[is_returned]]=TRUE,IF(Table1[[#This Row],[return_reason]]="","Error","OK"),"OK")</f>
        <v>OK</v>
      </c>
      <c r="P1269" s="8">
        <f>Table1[[#This Row],[original_price]]*Table1[[#This Row],[markdown_percentage]]/100</f>
        <v>0</v>
      </c>
      <c r="Q126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269" s="25">
        <f>Table1[[#This Row],[current_price]]*Table1[[#This Row],[stock_quantity]]</f>
        <v>753.0200000000001</v>
      </c>
    </row>
    <row r="1270" spans="1:18" x14ac:dyDescent="0.25">
      <c r="A1270" s="2" t="s">
        <v>1323</v>
      </c>
      <c r="B1270" s="2" t="s">
        <v>38</v>
      </c>
      <c r="C1270" s="2" t="s">
        <v>22</v>
      </c>
      <c r="D1270" s="2" t="s">
        <v>17</v>
      </c>
      <c r="E1270" s="2" t="s">
        <v>24</v>
      </c>
      <c r="F1270" s="2" t="s">
        <v>44</v>
      </c>
      <c r="G1270" s="8">
        <v>79.27</v>
      </c>
      <c r="H1270" s="11">
        <v>0</v>
      </c>
      <c r="I1270" s="8">
        <v>79.27</v>
      </c>
      <c r="J1270" s="3">
        <v>45788</v>
      </c>
      <c r="K1270" s="14">
        <v>13</v>
      </c>
      <c r="L1270" s="17">
        <v>3.5</v>
      </c>
      <c r="M1270" s="2" t="b">
        <v>0</v>
      </c>
      <c r="N1270" s="2"/>
      <c r="O1270" s="2" t="str">
        <f>IF(Table1[[#This Row],[is_returned]]=TRUE,IF(Table1[[#This Row],[return_reason]]="","Error","OK"),"OK")</f>
        <v>OK</v>
      </c>
      <c r="P1270" s="8">
        <f>Table1[[#This Row],[original_price]]*Table1[[#This Row],[markdown_percentage]]/100</f>
        <v>0</v>
      </c>
      <c r="Q127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270" s="25">
        <f>Table1[[#This Row],[current_price]]*Table1[[#This Row],[stock_quantity]]</f>
        <v>1030.51</v>
      </c>
    </row>
    <row r="1271" spans="1:18" x14ac:dyDescent="0.25">
      <c r="A1271" s="2" t="s">
        <v>1324</v>
      </c>
      <c r="B1271" s="2" t="s">
        <v>21</v>
      </c>
      <c r="C1271" s="2" t="s">
        <v>75</v>
      </c>
      <c r="D1271" s="2" t="s">
        <v>17</v>
      </c>
      <c r="E1271" s="2" t="s">
        <v>39</v>
      </c>
      <c r="F1271" s="2" t="s">
        <v>56</v>
      </c>
      <c r="G1271" s="8">
        <v>119.38</v>
      </c>
      <c r="H1271" s="11">
        <v>0</v>
      </c>
      <c r="I1271" s="8">
        <v>119.38</v>
      </c>
      <c r="J1271" s="3">
        <v>45708</v>
      </c>
      <c r="K1271" s="14">
        <v>18</v>
      </c>
      <c r="L1271" s="17">
        <v>4.4000000000000004</v>
      </c>
      <c r="M1271" s="2" t="b">
        <v>0</v>
      </c>
      <c r="N1271" s="2"/>
      <c r="O1271" s="2" t="str">
        <f>IF(Table1[[#This Row],[is_returned]]=TRUE,IF(Table1[[#This Row],[return_reason]]="","Error","OK"),"OK")</f>
        <v>OK</v>
      </c>
      <c r="P1271" s="8">
        <f>Table1[[#This Row],[original_price]]*Table1[[#This Row],[markdown_percentage]]/100</f>
        <v>0</v>
      </c>
      <c r="Q127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271" s="25">
        <f>Table1[[#This Row],[current_price]]*Table1[[#This Row],[stock_quantity]]</f>
        <v>2148.84</v>
      </c>
    </row>
    <row r="1272" spans="1:18" x14ac:dyDescent="0.25">
      <c r="A1272" s="2" t="s">
        <v>1325</v>
      </c>
      <c r="B1272" s="2" t="s">
        <v>42</v>
      </c>
      <c r="C1272" s="2" t="s">
        <v>48</v>
      </c>
      <c r="D1272" s="2" t="s">
        <v>23</v>
      </c>
      <c r="E1272" s="2" t="s">
        <v>39</v>
      </c>
      <c r="F1272" s="2" t="s">
        <v>35</v>
      </c>
      <c r="G1272" s="8">
        <v>66.17</v>
      </c>
      <c r="H1272" s="11">
        <v>0</v>
      </c>
      <c r="I1272" s="8">
        <v>66.17</v>
      </c>
      <c r="J1272" s="3">
        <v>45875</v>
      </c>
      <c r="K1272" s="14">
        <v>1</v>
      </c>
      <c r="L1272" s="17"/>
      <c r="M1272" s="2" t="b">
        <v>0</v>
      </c>
      <c r="N1272" s="2"/>
      <c r="O1272" s="2" t="str">
        <f>IF(Table1[[#This Row],[is_returned]]=TRUE,IF(Table1[[#This Row],[return_reason]]="","Error","OK"),"OK")</f>
        <v>OK</v>
      </c>
      <c r="P1272" s="8">
        <f>Table1[[#This Row],[original_price]]*Table1[[#This Row],[markdown_percentage]]/100</f>
        <v>0</v>
      </c>
      <c r="Q127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272" s="25">
        <f>Table1[[#This Row],[current_price]]*Table1[[#This Row],[stock_quantity]]</f>
        <v>66.17</v>
      </c>
    </row>
    <row r="1273" spans="1:18" x14ac:dyDescent="0.25">
      <c r="A1273" s="2" t="s">
        <v>1326</v>
      </c>
      <c r="B1273" s="2" t="s">
        <v>27</v>
      </c>
      <c r="C1273" s="2" t="s">
        <v>48</v>
      </c>
      <c r="D1273" s="2" t="s">
        <v>34</v>
      </c>
      <c r="E1273" s="2"/>
      <c r="F1273" s="2" t="s">
        <v>66</v>
      </c>
      <c r="G1273" s="8">
        <v>68.3</v>
      </c>
      <c r="H1273" s="11">
        <v>8</v>
      </c>
      <c r="I1273" s="8">
        <v>62.84</v>
      </c>
      <c r="J1273" s="3">
        <v>45875</v>
      </c>
      <c r="K1273" s="14">
        <v>18</v>
      </c>
      <c r="L1273" s="17">
        <v>3.1</v>
      </c>
      <c r="M1273" s="2" t="b">
        <v>0</v>
      </c>
      <c r="N1273" s="2"/>
      <c r="O1273" s="2" t="str">
        <f>IF(Table1[[#This Row],[is_returned]]=TRUE,IF(Table1[[#This Row],[return_reason]]="","Error","OK"),"OK")</f>
        <v>OK</v>
      </c>
      <c r="P1273" s="8">
        <f>Table1[[#This Row],[original_price]]*Table1[[#This Row],[markdown_percentage]]/100</f>
        <v>5.4639999999999995</v>
      </c>
      <c r="Q127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273" s="25">
        <f>Table1[[#This Row],[current_price]]*Table1[[#This Row],[stock_quantity]]</f>
        <v>1131.1200000000001</v>
      </c>
    </row>
    <row r="1274" spans="1:18" x14ac:dyDescent="0.25">
      <c r="A1274" s="2" t="s">
        <v>1327</v>
      </c>
      <c r="B1274" s="2" t="s">
        <v>15</v>
      </c>
      <c r="C1274" s="2" t="s">
        <v>43</v>
      </c>
      <c r="D1274" s="2" t="s">
        <v>34</v>
      </c>
      <c r="E1274" s="2" t="s">
        <v>24</v>
      </c>
      <c r="F1274" s="2" t="s">
        <v>66</v>
      </c>
      <c r="G1274" s="8">
        <v>209.66</v>
      </c>
      <c r="H1274" s="11">
        <v>0</v>
      </c>
      <c r="I1274" s="8">
        <v>209.66</v>
      </c>
      <c r="J1274" s="3">
        <v>45875</v>
      </c>
      <c r="K1274" s="14">
        <v>30</v>
      </c>
      <c r="L1274" s="17">
        <v>2.1</v>
      </c>
      <c r="M1274" s="2" t="b">
        <v>0</v>
      </c>
      <c r="N1274" s="2"/>
      <c r="O1274" s="2" t="str">
        <f>IF(Table1[[#This Row],[is_returned]]=TRUE,IF(Table1[[#This Row],[return_reason]]="","Error","OK"),"OK")</f>
        <v>OK</v>
      </c>
      <c r="P1274" s="8">
        <f>Table1[[#This Row],[original_price]]*Table1[[#This Row],[markdown_percentage]]/100</f>
        <v>0</v>
      </c>
      <c r="Q127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274" s="25">
        <f>Table1[[#This Row],[current_price]]*Table1[[#This Row],[stock_quantity]]</f>
        <v>6289.8</v>
      </c>
    </row>
    <row r="1275" spans="1:18" x14ac:dyDescent="0.25">
      <c r="A1275" s="2" t="s">
        <v>1328</v>
      </c>
      <c r="B1275" s="2" t="s">
        <v>30</v>
      </c>
      <c r="C1275" s="2" t="s">
        <v>22</v>
      </c>
      <c r="D1275" s="2" t="s">
        <v>62</v>
      </c>
      <c r="E1275" s="2" t="s">
        <v>55</v>
      </c>
      <c r="F1275" s="2" t="s">
        <v>44</v>
      </c>
      <c r="G1275" s="8">
        <v>154.82</v>
      </c>
      <c r="H1275" s="11">
        <v>0</v>
      </c>
      <c r="I1275" s="8">
        <v>154.82</v>
      </c>
      <c r="J1275" s="3">
        <v>45875</v>
      </c>
      <c r="K1275" s="14">
        <v>31</v>
      </c>
      <c r="L1275" s="17"/>
      <c r="M1275" s="2" t="b">
        <v>0</v>
      </c>
      <c r="N1275" s="2"/>
      <c r="O1275" s="2" t="str">
        <f>IF(Table1[[#This Row],[is_returned]]=TRUE,IF(Table1[[#This Row],[return_reason]]="","Error","OK"),"OK")</f>
        <v>OK</v>
      </c>
      <c r="P1275" s="8">
        <f>Table1[[#This Row],[original_price]]*Table1[[#This Row],[markdown_percentage]]/100</f>
        <v>0</v>
      </c>
      <c r="Q127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275" s="25">
        <f>Table1[[#This Row],[current_price]]*Table1[[#This Row],[stock_quantity]]</f>
        <v>4799.42</v>
      </c>
    </row>
    <row r="1276" spans="1:18" x14ac:dyDescent="0.25">
      <c r="A1276" s="2" t="s">
        <v>1329</v>
      </c>
      <c r="B1276" s="2" t="s">
        <v>38</v>
      </c>
      <c r="C1276" s="2" t="s">
        <v>48</v>
      </c>
      <c r="D1276" s="2" t="s">
        <v>23</v>
      </c>
      <c r="E1276" s="2" t="s">
        <v>39</v>
      </c>
      <c r="F1276" s="2" t="s">
        <v>40</v>
      </c>
      <c r="G1276" s="8">
        <v>37.53</v>
      </c>
      <c r="H1276" s="11">
        <v>0</v>
      </c>
      <c r="I1276" s="8">
        <v>37.53</v>
      </c>
      <c r="J1276" s="3">
        <v>45875</v>
      </c>
      <c r="K1276" s="14">
        <v>8</v>
      </c>
      <c r="L1276" s="17">
        <v>3</v>
      </c>
      <c r="M1276" s="2" t="b">
        <v>1</v>
      </c>
      <c r="N1276" s="2" t="s">
        <v>115</v>
      </c>
      <c r="O1276" s="2" t="str">
        <f>IF(Table1[[#This Row],[is_returned]]=TRUE,IF(Table1[[#This Row],[return_reason]]="","Error","OK"),"OK")</f>
        <v>OK</v>
      </c>
      <c r="P1276" s="8">
        <f>Table1[[#This Row],[original_price]]*Table1[[#This Row],[markdown_percentage]]/100</f>
        <v>0</v>
      </c>
      <c r="Q127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276" s="25">
        <f>Table1[[#This Row],[current_price]]*Table1[[#This Row],[stock_quantity]]</f>
        <v>300.24</v>
      </c>
    </row>
    <row r="1277" spans="1:18" x14ac:dyDescent="0.25">
      <c r="A1277" s="2" t="s">
        <v>1330</v>
      </c>
      <c r="B1277" s="2" t="s">
        <v>30</v>
      </c>
      <c r="C1277" s="2" t="s">
        <v>16</v>
      </c>
      <c r="D1277" s="2" t="s">
        <v>62</v>
      </c>
      <c r="E1277" s="2" t="s">
        <v>55</v>
      </c>
      <c r="F1277" s="2" t="s">
        <v>28</v>
      </c>
      <c r="G1277" s="8">
        <v>140.28</v>
      </c>
      <c r="H1277" s="11">
        <v>0</v>
      </c>
      <c r="I1277" s="8">
        <v>140.28</v>
      </c>
      <c r="J1277" s="3">
        <v>45875</v>
      </c>
      <c r="K1277" s="14">
        <v>10</v>
      </c>
      <c r="L1277" s="17">
        <v>1.9</v>
      </c>
      <c r="M1277" s="2" t="b">
        <v>0</v>
      </c>
      <c r="N1277" s="2"/>
      <c r="O1277" s="2" t="str">
        <f>IF(Table1[[#This Row],[is_returned]]=TRUE,IF(Table1[[#This Row],[return_reason]]="","Error","OK"),"OK")</f>
        <v>OK</v>
      </c>
      <c r="P1277" s="8">
        <f>Table1[[#This Row],[original_price]]*Table1[[#This Row],[markdown_percentage]]/100</f>
        <v>0</v>
      </c>
      <c r="Q127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277" s="25">
        <f>Table1[[#This Row],[current_price]]*Table1[[#This Row],[stock_quantity]]</f>
        <v>1402.8</v>
      </c>
    </row>
    <row r="1278" spans="1:18" x14ac:dyDescent="0.25">
      <c r="A1278" s="2" t="s">
        <v>1331</v>
      </c>
      <c r="B1278" s="2" t="s">
        <v>30</v>
      </c>
      <c r="C1278" s="2" t="s">
        <v>22</v>
      </c>
      <c r="D1278" s="2" t="s">
        <v>62</v>
      </c>
      <c r="E1278" s="2" t="s">
        <v>55</v>
      </c>
      <c r="F1278" s="2" t="s">
        <v>35</v>
      </c>
      <c r="G1278" s="8">
        <v>171.07</v>
      </c>
      <c r="H1278" s="11">
        <v>0</v>
      </c>
      <c r="I1278" s="8">
        <v>171.07</v>
      </c>
      <c r="J1278" s="3">
        <v>45875</v>
      </c>
      <c r="K1278" s="14">
        <v>25</v>
      </c>
      <c r="L1278" s="17">
        <v>3</v>
      </c>
      <c r="M1278" s="2" t="b">
        <v>0</v>
      </c>
      <c r="N1278" s="2"/>
      <c r="O1278" s="2" t="str">
        <f>IF(Table1[[#This Row],[is_returned]]=TRUE,IF(Table1[[#This Row],[return_reason]]="","Error","OK"),"OK")</f>
        <v>OK</v>
      </c>
      <c r="P1278" s="8">
        <f>Table1[[#This Row],[original_price]]*Table1[[#This Row],[markdown_percentage]]/100</f>
        <v>0</v>
      </c>
      <c r="Q127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278" s="25">
        <f>Table1[[#This Row],[current_price]]*Table1[[#This Row],[stock_quantity]]</f>
        <v>4276.75</v>
      </c>
    </row>
    <row r="1279" spans="1:18" x14ac:dyDescent="0.25">
      <c r="A1279" s="2" t="s">
        <v>1332</v>
      </c>
      <c r="B1279" s="2" t="s">
        <v>21</v>
      </c>
      <c r="C1279" s="2" t="s">
        <v>16</v>
      </c>
      <c r="D1279" s="2" t="s">
        <v>62</v>
      </c>
      <c r="E1279" s="2" t="s">
        <v>58</v>
      </c>
      <c r="F1279" s="2" t="s">
        <v>66</v>
      </c>
      <c r="G1279" s="8">
        <v>77.87</v>
      </c>
      <c r="H1279" s="11">
        <v>0</v>
      </c>
      <c r="I1279" s="8">
        <v>77.87</v>
      </c>
      <c r="J1279" s="3">
        <v>45875</v>
      </c>
      <c r="K1279" s="14">
        <v>4</v>
      </c>
      <c r="L1279" s="17">
        <v>2.7</v>
      </c>
      <c r="M1279" s="2" t="b">
        <v>0</v>
      </c>
      <c r="N1279" s="2"/>
      <c r="O1279" s="2" t="str">
        <f>IF(Table1[[#This Row],[is_returned]]=TRUE,IF(Table1[[#This Row],[return_reason]]="","Error","OK"),"OK")</f>
        <v>OK</v>
      </c>
      <c r="P1279" s="8">
        <f>Table1[[#This Row],[original_price]]*Table1[[#This Row],[markdown_percentage]]/100</f>
        <v>0</v>
      </c>
      <c r="Q127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279" s="25">
        <f>Table1[[#This Row],[current_price]]*Table1[[#This Row],[stock_quantity]]</f>
        <v>311.48</v>
      </c>
    </row>
    <row r="1280" spans="1:18" x14ac:dyDescent="0.25">
      <c r="A1280" s="2" t="s">
        <v>1333</v>
      </c>
      <c r="B1280" s="2" t="s">
        <v>21</v>
      </c>
      <c r="C1280" s="2" t="s">
        <v>48</v>
      </c>
      <c r="D1280" s="2" t="s">
        <v>17</v>
      </c>
      <c r="E1280" s="2" t="s">
        <v>18</v>
      </c>
      <c r="F1280" s="2" t="s">
        <v>64</v>
      </c>
      <c r="G1280" s="8">
        <v>80.540000000000006</v>
      </c>
      <c r="H1280" s="11">
        <v>0</v>
      </c>
      <c r="I1280" s="8">
        <v>80.540000000000006</v>
      </c>
      <c r="J1280" s="3">
        <v>45636</v>
      </c>
      <c r="K1280" s="14">
        <v>50</v>
      </c>
      <c r="L1280" s="17">
        <v>2.1</v>
      </c>
      <c r="M1280" s="2" t="b">
        <v>0</v>
      </c>
      <c r="N1280" s="2"/>
      <c r="O1280" s="2" t="str">
        <f>IF(Table1[[#This Row],[is_returned]]=TRUE,IF(Table1[[#This Row],[return_reason]]="","Error","OK"),"OK")</f>
        <v>OK</v>
      </c>
      <c r="P1280" s="8">
        <f>Table1[[#This Row],[original_price]]*Table1[[#This Row],[markdown_percentage]]/100</f>
        <v>0</v>
      </c>
      <c r="Q128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280" s="25">
        <f>Table1[[#This Row],[current_price]]*Table1[[#This Row],[stock_quantity]]</f>
        <v>4027.0000000000005</v>
      </c>
    </row>
    <row r="1281" spans="1:18" x14ac:dyDescent="0.25">
      <c r="A1281" s="2" t="s">
        <v>1334</v>
      </c>
      <c r="B1281" s="2" t="s">
        <v>38</v>
      </c>
      <c r="C1281" s="2" t="s">
        <v>22</v>
      </c>
      <c r="D1281" s="2" t="s">
        <v>62</v>
      </c>
      <c r="E1281" s="2" t="s">
        <v>39</v>
      </c>
      <c r="F1281" s="2" t="s">
        <v>35</v>
      </c>
      <c r="G1281" s="8">
        <v>48.68</v>
      </c>
      <c r="H1281" s="11">
        <v>41.7</v>
      </c>
      <c r="I1281" s="8">
        <v>28.38</v>
      </c>
      <c r="J1281" s="3">
        <v>45875</v>
      </c>
      <c r="K1281" s="14">
        <v>20</v>
      </c>
      <c r="L1281" s="17">
        <v>1.3</v>
      </c>
      <c r="M1281" s="2" t="b">
        <v>1</v>
      </c>
      <c r="N1281" s="2" t="s">
        <v>78</v>
      </c>
      <c r="O1281" s="2" t="str">
        <f>IF(Table1[[#This Row],[is_returned]]=TRUE,IF(Table1[[#This Row],[return_reason]]="","Error","OK"),"OK")</f>
        <v>OK</v>
      </c>
      <c r="P1281" s="8">
        <f>Table1[[#This Row],[original_price]]*Table1[[#This Row],[markdown_percentage]]/100</f>
        <v>20.29956</v>
      </c>
      <c r="Q128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281" s="25">
        <f>Table1[[#This Row],[current_price]]*Table1[[#This Row],[stock_quantity]]</f>
        <v>567.6</v>
      </c>
    </row>
    <row r="1282" spans="1:18" x14ac:dyDescent="0.25">
      <c r="A1282" s="2" t="s">
        <v>1335</v>
      </c>
      <c r="B1282" s="2" t="s">
        <v>30</v>
      </c>
      <c r="C1282" s="2" t="s">
        <v>53</v>
      </c>
      <c r="D1282" s="2" t="s">
        <v>23</v>
      </c>
      <c r="E1282" s="2" t="s">
        <v>55</v>
      </c>
      <c r="F1282" s="2" t="s">
        <v>66</v>
      </c>
      <c r="G1282" s="8">
        <v>137.83000000000001</v>
      </c>
      <c r="H1282" s="11">
        <v>0</v>
      </c>
      <c r="I1282" s="8">
        <v>137.83000000000001</v>
      </c>
      <c r="J1282" s="3">
        <v>45875</v>
      </c>
      <c r="K1282" s="14">
        <v>32</v>
      </c>
      <c r="L1282" s="17">
        <v>3.4</v>
      </c>
      <c r="M1282" s="2" t="b">
        <v>1</v>
      </c>
      <c r="N1282" s="2" t="s">
        <v>115</v>
      </c>
      <c r="O1282" s="2" t="str">
        <f>IF(Table1[[#This Row],[is_returned]]=TRUE,IF(Table1[[#This Row],[return_reason]]="","Error","OK"),"OK")</f>
        <v>OK</v>
      </c>
      <c r="P1282" s="8">
        <f>Table1[[#This Row],[original_price]]*Table1[[#This Row],[markdown_percentage]]/100</f>
        <v>0</v>
      </c>
      <c r="Q128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282" s="25">
        <f>Table1[[#This Row],[current_price]]*Table1[[#This Row],[stock_quantity]]</f>
        <v>4410.5600000000004</v>
      </c>
    </row>
    <row r="1283" spans="1:18" x14ac:dyDescent="0.25">
      <c r="A1283" s="2" t="s">
        <v>1336</v>
      </c>
      <c r="B1283" s="2" t="s">
        <v>38</v>
      </c>
      <c r="C1283" s="2" t="s">
        <v>16</v>
      </c>
      <c r="D1283" s="2" t="s">
        <v>34</v>
      </c>
      <c r="E1283" s="2" t="s">
        <v>49</v>
      </c>
      <c r="F1283" s="2" t="s">
        <v>70</v>
      </c>
      <c r="G1283" s="8">
        <v>96.88</v>
      </c>
      <c r="H1283" s="11">
        <v>44.8</v>
      </c>
      <c r="I1283" s="8">
        <v>53.48</v>
      </c>
      <c r="J1283" s="3">
        <v>45875</v>
      </c>
      <c r="K1283" s="14">
        <v>15</v>
      </c>
      <c r="L1283" s="17">
        <v>1.3</v>
      </c>
      <c r="M1283" s="2" t="b">
        <v>0</v>
      </c>
      <c r="N1283" s="2"/>
      <c r="O1283" s="2" t="str">
        <f>IF(Table1[[#This Row],[is_returned]]=TRUE,IF(Table1[[#This Row],[return_reason]]="","Error","OK"),"OK")</f>
        <v>OK</v>
      </c>
      <c r="P1283" s="8">
        <f>Table1[[#This Row],[original_price]]*Table1[[#This Row],[markdown_percentage]]/100</f>
        <v>43.402239999999992</v>
      </c>
      <c r="Q128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283" s="25">
        <f>Table1[[#This Row],[current_price]]*Table1[[#This Row],[stock_quantity]]</f>
        <v>802.19999999999993</v>
      </c>
    </row>
    <row r="1284" spans="1:18" x14ac:dyDescent="0.25">
      <c r="A1284" s="2" t="s">
        <v>1337</v>
      </c>
      <c r="B1284" s="2" t="s">
        <v>21</v>
      </c>
      <c r="C1284" s="2" t="s">
        <v>48</v>
      </c>
      <c r="D1284" s="2" t="s">
        <v>17</v>
      </c>
      <c r="E1284" s="2" t="s">
        <v>18</v>
      </c>
      <c r="F1284" s="2" t="s">
        <v>44</v>
      </c>
      <c r="G1284" s="8">
        <v>46.44</v>
      </c>
      <c r="H1284" s="11">
        <v>36.799999999999997</v>
      </c>
      <c r="I1284" s="8">
        <v>29.35</v>
      </c>
      <c r="J1284" s="3">
        <v>45727</v>
      </c>
      <c r="K1284" s="14">
        <v>19</v>
      </c>
      <c r="L1284" s="17">
        <v>1.9</v>
      </c>
      <c r="M1284" s="2" t="b">
        <v>0</v>
      </c>
      <c r="N1284" s="2"/>
      <c r="O1284" s="2" t="str">
        <f>IF(Table1[[#This Row],[is_returned]]=TRUE,IF(Table1[[#This Row],[return_reason]]="","Error","OK"),"OK")</f>
        <v>OK</v>
      </c>
      <c r="P1284" s="8">
        <f>Table1[[#This Row],[original_price]]*Table1[[#This Row],[markdown_percentage]]/100</f>
        <v>17.089919999999996</v>
      </c>
      <c r="Q128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284" s="25">
        <f>Table1[[#This Row],[current_price]]*Table1[[#This Row],[stock_quantity]]</f>
        <v>557.65</v>
      </c>
    </row>
    <row r="1285" spans="1:18" x14ac:dyDescent="0.25">
      <c r="A1285" s="2" t="s">
        <v>1338</v>
      </c>
      <c r="B1285" s="2" t="s">
        <v>38</v>
      </c>
      <c r="C1285" s="2" t="s">
        <v>61</v>
      </c>
      <c r="D1285" s="2" t="s">
        <v>23</v>
      </c>
      <c r="E1285" s="2" t="s">
        <v>24</v>
      </c>
      <c r="F1285" s="2" t="s">
        <v>70</v>
      </c>
      <c r="G1285" s="8">
        <v>86.4</v>
      </c>
      <c r="H1285" s="11">
        <v>0</v>
      </c>
      <c r="I1285" s="8">
        <v>86.4</v>
      </c>
      <c r="J1285" s="3">
        <v>45875</v>
      </c>
      <c r="K1285" s="14">
        <v>26</v>
      </c>
      <c r="L1285" s="17">
        <v>3.7</v>
      </c>
      <c r="M1285" s="2" t="b">
        <v>0</v>
      </c>
      <c r="N1285" s="2"/>
      <c r="O1285" s="2" t="str">
        <f>IF(Table1[[#This Row],[is_returned]]=TRUE,IF(Table1[[#This Row],[return_reason]]="","Error","OK"),"OK")</f>
        <v>OK</v>
      </c>
      <c r="P1285" s="8">
        <f>Table1[[#This Row],[original_price]]*Table1[[#This Row],[markdown_percentage]]/100</f>
        <v>0</v>
      </c>
      <c r="Q128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285" s="25">
        <f>Table1[[#This Row],[current_price]]*Table1[[#This Row],[stock_quantity]]</f>
        <v>2246.4</v>
      </c>
    </row>
    <row r="1286" spans="1:18" x14ac:dyDescent="0.25">
      <c r="A1286" s="2" t="s">
        <v>1339</v>
      </c>
      <c r="B1286" s="2" t="s">
        <v>38</v>
      </c>
      <c r="C1286" s="2" t="s">
        <v>43</v>
      </c>
      <c r="D1286" s="2" t="s">
        <v>34</v>
      </c>
      <c r="E1286" s="2" t="s">
        <v>49</v>
      </c>
      <c r="F1286" s="2" t="s">
        <v>46</v>
      </c>
      <c r="G1286" s="8">
        <v>113.83</v>
      </c>
      <c r="H1286" s="11">
        <v>51.6</v>
      </c>
      <c r="I1286" s="8">
        <v>55.09</v>
      </c>
      <c r="J1286" s="3">
        <v>45875</v>
      </c>
      <c r="K1286" s="14">
        <v>12</v>
      </c>
      <c r="L1286" s="17">
        <v>2.9</v>
      </c>
      <c r="M1286" s="2" t="b">
        <v>0</v>
      </c>
      <c r="N1286" s="2"/>
      <c r="O1286" s="2" t="str">
        <f>IF(Table1[[#This Row],[is_returned]]=TRUE,IF(Table1[[#This Row],[return_reason]]="","Error","OK"),"OK")</f>
        <v>OK</v>
      </c>
      <c r="P1286" s="8">
        <f>Table1[[#This Row],[original_price]]*Table1[[#This Row],[markdown_percentage]]/100</f>
        <v>58.736279999999994</v>
      </c>
      <c r="Q128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286" s="25">
        <f>Table1[[#This Row],[current_price]]*Table1[[#This Row],[stock_quantity]]</f>
        <v>661.08</v>
      </c>
    </row>
    <row r="1287" spans="1:18" x14ac:dyDescent="0.25">
      <c r="A1287" s="2" t="s">
        <v>1340</v>
      </c>
      <c r="B1287" s="2" t="s">
        <v>38</v>
      </c>
      <c r="C1287" s="2" t="s">
        <v>16</v>
      </c>
      <c r="D1287" s="2" t="s">
        <v>62</v>
      </c>
      <c r="E1287" s="2" t="s">
        <v>55</v>
      </c>
      <c r="F1287" s="2" t="s">
        <v>66</v>
      </c>
      <c r="G1287" s="8">
        <v>64.680000000000007</v>
      </c>
      <c r="H1287" s="11">
        <v>42.9</v>
      </c>
      <c r="I1287" s="8">
        <v>36.93</v>
      </c>
      <c r="J1287" s="3">
        <v>45875</v>
      </c>
      <c r="K1287" s="14">
        <v>36</v>
      </c>
      <c r="L1287" s="17"/>
      <c r="M1287" s="2" t="b">
        <v>0</v>
      </c>
      <c r="N1287" s="2"/>
      <c r="O1287" s="2" t="str">
        <f>IF(Table1[[#This Row],[is_returned]]=TRUE,IF(Table1[[#This Row],[return_reason]]="","Error","OK"),"OK")</f>
        <v>OK</v>
      </c>
      <c r="P1287" s="8">
        <f>Table1[[#This Row],[original_price]]*Table1[[#This Row],[markdown_percentage]]/100</f>
        <v>27.747720000000005</v>
      </c>
      <c r="Q128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287" s="25">
        <f>Table1[[#This Row],[current_price]]*Table1[[#This Row],[stock_quantity]]</f>
        <v>1329.48</v>
      </c>
    </row>
    <row r="1288" spans="1:18" x14ac:dyDescent="0.25">
      <c r="A1288" s="2" t="s">
        <v>1341</v>
      </c>
      <c r="B1288" s="2" t="s">
        <v>30</v>
      </c>
      <c r="C1288" s="2" t="s">
        <v>75</v>
      </c>
      <c r="D1288" s="2" t="s">
        <v>34</v>
      </c>
      <c r="E1288" s="2"/>
      <c r="F1288" s="2" t="s">
        <v>56</v>
      </c>
      <c r="G1288" s="8">
        <v>123.23</v>
      </c>
      <c r="H1288" s="11">
        <v>0</v>
      </c>
      <c r="I1288" s="8">
        <v>123.23</v>
      </c>
      <c r="J1288" s="3">
        <v>45875</v>
      </c>
      <c r="K1288" s="14">
        <v>40</v>
      </c>
      <c r="L1288" s="17">
        <v>4.3</v>
      </c>
      <c r="M1288" s="2" t="b">
        <v>0</v>
      </c>
      <c r="N1288" s="2"/>
      <c r="O1288" s="2" t="str">
        <f>IF(Table1[[#This Row],[is_returned]]=TRUE,IF(Table1[[#This Row],[return_reason]]="","Error","OK"),"OK")</f>
        <v>OK</v>
      </c>
      <c r="P1288" s="8">
        <f>Table1[[#This Row],[original_price]]*Table1[[#This Row],[markdown_percentage]]/100</f>
        <v>0</v>
      </c>
      <c r="Q128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288" s="25">
        <f>Table1[[#This Row],[current_price]]*Table1[[#This Row],[stock_quantity]]</f>
        <v>4929.2</v>
      </c>
    </row>
    <row r="1289" spans="1:18" x14ac:dyDescent="0.25">
      <c r="A1289" s="2" t="s">
        <v>1342</v>
      </c>
      <c r="B1289" s="2" t="s">
        <v>27</v>
      </c>
      <c r="C1289" s="2" t="s">
        <v>53</v>
      </c>
      <c r="D1289" s="2" t="s">
        <v>23</v>
      </c>
      <c r="E1289" s="2"/>
      <c r="F1289" s="2" t="s">
        <v>19</v>
      </c>
      <c r="G1289" s="8">
        <v>69.69</v>
      </c>
      <c r="H1289" s="11">
        <v>0</v>
      </c>
      <c r="I1289" s="8">
        <v>69.69</v>
      </c>
      <c r="J1289" s="3">
        <v>45875</v>
      </c>
      <c r="K1289" s="14">
        <v>35</v>
      </c>
      <c r="L1289" s="17">
        <v>3</v>
      </c>
      <c r="M1289" s="2" t="b">
        <v>0</v>
      </c>
      <c r="N1289" s="2"/>
      <c r="O1289" s="2" t="str">
        <f>IF(Table1[[#This Row],[is_returned]]=TRUE,IF(Table1[[#This Row],[return_reason]]="","Error","OK"),"OK")</f>
        <v>OK</v>
      </c>
      <c r="P1289" s="8">
        <f>Table1[[#This Row],[original_price]]*Table1[[#This Row],[markdown_percentage]]/100</f>
        <v>0</v>
      </c>
      <c r="Q128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289" s="25">
        <f>Table1[[#This Row],[current_price]]*Table1[[#This Row],[stock_quantity]]</f>
        <v>2439.15</v>
      </c>
    </row>
    <row r="1290" spans="1:18" x14ac:dyDescent="0.25">
      <c r="A1290" s="2" t="s">
        <v>1343</v>
      </c>
      <c r="B1290" s="2" t="s">
        <v>27</v>
      </c>
      <c r="C1290" s="2" t="s">
        <v>32</v>
      </c>
      <c r="D1290" s="2" t="s">
        <v>23</v>
      </c>
      <c r="E1290" s="2"/>
      <c r="F1290" s="2" t="s">
        <v>46</v>
      </c>
      <c r="G1290" s="8">
        <v>46.15</v>
      </c>
      <c r="H1290" s="11">
        <v>24.4</v>
      </c>
      <c r="I1290" s="8">
        <v>34.89</v>
      </c>
      <c r="J1290" s="3">
        <v>45875</v>
      </c>
      <c r="K1290" s="14">
        <v>31</v>
      </c>
      <c r="L1290" s="17">
        <v>4.4000000000000004</v>
      </c>
      <c r="M1290" s="2" t="b">
        <v>1</v>
      </c>
      <c r="N1290" s="2" t="s">
        <v>73</v>
      </c>
      <c r="O1290" s="2" t="str">
        <f>IF(Table1[[#This Row],[is_returned]]=TRUE,IF(Table1[[#This Row],[return_reason]]="","Error","OK"),"OK")</f>
        <v>OK</v>
      </c>
      <c r="P1290" s="8">
        <f>Table1[[#This Row],[original_price]]*Table1[[#This Row],[markdown_percentage]]/100</f>
        <v>11.2606</v>
      </c>
      <c r="Q129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290" s="25">
        <f>Table1[[#This Row],[current_price]]*Table1[[#This Row],[stock_quantity]]</f>
        <v>1081.5899999999999</v>
      </c>
    </row>
    <row r="1291" spans="1:18" x14ac:dyDescent="0.25">
      <c r="A1291" s="2" t="s">
        <v>1344</v>
      </c>
      <c r="B1291" s="2" t="s">
        <v>15</v>
      </c>
      <c r="C1291" s="2" t="s">
        <v>48</v>
      </c>
      <c r="D1291" s="2" t="s">
        <v>62</v>
      </c>
      <c r="E1291" s="2" t="s">
        <v>55</v>
      </c>
      <c r="F1291" s="2" t="s">
        <v>64</v>
      </c>
      <c r="G1291" s="8">
        <v>229.8</v>
      </c>
      <c r="H1291" s="11">
        <v>0</v>
      </c>
      <c r="I1291" s="8">
        <v>229.8</v>
      </c>
      <c r="J1291" s="3">
        <v>45875</v>
      </c>
      <c r="K1291" s="14">
        <v>46</v>
      </c>
      <c r="L1291" s="17">
        <v>3.6</v>
      </c>
      <c r="M1291" s="2" t="b">
        <v>0</v>
      </c>
      <c r="N1291" s="2"/>
      <c r="O1291" s="2" t="str">
        <f>IF(Table1[[#This Row],[is_returned]]=TRUE,IF(Table1[[#This Row],[return_reason]]="","Error","OK"),"OK")</f>
        <v>OK</v>
      </c>
      <c r="P1291" s="8">
        <f>Table1[[#This Row],[original_price]]*Table1[[#This Row],[markdown_percentage]]/100</f>
        <v>0</v>
      </c>
      <c r="Q129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291" s="25">
        <f>Table1[[#This Row],[current_price]]*Table1[[#This Row],[stock_quantity]]</f>
        <v>10570.800000000001</v>
      </c>
    </row>
    <row r="1292" spans="1:18" x14ac:dyDescent="0.25">
      <c r="A1292" s="2" t="s">
        <v>1345</v>
      </c>
      <c r="B1292" s="2" t="s">
        <v>15</v>
      </c>
      <c r="C1292" s="2" t="s">
        <v>22</v>
      </c>
      <c r="D1292" s="2" t="s">
        <v>34</v>
      </c>
      <c r="E1292" s="2" t="s">
        <v>55</v>
      </c>
      <c r="F1292" s="2" t="s">
        <v>66</v>
      </c>
      <c r="G1292" s="8">
        <v>179.44</v>
      </c>
      <c r="H1292" s="11">
        <v>19.600000000000001</v>
      </c>
      <c r="I1292" s="8">
        <v>144.27000000000001</v>
      </c>
      <c r="J1292" s="3">
        <v>45875</v>
      </c>
      <c r="K1292" s="14">
        <v>42</v>
      </c>
      <c r="L1292" s="17">
        <v>3</v>
      </c>
      <c r="M1292" s="2" t="b">
        <v>0</v>
      </c>
      <c r="N1292" s="2"/>
      <c r="O1292" s="2" t="str">
        <f>IF(Table1[[#This Row],[is_returned]]=TRUE,IF(Table1[[#This Row],[return_reason]]="","Error","OK"),"OK")</f>
        <v>OK</v>
      </c>
      <c r="P1292" s="8">
        <f>Table1[[#This Row],[original_price]]*Table1[[#This Row],[markdown_percentage]]/100</f>
        <v>35.170240000000007</v>
      </c>
      <c r="Q129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292" s="25">
        <f>Table1[[#This Row],[current_price]]*Table1[[#This Row],[stock_quantity]]</f>
        <v>6059.34</v>
      </c>
    </row>
    <row r="1293" spans="1:18" x14ac:dyDescent="0.25">
      <c r="A1293" s="2" t="s">
        <v>1346</v>
      </c>
      <c r="B1293" s="2" t="s">
        <v>30</v>
      </c>
      <c r="C1293" s="2" t="s">
        <v>32</v>
      </c>
      <c r="D1293" s="2" t="s">
        <v>34</v>
      </c>
      <c r="E1293" s="2" t="s">
        <v>24</v>
      </c>
      <c r="F1293" s="2" t="s">
        <v>46</v>
      </c>
      <c r="G1293" s="8">
        <v>80.959999999999994</v>
      </c>
      <c r="H1293" s="11">
        <v>56.3</v>
      </c>
      <c r="I1293" s="8">
        <v>35.380000000000003</v>
      </c>
      <c r="J1293" s="3">
        <v>45875</v>
      </c>
      <c r="K1293" s="14">
        <v>41</v>
      </c>
      <c r="L1293" s="17">
        <v>2.2000000000000002</v>
      </c>
      <c r="M1293" s="2" t="b">
        <v>1</v>
      </c>
      <c r="N1293" s="2" t="s">
        <v>115</v>
      </c>
      <c r="O1293" s="2" t="str">
        <f>IF(Table1[[#This Row],[is_returned]]=TRUE,IF(Table1[[#This Row],[return_reason]]="","Error","OK"),"OK")</f>
        <v>OK</v>
      </c>
      <c r="P1293" s="8">
        <f>Table1[[#This Row],[original_price]]*Table1[[#This Row],[markdown_percentage]]/100</f>
        <v>45.580479999999994</v>
      </c>
      <c r="Q129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293" s="25">
        <f>Table1[[#This Row],[current_price]]*Table1[[#This Row],[stock_quantity]]</f>
        <v>1450.5800000000002</v>
      </c>
    </row>
    <row r="1294" spans="1:18" x14ac:dyDescent="0.25">
      <c r="A1294" s="2" t="s">
        <v>1347</v>
      </c>
      <c r="B1294" s="2" t="s">
        <v>38</v>
      </c>
      <c r="C1294" s="2" t="s">
        <v>22</v>
      </c>
      <c r="D1294" s="2" t="s">
        <v>34</v>
      </c>
      <c r="E1294" s="2" t="s">
        <v>24</v>
      </c>
      <c r="F1294" s="2" t="s">
        <v>46</v>
      </c>
      <c r="G1294" s="8">
        <v>62.3</v>
      </c>
      <c r="H1294" s="11">
        <v>19.2</v>
      </c>
      <c r="I1294" s="8">
        <v>50.34</v>
      </c>
      <c r="J1294" s="3">
        <v>45875</v>
      </c>
      <c r="K1294" s="14">
        <v>9</v>
      </c>
      <c r="L1294" s="17">
        <v>2.5</v>
      </c>
      <c r="M1294" s="2" t="b">
        <v>0</v>
      </c>
      <c r="N1294" s="2"/>
      <c r="O1294" s="2" t="str">
        <f>IF(Table1[[#This Row],[is_returned]]=TRUE,IF(Table1[[#This Row],[return_reason]]="","Error","OK"),"OK")</f>
        <v>OK</v>
      </c>
      <c r="P1294" s="8">
        <f>Table1[[#This Row],[original_price]]*Table1[[#This Row],[markdown_percentage]]/100</f>
        <v>11.961599999999999</v>
      </c>
      <c r="Q129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294" s="25">
        <f>Table1[[#This Row],[current_price]]*Table1[[#This Row],[stock_quantity]]</f>
        <v>453.06000000000006</v>
      </c>
    </row>
    <row r="1295" spans="1:18" x14ac:dyDescent="0.25">
      <c r="A1295" s="2" t="s">
        <v>1348</v>
      </c>
      <c r="B1295" s="2" t="s">
        <v>27</v>
      </c>
      <c r="C1295" s="2" t="s">
        <v>22</v>
      </c>
      <c r="D1295" s="2" t="s">
        <v>34</v>
      </c>
      <c r="E1295" s="2"/>
      <c r="F1295" s="2" t="s">
        <v>56</v>
      </c>
      <c r="G1295" s="8">
        <v>58.83</v>
      </c>
      <c r="H1295" s="11">
        <v>12.5</v>
      </c>
      <c r="I1295" s="8">
        <v>51.48</v>
      </c>
      <c r="J1295" s="3">
        <v>45875</v>
      </c>
      <c r="K1295" s="14">
        <v>3</v>
      </c>
      <c r="L1295" s="17">
        <v>1.5</v>
      </c>
      <c r="M1295" s="2" t="b">
        <v>0</v>
      </c>
      <c r="N1295" s="2"/>
      <c r="O1295" s="2" t="str">
        <f>IF(Table1[[#This Row],[is_returned]]=TRUE,IF(Table1[[#This Row],[return_reason]]="","Error","OK"),"OK")</f>
        <v>OK</v>
      </c>
      <c r="P1295" s="8">
        <f>Table1[[#This Row],[original_price]]*Table1[[#This Row],[markdown_percentage]]/100</f>
        <v>7.3537499999999998</v>
      </c>
      <c r="Q129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295" s="25">
        <f>Table1[[#This Row],[current_price]]*Table1[[#This Row],[stock_quantity]]</f>
        <v>154.44</v>
      </c>
    </row>
    <row r="1296" spans="1:18" x14ac:dyDescent="0.25">
      <c r="A1296" s="2" t="s">
        <v>1349</v>
      </c>
      <c r="B1296" s="2" t="s">
        <v>21</v>
      </c>
      <c r="C1296" s="2" t="s">
        <v>48</v>
      </c>
      <c r="D1296" s="2" t="s">
        <v>62</v>
      </c>
      <c r="E1296" s="2" t="s">
        <v>49</v>
      </c>
      <c r="F1296" s="2" t="s">
        <v>64</v>
      </c>
      <c r="G1296" s="8">
        <v>119.04</v>
      </c>
      <c r="H1296" s="11">
        <v>1.7</v>
      </c>
      <c r="I1296" s="8">
        <v>117.02</v>
      </c>
      <c r="J1296" s="3">
        <v>45875</v>
      </c>
      <c r="K1296" s="14">
        <v>34</v>
      </c>
      <c r="L1296" s="17">
        <v>4.0999999999999996</v>
      </c>
      <c r="M1296" s="2" t="b">
        <v>0</v>
      </c>
      <c r="N1296" s="2"/>
      <c r="O1296" s="2" t="str">
        <f>IF(Table1[[#This Row],[is_returned]]=TRUE,IF(Table1[[#This Row],[return_reason]]="","Error","OK"),"OK")</f>
        <v>OK</v>
      </c>
      <c r="P1296" s="8">
        <f>Table1[[#This Row],[original_price]]*Table1[[#This Row],[markdown_percentage]]/100</f>
        <v>2.0236800000000001</v>
      </c>
      <c r="Q129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296" s="25">
        <f>Table1[[#This Row],[current_price]]*Table1[[#This Row],[stock_quantity]]</f>
        <v>3978.68</v>
      </c>
    </row>
    <row r="1297" spans="1:18" x14ac:dyDescent="0.25">
      <c r="A1297" s="2" t="s">
        <v>1350</v>
      </c>
      <c r="B1297" s="2" t="s">
        <v>15</v>
      </c>
      <c r="C1297" s="2" t="s">
        <v>16</v>
      </c>
      <c r="D1297" s="2" t="s">
        <v>62</v>
      </c>
      <c r="E1297" s="2" t="s">
        <v>39</v>
      </c>
      <c r="F1297" s="2" t="s">
        <v>64</v>
      </c>
      <c r="G1297" s="8">
        <v>80.540000000000006</v>
      </c>
      <c r="H1297" s="11">
        <v>0</v>
      </c>
      <c r="I1297" s="8">
        <v>80.540000000000006</v>
      </c>
      <c r="J1297" s="3">
        <v>45875</v>
      </c>
      <c r="K1297" s="14">
        <v>3</v>
      </c>
      <c r="L1297" s="17">
        <v>1.8</v>
      </c>
      <c r="M1297" s="2" t="b">
        <v>1</v>
      </c>
      <c r="N1297" s="2" t="s">
        <v>73</v>
      </c>
      <c r="O1297" s="2" t="str">
        <f>IF(Table1[[#This Row],[is_returned]]=TRUE,IF(Table1[[#This Row],[return_reason]]="","Error","OK"),"OK")</f>
        <v>OK</v>
      </c>
      <c r="P1297" s="8">
        <f>Table1[[#This Row],[original_price]]*Table1[[#This Row],[markdown_percentage]]/100</f>
        <v>0</v>
      </c>
      <c r="Q129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297" s="25">
        <f>Table1[[#This Row],[current_price]]*Table1[[#This Row],[stock_quantity]]</f>
        <v>241.62</v>
      </c>
    </row>
    <row r="1298" spans="1:18" x14ac:dyDescent="0.25">
      <c r="A1298" s="2" t="s">
        <v>1351</v>
      </c>
      <c r="B1298" s="2" t="s">
        <v>38</v>
      </c>
      <c r="C1298" s="2" t="s">
        <v>32</v>
      </c>
      <c r="D1298" s="2" t="s">
        <v>23</v>
      </c>
      <c r="E1298" s="2" t="s">
        <v>55</v>
      </c>
      <c r="F1298" s="2" t="s">
        <v>28</v>
      </c>
      <c r="G1298" s="8">
        <v>47.32</v>
      </c>
      <c r="H1298" s="11">
        <v>25.7</v>
      </c>
      <c r="I1298" s="8">
        <v>35.159999999999997</v>
      </c>
      <c r="J1298" s="3">
        <v>45875</v>
      </c>
      <c r="K1298" s="14">
        <v>2</v>
      </c>
      <c r="L1298" s="17">
        <v>3.2</v>
      </c>
      <c r="M1298" s="2" t="b">
        <v>0</v>
      </c>
      <c r="N1298" s="2"/>
      <c r="O1298" s="2" t="str">
        <f>IF(Table1[[#This Row],[is_returned]]=TRUE,IF(Table1[[#This Row],[return_reason]]="","Error","OK"),"OK")</f>
        <v>OK</v>
      </c>
      <c r="P1298" s="8">
        <f>Table1[[#This Row],[original_price]]*Table1[[#This Row],[markdown_percentage]]/100</f>
        <v>12.161239999999999</v>
      </c>
      <c r="Q129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298" s="25">
        <f>Table1[[#This Row],[current_price]]*Table1[[#This Row],[stock_quantity]]</f>
        <v>70.319999999999993</v>
      </c>
    </row>
    <row r="1299" spans="1:18" x14ac:dyDescent="0.25">
      <c r="A1299" s="2" t="s">
        <v>1352</v>
      </c>
      <c r="B1299" s="2" t="s">
        <v>30</v>
      </c>
      <c r="C1299" s="2" t="s">
        <v>61</v>
      </c>
      <c r="D1299" s="2" t="s">
        <v>23</v>
      </c>
      <c r="E1299" s="2" t="s">
        <v>18</v>
      </c>
      <c r="F1299" s="2" t="s">
        <v>25</v>
      </c>
      <c r="G1299" s="8">
        <v>104.57</v>
      </c>
      <c r="H1299" s="11">
        <v>27.4</v>
      </c>
      <c r="I1299" s="8">
        <v>75.92</v>
      </c>
      <c r="J1299" s="3">
        <v>45875</v>
      </c>
      <c r="K1299" s="14">
        <v>7</v>
      </c>
      <c r="L1299" s="17">
        <v>1</v>
      </c>
      <c r="M1299" s="2" t="b">
        <v>1</v>
      </c>
      <c r="N1299" s="2" t="s">
        <v>83</v>
      </c>
      <c r="O1299" s="2" t="str">
        <f>IF(Table1[[#This Row],[is_returned]]=TRUE,IF(Table1[[#This Row],[return_reason]]="","Error","OK"),"OK")</f>
        <v>OK</v>
      </c>
      <c r="P1299" s="8">
        <f>Table1[[#This Row],[original_price]]*Table1[[#This Row],[markdown_percentage]]/100</f>
        <v>28.652179999999998</v>
      </c>
      <c r="Q129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299" s="25">
        <f>Table1[[#This Row],[current_price]]*Table1[[#This Row],[stock_quantity]]</f>
        <v>531.44000000000005</v>
      </c>
    </row>
    <row r="1300" spans="1:18" x14ac:dyDescent="0.25">
      <c r="A1300" s="2" t="s">
        <v>1353</v>
      </c>
      <c r="B1300" s="2" t="s">
        <v>27</v>
      </c>
      <c r="C1300" s="2" t="s">
        <v>16</v>
      </c>
      <c r="D1300" s="2" t="s">
        <v>23</v>
      </c>
      <c r="E1300" s="2"/>
      <c r="F1300" s="2" t="s">
        <v>44</v>
      </c>
      <c r="G1300" s="8">
        <v>38.369999999999997</v>
      </c>
      <c r="H1300" s="11">
        <v>23.3</v>
      </c>
      <c r="I1300" s="8">
        <v>29.43</v>
      </c>
      <c r="J1300" s="3">
        <v>45875</v>
      </c>
      <c r="K1300" s="14">
        <v>22</v>
      </c>
      <c r="L1300" s="17">
        <v>1.4</v>
      </c>
      <c r="M1300" s="2" t="b">
        <v>0</v>
      </c>
      <c r="N1300" s="2"/>
      <c r="O1300" s="2" t="str">
        <f>IF(Table1[[#This Row],[is_returned]]=TRUE,IF(Table1[[#This Row],[return_reason]]="","Error","OK"),"OK")</f>
        <v>OK</v>
      </c>
      <c r="P1300" s="8">
        <f>Table1[[#This Row],[original_price]]*Table1[[#This Row],[markdown_percentage]]/100</f>
        <v>8.9402100000000004</v>
      </c>
      <c r="Q130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300" s="25">
        <f>Table1[[#This Row],[current_price]]*Table1[[#This Row],[stock_quantity]]</f>
        <v>647.46</v>
      </c>
    </row>
    <row r="1301" spans="1:18" x14ac:dyDescent="0.25">
      <c r="A1301" s="2" t="s">
        <v>1354</v>
      </c>
      <c r="B1301" s="2" t="s">
        <v>15</v>
      </c>
      <c r="C1301" s="2" t="s">
        <v>48</v>
      </c>
      <c r="D1301" s="2" t="s">
        <v>23</v>
      </c>
      <c r="E1301" s="2"/>
      <c r="F1301" s="2" t="s">
        <v>19</v>
      </c>
      <c r="G1301" s="8">
        <v>86.3</v>
      </c>
      <c r="H1301" s="11">
        <v>0</v>
      </c>
      <c r="I1301" s="8">
        <v>86.3</v>
      </c>
      <c r="J1301" s="3">
        <v>45875</v>
      </c>
      <c r="K1301" s="14">
        <v>33</v>
      </c>
      <c r="L1301" s="17">
        <v>3.9</v>
      </c>
      <c r="M1301" s="2" t="b">
        <v>0</v>
      </c>
      <c r="N1301" s="2"/>
      <c r="O1301" s="2" t="str">
        <f>IF(Table1[[#This Row],[is_returned]]=TRUE,IF(Table1[[#This Row],[return_reason]]="","Error","OK"),"OK")</f>
        <v>OK</v>
      </c>
      <c r="P1301" s="8">
        <f>Table1[[#This Row],[original_price]]*Table1[[#This Row],[markdown_percentage]]/100</f>
        <v>0</v>
      </c>
      <c r="Q130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301" s="25">
        <f>Table1[[#This Row],[current_price]]*Table1[[#This Row],[stock_quantity]]</f>
        <v>2847.9</v>
      </c>
    </row>
    <row r="1302" spans="1:18" x14ac:dyDescent="0.25">
      <c r="A1302" s="2" t="s">
        <v>1355</v>
      </c>
      <c r="B1302" s="2" t="s">
        <v>27</v>
      </c>
      <c r="C1302" s="2" t="s">
        <v>43</v>
      </c>
      <c r="D1302" s="2" t="s">
        <v>23</v>
      </c>
      <c r="E1302" s="2"/>
      <c r="F1302" s="2" t="s">
        <v>66</v>
      </c>
      <c r="G1302" s="8">
        <v>64.89</v>
      </c>
      <c r="H1302" s="11">
        <v>4.2</v>
      </c>
      <c r="I1302" s="8">
        <v>62.16</v>
      </c>
      <c r="J1302" s="3">
        <v>45875</v>
      </c>
      <c r="K1302" s="14">
        <v>40</v>
      </c>
      <c r="L1302" s="17">
        <v>1.4</v>
      </c>
      <c r="M1302" s="2" t="b">
        <v>0</v>
      </c>
      <c r="N1302" s="2"/>
      <c r="O1302" s="2" t="str">
        <f>IF(Table1[[#This Row],[is_returned]]=TRUE,IF(Table1[[#This Row],[return_reason]]="","Error","OK"),"OK")</f>
        <v>OK</v>
      </c>
      <c r="P1302" s="8">
        <f>Table1[[#This Row],[original_price]]*Table1[[#This Row],[markdown_percentage]]/100</f>
        <v>2.7253799999999999</v>
      </c>
      <c r="Q130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302" s="25">
        <f>Table1[[#This Row],[current_price]]*Table1[[#This Row],[stock_quantity]]</f>
        <v>2486.3999999999996</v>
      </c>
    </row>
    <row r="1303" spans="1:18" x14ac:dyDescent="0.25">
      <c r="A1303" s="2" t="s">
        <v>1356</v>
      </c>
      <c r="B1303" s="2" t="s">
        <v>27</v>
      </c>
      <c r="C1303" s="2" t="s">
        <v>43</v>
      </c>
      <c r="D1303" s="2" t="s">
        <v>34</v>
      </c>
      <c r="E1303" s="2"/>
      <c r="F1303" s="2" t="s">
        <v>64</v>
      </c>
      <c r="G1303" s="8">
        <v>53.64</v>
      </c>
      <c r="H1303" s="11">
        <v>0</v>
      </c>
      <c r="I1303" s="8">
        <v>53.64</v>
      </c>
      <c r="J1303" s="3">
        <v>45875</v>
      </c>
      <c r="K1303" s="14">
        <v>18</v>
      </c>
      <c r="L1303" s="17">
        <v>2.2999999999999998</v>
      </c>
      <c r="M1303" s="2" t="b">
        <v>0</v>
      </c>
      <c r="N1303" s="2"/>
      <c r="O1303" s="2" t="str">
        <f>IF(Table1[[#This Row],[is_returned]]=TRUE,IF(Table1[[#This Row],[return_reason]]="","Error","OK"),"OK")</f>
        <v>OK</v>
      </c>
      <c r="P1303" s="8">
        <f>Table1[[#This Row],[original_price]]*Table1[[#This Row],[markdown_percentage]]/100</f>
        <v>0</v>
      </c>
      <c r="Q130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303" s="25">
        <f>Table1[[#This Row],[current_price]]*Table1[[#This Row],[stock_quantity]]</f>
        <v>965.52</v>
      </c>
    </row>
    <row r="1304" spans="1:18" x14ac:dyDescent="0.25">
      <c r="A1304" s="2" t="s">
        <v>1357</v>
      </c>
      <c r="B1304" s="2" t="s">
        <v>42</v>
      </c>
      <c r="C1304" s="2" t="s">
        <v>43</v>
      </c>
      <c r="D1304" s="2" t="s">
        <v>62</v>
      </c>
      <c r="E1304" s="2" t="s">
        <v>49</v>
      </c>
      <c r="F1304" s="2" t="s">
        <v>25</v>
      </c>
      <c r="G1304" s="8">
        <v>113.81</v>
      </c>
      <c r="H1304" s="11">
        <v>9.1999999999999993</v>
      </c>
      <c r="I1304" s="8">
        <v>103.34</v>
      </c>
      <c r="J1304" s="3">
        <v>45875</v>
      </c>
      <c r="K1304" s="14">
        <v>11</v>
      </c>
      <c r="L1304" s="17">
        <v>2.4</v>
      </c>
      <c r="M1304" s="2" t="b">
        <v>0</v>
      </c>
      <c r="N1304" s="2"/>
      <c r="O1304" s="2" t="str">
        <f>IF(Table1[[#This Row],[is_returned]]=TRUE,IF(Table1[[#This Row],[return_reason]]="","Error","OK"),"OK")</f>
        <v>OK</v>
      </c>
      <c r="P1304" s="8">
        <f>Table1[[#This Row],[original_price]]*Table1[[#This Row],[markdown_percentage]]/100</f>
        <v>10.470519999999999</v>
      </c>
      <c r="Q130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304" s="25">
        <f>Table1[[#This Row],[current_price]]*Table1[[#This Row],[stock_quantity]]</f>
        <v>1136.74</v>
      </c>
    </row>
    <row r="1305" spans="1:18" x14ac:dyDescent="0.25">
      <c r="A1305" s="2" t="s">
        <v>1358</v>
      </c>
      <c r="B1305" s="2" t="s">
        <v>21</v>
      </c>
      <c r="C1305" s="2" t="s">
        <v>53</v>
      </c>
      <c r="D1305" s="2" t="s">
        <v>62</v>
      </c>
      <c r="E1305" s="2" t="s">
        <v>49</v>
      </c>
      <c r="F1305" s="2" t="s">
        <v>56</v>
      </c>
      <c r="G1305" s="8">
        <v>40.119999999999997</v>
      </c>
      <c r="H1305" s="11">
        <v>27.7</v>
      </c>
      <c r="I1305" s="8">
        <v>29.01</v>
      </c>
      <c r="J1305" s="3">
        <v>45875</v>
      </c>
      <c r="K1305" s="14">
        <v>29</v>
      </c>
      <c r="L1305" s="17">
        <v>1.7</v>
      </c>
      <c r="M1305" s="2" t="b">
        <v>1</v>
      </c>
      <c r="N1305" s="2" t="s">
        <v>73</v>
      </c>
      <c r="O1305" s="2" t="str">
        <f>IF(Table1[[#This Row],[is_returned]]=TRUE,IF(Table1[[#This Row],[return_reason]]="","Error","OK"),"OK")</f>
        <v>OK</v>
      </c>
      <c r="P1305" s="8">
        <f>Table1[[#This Row],[original_price]]*Table1[[#This Row],[markdown_percentage]]/100</f>
        <v>11.113239999999998</v>
      </c>
      <c r="Q130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305" s="25">
        <f>Table1[[#This Row],[current_price]]*Table1[[#This Row],[stock_quantity]]</f>
        <v>841.29000000000008</v>
      </c>
    </row>
    <row r="1306" spans="1:18" x14ac:dyDescent="0.25">
      <c r="A1306" s="2" t="s">
        <v>1359</v>
      </c>
      <c r="B1306" s="2" t="s">
        <v>21</v>
      </c>
      <c r="C1306" s="2" t="s">
        <v>61</v>
      </c>
      <c r="D1306" s="2" t="s">
        <v>23</v>
      </c>
      <c r="E1306" s="2" t="s">
        <v>58</v>
      </c>
      <c r="F1306" s="2" t="s">
        <v>28</v>
      </c>
      <c r="G1306" s="8">
        <v>49.64</v>
      </c>
      <c r="H1306" s="11">
        <v>30.9</v>
      </c>
      <c r="I1306" s="8">
        <v>34.299999999999997</v>
      </c>
      <c r="J1306" s="3">
        <v>45875</v>
      </c>
      <c r="K1306" s="14">
        <v>21</v>
      </c>
      <c r="L1306" s="17">
        <v>2</v>
      </c>
      <c r="M1306" s="2" t="b">
        <v>0</v>
      </c>
      <c r="N1306" s="2"/>
      <c r="O1306" s="2" t="str">
        <f>IF(Table1[[#This Row],[is_returned]]=TRUE,IF(Table1[[#This Row],[return_reason]]="","Error","OK"),"OK")</f>
        <v>OK</v>
      </c>
      <c r="P1306" s="8">
        <f>Table1[[#This Row],[original_price]]*Table1[[#This Row],[markdown_percentage]]/100</f>
        <v>15.338760000000001</v>
      </c>
      <c r="Q130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306" s="25">
        <f>Table1[[#This Row],[current_price]]*Table1[[#This Row],[stock_quantity]]</f>
        <v>720.3</v>
      </c>
    </row>
    <row r="1307" spans="1:18" x14ac:dyDescent="0.25">
      <c r="A1307" s="2" t="s">
        <v>1360</v>
      </c>
      <c r="B1307" s="2" t="s">
        <v>38</v>
      </c>
      <c r="C1307" s="2" t="s">
        <v>75</v>
      </c>
      <c r="D1307" s="2" t="s">
        <v>62</v>
      </c>
      <c r="E1307" s="2" t="s">
        <v>24</v>
      </c>
      <c r="F1307" s="2" t="s">
        <v>70</v>
      </c>
      <c r="G1307" s="8">
        <v>117.64</v>
      </c>
      <c r="H1307" s="11">
        <v>54.2</v>
      </c>
      <c r="I1307" s="8">
        <v>53.88</v>
      </c>
      <c r="J1307" s="3">
        <v>45875</v>
      </c>
      <c r="K1307" s="14">
        <v>25</v>
      </c>
      <c r="L1307" s="17">
        <v>4.5999999999999996</v>
      </c>
      <c r="M1307" s="2" t="b">
        <v>1</v>
      </c>
      <c r="N1307" s="2" t="s">
        <v>125</v>
      </c>
      <c r="O1307" s="2" t="str">
        <f>IF(Table1[[#This Row],[is_returned]]=TRUE,IF(Table1[[#This Row],[return_reason]]="","Error","OK"),"OK")</f>
        <v>OK</v>
      </c>
      <c r="P1307" s="8">
        <f>Table1[[#This Row],[original_price]]*Table1[[#This Row],[markdown_percentage]]/100</f>
        <v>63.760880000000007</v>
      </c>
      <c r="Q130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307" s="25">
        <f>Table1[[#This Row],[current_price]]*Table1[[#This Row],[stock_quantity]]</f>
        <v>1347</v>
      </c>
    </row>
    <row r="1308" spans="1:18" x14ac:dyDescent="0.25">
      <c r="A1308" s="2" t="s">
        <v>1361</v>
      </c>
      <c r="B1308" s="2" t="s">
        <v>27</v>
      </c>
      <c r="C1308" s="2" t="s">
        <v>43</v>
      </c>
      <c r="D1308" s="2" t="s">
        <v>62</v>
      </c>
      <c r="E1308" s="2"/>
      <c r="F1308" s="2" t="s">
        <v>19</v>
      </c>
      <c r="G1308" s="8">
        <v>69.78</v>
      </c>
      <c r="H1308" s="11">
        <v>3.7</v>
      </c>
      <c r="I1308" s="8">
        <v>67.2</v>
      </c>
      <c r="J1308" s="3">
        <v>45875</v>
      </c>
      <c r="K1308" s="14">
        <v>14</v>
      </c>
      <c r="L1308" s="17">
        <v>3.2</v>
      </c>
      <c r="M1308" s="2" t="b">
        <v>0</v>
      </c>
      <c r="N1308" s="2"/>
      <c r="O1308" s="2" t="str">
        <f>IF(Table1[[#This Row],[is_returned]]=TRUE,IF(Table1[[#This Row],[return_reason]]="","Error","OK"),"OK")</f>
        <v>OK</v>
      </c>
      <c r="P1308" s="8">
        <f>Table1[[#This Row],[original_price]]*Table1[[#This Row],[markdown_percentage]]/100</f>
        <v>2.5818600000000003</v>
      </c>
      <c r="Q130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308" s="25">
        <f>Table1[[#This Row],[current_price]]*Table1[[#This Row],[stock_quantity]]</f>
        <v>940.80000000000007</v>
      </c>
    </row>
    <row r="1309" spans="1:18" x14ac:dyDescent="0.25">
      <c r="A1309" s="2" t="s">
        <v>1362</v>
      </c>
      <c r="B1309" s="2" t="s">
        <v>27</v>
      </c>
      <c r="C1309" s="2" t="s">
        <v>75</v>
      </c>
      <c r="D1309" s="2" t="s">
        <v>17</v>
      </c>
      <c r="E1309" s="2"/>
      <c r="F1309" s="2" t="s">
        <v>35</v>
      </c>
      <c r="G1309" s="8">
        <v>29.91</v>
      </c>
      <c r="H1309" s="11">
        <v>18.399999999999999</v>
      </c>
      <c r="I1309" s="8">
        <v>24.41</v>
      </c>
      <c r="J1309" s="3">
        <v>45719</v>
      </c>
      <c r="K1309" s="14">
        <v>10</v>
      </c>
      <c r="L1309" s="17">
        <v>4.9000000000000004</v>
      </c>
      <c r="M1309" s="2" t="b">
        <v>0</v>
      </c>
      <c r="N1309" s="2"/>
      <c r="O1309" s="2" t="str">
        <f>IF(Table1[[#This Row],[is_returned]]=TRUE,IF(Table1[[#This Row],[return_reason]]="","Error","OK"),"OK")</f>
        <v>OK</v>
      </c>
      <c r="P1309" s="8">
        <f>Table1[[#This Row],[original_price]]*Table1[[#This Row],[markdown_percentage]]/100</f>
        <v>5.5034399999999994</v>
      </c>
      <c r="Q130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309" s="25">
        <f>Table1[[#This Row],[current_price]]*Table1[[#This Row],[stock_quantity]]</f>
        <v>244.1</v>
      </c>
    </row>
    <row r="1310" spans="1:18" x14ac:dyDescent="0.25">
      <c r="A1310" s="2" t="s">
        <v>1363</v>
      </c>
      <c r="B1310" s="2" t="s">
        <v>30</v>
      </c>
      <c r="C1310" s="2" t="s">
        <v>48</v>
      </c>
      <c r="D1310" s="2" t="s">
        <v>34</v>
      </c>
      <c r="E1310" s="2" t="s">
        <v>18</v>
      </c>
      <c r="F1310" s="2" t="s">
        <v>28</v>
      </c>
      <c r="G1310" s="8">
        <v>187.11</v>
      </c>
      <c r="H1310" s="11">
        <v>43.3</v>
      </c>
      <c r="I1310" s="8">
        <v>106.09</v>
      </c>
      <c r="J1310" s="3">
        <v>45875</v>
      </c>
      <c r="K1310" s="14">
        <v>26</v>
      </c>
      <c r="L1310" s="17">
        <v>3</v>
      </c>
      <c r="M1310" s="2" t="b">
        <v>0</v>
      </c>
      <c r="N1310" s="2"/>
      <c r="O1310" s="2" t="str">
        <f>IF(Table1[[#This Row],[is_returned]]=TRUE,IF(Table1[[#This Row],[return_reason]]="","Error","OK"),"OK")</f>
        <v>OK</v>
      </c>
      <c r="P1310" s="8">
        <f>Table1[[#This Row],[original_price]]*Table1[[#This Row],[markdown_percentage]]/100</f>
        <v>81.018630000000002</v>
      </c>
      <c r="Q131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310" s="25">
        <f>Table1[[#This Row],[current_price]]*Table1[[#This Row],[stock_quantity]]</f>
        <v>2758.34</v>
      </c>
    </row>
    <row r="1311" spans="1:18" x14ac:dyDescent="0.25">
      <c r="A1311" s="2" t="s">
        <v>1364</v>
      </c>
      <c r="B1311" s="2" t="s">
        <v>27</v>
      </c>
      <c r="C1311" s="2" t="s">
        <v>53</v>
      </c>
      <c r="D1311" s="2" t="s">
        <v>62</v>
      </c>
      <c r="E1311" s="2"/>
      <c r="F1311" s="2" t="s">
        <v>56</v>
      </c>
      <c r="G1311" s="8">
        <v>40.04</v>
      </c>
      <c r="H1311" s="11">
        <v>15.8</v>
      </c>
      <c r="I1311" s="8">
        <v>33.71</v>
      </c>
      <c r="J1311" s="3">
        <v>45875</v>
      </c>
      <c r="K1311" s="14">
        <v>31</v>
      </c>
      <c r="L1311" s="17">
        <v>1.8</v>
      </c>
      <c r="M1311" s="2" t="b">
        <v>0</v>
      </c>
      <c r="N1311" s="2"/>
      <c r="O1311" s="2" t="str">
        <f>IF(Table1[[#This Row],[is_returned]]=TRUE,IF(Table1[[#This Row],[return_reason]]="","Error","OK"),"OK")</f>
        <v>OK</v>
      </c>
      <c r="P1311" s="8">
        <f>Table1[[#This Row],[original_price]]*Table1[[#This Row],[markdown_percentage]]/100</f>
        <v>6.3263200000000008</v>
      </c>
      <c r="Q131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311" s="25">
        <f>Table1[[#This Row],[current_price]]*Table1[[#This Row],[stock_quantity]]</f>
        <v>1045.01</v>
      </c>
    </row>
    <row r="1312" spans="1:18" x14ac:dyDescent="0.25">
      <c r="A1312" s="2" t="s">
        <v>1365</v>
      </c>
      <c r="B1312" s="2" t="s">
        <v>42</v>
      </c>
      <c r="C1312" s="2" t="s">
        <v>43</v>
      </c>
      <c r="D1312" s="2" t="s">
        <v>17</v>
      </c>
      <c r="E1312" s="2" t="s">
        <v>55</v>
      </c>
      <c r="F1312" s="2" t="s">
        <v>56</v>
      </c>
      <c r="G1312" s="8">
        <v>113.44</v>
      </c>
      <c r="H1312" s="11">
        <v>23.4</v>
      </c>
      <c r="I1312" s="8">
        <v>86.9</v>
      </c>
      <c r="J1312" s="3">
        <v>45723</v>
      </c>
      <c r="K1312" s="14">
        <v>1</v>
      </c>
      <c r="L1312" s="17"/>
      <c r="M1312" s="2" t="b">
        <v>0</v>
      </c>
      <c r="N1312" s="2"/>
      <c r="O1312" s="2" t="str">
        <f>IF(Table1[[#This Row],[is_returned]]=TRUE,IF(Table1[[#This Row],[return_reason]]="","Error","OK"),"OK")</f>
        <v>OK</v>
      </c>
      <c r="P1312" s="8">
        <f>Table1[[#This Row],[original_price]]*Table1[[#This Row],[markdown_percentage]]/100</f>
        <v>26.544959999999996</v>
      </c>
      <c r="Q131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312" s="25">
        <f>Table1[[#This Row],[current_price]]*Table1[[#This Row],[stock_quantity]]</f>
        <v>86.9</v>
      </c>
    </row>
    <row r="1313" spans="1:18" x14ac:dyDescent="0.25">
      <c r="A1313" s="2" t="s">
        <v>1366</v>
      </c>
      <c r="B1313" s="2" t="s">
        <v>38</v>
      </c>
      <c r="C1313" s="2" t="s">
        <v>16</v>
      </c>
      <c r="D1313" s="2" t="s">
        <v>17</v>
      </c>
      <c r="E1313" s="2" t="s">
        <v>39</v>
      </c>
      <c r="F1313" s="2" t="s">
        <v>40</v>
      </c>
      <c r="G1313" s="8">
        <v>119.84</v>
      </c>
      <c r="H1313" s="11">
        <v>0</v>
      </c>
      <c r="I1313" s="8">
        <v>119.84</v>
      </c>
      <c r="J1313" s="3">
        <v>45562</v>
      </c>
      <c r="K1313" s="14">
        <v>47</v>
      </c>
      <c r="L1313" s="17">
        <v>1.4</v>
      </c>
      <c r="M1313" s="2" t="b">
        <v>0</v>
      </c>
      <c r="N1313" s="2"/>
      <c r="O1313" s="2" t="str">
        <f>IF(Table1[[#This Row],[is_returned]]=TRUE,IF(Table1[[#This Row],[return_reason]]="","Error","OK"),"OK")</f>
        <v>OK</v>
      </c>
      <c r="P1313" s="8">
        <f>Table1[[#This Row],[original_price]]*Table1[[#This Row],[markdown_percentage]]/100</f>
        <v>0</v>
      </c>
      <c r="Q131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313" s="25">
        <f>Table1[[#This Row],[current_price]]*Table1[[#This Row],[stock_quantity]]</f>
        <v>5632.4800000000005</v>
      </c>
    </row>
    <row r="1314" spans="1:18" x14ac:dyDescent="0.25">
      <c r="A1314" s="2" t="s">
        <v>1367</v>
      </c>
      <c r="B1314" s="2" t="s">
        <v>30</v>
      </c>
      <c r="C1314" s="2" t="s">
        <v>22</v>
      </c>
      <c r="D1314" s="2" t="s">
        <v>34</v>
      </c>
      <c r="E1314" s="2" t="s">
        <v>49</v>
      </c>
      <c r="F1314" s="2" t="s">
        <v>70</v>
      </c>
      <c r="G1314" s="8">
        <v>167.27</v>
      </c>
      <c r="H1314" s="11">
        <v>0</v>
      </c>
      <c r="I1314" s="8">
        <v>167.27</v>
      </c>
      <c r="J1314" s="3">
        <v>45875</v>
      </c>
      <c r="K1314" s="14">
        <v>9</v>
      </c>
      <c r="L1314" s="17">
        <v>4</v>
      </c>
      <c r="M1314" s="2" t="b">
        <v>0</v>
      </c>
      <c r="N1314" s="2"/>
      <c r="O1314" s="2" t="str">
        <f>IF(Table1[[#This Row],[is_returned]]=TRUE,IF(Table1[[#This Row],[return_reason]]="","Error","OK"),"OK")</f>
        <v>OK</v>
      </c>
      <c r="P1314" s="8">
        <f>Table1[[#This Row],[original_price]]*Table1[[#This Row],[markdown_percentage]]/100</f>
        <v>0</v>
      </c>
      <c r="Q131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314" s="25">
        <f>Table1[[#This Row],[current_price]]*Table1[[#This Row],[stock_quantity]]</f>
        <v>1505.43</v>
      </c>
    </row>
    <row r="1315" spans="1:18" x14ac:dyDescent="0.25">
      <c r="A1315" s="2" t="s">
        <v>1368</v>
      </c>
      <c r="B1315" s="2" t="s">
        <v>42</v>
      </c>
      <c r="C1315" s="2" t="s">
        <v>32</v>
      </c>
      <c r="D1315" s="2" t="s">
        <v>17</v>
      </c>
      <c r="E1315" s="2" t="s">
        <v>18</v>
      </c>
      <c r="F1315" s="2" t="s">
        <v>44</v>
      </c>
      <c r="G1315" s="8">
        <v>148</v>
      </c>
      <c r="H1315" s="11">
        <v>1.1000000000000001</v>
      </c>
      <c r="I1315" s="8">
        <v>146.37</v>
      </c>
      <c r="J1315" s="3">
        <v>45711</v>
      </c>
      <c r="K1315" s="14">
        <v>43</v>
      </c>
      <c r="L1315" s="17">
        <v>2</v>
      </c>
      <c r="M1315" s="2" t="b">
        <v>0</v>
      </c>
      <c r="N1315" s="2"/>
      <c r="O1315" s="2" t="str">
        <f>IF(Table1[[#This Row],[is_returned]]=TRUE,IF(Table1[[#This Row],[return_reason]]="","Error","OK"),"OK")</f>
        <v>OK</v>
      </c>
      <c r="P1315" s="8">
        <f>Table1[[#This Row],[original_price]]*Table1[[#This Row],[markdown_percentage]]/100</f>
        <v>1.6280000000000001</v>
      </c>
      <c r="Q131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315" s="25">
        <f>Table1[[#This Row],[current_price]]*Table1[[#This Row],[stock_quantity]]</f>
        <v>6293.91</v>
      </c>
    </row>
    <row r="1316" spans="1:18" x14ac:dyDescent="0.25">
      <c r="A1316" s="2" t="s">
        <v>1369</v>
      </c>
      <c r="B1316" s="2" t="s">
        <v>38</v>
      </c>
      <c r="C1316" s="2" t="s">
        <v>48</v>
      </c>
      <c r="D1316" s="2" t="s">
        <v>23</v>
      </c>
      <c r="E1316" s="2" t="s">
        <v>49</v>
      </c>
      <c r="F1316" s="2" t="s">
        <v>19</v>
      </c>
      <c r="G1316" s="8">
        <v>65.34</v>
      </c>
      <c r="H1316" s="11">
        <v>49.8</v>
      </c>
      <c r="I1316" s="8">
        <v>32.799999999999997</v>
      </c>
      <c r="J1316" s="3">
        <v>45875</v>
      </c>
      <c r="K1316" s="14">
        <v>9</v>
      </c>
      <c r="L1316" s="17"/>
      <c r="M1316" s="2" t="b">
        <v>0</v>
      </c>
      <c r="N1316" s="2"/>
      <c r="O1316" s="2" t="str">
        <f>IF(Table1[[#This Row],[is_returned]]=TRUE,IF(Table1[[#This Row],[return_reason]]="","Error","OK"),"OK")</f>
        <v>OK</v>
      </c>
      <c r="P1316" s="8">
        <f>Table1[[#This Row],[original_price]]*Table1[[#This Row],[markdown_percentage]]/100</f>
        <v>32.539319999999996</v>
      </c>
      <c r="Q131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316" s="25">
        <f>Table1[[#This Row],[current_price]]*Table1[[#This Row],[stock_quantity]]</f>
        <v>295.2</v>
      </c>
    </row>
    <row r="1317" spans="1:18" x14ac:dyDescent="0.25">
      <c r="A1317" s="2" t="s">
        <v>1370</v>
      </c>
      <c r="B1317" s="2" t="s">
        <v>30</v>
      </c>
      <c r="C1317" s="2" t="s">
        <v>32</v>
      </c>
      <c r="D1317" s="2" t="s">
        <v>17</v>
      </c>
      <c r="E1317" s="2" t="s">
        <v>58</v>
      </c>
      <c r="F1317" s="2" t="s">
        <v>46</v>
      </c>
      <c r="G1317" s="8">
        <v>84.57</v>
      </c>
      <c r="H1317" s="11">
        <v>5.4</v>
      </c>
      <c r="I1317" s="8">
        <v>80</v>
      </c>
      <c r="J1317" s="3">
        <v>45855</v>
      </c>
      <c r="K1317" s="14">
        <v>33</v>
      </c>
      <c r="L1317" s="17"/>
      <c r="M1317" s="2" t="b">
        <v>0</v>
      </c>
      <c r="N1317" s="2"/>
      <c r="O1317" s="2" t="str">
        <f>IF(Table1[[#This Row],[is_returned]]=TRUE,IF(Table1[[#This Row],[return_reason]]="","Error","OK"),"OK")</f>
        <v>OK</v>
      </c>
      <c r="P1317" s="8">
        <f>Table1[[#This Row],[original_price]]*Table1[[#This Row],[markdown_percentage]]/100</f>
        <v>4.5667799999999996</v>
      </c>
      <c r="Q131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317" s="25">
        <f>Table1[[#This Row],[current_price]]*Table1[[#This Row],[stock_quantity]]</f>
        <v>2640</v>
      </c>
    </row>
    <row r="1318" spans="1:18" x14ac:dyDescent="0.25">
      <c r="A1318" s="2" t="s">
        <v>1371</v>
      </c>
      <c r="B1318" s="2" t="s">
        <v>38</v>
      </c>
      <c r="C1318" s="2" t="s">
        <v>61</v>
      </c>
      <c r="D1318" s="2" t="s">
        <v>62</v>
      </c>
      <c r="E1318" s="2" t="s">
        <v>55</v>
      </c>
      <c r="F1318" s="2" t="s">
        <v>40</v>
      </c>
      <c r="G1318" s="8">
        <v>52.6</v>
      </c>
      <c r="H1318" s="11">
        <v>0</v>
      </c>
      <c r="I1318" s="8">
        <v>52.6</v>
      </c>
      <c r="J1318" s="3">
        <v>45875</v>
      </c>
      <c r="K1318" s="14">
        <v>35</v>
      </c>
      <c r="L1318" s="17">
        <v>1.2</v>
      </c>
      <c r="M1318" s="2" t="b">
        <v>1</v>
      </c>
      <c r="N1318" s="2" t="s">
        <v>36</v>
      </c>
      <c r="O1318" s="2" t="str">
        <f>IF(Table1[[#This Row],[is_returned]]=TRUE,IF(Table1[[#This Row],[return_reason]]="","Error","OK"),"OK")</f>
        <v>OK</v>
      </c>
      <c r="P1318" s="8">
        <f>Table1[[#This Row],[original_price]]*Table1[[#This Row],[markdown_percentage]]/100</f>
        <v>0</v>
      </c>
      <c r="Q131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318" s="25">
        <f>Table1[[#This Row],[current_price]]*Table1[[#This Row],[stock_quantity]]</f>
        <v>1841</v>
      </c>
    </row>
    <row r="1319" spans="1:18" x14ac:dyDescent="0.25">
      <c r="A1319" s="2" t="s">
        <v>1372</v>
      </c>
      <c r="B1319" s="2" t="s">
        <v>30</v>
      </c>
      <c r="C1319" s="2" t="s">
        <v>22</v>
      </c>
      <c r="D1319" s="2" t="s">
        <v>62</v>
      </c>
      <c r="E1319" s="2" t="s">
        <v>24</v>
      </c>
      <c r="F1319" s="2" t="s">
        <v>46</v>
      </c>
      <c r="G1319" s="8">
        <v>106.37</v>
      </c>
      <c r="H1319" s="11">
        <v>0</v>
      </c>
      <c r="I1319" s="8">
        <v>106.37</v>
      </c>
      <c r="J1319" s="3">
        <v>45875</v>
      </c>
      <c r="K1319" s="14">
        <v>30</v>
      </c>
      <c r="L1319" s="17">
        <v>1.1000000000000001</v>
      </c>
      <c r="M1319" s="2" t="b">
        <v>0</v>
      </c>
      <c r="N1319" s="2"/>
      <c r="O1319" s="2" t="str">
        <f>IF(Table1[[#This Row],[is_returned]]=TRUE,IF(Table1[[#This Row],[return_reason]]="","Error","OK"),"OK")</f>
        <v>OK</v>
      </c>
      <c r="P1319" s="8">
        <f>Table1[[#This Row],[original_price]]*Table1[[#This Row],[markdown_percentage]]/100</f>
        <v>0</v>
      </c>
      <c r="Q131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319" s="25">
        <f>Table1[[#This Row],[current_price]]*Table1[[#This Row],[stock_quantity]]</f>
        <v>3191.1000000000004</v>
      </c>
    </row>
    <row r="1320" spans="1:18" x14ac:dyDescent="0.25">
      <c r="A1320" s="2" t="s">
        <v>1373</v>
      </c>
      <c r="B1320" s="2" t="s">
        <v>21</v>
      </c>
      <c r="C1320" s="2" t="s">
        <v>61</v>
      </c>
      <c r="D1320" s="2" t="s">
        <v>62</v>
      </c>
      <c r="E1320" s="2" t="s">
        <v>49</v>
      </c>
      <c r="F1320" s="2" t="s">
        <v>28</v>
      </c>
      <c r="G1320" s="8">
        <v>96.77</v>
      </c>
      <c r="H1320" s="11">
        <v>40.4</v>
      </c>
      <c r="I1320" s="8">
        <v>57.67</v>
      </c>
      <c r="J1320" s="3">
        <v>45875</v>
      </c>
      <c r="K1320" s="14">
        <v>31</v>
      </c>
      <c r="L1320" s="17">
        <v>4.5</v>
      </c>
      <c r="M1320" s="2" t="b">
        <v>0</v>
      </c>
      <c r="N1320" s="2"/>
      <c r="O1320" s="2" t="str">
        <f>IF(Table1[[#This Row],[is_returned]]=TRUE,IF(Table1[[#This Row],[return_reason]]="","Error","OK"),"OK")</f>
        <v>OK</v>
      </c>
      <c r="P1320" s="8">
        <f>Table1[[#This Row],[original_price]]*Table1[[#This Row],[markdown_percentage]]/100</f>
        <v>39.095079999999996</v>
      </c>
      <c r="Q132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320" s="25">
        <f>Table1[[#This Row],[current_price]]*Table1[[#This Row],[stock_quantity]]</f>
        <v>1787.77</v>
      </c>
    </row>
    <row r="1321" spans="1:18" x14ac:dyDescent="0.25">
      <c r="A1321" s="2" t="s">
        <v>1374</v>
      </c>
      <c r="B1321" s="2" t="s">
        <v>15</v>
      </c>
      <c r="C1321" s="2" t="s">
        <v>32</v>
      </c>
      <c r="D1321" s="2" t="s">
        <v>17</v>
      </c>
      <c r="E1321" s="2" t="s">
        <v>24</v>
      </c>
      <c r="F1321" s="2" t="s">
        <v>70</v>
      </c>
      <c r="G1321" s="8">
        <v>99.02</v>
      </c>
      <c r="H1321" s="11">
        <v>0</v>
      </c>
      <c r="I1321" s="8">
        <v>99.02</v>
      </c>
      <c r="J1321" s="3">
        <v>45581</v>
      </c>
      <c r="K1321" s="14">
        <v>21</v>
      </c>
      <c r="L1321" s="17">
        <v>1.2</v>
      </c>
      <c r="M1321" s="2" t="b">
        <v>0</v>
      </c>
      <c r="N1321" s="2"/>
      <c r="O1321" s="2" t="str">
        <f>IF(Table1[[#This Row],[is_returned]]=TRUE,IF(Table1[[#This Row],[return_reason]]="","Error","OK"),"OK")</f>
        <v>OK</v>
      </c>
      <c r="P1321" s="8">
        <f>Table1[[#This Row],[original_price]]*Table1[[#This Row],[markdown_percentage]]/100</f>
        <v>0</v>
      </c>
      <c r="Q132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321" s="25">
        <f>Table1[[#This Row],[current_price]]*Table1[[#This Row],[stock_quantity]]</f>
        <v>2079.42</v>
      </c>
    </row>
    <row r="1322" spans="1:18" x14ac:dyDescent="0.25">
      <c r="A1322" s="2" t="s">
        <v>1375</v>
      </c>
      <c r="B1322" s="2" t="s">
        <v>27</v>
      </c>
      <c r="C1322" s="2" t="s">
        <v>16</v>
      </c>
      <c r="D1322" s="2" t="s">
        <v>17</v>
      </c>
      <c r="E1322" s="2"/>
      <c r="F1322" s="2" t="s">
        <v>66</v>
      </c>
      <c r="G1322" s="8">
        <v>68.89</v>
      </c>
      <c r="H1322" s="11">
        <v>36.9</v>
      </c>
      <c r="I1322" s="8">
        <v>43.47</v>
      </c>
      <c r="J1322" s="3">
        <v>45631</v>
      </c>
      <c r="K1322" s="14">
        <v>9</v>
      </c>
      <c r="L1322" s="17">
        <v>1.8</v>
      </c>
      <c r="M1322" s="2" t="b">
        <v>0</v>
      </c>
      <c r="N1322" s="2"/>
      <c r="O1322" s="2" t="str">
        <f>IF(Table1[[#This Row],[is_returned]]=TRUE,IF(Table1[[#This Row],[return_reason]]="","Error","OK"),"OK")</f>
        <v>OK</v>
      </c>
      <c r="P1322" s="8">
        <f>Table1[[#This Row],[original_price]]*Table1[[#This Row],[markdown_percentage]]/100</f>
        <v>25.420409999999997</v>
      </c>
      <c r="Q132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322" s="25">
        <f>Table1[[#This Row],[current_price]]*Table1[[#This Row],[stock_quantity]]</f>
        <v>391.23</v>
      </c>
    </row>
    <row r="1323" spans="1:18" x14ac:dyDescent="0.25">
      <c r="A1323" s="2" t="s">
        <v>1376</v>
      </c>
      <c r="B1323" s="2" t="s">
        <v>42</v>
      </c>
      <c r="C1323" s="2" t="s">
        <v>48</v>
      </c>
      <c r="D1323" s="2" t="s">
        <v>17</v>
      </c>
      <c r="E1323" s="2" t="s">
        <v>39</v>
      </c>
      <c r="F1323" s="2" t="s">
        <v>25</v>
      </c>
      <c r="G1323" s="8">
        <v>63.91</v>
      </c>
      <c r="H1323" s="11">
        <v>3.5</v>
      </c>
      <c r="I1323" s="8">
        <v>61.67</v>
      </c>
      <c r="J1323" s="3">
        <v>45796</v>
      </c>
      <c r="K1323" s="14">
        <v>14</v>
      </c>
      <c r="L1323" s="17">
        <v>2.1</v>
      </c>
      <c r="M1323" s="2" t="b">
        <v>0</v>
      </c>
      <c r="N1323" s="2"/>
      <c r="O1323" s="2" t="str">
        <f>IF(Table1[[#This Row],[is_returned]]=TRUE,IF(Table1[[#This Row],[return_reason]]="","Error","OK"),"OK")</f>
        <v>OK</v>
      </c>
      <c r="P1323" s="8">
        <f>Table1[[#This Row],[original_price]]*Table1[[#This Row],[markdown_percentage]]/100</f>
        <v>2.23685</v>
      </c>
      <c r="Q132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323" s="25">
        <f>Table1[[#This Row],[current_price]]*Table1[[#This Row],[stock_quantity]]</f>
        <v>863.38</v>
      </c>
    </row>
    <row r="1324" spans="1:18" x14ac:dyDescent="0.25">
      <c r="A1324" s="2" t="s">
        <v>1377</v>
      </c>
      <c r="B1324" s="2" t="s">
        <v>30</v>
      </c>
      <c r="C1324" s="2" t="s">
        <v>43</v>
      </c>
      <c r="D1324" s="2" t="s">
        <v>34</v>
      </c>
      <c r="E1324" s="2" t="s">
        <v>39</v>
      </c>
      <c r="F1324" s="2" t="s">
        <v>64</v>
      </c>
      <c r="G1324" s="8">
        <v>116.38</v>
      </c>
      <c r="H1324" s="11">
        <v>11.4</v>
      </c>
      <c r="I1324" s="8">
        <v>103.11</v>
      </c>
      <c r="J1324" s="3">
        <v>45875</v>
      </c>
      <c r="K1324" s="14">
        <v>15</v>
      </c>
      <c r="L1324" s="17"/>
      <c r="M1324" s="2" t="b">
        <v>0</v>
      </c>
      <c r="N1324" s="2"/>
      <c r="O1324" s="2" t="str">
        <f>IF(Table1[[#This Row],[is_returned]]=TRUE,IF(Table1[[#This Row],[return_reason]]="","Error","OK"),"OK")</f>
        <v>OK</v>
      </c>
      <c r="P1324" s="8">
        <f>Table1[[#This Row],[original_price]]*Table1[[#This Row],[markdown_percentage]]/100</f>
        <v>13.26732</v>
      </c>
      <c r="Q132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324" s="25">
        <f>Table1[[#This Row],[current_price]]*Table1[[#This Row],[stock_quantity]]</f>
        <v>1546.65</v>
      </c>
    </row>
    <row r="1325" spans="1:18" x14ac:dyDescent="0.25">
      <c r="A1325" s="2" t="s">
        <v>1378</v>
      </c>
      <c r="B1325" s="2" t="s">
        <v>38</v>
      </c>
      <c r="C1325" s="2" t="s">
        <v>22</v>
      </c>
      <c r="D1325" s="2" t="s">
        <v>34</v>
      </c>
      <c r="E1325" s="2" t="s">
        <v>55</v>
      </c>
      <c r="F1325" s="2" t="s">
        <v>46</v>
      </c>
      <c r="G1325" s="8">
        <v>71.739999999999995</v>
      </c>
      <c r="H1325" s="11">
        <v>0</v>
      </c>
      <c r="I1325" s="8">
        <v>71.739999999999995</v>
      </c>
      <c r="J1325" s="3">
        <v>45875</v>
      </c>
      <c r="K1325" s="14">
        <v>16</v>
      </c>
      <c r="L1325" s="17"/>
      <c r="M1325" s="2" t="b">
        <v>0</v>
      </c>
      <c r="N1325" s="2"/>
      <c r="O1325" s="2" t="str">
        <f>IF(Table1[[#This Row],[is_returned]]=TRUE,IF(Table1[[#This Row],[return_reason]]="","Error","OK"),"OK")</f>
        <v>OK</v>
      </c>
      <c r="P1325" s="8">
        <f>Table1[[#This Row],[original_price]]*Table1[[#This Row],[markdown_percentage]]/100</f>
        <v>0</v>
      </c>
      <c r="Q132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325" s="25">
        <f>Table1[[#This Row],[current_price]]*Table1[[#This Row],[stock_quantity]]</f>
        <v>1147.8399999999999</v>
      </c>
    </row>
    <row r="1326" spans="1:18" x14ac:dyDescent="0.25">
      <c r="A1326" s="2" t="s">
        <v>1379</v>
      </c>
      <c r="B1326" s="2" t="s">
        <v>38</v>
      </c>
      <c r="C1326" s="2" t="s">
        <v>75</v>
      </c>
      <c r="D1326" s="2" t="s">
        <v>23</v>
      </c>
      <c r="E1326" s="2" t="s">
        <v>58</v>
      </c>
      <c r="F1326" s="2" t="s">
        <v>56</v>
      </c>
      <c r="G1326" s="8">
        <v>91.11</v>
      </c>
      <c r="H1326" s="11">
        <v>0</v>
      </c>
      <c r="I1326" s="8">
        <v>91.11</v>
      </c>
      <c r="J1326" s="3">
        <v>45875</v>
      </c>
      <c r="K1326" s="14">
        <v>38</v>
      </c>
      <c r="L1326" s="17">
        <v>3.3</v>
      </c>
      <c r="M1326" s="2" t="b">
        <v>0</v>
      </c>
      <c r="N1326" s="2"/>
      <c r="O1326" s="2" t="str">
        <f>IF(Table1[[#This Row],[is_returned]]=TRUE,IF(Table1[[#This Row],[return_reason]]="","Error","OK"),"OK")</f>
        <v>OK</v>
      </c>
      <c r="P1326" s="8">
        <f>Table1[[#This Row],[original_price]]*Table1[[#This Row],[markdown_percentage]]/100</f>
        <v>0</v>
      </c>
      <c r="Q132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326" s="25">
        <f>Table1[[#This Row],[current_price]]*Table1[[#This Row],[stock_quantity]]</f>
        <v>3462.18</v>
      </c>
    </row>
    <row r="1327" spans="1:18" x14ac:dyDescent="0.25">
      <c r="A1327" s="2" t="s">
        <v>1380</v>
      </c>
      <c r="B1327" s="2" t="s">
        <v>27</v>
      </c>
      <c r="C1327" s="2" t="s">
        <v>16</v>
      </c>
      <c r="D1327" s="2" t="s">
        <v>62</v>
      </c>
      <c r="E1327" s="2"/>
      <c r="F1327" s="2" t="s">
        <v>35</v>
      </c>
      <c r="G1327" s="8">
        <v>46.07</v>
      </c>
      <c r="H1327" s="11">
        <v>0</v>
      </c>
      <c r="I1327" s="8">
        <v>46.07</v>
      </c>
      <c r="J1327" s="3">
        <v>45875</v>
      </c>
      <c r="K1327" s="14">
        <v>25</v>
      </c>
      <c r="L1327" s="17">
        <v>2.5</v>
      </c>
      <c r="M1327" s="2" t="b">
        <v>0</v>
      </c>
      <c r="N1327" s="2"/>
      <c r="O1327" s="2" t="str">
        <f>IF(Table1[[#This Row],[is_returned]]=TRUE,IF(Table1[[#This Row],[return_reason]]="","Error","OK"),"OK")</f>
        <v>OK</v>
      </c>
      <c r="P1327" s="8">
        <f>Table1[[#This Row],[original_price]]*Table1[[#This Row],[markdown_percentage]]/100</f>
        <v>0</v>
      </c>
      <c r="Q132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327" s="25">
        <f>Table1[[#This Row],[current_price]]*Table1[[#This Row],[stock_quantity]]</f>
        <v>1151.75</v>
      </c>
    </row>
    <row r="1328" spans="1:18" x14ac:dyDescent="0.25">
      <c r="A1328" s="2" t="s">
        <v>1381</v>
      </c>
      <c r="B1328" s="2" t="s">
        <v>42</v>
      </c>
      <c r="C1328" s="2" t="s">
        <v>43</v>
      </c>
      <c r="D1328" s="2" t="s">
        <v>34</v>
      </c>
      <c r="E1328" s="2" t="s">
        <v>39</v>
      </c>
      <c r="F1328" s="2" t="s">
        <v>46</v>
      </c>
      <c r="G1328" s="8">
        <v>156.27000000000001</v>
      </c>
      <c r="H1328" s="11">
        <v>0</v>
      </c>
      <c r="I1328" s="8">
        <v>156.27000000000001</v>
      </c>
      <c r="J1328" s="3">
        <v>45875</v>
      </c>
      <c r="K1328" s="14">
        <v>43</v>
      </c>
      <c r="L1328" s="17"/>
      <c r="M1328" s="2" t="b">
        <v>0</v>
      </c>
      <c r="N1328" s="2"/>
      <c r="O1328" s="2" t="str">
        <f>IF(Table1[[#This Row],[is_returned]]=TRUE,IF(Table1[[#This Row],[return_reason]]="","Error","OK"),"OK")</f>
        <v>OK</v>
      </c>
      <c r="P1328" s="8">
        <f>Table1[[#This Row],[original_price]]*Table1[[#This Row],[markdown_percentage]]/100</f>
        <v>0</v>
      </c>
      <c r="Q132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328" s="25">
        <f>Table1[[#This Row],[current_price]]*Table1[[#This Row],[stock_quantity]]</f>
        <v>6719.6100000000006</v>
      </c>
    </row>
    <row r="1329" spans="1:18" x14ac:dyDescent="0.25">
      <c r="A1329" s="2" t="s">
        <v>1382</v>
      </c>
      <c r="B1329" s="2" t="s">
        <v>21</v>
      </c>
      <c r="C1329" s="2" t="s">
        <v>43</v>
      </c>
      <c r="D1329" s="2" t="s">
        <v>34</v>
      </c>
      <c r="E1329" s="2" t="s">
        <v>55</v>
      </c>
      <c r="F1329" s="2" t="s">
        <v>25</v>
      </c>
      <c r="G1329" s="8">
        <v>56.35</v>
      </c>
      <c r="H1329" s="11">
        <v>0</v>
      </c>
      <c r="I1329" s="8">
        <v>56.35</v>
      </c>
      <c r="J1329" s="3">
        <v>45875</v>
      </c>
      <c r="K1329" s="14">
        <v>31</v>
      </c>
      <c r="L1329" s="17">
        <v>1.5</v>
      </c>
      <c r="M1329" s="2" t="b">
        <v>0</v>
      </c>
      <c r="N1329" s="2"/>
      <c r="O1329" s="2" t="str">
        <f>IF(Table1[[#This Row],[is_returned]]=TRUE,IF(Table1[[#This Row],[return_reason]]="","Error","OK"),"OK")</f>
        <v>OK</v>
      </c>
      <c r="P1329" s="8">
        <f>Table1[[#This Row],[original_price]]*Table1[[#This Row],[markdown_percentage]]/100</f>
        <v>0</v>
      </c>
      <c r="Q132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329" s="25">
        <f>Table1[[#This Row],[current_price]]*Table1[[#This Row],[stock_quantity]]</f>
        <v>1746.8500000000001</v>
      </c>
    </row>
    <row r="1330" spans="1:18" x14ac:dyDescent="0.25">
      <c r="A1330" s="2" t="s">
        <v>1383</v>
      </c>
      <c r="B1330" s="2" t="s">
        <v>38</v>
      </c>
      <c r="C1330" s="2" t="s">
        <v>16</v>
      </c>
      <c r="D1330" s="2" t="s">
        <v>23</v>
      </c>
      <c r="E1330" s="2" t="s">
        <v>55</v>
      </c>
      <c r="F1330" s="2" t="s">
        <v>66</v>
      </c>
      <c r="G1330" s="8">
        <v>118.21</v>
      </c>
      <c r="H1330" s="11">
        <v>23.1</v>
      </c>
      <c r="I1330" s="8">
        <v>90.9</v>
      </c>
      <c r="J1330" s="3">
        <v>45875</v>
      </c>
      <c r="K1330" s="14">
        <v>15</v>
      </c>
      <c r="L1330" s="17">
        <v>5</v>
      </c>
      <c r="M1330" s="2" t="b">
        <v>0</v>
      </c>
      <c r="N1330" s="2"/>
      <c r="O1330" s="2" t="str">
        <f>IF(Table1[[#This Row],[is_returned]]=TRUE,IF(Table1[[#This Row],[return_reason]]="","Error","OK"),"OK")</f>
        <v>OK</v>
      </c>
      <c r="P1330" s="8">
        <f>Table1[[#This Row],[original_price]]*Table1[[#This Row],[markdown_percentage]]/100</f>
        <v>27.306509999999999</v>
      </c>
      <c r="Q133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330" s="25">
        <f>Table1[[#This Row],[current_price]]*Table1[[#This Row],[stock_quantity]]</f>
        <v>1363.5</v>
      </c>
    </row>
    <row r="1331" spans="1:18" x14ac:dyDescent="0.25">
      <c r="A1331" s="2" t="s">
        <v>1384</v>
      </c>
      <c r="B1331" s="2" t="s">
        <v>21</v>
      </c>
      <c r="C1331" s="2" t="s">
        <v>61</v>
      </c>
      <c r="D1331" s="2" t="s">
        <v>34</v>
      </c>
      <c r="E1331" s="2" t="s">
        <v>55</v>
      </c>
      <c r="F1331" s="2" t="s">
        <v>56</v>
      </c>
      <c r="G1331" s="8">
        <v>25.86</v>
      </c>
      <c r="H1331" s="11">
        <v>0</v>
      </c>
      <c r="I1331" s="8">
        <v>25.86</v>
      </c>
      <c r="J1331" s="3">
        <v>45875</v>
      </c>
      <c r="K1331" s="14">
        <v>46</v>
      </c>
      <c r="L1331" s="17">
        <v>1.5</v>
      </c>
      <c r="M1331" s="2" t="b">
        <v>0</v>
      </c>
      <c r="N1331" s="2"/>
      <c r="O1331" s="2" t="str">
        <f>IF(Table1[[#This Row],[is_returned]]=TRUE,IF(Table1[[#This Row],[return_reason]]="","Error","OK"),"OK")</f>
        <v>OK</v>
      </c>
      <c r="P1331" s="8">
        <f>Table1[[#This Row],[original_price]]*Table1[[#This Row],[markdown_percentage]]/100</f>
        <v>0</v>
      </c>
      <c r="Q133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331" s="25">
        <f>Table1[[#This Row],[current_price]]*Table1[[#This Row],[stock_quantity]]</f>
        <v>1189.56</v>
      </c>
    </row>
    <row r="1332" spans="1:18" x14ac:dyDescent="0.25">
      <c r="A1332" s="2" t="s">
        <v>1385</v>
      </c>
      <c r="B1332" s="2" t="s">
        <v>21</v>
      </c>
      <c r="C1332" s="2" t="s">
        <v>48</v>
      </c>
      <c r="D1332" s="2" t="s">
        <v>34</v>
      </c>
      <c r="E1332" s="2" t="s">
        <v>39</v>
      </c>
      <c r="F1332" s="2" t="s">
        <v>46</v>
      </c>
      <c r="G1332" s="8">
        <v>91.67</v>
      </c>
      <c r="H1332" s="11">
        <v>23.7</v>
      </c>
      <c r="I1332" s="8">
        <v>69.94</v>
      </c>
      <c r="J1332" s="3">
        <v>45875</v>
      </c>
      <c r="K1332" s="14">
        <v>3</v>
      </c>
      <c r="L1332" s="17">
        <v>3.7</v>
      </c>
      <c r="M1332" s="2" t="b">
        <v>0</v>
      </c>
      <c r="N1332" s="2"/>
      <c r="O1332" s="2" t="str">
        <f>IF(Table1[[#This Row],[is_returned]]=TRUE,IF(Table1[[#This Row],[return_reason]]="","Error","OK"),"OK")</f>
        <v>OK</v>
      </c>
      <c r="P1332" s="8">
        <f>Table1[[#This Row],[original_price]]*Table1[[#This Row],[markdown_percentage]]/100</f>
        <v>21.725790000000003</v>
      </c>
      <c r="Q133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332" s="25">
        <f>Table1[[#This Row],[current_price]]*Table1[[#This Row],[stock_quantity]]</f>
        <v>209.82</v>
      </c>
    </row>
    <row r="1333" spans="1:18" x14ac:dyDescent="0.25">
      <c r="A1333" s="2" t="s">
        <v>1386</v>
      </c>
      <c r="B1333" s="2" t="s">
        <v>38</v>
      </c>
      <c r="C1333" s="2" t="s">
        <v>22</v>
      </c>
      <c r="D1333" s="2" t="s">
        <v>34</v>
      </c>
      <c r="E1333" s="2" t="s">
        <v>24</v>
      </c>
      <c r="F1333" s="2" t="s">
        <v>44</v>
      </c>
      <c r="G1333" s="8">
        <v>25.29</v>
      </c>
      <c r="H1333" s="11">
        <v>7.9</v>
      </c>
      <c r="I1333" s="8">
        <v>23.29</v>
      </c>
      <c r="J1333" s="3">
        <v>45875</v>
      </c>
      <c r="K1333" s="14">
        <v>39</v>
      </c>
      <c r="L1333" s="17">
        <v>1.7</v>
      </c>
      <c r="M1333" s="2" t="b">
        <v>0</v>
      </c>
      <c r="N1333" s="2"/>
      <c r="O1333" s="2" t="str">
        <f>IF(Table1[[#This Row],[is_returned]]=TRUE,IF(Table1[[#This Row],[return_reason]]="","Error","OK"),"OK")</f>
        <v>OK</v>
      </c>
      <c r="P1333" s="8">
        <f>Table1[[#This Row],[original_price]]*Table1[[#This Row],[markdown_percentage]]/100</f>
        <v>1.9979100000000001</v>
      </c>
      <c r="Q133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333" s="25">
        <f>Table1[[#This Row],[current_price]]*Table1[[#This Row],[stock_quantity]]</f>
        <v>908.31</v>
      </c>
    </row>
    <row r="1334" spans="1:18" x14ac:dyDescent="0.25">
      <c r="A1334" s="2" t="s">
        <v>1387</v>
      </c>
      <c r="B1334" s="2" t="s">
        <v>27</v>
      </c>
      <c r="C1334" s="2" t="s">
        <v>48</v>
      </c>
      <c r="D1334" s="2" t="s">
        <v>23</v>
      </c>
      <c r="E1334" s="2"/>
      <c r="F1334" s="2" t="s">
        <v>64</v>
      </c>
      <c r="G1334" s="8">
        <v>51.61</v>
      </c>
      <c r="H1334" s="11">
        <v>32.200000000000003</v>
      </c>
      <c r="I1334" s="8">
        <v>34.99</v>
      </c>
      <c r="J1334" s="3">
        <v>45875</v>
      </c>
      <c r="K1334" s="14">
        <v>34</v>
      </c>
      <c r="L1334" s="17">
        <v>4.8</v>
      </c>
      <c r="M1334" s="2" t="b">
        <v>0</v>
      </c>
      <c r="N1334" s="2"/>
      <c r="O1334" s="2" t="str">
        <f>IF(Table1[[#This Row],[is_returned]]=TRUE,IF(Table1[[#This Row],[return_reason]]="","Error","OK"),"OK")</f>
        <v>OK</v>
      </c>
      <c r="P1334" s="8">
        <f>Table1[[#This Row],[original_price]]*Table1[[#This Row],[markdown_percentage]]/100</f>
        <v>16.61842</v>
      </c>
      <c r="Q133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334" s="25">
        <f>Table1[[#This Row],[current_price]]*Table1[[#This Row],[stock_quantity]]</f>
        <v>1189.6600000000001</v>
      </c>
    </row>
    <row r="1335" spans="1:18" x14ac:dyDescent="0.25">
      <c r="A1335" s="2" t="s">
        <v>1388</v>
      </c>
      <c r="B1335" s="2" t="s">
        <v>15</v>
      </c>
      <c r="C1335" s="2" t="s">
        <v>32</v>
      </c>
      <c r="D1335" s="2" t="s">
        <v>62</v>
      </c>
      <c r="E1335" s="2" t="s">
        <v>18</v>
      </c>
      <c r="F1335" s="2" t="s">
        <v>28</v>
      </c>
      <c r="G1335" s="8">
        <v>143.61000000000001</v>
      </c>
      <c r="H1335" s="11">
        <v>24.6</v>
      </c>
      <c r="I1335" s="8">
        <v>108.28</v>
      </c>
      <c r="J1335" s="3">
        <v>45875</v>
      </c>
      <c r="K1335" s="14">
        <v>50</v>
      </c>
      <c r="L1335" s="17">
        <v>4.0999999999999996</v>
      </c>
      <c r="M1335" s="2" t="b">
        <v>0</v>
      </c>
      <c r="N1335" s="2"/>
      <c r="O1335" s="2" t="str">
        <f>IF(Table1[[#This Row],[is_returned]]=TRUE,IF(Table1[[#This Row],[return_reason]]="","Error","OK"),"OK")</f>
        <v>OK</v>
      </c>
      <c r="P1335" s="8">
        <f>Table1[[#This Row],[original_price]]*Table1[[#This Row],[markdown_percentage]]/100</f>
        <v>35.328060000000008</v>
      </c>
      <c r="Q133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335" s="25">
        <f>Table1[[#This Row],[current_price]]*Table1[[#This Row],[stock_quantity]]</f>
        <v>5414</v>
      </c>
    </row>
    <row r="1336" spans="1:18" x14ac:dyDescent="0.25">
      <c r="A1336" s="2" t="s">
        <v>1389</v>
      </c>
      <c r="B1336" s="2" t="s">
        <v>38</v>
      </c>
      <c r="C1336" s="2" t="s">
        <v>61</v>
      </c>
      <c r="D1336" s="2" t="s">
        <v>62</v>
      </c>
      <c r="E1336" s="2" t="s">
        <v>24</v>
      </c>
      <c r="F1336" s="2" t="s">
        <v>19</v>
      </c>
      <c r="G1336" s="8">
        <v>45.48</v>
      </c>
      <c r="H1336" s="11">
        <v>0</v>
      </c>
      <c r="I1336" s="8">
        <v>45.48</v>
      </c>
      <c r="J1336" s="3">
        <v>45875</v>
      </c>
      <c r="K1336" s="14">
        <v>29</v>
      </c>
      <c r="L1336" s="17">
        <v>2.2999999999999998</v>
      </c>
      <c r="M1336" s="2" t="b">
        <v>0</v>
      </c>
      <c r="N1336" s="2"/>
      <c r="O1336" s="2" t="str">
        <f>IF(Table1[[#This Row],[is_returned]]=TRUE,IF(Table1[[#This Row],[return_reason]]="","Error","OK"),"OK")</f>
        <v>OK</v>
      </c>
      <c r="P1336" s="8">
        <f>Table1[[#This Row],[original_price]]*Table1[[#This Row],[markdown_percentage]]/100</f>
        <v>0</v>
      </c>
      <c r="Q133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336" s="25">
        <f>Table1[[#This Row],[current_price]]*Table1[[#This Row],[stock_quantity]]</f>
        <v>1318.9199999999998</v>
      </c>
    </row>
    <row r="1337" spans="1:18" x14ac:dyDescent="0.25">
      <c r="A1337" s="2" t="s">
        <v>1390</v>
      </c>
      <c r="B1337" s="2" t="s">
        <v>30</v>
      </c>
      <c r="C1337" s="2" t="s">
        <v>16</v>
      </c>
      <c r="D1337" s="2" t="s">
        <v>62</v>
      </c>
      <c r="E1337" s="2"/>
      <c r="F1337" s="2" t="s">
        <v>35</v>
      </c>
      <c r="G1337" s="8">
        <v>177.79</v>
      </c>
      <c r="H1337" s="11">
        <v>10.7</v>
      </c>
      <c r="I1337" s="8">
        <v>158.77000000000001</v>
      </c>
      <c r="J1337" s="3">
        <v>45875</v>
      </c>
      <c r="K1337" s="14">
        <v>37</v>
      </c>
      <c r="L1337" s="17"/>
      <c r="M1337" s="2" t="b">
        <v>0</v>
      </c>
      <c r="N1337" s="2"/>
      <c r="O1337" s="2" t="str">
        <f>IF(Table1[[#This Row],[is_returned]]=TRUE,IF(Table1[[#This Row],[return_reason]]="","Error","OK"),"OK")</f>
        <v>OK</v>
      </c>
      <c r="P1337" s="8">
        <f>Table1[[#This Row],[original_price]]*Table1[[#This Row],[markdown_percentage]]/100</f>
        <v>19.023529999999997</v>
      </c>
      <c r="Q133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337" s="25">
        <f>Table1[[#This Row],[current_price]]*Table1[[#This Row],[stock_quantity]]</f>
        <v>5874.4900000000007</v>
      </c>
    </row>
    <row r="1338" spans="1:18" x14ac:dyDescent="0.25">
      <c r="A1338" s="2" t="s">
        <v>1391</v>
      </c>
      <c r="B1338" s="2" t="s">
        <v>15</v>
      </c>
      <c r="C1338" s="2" t="s">
        <v>61</v>
      </c>
      <c r="D1338" s="2" t="s">
        <v>34</v>
      </c>
      <c r="E1338" s="2" t="s">
        <v>55</v>
      </c>
      <c r="F1338" s="2" t="s">
        <v>66</v>
      </c>
      <c r="G1338" s="8">
        <v>145.1</v>
      </c>
      <c r="H1338" s="11">
        <v>34.200000000000003</v>
      </c>
      <c r="I1338" s="8">
        <v>95.48</v>
      </c>
      <c r="J1338" s="3">
        <v>45875</v>
      </c>
      <c r="K1338" s="14">
        <v>14</v>
      </c>
      <c r="L1338" s="17"/>
      <c r="M1338" s="2" t="b">
        <v>0</v>
      </c>
      <c r="N1338" s="2"/>
      <c r="O1338" s="2" t="str">
        <f>IF(Table1[[#This Row],[is_returned]]=TRUE,IF(Table1[[#This Row],[return_reason]]="","Error","OK"),"OK")</f>
        <v>OK</v>
      </c>
      <c r="P1338" s="8">
        <f>Table1[[#This Row],[original_price]]*Table1[[#This Row],[markdown_percentage]]/100</f>
        <v>49.624200000000002</v>
      </c>
      <c r="Q133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338" s="25">
        <f>Table1[[#This Row],[current_price]]*Table1[[#This Row],[stock_quantity]]</f>
        <v>1336.72</v>
      </c>
    </row>
    <row r="1339" spans="1:18" x14ac:dyDescent="0.25">
      <c r="A1339" s="2" t="s">
        <v>1392</v>
      </c>
      <c r="B1339" s="2" t="s">
        <v>30</v>
      </c>
      <c r="C1339" s="2" t="s">
        <v>53</v>
      </c>
      <c r="D1339" s="2" t="s">
        <v>62</v>
      </c>
      <c r="E1339" s="2" t="s">
        <v>49</v>
      </c>
      <c r="F1339" s="2" t="s">
        <v>64</v>
      </c>
      <c r="G1339" s="8">
        <v>190.78</v>
      </c>
      <c r="H1339" s="11">
        <v>0</v>
      </c>
      <c r="I1339" s="8">
        <v>190.78</v>
      </c>
      <c r="J1339" s="3">
        <v>45875</v>
      </c>
      <c r="K1339" s="14">
        <v>39</v>
      </c>
      <c r="L1339" s="17">
        <v>3.7</v>
      </c>
      <c r="M1339" s="2" t="b">
        <v>0</v>
      </c>
      <c r="N1339" s="2"/>
      <c r="O1339" s="2" t="str">
        <f>IF(Table1[[#This Row],[is_returned]]=TRUE,IF(Table1[[#This Row],[return_reason]]="","Error","OK"),"OK")</f>
        <v>OK</v>
      </c>
      <c r="P1339" s="8">
        <f>Table1[[#This Row],[original_price]]*Table1[[#This Row],[markdown_percentage]]/100</f>
        <v>0</v>
      </c>
      <c r="Q133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339" s="25">
        <f>Table1[[#This Row],[current_price]]*Table1[[#This Row],[stock_quantity]]</f>
        <v>7440.42</v>
      </c>
    </row>
    <row r="1340" spans="1:18" x14ac:dyDescent="0.25">
      <c r="A1340" s="2" t="s">
        <v>1393</v>
      </c>
      <c r="B1340" s="2" t="s">
        <v>27</v>
      </c>
      <c r="C1340" s="2" t="s">
        <v>75</v>
      </c>
      <c r="D1340" s="2" t="s">
        <v>34</v>
      </c>
      <c r="E1340" s="2"/>
      <c r="F1340" s="2" t="s">
        <v>44</v>
      </c>
      <c r="G1340" s="8">
        <v>44.73</v>
      </c>
      <c r="H1340" s="11">
        <v>0</v>
      </c>
      <c r="I1340" s="8">
        <v>44.73</v>
      </c>
      <c r="J1340" s="3">
        <v>45875</v>
      </c>
      <c r="K1340" s="14">
        <v>25</v>
      </c>
      <c r="L1340" s="17">
        <v>1.1000000000000001</v>
      </c>
      <c r="M1340" s="2" t="b">
        <v>0</v>
      </c>
      <c r="N1340" s="2"/>
      <c r="O1340" s="2" t="str">
        <f>IF(Table1[[#This Row],[is_returned]]=TRUE,IF(Table1[[#This Row],[return_reason]]="","Error","OK"),"OK")</f>
        <v>OK</v>
      </c>
      <c r="P1340" s="8">
        <f>Table1[[#This Row],[original_price]]*Table1[[#This Row],[markdown_percentage]]/100</f>
        <v>0</v>
      </c>
      <c r="Q134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340" s="25">
        <f>Table1[[#This Row],[current_price]]*Table1[[#This Row],[stock_quantity]]</f>
        <v>1118.25</v>
      </c>
    </row>
    <row r="1341" spans="1:18" x14ac:dyDescent="0.25">
      <c r="A1341" s="2" t="s">
        <v>1394</v>
      </c>
      <c r="B1341" s="2" t="s">
        <v>30</v>
      </c>
      <c r="C1341" s="2" t="s">
        <v>32</v>
      </c>
      <c r="D1341" s="2" t="s">
        <v>23</v>
      </c>
      <c r="E1341" s="2" t="s">
        <v>49</v>
      </c>
      <c r="F1341" s="2" t="s">
        <v>35</v>
      </c>
      <c r="G1341" s="8">
        <v>65.48</v>
      </c>
      <c r="H1341" s="11">
        <v>0</v>
      </c>
      <c r="I1341" s="8">
        <v>65.48</v>
      </c>
      <c r="J1341" s="3">
        <v>45875</v>
      </c>
      <c r="K1341" s="14">
        <v>7</v>
      </c>
      <c r="L1341" s="17">
        <v>4.5999999999999996</v>
      </c>
      <c r="M1341" s="2" t="b">
        <v>0</v>
      </c>
      <c r="N1341" s="2"/>
      <c r="O1341" s="2" t="str">
        <f>IF(Table1[[#This Row],[is_returned]]=TRUE,IF(Table1[[#This Row],[return_reason]]="","Error","OK"),"OK")</f>
        <v>OK</v>
      </c>
      <c r="P1341" s="8">
        <f>Table1[[#This Row],[original_price]]*Table1[[#This Row],[markdown_percentage]]/100</f>
        <v>0</v>
      </c>
      <c r="Q134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341" s="25">
        <f>Table1[[#This Row],[current_price]]*Table1[[#This Row],[stock_quantity]]</f>
        <v>458.36</v>
      </c>
    </row>
    <row r="1342" spans="1:18" x14ac:dyDescent="0.25">
      <c r="A1342" s="2" t="s">
        <v>1395</v>
      </c>
      <c r="B1342" s="2" t="s">
        <v>30</v>
      </c>
      <c r="C1342" s="2" t="s">
        <v>61</v>
      </c>
      <c r="D1342" s="2" t="s">
        <v>17</v>
      </c>
      <c r="E1342" s="2" t="s">
        <v>55</v>
      </c>
      <c r="F1342" s="2" t="s">
        <v>66</v>
      </c>
      <c r="G1342" s="8">
        <v>86.1</v>
      </c>
      <c r="H1342" s="11">
        <v>0</v>
      </c>
      <c r="I1342" s="8">
        <v>86.1</v>
      </c>
      <c r="J1342" s="3">
        <v>45653</v>
      </c>
      <c r="K1342" s="14">
        <v>4</v>
      </c>
      <c r="L1342" s="17">
        <v>2.4</v>
      </c>
      <c r="M1342" s="2" t="b">
        <v>0</v>
      </c>
      <c r="N1342" s="2"/>
      <c r="O1342" s="2" t="str">
        <f>IF(Table1[[#This Row],[is_returned]]=TRUE,IF(Table1[[#This Row],[return_reason]]="","Error","OK"),"OK")</f>
        <v>OK</v>
      </c>
      <c r="P1342" s="8">
        <f>Table1[[#This Row],[original_price]]*Table1[[#This Row],[markdown_percentage]]/100</f>
        <v>0</v>
      </c>
      <c r="Q134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342" s="25">
        <f>Table1[[#This Row],[current_price]]*Table1[[#This Row],[stock_quantity]]</f>
        <v>344.4</v>
      </c>
    </row>
    <row r="1343" spans="1:18" x14ac:dyDescent="0.25">
      <c r="A1343" s="2" t="s">
        <v>1396</v>
      </c>
      <c r="B1343" s="2" t="s">
        <v>38</v>
      </c>
      <c r="C1343" s="2" t="s">
        <v>22</v>
      </c>
      <c r="D1343" s="2" t="s">
        <v>23</v>
      </c>
      <c r="E1343" s="2" t="s">
        <v>55</v>
      </c>
      <c r="F1343" s="2" t="s">
        <v>46</v>
      </c>
      <c r="G1343" s="8">
        <v>100.14</v>
      </c>
      <c r="H1343" s="11">
        <v>0</v>
      </c>
      <c r="I1343" s="8">
        <v>100.14</v>
      </c>
      <c r="J1343" s="3">
        <v>45875</v>
      </c>
      <c r="K1343" s="14">
        <v>48</v>
      </c>
      <c r="L1343" s="17">
        <v>4.2</v>
      </c>
      <c r="M1343" s="2" t="b">
        <v>0</v>
      </c>
      <c r="N1343" s="2"/>
      <c r="O1343" s="2" t="str">
        <f>IF(Table1[[#This Row],[is_returned]]=TRUE,IF(Table1[[#This Row],[return_reason]]="","Error","OK"),"OK")</f>
        <v>OK</v>
      </c>
      <c r="P1343" s="8">
        <f>Table1[[#This Row],[original_price]]*Table1[[#This Row],[markdown_percentage]]/100</f>
        <v>0</v>
      </c>
      <c r="Q134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343" s="25">
        <f>Table1[[#This Row],[current_price]]*Table1[[#This Row],[stock_quantity]]</f>
        <v>4806.72</v>
      </c>
    </row>
    <row r="1344" spans="1:18" x14ac:dyDescent="0.25">
      <c r="A1344" s="2" t="s">
        <v>1397</v>
      </c>
      <c r="B1344" s="2" t="s">
        <v>15</v>
      </c>
      <c r="C1344" s="2" t="s">
        <v>32</v>
      </c>
      <c r="D1344" s="2" t="s">
        <v>23</v>
      </c>
      <c r="E1344" s="2"/>
      <c r="F1344" s="2" t="s">
        <v>19</v>
      </c>
      <c r="G1344" s="8">
        <v>203.4</v>
      </c>
      <c r="H1344" s="11">
        <v>0</v>
      </c>
      <c r="I1344" s="8">
        <v>203.4</v>
      </c>
      <c r="J1344" s="3">
        <v>45875</v>
      </c>
      <c r="K1344" s="14">
        <v>18</v>
      </c>
      <c r="L1344" s="17">
        <v>1.8</v>
      </c>
      <c r="M1344" s="2" t="b">
        <v>0</v>
      </c>
      <c r="N1344" s="2"/>
      <c r="O1344" s="2" t="str">
        <f>IF(Table1[[#This Row],[is_returned]]=TRUE,IF(Table1[[#This Row],[return_reason]]="","Error","OK"),"OK")</f>
        <v>OK</v>
      </c>
      <c r="P1344" s="8">
        <f>Table1[[#This Row],[original_price]]*Table1[[#This Row],[markdown_percentage]]/100</f>
        <v>0</v>
      </c>
      <c r="Q134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344" s="25">
        <f>Table1[[#This Row],[current_price]]*Table1[[#This Row],[stock_quantity]]</f>
        <v>3661.2000000000003</v>
      </c>
    </row>
    <row r="1345" spans="1:18" x14ac:dyDescent="0.25">
      <c r="A1345" s="2" t="s">
        <v>1398</v>
      </c>
      <c r="B1345" s="2" t="s">
        <v>21</v>
      </c>
      <c r="C1345" s="2" t="s">
        <v>61</v>
      </c>
      <c r="D1345" s="2" t="s">
        <v>23</v>
      </c>
      <c r="E1345" s="2" t="s">
        <v>55</v>
      </c>
      <c r="F1345" s="2" t="s">
        <v>35</v>
      </c>
      <c r="G1345" s="8">
        <v>95.22</v>
      </c>
      <c r="H1345" s="11">
        <v>24.4</v>
      </c>
      <c r="I1345" s="8">
        <v>71.989999999999995</v>
      </c>
      <c r="J1345" s="3">
        <v>45875</v>
      </c>
      <c r="K1345" s="14">
        <v>26</v>
      </c>
      <c r="L1345" s="17">
        <v>2.2999999999999998</v>
      </c>
      <c r="M1345" s="2" t="b">
        <v>0</v>
      </c>
      <c r="N1345" s="2"/>
      <c r="O1345" s="2" t="str">
        <f>IF(Table1[[#This Row],[is_returned]]=TRUE,IF(Table1[[#This Row],[return_reason]]="","Error","OK"),"OK")</f>
        <v>OK</v>
      </c>
      <c r="P1345" s="8">
        <f>Table1[[#This Row],[original_price]]*Table1[[#This Row],[markdown_percentage]]/100</f>
        <v>23.23368</v>
      </c>
      <c r="Q134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345" s="25">
        <f>Table1[[#This Row],[current_price]]*Table1[[#This Row],[stock_quantity]]</f>
        <v>1871.7399999999998</v>
      </c>
    </row>
    <row r="1346" spans="1:18" x14ac:dyDescent="0.25">
      <c r="A1346" s="2" t="s">
        <v>1399</v>
      </c>
      <c r="B1346" s="2" t="s">
        <v>42</v>
      </c>
      <c r="C1346" s="2" t="s">
        <v>48</v>
      </c>
      <c r="D1346" s="2" t="s">
        <v>34</v>
      </c>
      <c r="E1346" s="2" t="s">
        <v>18</v>
      </c>
      <c r="F1346" s="2" t="s">
        <v>19</v>
      </c>
      <c r="G1346" s="8">
        <v>173.88</v>
      </c>
      <c r="H1346" s="11">
        <v>31.6</v>
      </c>
      <c r="I1346" s="8">
        <v>118.93</v>
      </c>
      <c r="J1346" s="3">
        <v>45875</v>
      </c>
      <c r="K1346" s="14">
        <v>5</v>
      </c>
      <c r="L1346" s="17">
        <v>3.2</v>
      </c>
      <c r="M1346" s="2" t="b">
        <v>0</v>
      </c>
      <c r="N1346" s="2"/>
      <c r="O1346" s="2" t="str">
        <f>IF(Table1[[#This Row],[is_returned]]=TRUE,IF(Table1[[#This Row],[return_reason]]="","Error","OK"),"OK")</f>
        <v>OK</v>
      </c>
      <c r="P1346" s="8">
        <f>Table1[[#This Row],[original_price]]*Table1[[#This Row],[markdown_percentage]]/100</f>
        <v>54.946080000000002</v>
      </c>
      <c r="Q134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346" s="25">
        <f>Table1[[#This Row],[current_price]]*Table1[[#This Row],[stock_quantity]]</f>
        <v>594.65000000000009</v>
      </c>
    </row>
    <row r="1347" spans="1:18" x14ac:dyDescent="0.25">
      <c r="A1347" s="2" t="s">
        <v>1400</v>
      </c>
      <c r="B1347" s="2" t="s">
        <v>42</v>
      </c>
      <c r="C1347" s="2" t="s">
        <v>48</v>
      </c>
      <c r="D1347" s="2" t="s">
        <v>23</v>
      </c>
      <c r="E1347" s="2" t="s">
        <v>24</v>
      </c>
      <c r="F1347" s="2" t="s">
        <v>56</v>
      </c>
      <c r="G1347" s="8">
        <v>160.05000000000001</v>
      </c>
      <c r="H1347" s="11">
        <v>0</v>
      </c>
      <c r="I1347" s="8">
        <v>160.05000000000001</v>
      </c>
      <c r="J1347" s="3">
        <v>45875</v>
      </c>
      <c r="K1347" s="14">
        <v>23</v>
      </c>
      <c r="L1347" s="17">
        <v>4</v>
      </c>
      <c r="M1347" s="2" t="b">
        <v>0</v>
      </c>
      <c r="N1347" s="2"/>
      <c r="O1347" s="2" t="str">
        <f>IF(Table1[[#This Row],[is_returned]]=TRUE,IF(Table1[[#This Row],[return_reason]]="","Error","OK"),"OK")</f>
        <v>OK</v>
      </c>
      <c r="P1347" s="8">
        <f>Table1[[#This Row],[original_price]]*Table1[[#This Row],[markdown_percentage]]/100</f>
        <v>0</v>
      </c>
      <c r="Q134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347" s="25">
        <f>Table1[[#This Row],[current_price]]*Table1[[#This Row],[stock_quantity]]</f>
        <v>3681.15</v>
      </c>
    </row>
    <row r="1348" spans="1:18" x14ac:dyDescent="0.25">
      <c r="A1348" s="2" t="s">
        <v>1401</v>
      </c>
      <c r="B1348" s="2" t="s">
        <v>21</v>
      </c>
      <c r="C1348" s="2" t="s">
        <v>75</v>
      </c>
      <c r="D1348" s="2" t="s">
        <v>23</v>
      </c>
      <c r="E1348" s="2" t="s">
        <v>55</v>
      </c>
      <c r="F1348" s="2" t="s">
        <v>44</v>
      </c>
      <c r="G1348" s="8">
        <v>59.53</v>
      </c>
      <c r="H1348" s="11">
        <v>0</v>
      </c>
      <c r="I1348" s="8">
        <v>59.53</v>
      </c>
      <c r="J1348" s="3">
        <v>45875</v>
      </c>
      <c r="K1348" s="14">
        <v>28</v>
      </c>
      <c r="L1348" s="17">
        <v>1.5</v>
      </c>
      <c r="M1348" s="2" t="b">
        <v>0</v>
      </c>
      <c r="N1348" s="2"/>
      <c r="O1348" s="2" t="str">
        <f>IF(Table1[[#This Row],[is_returned]]=TRUE,IF(Table1[[#This Row],[return_reason]]="","Error","OK"),"OK")</f>
        <v>OK</v>
      </c>
      <c r="P1348" s="8">
        <f>Table1[[#This Row],[original_price]]*Table1[[#This Row],[markdown_percentage]]/100</f>
        <v>0</v>
      </c>
      <c r="Q134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348" s="25">
        <f>Table1[[#This Row],[current_price]]*Table1[[#This Row],[stock_quantity]]</f>
        <v>1666.8400000000001</v>
      </c>
    </row>
    <row r="1349" spans="1:18" x14ac:dyDescent="0.25">
      <c r="A1349" s="2" t="s">
        <v>1402</v>
      </c>
      <c r="B1349" s="2" t="s">
        <v>42</v>
      </c>
      <c r="C1349" s="2" t="s">
        <v>43</v>
      </c>
      <c r="D1349" s="2" t="s">
        <v>34</v>
      </c>
      <c r="E1349" s="2" t="s">
        <v>55</v>
      </c>
      <c r="F1349" s="2" t="s">
        <v>44</v>
      </c>
      <c r="G1349" s="8">
        <v>155.32</v>
      </c>
      <c r="H1349" s="11">
        <v>0</v>
      </c>
      <c r="I1349" s="8">
        <v>155.32</v>
      </c>
      <c r="J1349" s="3">
        <v>45875</v>
      </c>
      <c r="K1349" s="14">
        <v>19</v>
      </c>
      <c r="L1349" s="17">
        <v>4.0999999999999996</v>
      </c>
      <c r="M1349" s="2" t="b">
        <v>0</v>
      </c>
      <c r="N1349" s="2"/>
      <c r="O1349" s="2" t="str">
        <f>IF(Table1[[#This Row],[is_returned]]=TRUE,IF(Table1[[#This Row],[return_reason]]="","Error","OK"),"OK")</f>
        <v>OK</v>
      </c>
      <c r="P1349" s="8">
        <f>Table1[[#This Row],[original_price]]*Table1[[#This Row],[markdown_percentage]]/100</f>
        <v>0</v>
      </c>
      <c r="Q134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349" s="25">
        <f>Table1[[#This Row],[current_price]]*Table1[[#This Row],[stock_quantity]]</f>
        <v>2951.08</v>
      </c>
    </row>
    <row r="1350" spans="1:18" x14ac:dyDescent="0.25">
      <c r="A1350" s="2" t="s">
        <v>1403</v>
      </c>
      <c r="B1350" s="2" t="s">
        <v>38</v>
      </c>
      <c r="C1350" s="2" t="s">
        <v>75</v>
      </c>
      <c r="D1350" s="2" t="s">
        <v>17</v>
      </c>
      <c r="E1350" s="2" t="s">
        <v>18</v>
      </c>
      <c r="F1350" s="2" t="s">
        <v>28</v>
      </c>
      <c r="G1350" s="8">
        <v>29.65</v>
      </c>
      <c r="H1350" s="11">
        <v>41</v>
      </c>
      <c r="I1350" s="8">
        <v>17.489999999999998</v>
      </c>
      <c r="J1350" s="3">
        <v>45530</v>
      </c>
      <c r="K1350" s="14">
        <v>21</v>
      </c>
      <c r="L1350" s="17">
        <v>4.5</v>
      </c>
      <c r="M1350" s="2" t="b">
        <v>1</v>
      </c>
      <c r="N1350" s="2" t="s">
        <v>83</v>
      </c>
      <c r="O1350" s="2" t="str">
        <f>IF(Table1[[#This Row],[is_returned]]=TRUE,IF(Table1[[#This Row],[return_reason]]="","Error","OK"),"OK")</f>
        <v>OK</v>
      </c>
      <c r="P1350" s="8">
        <f>Table1[[#This Row],[original_price]]*Table1[[#This Row],[markdown_percentage]]/100</f>
        <v>12.156499999999999</v>
      </c>
      <c r="Q135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350" s="25">
        <f>Table1[[#This Row],[current_price]]*Table1[[#This Row],[stock_quantity]]</f>
        <v>367.28999999999996</v>
      </c>
    </row>
    <row r="1351" spans="1:18" x14ac:dyDescent="0.25">
      <c r="A1351" s="2" t="s">
        <v>1404</v>
      </c>
      <c r="B1351" s="2" t="s">
        <v>15</v>
      </c>
      <c r="C1351" s="2" t="s">
        <v>43</v>
      </c>
      <c r="D1351" s="2" t="s">
        <v>23</v>
      </c>
      <c r="E1351" s="2" t="s">
        <v>49</v>
      </c>
      <c r="F1351" s="2" t="s">
        <v>70</v>
      </c>
      <c r="G1351" s="8">
        <v>237.53</v>
      </c>
      <c r="H1351" s="11">
        <v>23.2</v>
      </c>
      <c r="I1351" s="8">
        <v>182.42</v>
      </c>
      <c r="J1351" s="3">
        <v>45875</v>
      </c>
      <c r="K1351" s="14">
        <v>23</v>
      </c>
      <c r="L1351" s="17">
        <v>2.2000000000000002</v>
      </c>
      <c r="M1351" s="2" t="b">
        <v>0</v>
      </c>
      <c r="N1351" s="2"/>
      <c r="O1351" s="2" t="str">
        <f>IF(Table1[[#This Row],[is_returned]]=TRUE,IF(Table1[[#This Row],[return_reason]]="","Error","OK"),"OK")</f>
        <v>OK</v>
      </c>
      <c r="P1351" s="8">
        <f>Table1[[#This Row],[original_price]]*Table1[[#This Row],[markdown_percentage]]/100</f>
        <v>55.106960000000001</v>
      </c>
      <c r="Q135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351" s="25">
        <f>Table1[[#This Row],[current_price]]*Table1[[#This Row],[stock_quantity]]</f>
        <v>4195.66</v>
      </c>
    </row>
    <row r="1352" spans="1:18" x14ac:dyDescent="0.25">
      <c r="A1352" s="2" t="s">
        <v>1405</v>
      </c>
      <c r="B1352" s="2" t="s">
        <v>15</v>
      </c>
      <c r="C1352" s="2" t="s">
        <v>53</v>
      </c>
      <c r="D1352" s="2" t="s">
        <v>62</v>
      </c>
      <c r="E1352" s="2" t="s">
        <v>58</v>
      </c>
      <c r="F1352" s="2" t="s">
        <v>25</v>
      </c>
      <c r="G1352" s="8">
        <v>81.67</v>
      </c>
      <c r="H1352" s="11">
        <v>0</v>
      </c>
      <c r="I1352" s="8">
        <v>81.67</v>
      </c>
      <c r="J1352" s="3">
        <v>45875</v>
      </c>
      <c r="K1352" s="14">
        <v>34</v>
      </c>
      <c r="L1352" s="17">
        <v>3.1</v>
      </c>
      <c r="M1352" s="2" t="b">
        <v>1</v>
      </c>
      <c r="N1352" s="2" t="s">
        <v>78</v>
      </c>
      <c r="O1352" s="2" t="str">
        <f>IF(Table1[[#This Row],[is_returned]]=TRUE,IF(Table1[[#This Row],[return_reason]]="","Error","OK"),"OK")</f>
        <v>OK</v>
      </c>
      <c r="P1352" s="8">
        <f>Table1[[#This Row],[original_price]]*Table1[[#This Row],[markdown_percentage]]/100</f>
        <v>0</v>
      </c>
      <c r="Q135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352" s="25">
        <f>Table1[[#This Row],[current_price]]*Table1[[#This Row],[stock_quantity]]</f>
        <v>2776.78</v>
      </c>
    </row>
    <row r="1353" spans="1:18" x14ac:dyDescent="0.25">
      <c r="A1353" s="2" t="s">
        <v>1406</v>
      </c>
      <c r="B1353" s="2" t="s">
        <v>38</v>
      </c>
      <c r="C1353" s="2" t="s">
        <v>32</v>
      </c>
      <c r="D1353" s="2" t="s">
        <v>17</v>
      </c>
      <c r="E1353" s="2" t="s">
        <v>58</v>
      </c>
      <c r="F1353" s="2" t="s">
        <v>56</v>
      </c>
      <c r="G1353" s="8">
        <v>37.07</v>
      </c>
      <c r="H1353" s="11">
        <v>0</v>
      </c>
      <c r="I1353" s="8">
        <v>37.07</v>
      </c>
      <c r="J1353" s="3">
        <v>45778</v>
      </c>
      <c r="K1353" s="14">
        <v>13</v>
      </c>
      <c r="L1353" s="17"/>
      <c r="M1353" s="2" t="b">
        <v>0</v>
      </c>
      <c r="N1353" s="2"/>
      <c r="O1353" s="2" t="str">
        <f>IF(Table1[[#This Row],[is_returned]]=TRUE,IF(Table1[[#This Row],[return_reason]]="","Error","OK"),"OK")</f>
        <v>OK</v>
      </c>
      <c r="P1353" s="8">
        <f>Table1[[#This Row],[original_price]]*Table1[[#This Row],[markdown_percentage]]/100</f>
        <v>0</v>
      </c>
      <c r="Q135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353" s="25">
        <f>Table1[[#This Row],[current_price]]*Table1[[#This Row],[stock_quantity]]</f>
        <v>481.91</v>
      </c>
    </row>
    <row r="1354" spans="1:18" x14ac:dyDescent="0.25">
      <c r="A1354" s="2" t="s">
        <v>1407</v>
      </c>
      <c r="B1354" s="2" t="s">
        <v>21</v>
      </c>
      <c r="C1354" s="2" t="s">
        <v>22</v>
      </c>
      <c r="D1354" s="2" t="s">
        <v>34</v>
      </c>
      <c r="E1354" s="2" t="s">
        <v>49</v>
      </c>
      <c r="F1354" s="2" t="s">
        <v>66</v>
      </c>
      <c r="G1354" s="8">
        <v>80.97</v>
      </c>
      <c r="H1354" s="11">
        <v>0</v>
      </c>
      <c r="I1354" s="8">
        <v>80.97</v>
      </c>
      <c r="J1354" s="3">
        <v>45875</v>
      </c>
      <c r="K1354" s="14">
        <v>13</v>
      </c>
      <c r="L1354" s="17"/>
      <c r="M1354" s="2" t="b">
        <v>0</v>
      </c>
      <c r="N1354" s="2"/>
      <c r="O1354" s="2" t="str">
        <f>IF(Table1[[#This Row],[is_returned]]=TRUE,IF(Table1[[#This Row],[return_reason]]="","Error","OK"),"OK")</f>
        <v>OK</v>
      </c>
      <c r="P1354" s="8">
        <f>Table1[[#This Row],[original_price]]*Table1[[#This Row],[markdown_percentage]]/100</f>
        <v>0</v>
      </c>
      <c r="Q135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354" s="25">
        <f>Table1[[#This Row],[current_price]]*Table1[[#This Row],[stock_quantity]]</f>
        <v>1052.6099999999999</v>
      </c>
    </row>
    <row r="1355" spans="1:18" x14ac:dyDescent="0.25">
      <c r="A1355" s="2" t="s">
        <v>1408</v>
      </c>
      <c r="B1355" s="2" t="s">
        <v>27</v>
      </c>
      <c r="C1355" s="2" t="s">
        <v>16</v>
      </c>
      <c r="D1355" s="2" t="s">
        <v>17</v>
      </c>
      <c r="E1355" s="2"/>
      <c r="F1355" s="2" t="s">
        <v>40</v>
      </c>
      <c r="G1355" s="8">
        <v>77.680000000000007</v>
      </c>
      <c r="H1355" s="11">
        <v>29.9</v>
      </c>
      <c r="I1355" s="8">
        <v>54.45</v>
      </c>
      <c r="J1355" s="3">
        <v>45862</v>
      </c>
      <c r="K1355" s="14">
        <v>33</v>
      </c>
      <c r="L1355" s="17">
        <v>4</v>
      </c>
      <c r="M1355" s="2" t="b">
        <v>1</v>
      </c>
      <c r="N1355" s="2" t="s">
        <v>78</v>
      </c>
      <c r="O1355" s="2" t="str">
        <f>IF(Table1[[#This Row],[is_returned]]=TRUE,IF(Table1[[#This Row],[return_reason]]="","Error","OK"),"OK")</f>
        <v>OK</v>
      </c>
      <c r="P1355" s="8">
        <f>Table1[[#This Row],[original_price]]*Table1[[#This Row],[markdown_percentage]]/100</f>
        <v>23.226320000000001</v>
      </c>
      <c r="Q135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355" s="25">
        <f>Table1[[#This Row],[current_price]]*Table1[[#This Row],[stock_quantity]]</f>
        <v>1796.8500000000001</v>
      </c>
    </row>
    <row r="1356" spans="1:18" x14ac:dyDescent="0.25">
      <c r="A1356" s="2" t="s">
        <v>1409</v>
      </c>
      <c r="B1356" s="2" t="s">
        <v>21</v>
      </c>
      <c r="C1356" s="2" t="s">
        <v>32</v>
      </c>
      <c r="D1356" s="2" t="s">
        <v>62</v>
      </c>
      <c r="E1356" s="2" t="s">
        <v>49</v>
      </c>
      <c r="F1356" s="2" t="s">
        <v>46</v>
      </c>
      <c r="G1356" s="8">
        <v>117.58</v>
      </c>
      <c r="H1356" s="11">
        <v>1</v>
      </c>
      <c r="I1356" s="8">
        <v>116.4</v>
      </c>
      <c r="J1356" s="3">
        <v>45875</v>
      </c>
      <c r="K1356" s="14">
        <v>27</v>
      </c>
      <c r="L1356" s="17">
        <v>3.3</v>
      </c>
      <c r="M1356" s="2" t="b">
        <v>0</v>
      </c>
      <c r="N1356" s="2"/>
      <c r="O1356" s="2" t="str">
        <f>IF(Table1[[#This Row],[is_returned]]=TRUE,IF(Table1[[#This Row],[return_reason]]="","Error","OK"),"OK")</f>
        <v>OK</v>
      </c>
      <c r="P1356" s="8">
        <f>Table1[[#This Row],[original_price]]*Table1[[#This Row],[markdown_percentage]]/100</f>
        <v>1.1758</v>
      </c>
      <c r="Q135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356" s="25">
        <f>Table1[[#This Row],[current_price]]*Table1[[#This Row],[stock_quantity]]</f>
        <v>3142.8</v>
      </c>
    </row>
    <row r="1357" spans="1:18" x14ac:dyDescent="0.25">
      <c r="A1357" s="2" t="s">
        <v>1410</v>
      </c>
      <c r="B1357" s="2" t="s">
        <v>15</v>
      </c>
      <c r="C1357" s="2" t="s">
        <v>43</v>
      </c>
      <c r="D1357" s="2" t="s">
        <v>34</v>
      </c>
      <c r="E1357" s="2" t="s">
        <v>18</v>
      </c>
      <c r="F1357" s="2" t="s">
        <v>44</v>
      </c>
      <c r="G1357" s="8">
        <v>130.09</v>
      </c>
      <c r="H1357" s="11">
        <v>28.3</v>
      </c>
      <c r="I1357" s="8">
        <v>93.27</v>
      </c>
      <c r="J1357" s="3">
        <v>45875</v>
      </c>
      <c r="K1357" s="14">
        <v>41</v>
      </c>
      <c r="L1357" s="17">
        <v>2.2999999999999998</v>
      </c>
      <c r="M1357" s="2" t="b">
        <v>0</v>
      </c>
      <c r="N1357" s="2"/>
      <c r="O1357" s="2" t="str">
        <f>IF(Table1[[#This Row],[is_returned]]=TRUE,IF(Table1[[#This Row],[return_reason]]="","Error","OK"),"OK")</f>
        <v>OK</v>
      </c>
      <c r="P1357" s="8">
        <f>Table1[[#This Row],[original_price]]*Table1[[#This Row],[markdown_percentage]]/100</f>
        <v>36.815469999999998</v>
      </c>
      <c r="Q135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357" s="25">
        <f>Table1[[#This Row],[current_price]]*Table1[[#This Row],[stock_quantity]]</f>
        <v>3824.0699999999997</v>
      </c>
    </row>
    <row r="1358" spans="1:18" x14ac:dyDescent="0.25">
      <c r="A1358" s="2" t="s">
        <v>1411</v>
      </c>
      <c r="B1358" s="2" t="s">
        <v>21</v>
      </c>
      <c r="C1358" s="2" t="s">
        <v>22</v>
      </c>
      <c r="D1358" s="2" t="s">
        <v>34</v>
      </c>
      <c r="E1358" s="2" t="s">
        <v>55</v>
      </c>
      <c r="F1358" s="2" t="s">
        <v>66</v>
      </c>
      <c r="G1358" s="8">
        <v>63.69</v>
      </c>
      <c r="H1358" s="11">
        <v>0</v>
      </c>
      <c r="I1358" s="8">
        <v>63.69</v>
      </c>
      <c r="J1358" s="3">
        <v>45875</v>
      </c>
      <c r="K1358" s="14">
        <v>11</v>
      </c>
      <c r="L1358" s="17">
        <v>3</v>
      </c>
      <c r="M1358" s="2" t="b">
        <v>0</v>
      </c>
      <c r="N1358" s="2"/>
      <c r="O1358" s="2" t="str">
        <f>IF(Table1[[#This Row],[is_returned]]=TRUE,IF(Table1[[#This Row],[return_reason]]="","Error","OK"),"OK")</f>
        <v>OK</v>
      </c>
      <c r="P1358" s="8">
        <f>Table1[[#This Row],[original_price]]*Table1[[#This Row],[markdown_percentage]]/100</f>
        <v>0</v>
      </c>
      <c r="Q135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358" s="25">
        <f>Table1[[#This Row],[current_price]]*Table1[[#This Row],[stock_quantity]]</f>
        <v>700.58999999999992</v>
      </c>
    </row>
    <row r="1359" spans="1:18" x14ac:dyDescent="0.25">
      <c r="A1359" s="2" t="s">
        <v>1412</v>
      </c>
      <c r="B1359" s="2" t="s">
        <v>15</v>
      </c>
      <c r="C1359" s="2" t="s">
        <v>32</v>
      </c>
      <c r="D1359" s="2" t="s">
        <v>17</v>
      </c>
      <c r="E1359" s="2" t="s">
        <v>18</v>
      </c>
      <c r="F1359" s="2" t="s">
        <v>19</v>
      </c>
      <c r="G1359" s="8">
        <v>135.02000000000001</v>
      </c>
      <c r="H1359" s="11">
        <v>0</v>
      </c>
      <c r="I1359" s="8">
        <v>135.02000000000001</v>
      </c>
      <c r="J1359" s="3">
        <v>45868</v>
      </c>
      <c r="K1359" s="14">
        <v>25</v>
      </c>
      <c r="L1359" s="17">
        <v>3.4</v>
      </c>
      <c r="M1359" s="2" t="b">
        <v>1</v>
      </c>
      <c r="N1359" s="2" t="s">
        <v>115</v>
      </c>
      <c r="O1359" s="2" t="str">
        <f>IF(Table1[[#This Row],[is_returned]]=TRUE,IF(Table1[[#This Row],[return_reason]]="","Error","OK"),"OK")</f>
        <v>OK</v>
      </c>
      <c r="P1359" s="8">
        <f>Table1[[#This Row],[original_price]]*Table1[[#This Row],[markdown_percentage]]/100</f>
        <v>0</v>
      </c>
      <c r="Q135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359" s="25">
        <f>Table1[[#This Row],[current_price]]*Table1[[#This Row],[stock_quantity]]</f>
        <v>3375.5000000000005</v>
      </c>
    </row>
    <row r="1360" spans="1:18" x14ac:dyDescent="0.25">
      <c r="A1360" s="2" t="s">
        <v>1413</v>
      </c>
      <c r="B1360" s="2" t="s">
        <v>27</v>
      </c>
      <c r="C1360" s="2" t="s">
        <v>48</v>
      </c>
      <c r="D1360" s="2" t="s">
        <v>23</v>
      </c>
      <c r="E1360" s="2"/>
      <c r="F1360" s="2" t="s">
        <v>56</v>
      </c>
      <c r="G1360" s="8">
        <v>45.37</v>
      </c>
      <c r="H1360" s="11">
        <v>0</v>
      </c>
      <c r="I1360" s="8">
        <v>45.37</v>
      </c>
      <c r="J1360" s="3">
        <v>45875</v>
      </c>
      <c r="K1360" s="14">
        <v>19</v>
      </c>
      <c r="L1360" s="17">
        <v>1.1000000000000001</v>
      </c>
      <c r="M1360" s="2" t="b">
        <v>0</v>
      </c>
      <c r="N1360" s="2"/>
      <c r="O1360" s="2" t="str">
        <f>IF(Table1[[#This Row],[is_returned]]=TRUE,IF(Table1[[#This Row],[return_reason]]="","Error","OK"),"OK")</f>
        <v>OK</v>
      </c>
      <c r="P1360" s="8">
        <f>Table1[[#This Row],[original_price]]*Table1[[#This Row],[markdown_percentage]]/100</f>
        <v>0</v>
      </c>
      <c r="Q136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360" s="25">
        <f>Table1[[#This Row],[current_price]]*Table1[[#This Row],[stock_quantity]]</f>
        <v>862.03</v>
      </c>
    </row>
    <row r="1361" spans="1:18" x14ac:dyDescent="0.25">
      <c r="A1361" s="2" t="s">
        <v>1414</v>
      </c>
      <c r="B1361" s="2" t="s">
        <v>38</v>
      </c>
      <c r="C1361" s="2" t="s">
        <v>16</v>
      </c>
      <c r="D1361" s="2" t="s">
        <v>23</v>
      </c>
      <c r="E1361" s="2" t="s">
        <v>18</v>
      </c>
      <c r="F1361" s="2" t="s">
        <v>70</v>
      </c>
      <c r="G1361" s="8">
        <v>51.17</v>
      </c>
      <c r="H1361" s="11">
        <v>8</v>
      </c>
      <c r="I1361" s="8">
        <v>47.08</v>
      </c>
      <c r="J1361" s="3">
        <v>45875</v>
      </c>
      <c r="K1361" s="14">
        <v>7</v>
      </c>
      <c r="L1361" s="17"/>
      <c r="M1361" s="2" t="b">
        <v>0</v>
      </c>
      <c r="N1361" s="2"/>
      <c r="O1361" s="2" t="str">
        <f>IF(Table1[[#This Row],[is_returned]]=TRUE,IF(Table1[[#This Row],[return_reason]]="","Error","OK"),"OK")</f>
        <v>OK</v>
      </c>
      <c r="P1361" s="8">
        <f>Table1[[#This Row],[original_price]]*Table1[[#This Row],[markdown_percentage]]/100</f>
        <v>4.0936000000000003</v>
      </c>
      <c r="Q136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361" s="25">
        <f>Table1[[#This Row],[current_price]]*Table1[[#This Row],[stock_quantity]]</f>
        <v>329.56</v>
      </c>
    </row>
    <row r="1362" spans="1:18" x14ac:dyDescent="0.25">
      <c r="A1362" s="2" t="s">
        <v>1415</v>
      </c>
      <c r="B1362" s="2" t="s">
        <v>42</v>
      </c>
      <c r="C1362" s="2" t="s">
        <v>75</v>
      </c>
      <c r="D1362" s="2" t="s">
        <v>62</v>
      </c>
      <c r="E1362" s="2" t="s">
        <v>49</v>
      </c>
      <c r="F1362" s="2" t="s">
        <v>70</v>
      </c>
      <c r="G1362" s="8">
        <v>49.34</v>
      </c>
      <c r="H1362" s="11">
        <v>5.5</v>
      </c>
      <c r="I1362" s="8">
        <v>46.63</v>
      </c>
      <c r="J1362" s="3">
        <v>45875</v>
      </c>
      <c r="K1362" s="14">
        <v>10</v>
      </c>
      <c r="L1362" s="17">
        <v>4.3</v>
      </c>
      <c r="M1362" s="2" t="b">
        <v>0</v>
      </c>
      <c r="N1362" s="2"/>
      <c r="O1362" s="2" t="str">
        <f>IF(Table1[[#This Row],[is_returned]]=TRUE,IF(Table1[[#This Row],[return_reason]]="","Error","OK"),"OK")</f>
        <v>OK</v>
      </c>
      <c r="P1362" s="8">
        <f>Table1[[#This Row],[original_price]]*Table1[[#This Row],[markdown_percentage]]/100</f>
        <v>2.7137000000000002</v>
      </c>
      <c r="Q136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362" s="25">
        <f>Table1[[#This Row],[current_price]]*Table1[[#This Row],[stock_quantity]]</f>
        <v>466.3</v>
      </c>
    </row>
    <row r="1363" spans="1:18" x14ac:dyDescent="0.25">
      <c r="A1363" s="2" t="s">
        <v>1416</v>
      </c>
      <c r="B1363" s="2" t="s">
        <v>30</v>
      </c>
      <c r="C1363" s="2" t="s">
        <v>22</v>
      </c>
      <c r="D1363" s="2" t="s">
        <v>17</v>
      </c>
      <c r="E1363" s="2" t="s">
        <v>39</v>
      </c>
      <c r="F1363" s="2" t="s">
        <v>46</v>
      </c>
      <c r="G1363" s="8">
        <v>119.78</v>
      </c>
      <c r="H1363" s="11">
        <v>0</v>
      </c>
      <c r="I1363" s="8">
        <v>119.78</v>
      </c>
      <c r="J1363" s="3">
        <v>45818</v>
      </c>
      <c r="K1363" s="14">
        <v>40</v>
      </c>
      <c r="L1363" s="17"/>
      <c r="M1363" s="2" t="b">
        <v>0</v>
      </c>
      <c r="N1363" s="2"/>
      <c r="O1363" s="2" t="str">
        <f>IF(Table1[[#This Row],[is_returned]]=TRUE,IF(Table1[[#This Row],[return_reason]]="","Error","OK"),"OK")</f>
        <v>OK</v>
      </c>
      <c r="P1363" s="8">
        <f>Table1[[#This Row],[original_price]]*Table1[[#This Row],[markdown_percentage]]/100</f>
        <v>0</v>
      </c>
      <c r="Q136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363" s="25">
        <f>Table1[[#This Row],[current_price]]*Table1[[#This Row],[stock_quantity]]</f>
        <v>4791.2</v>
      </c>
    </row>
    <row r="1364" spans="1:18" x14ac:dyDescent="0.25">
      <c r="A1364" s="2" t="s">
        <v>1417</v>
      </c>
      <c r="B1364" s="2" t="s">
        <v>21</v>
      </c>
      <c r="C1364" s="2" t="s">
        <v>32</v>
      </c>
      <c r="D1364" s="2" t="s">
        <v>17</v>
      </c>
      <c r="E1364" s="2" t="s">
        <v>39</v>
      </c>
      <c r="F1364" s="2" t="s">
        <v>40</v>
      </c>
      <c r="G1364" s="8">
        <v>77.3</v>
      </c>
      <c r="H1364" s="11">
        <v>35.1</v>
      </c>
      <c r="I1364" s="8">
        <v>50.17</v>
      </c>
      <c r="J1364" s="3">
        <v>45864</v>
      </c>
      <c r="K1364" s="14">
        <v>16</v>
      </c>
      <c r="L1364" s="17"/>
      <c r="M1364" s="2" t="b">
        <v>0</v>
      </c>
      <c r="N1364" s="2"/>
      <c r="O1364" s="2" t="str">
        <f>IF(Table1[[#This Row],[is_returned]]=TRUE,IF(Table1[[#This Row],[return_reason]]="","Error","OK"),"OK")</f>
        <v>OK</v>
      </c>
      <c r="P1364" s="8">
        <f>Table1[[#This Row],[original_price]]*Table1[[#This Row],[markdown_percentage]]/100</f>
        <v>27.132300000000001</v>
      </c>
      <c r="Q136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364" s="25">
        <f>Table1[[#This Row],[current_price]]*Table1[[#This Row],[stock_quantity]]</f>
        <v>802.72</v>
      </c>
    </row>
    <row r="1365" spans="1:18" x14ac:dyDescent="0.25">
      <c r="A1365" s="2" t="s">
        <v>1418</v>
      </c>
      <c r="B1365" s="2" t="s">
        <v>21</v>
      </c>
      <c r="C1365" s="2" t="s">
        <v>61</v>
      </c>
      <c r="D1365" s="2" t="s">
        <v>34</v>
      </c>
      <c r="E1365" s="2" t="s">
        <v>55</v>
      </c>
      <c r="F1365" s="2" t="s">
        <v>19</v>
      </c>
      <c r="G1365" s="8">
        <v>72.69</v>
      </c>
      <c r="H1365" s="11">
        <v>0</v>
      </c>
      <c r="I1365" s="8">
        <v>72.69</v>
      </c>
      <c r="J1365" s="3">
        <v>45875</v>
      </c>
      <c r="K1365" s="14">
        <v>6</v>
      </c>
      <c r="L1365" s="17"/>
      <c r="M1365" s="2" t="b">
        <v>0</v>
      </c>
      <c r="N1365" s="2"/>
      <c r="O1365" s="2" t="str">
        <f>IF(Table1[[#This Row],[is_returned]]=TRUE,IF(Table1[[#This Row],[return_reason]]="","Error","OK"),"OK")</f>
        <v>OK</v>
      </c>
      <c r="P1365" s="8">
        <f>Table1[[#This Row],[original_price]]*Table1[[#This Row],[markdown_percentage]]/100</f>
        <v>0</v>
      </c>
      <c r="Q136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365" s="25">
        <f>Table1[[#This Row],[current_price]]*Table1[[#This Row],[stock_quantity]]</f>
        <v>436.14</v>
      </c>
    </row>
    <row r="1366" spans="1:18" x14ac:dyDescent="0.25">
      <c r="A1366" s="2" t="s">
        <v>1419</v>
      </c>
      <c r="B1366" s="2" t="s">
        <v>30</v>
      </c>
      <c r="C1366" s="2" t="s">
        <v>61</v>
      </c>
      <c r="D1366" s="2" t="s">
        <v>34</v>
      </c>
      <c r="E1366" s="2" t="s">
        <v>18</v>
      </c>
      <c r="F1366" s="2" t="s">
        <v>70</v>
      </c>
      <c r="G1366" s="8">
        <v>117.57</v>
      </c>
      <c r="H1366" s="11">
        <v>0</v>
      </c>
      <c r="I1366" s="8">
        <v>117.57</v>
      </c>
      <c r="J1366" s="3">
        <v>45875</v>
      </c>
      <c r="K1366" s="14">
        <v>30</v>
      </c>
      <c r="L1366" s="17">
        <v>4.8</v>
      </c>
      <c r="M1366" s="2" t="b">
        <v>0</v>
      </c>
      <c r="N1366" s="2"/>
      <c r="O1366" s="2" t="str">
        <f>IF(Table1[[#This Row],[is_returned]]=TRUE,IF(Table1[[#This Row],[return_reason]]="","Error","OK"),"OK")</f>
        <v>OK</v>
      </c>
      <c r="P1366" s="8">
        <f>Table1[[#This Row],[original_price]]*Table1[[#This Row],[markdown_percentage]]/100</f>
        <v>0</v>
      </c>
      <c r="Q136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366" s="25">
        <f>Table1[[#This Row],[current_price]]*Table1[[#This Row],[stock_quantity]]</f>
        <v>3527.1</v>
      </c>
    </row>
    <row r="1367" spans="1:18" x14ac:dyDescent="0.25">
      <c r="A1367" s="2" t="s">
        <v>1420</v>
      </c>
      <c r="B1367" s="2" t="s">
        <v>15</v>
      </c>
      <c r="C1367" s="2" t="s">
        <v>75</v>
      </c>
      <c r="D1367" s="2" t="s">
        <v>17</v>
      </c>
      <c r="E1367" s="2" t="s">
        <v>39</v>
      </c>
      <c r="F1367" s="2" t="s">
        <v>46</v>
      </c>
      <c r="G1367" s="8">
        <v>161.25</v>
      </c>
      <c r="H1367" s="11">
        <v>48.4</v>
      </c>
      <c r="I1367" s="8">
        <v>83.2</v>
      </c>
      <c r="J1367" s="3">
        <v>45607</v>
      </c>
      <c r="K1367" s="14">
        <v>32</v>
      </c>
      <c r="L1367" s="17"/>
      <c r="M1367" s="2" t="b">
        <v>0</v>
      </c>
      <c r="N1367" s="2"/>
      <c r="O1367" s="2" t="str">
        <f>IF(Table1[[#This Row],[is_returned]]=TRUE,IF(Table1[[#This Row],[return_reason]]="","Error","OK"),"OK")</f>
        <v>OK</v>
      </c>
      <c r="P1367" s="8">
        <f>Table1[[#This Row],[original_price]]*Table1[[#This Row],[markdown_percentage]]/100</f>
        <v>78.045000000000002</v>
      </c>
      <c r="Q136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Incorrect Price</v>
      </c>
      <c r="R1367" s="25">
        <f>Table1[[#This Row],[current_price]]*Table1[[#This Row],[stock_quantity]]</f>
        <v>2662.4</v>
      </c>
    </row>
    <row r="1368" spans="1:18" x14ac:dyDescent="0.25">
      <c r="A1368" s="2" t="s">
        <v>1421</v>
      </c>
      <c r="B1368" s="2" t="s">
        <v>30</v>
      </c>
      <c r="C1368" s="2" t="s">
        <v>53</v>
      </c>
      <c r="D1368" s="2" t="s">
        <v>34</v>
      </c>
      <c r="E1368" s="2" t="s">
        <v>39</v>
      </c>
      <c r="F1368" s="2" t="s">
        <v>66</v>
      </c>
      <c r="G1368" s="8">
        <v>158.01</v>
      </c>
      <c r="H1368" s="11">
        <v>0</v>
      </c>
      <c r="I1368" s="8">
        <v>158.01</v>
      </c>
      <c r="J1368" s="3">
        <v>45875</v>
      </c>
      <c r="K1368" s="14">
        <v>19</v>
      </c>
      <c r="L1368" s="17">
        <v>2.6</v>
      </c>
      <c r="M1368" s="2" t="b">
        <v>0</v>
      </c>
      <c r="N1368" s="2"/>
      <c r="O1368" s="2" t="str">
        <f>IF(Table1[[#This Row],[is_returned]]=TRUE,IF(Table1[[#This Row],[return_reason]]="","Error","OK"),"OK")</f>
        <v>OK</v>
      </c>
      <c r="P1368" s="8">
        <f>Table1[[#This Row],[original_price]]*Table1[[#This Row],[markdown_percentage]]/100</f>
        <v>0</v>
      </c>
      <c r="Q136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368" s="25">
        <f>Table1[[#This Row],[current_price]]*Table1[[#This Row],[stock_quantity]]</f>
        <v>3002.1899999999996</v>
      </c>
    </row>
    <row r="1369" spans="1:18" x14ac:dyDescent="0.25">
      <c r="A1369" s="2" t="s">
        <v>1422</v>
      </c>
      <c r="B1369" s="2" t="s">
        <v>21</v>
      </c>
      <c r="C1369" s="2" t="s">
        <v>53</v>
      </c>
      <c r="D1369" s="2" t="s">
        <v>62</v>
      </c>
      <c r="E1369" s="2" t="s">
        <v>24</v>
      </c>
      <c r="F1369" s="2" t="s">
        <v>44</v>
      </c>
      <c r="G1369" s="8">
        <v>60.92</v>
      </c>
      <c r="H1369" s="11">
        <v>0</v>
      </c>
      <c r="I1369" s="8">
        <v>60.92</v>
      </c>
      <c r="J1369" s="3">
        <v>45875</v>
      </c>
      <c r="K1369" s="14">
        <v>25</v>
      </c>
      <c r="L1369" s="17"/>
      <c r="M1369" s="2" t="b">
        <v>1</v>
      </c>
      <c r="N1369" s="2" t="s">
        <v>83</v>
      </c>
      <c r="O1369" s="2" t="str">
        <f>IF(Table1[[#This Row],[is_returned]]=TRUE,IF(Table1[[#This Row],[return_reason]]="","Error","OK"),"OK")</f>
        <v>OK</v>
      </c>
      <c r="P1369" s="8">
        <f>Table1[[#This Row],[original_price]]*Table1[[#This Row],[markdown_percentage]]/100</f>
        <v>0</v>
      </c>
      <c r="Q136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369" s="25">
        <f>Table1[[#This Row],[current_price]]*Table1[[#This Row],[stock_quantity]]</f>
        <v>1523</v>
      </c>
    </row>
    <row r="1370" spans="1:18" x14ac:dyDescent="0.25">
      <c r="A1370" s="2" t="s">
        <v>1423</v>
      </c>
      <c r="B1370" s="2" t="s">
        <v>30</v>
      </c>
      <c r="C1370" s="2" t="s">
        <v>48</v>
      </c>
      <c r="D1370" s="2" t="s">
        <v>62</v>
      </c>
      <c r="E1370" s="2" t="s">
        <v>18</v>
      </c>
      <c r="F1370" s="2" t="s">
        <v>40</v>
      </c>
      <c r="G1370" s="8">
        <v>122.03</v>
      </c>
      <c r="H1370" s="11">
        <v>25.2</v>
      </c>
      <c r="I1370" s="8">
        <v>91.28</v>
      </c>
      <c r="J1370" s="3">
        <v>45875</v>
      </c>
      <c r="K1370" s="14">
        <v>21</v>
      </c>
      <c r="L1370" s="17">
        <v>4.7</v>
      </c>
      <c r="M1370" s="2" t="b">
        <v>0</v>
      </c>
      <c r="N1370" s="2"/>
      <c r="O1370" s="2" t="str">
        <f>IF(Table1[[#This Row],[is_returned]]=TRUE,IF(Table1[[#This Row],[return_reason]]="","Error","OK"),"OK")</f>
        <v>OK</v>
      </c>
      <c r="P1370" s="8">
        <f>Table1[[#This Row],[original_price]]*Table1[[#This Row],[markdown_percentage]]/100</f>
        <v>30.751559999999998</v>
      </c>
      <c r="Q137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370" s="25">
        <f>Table1[[#This Row],[current_price]]*Table1[[#This Row],[stock_quantity]]</f>
        <v>1916.88</v>
      </c>
    </row>
    <row r="1371" spans="1:18" x14ac:dyDescent="0.25">
      <c r="A1371" s="2" t="s">
        <v>1424</v>
      </c>
      <c r="B1371" s="2" t="s">
        <v>30</v>
      </c>
      <c r="C1371" s="2" t="s">
        <v>43</v>
      </c>
      <c r="D1371" s="2" t="s">
        <v>17</v>
      </c>
      <c r="E1371" s="2" t="s">
        <v>39</v>
      </c>
      <c r="F1371" s="2" t="s">
        <v>70</v>
      </c>
      <c r="G1371" s="8">
        <v>109.15</v>
      </c>
      <c r="H1371" s="11">
        <v>0</v>
      </c>
      <c r="I1371" s="8">
        <v>109.15</v>
      </c>
      <c r="J1371" s="3">
        <v>45607</v>
      </c>
      <c r="K1371" s="14">
        <v>11</v>
      </c>
      <c r="L1371" s="17"/>
      <c r="M1371" s="2" t="b">
        <v>0</v>
      </c>
      <c r="N1371" s="2"/>
      <c r="O1371" s="2" t="str">
        <f>IF(Table1[[#This Row],[is_returned]]=TRUE,IF(Table1[[#This Row],[return_reason]]="","Error","OK"),"OK")</f>
        <v>OK</v>
      </c>
      <c r="P1371" s="8">
        <f>Table1[[#This Row],[original_price]]*Table1[[#This Row],[markdown_percentage]]/100</f>
        <v>0</v>
      </c>
      <c r="Q137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371" s="25">
        <f>Table1[[#This Row],[current_price]]*Table1[[#This Row],[stock_quantity]]</f>
        <v>1200.6500000000001</v>
      </c>
    </row>
    <row r="1372" spans="1:18" x14ac:dyDescent="0.25">
      <c r="A1372" s="2" t="s">
        <v>1425</v>
      </c>
      <c r="B1372" s="2" t="s">
        <v>38</v>
      </c>
      <c r="C1372" s="2" t="s">
        <v>53</v>
      </c>
      <c r="D1372" s="2" t="s">
        <v>34</v>
      </c>
      <c r="E1372" s="2" t="s">
        <v>58</v>
      </c>
      <c r="F1372" s="2" t="s">
        <v>56</v>
      </c>
      <c r="G1372" s="8">
        <v>60.97</v>
      </c>
      <c r="H1372" s="11">
        <v>0</v>
      </c>
      <c r="I1372" s="8">
        <v>60.97</v>
      </c>
      <c r="J1372" s="3">
        <v>45875</v>
      </c>
      <c r="K1372" s="14">
        <v>29</v>
      </c>
      <c r="L1372" s="17">
        <v>4.5</v>
      </c>
      <c r="M1372" s="2" t="b">
        <v>0</v>
      </c>
      <c r="N1372" s="2"/>
      <c r="O1372" s="2" t="str">
        <f>IF(Table1[[#This Row],[is_returned]]=TRUE,IF(Table1[[#This Row],[return_reason]]="","Error","OK"),"OK")</f>
        <v>OK</v>
      </c>
      <c r="P1372" s="8">
        <f>Table1[[#This Row],[original_price]]*Table1[[#This Row],[markdown_percentage]]/100</f>
        <v>0</v>
      </c>
      <c r="Q137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372" s="25">
        <f>Table1[[#This Row],[current_price]]*Table1[[#This Row],[stock_quantity]]</f>
        <v>1768.1299999999999</v>
      </c>
    </row>
    <row r="1373" spans="1:18" x14ac:dyDescent="0.25">
      <c r="A1373" s="2" t="s">
        <v>1426</v>
      </c>
      <c r="B1373" s="2" t="s">
        <v>27</v>
      </c>
      <c r="C1373" s="2" t="s">
        <v>22</v>
      </c>
      <c r="D1373" s="2" t="s">
        <v>62</v>
      </c>
      <c r="E1373" s="2"/>
      <c r="F1373" s="2" t="s">
        <v>25</v>
      </c>
      <c r="G1373" s="8">
        <v>64.87</v>
      </c>
      <c r="H1373" s="11">
        <v>35.299999999999997</v>
      </c>
      <c r="I1373" s="8">
        <v>41.97</v>
      </c>
      <c r="J1373" s="3">
        <v>45875</v>
      </c>
      <c r="K1373" s="14">
        <v>12</v>
      </c>
      <c r="L1373" s="17">
        <v>4.2</v>
      </c>
      <c r="M1373" s="2" t="b">
        <v>1</v>
      </c>
      <c r="N1373" s="2" t="s">
        <v>73</v>
      </c>
      <c r="O1373" s="2" t="str">
        <f>IF(Table1[[#This Row],[is_returned]]=TRUE,IF(Table1[[#This Row],[return_reason]]="","Error","OK"),"OK")</f>
        <v>OK</v>
      </c>
      <c r="P1373" s="8">
        <f>Table1[[#This Row],[original_price]]*Table1[[#This Row],[markdown_percentage]]/100</f>
        <v>22.89911</v>
      </c>
      <c r="Q137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373" s="25">
        <f>Table1[[#This Row],[current_price]]*Table1[[#This Row],[stock_quantity]]</f>
        <v>503.64</v>
      </c>
    </row>
    <row r="1374" spans="1:18" x14ac:dyDescent="0.25">
      <c r="A1374" s="2" t="s">
        <v>1427</v>
      </c>
      <c r="B1374" s="2" t="s">
        <v>30</v>
      </c>
      <c r="C1374" s="2" t="s">
        <v>43</v>
      </c>
      <c r="D1374" s="2" t="s">
        <v>34</v>
      </c>
      <c r="E1374" s="2" t="s">
        <v>39</v>
      </c>
      <c r="F1374" s="2" t="s">
        <v>25</v>
      </c>
      <c r="G1374" s="8">
        <v>151.35</v>
      </c>
      <c r="H1374" s="11">
        <v>0</v>
      </c>
      <c r="I1374" s="8">
        <v>151.35</v>
      </c>
      <c r="J1374" s="3">
        <v>45875</v>
      </c>
      <c r="K1374" s="14">
        <v>18</v>
      </c>
      <c r="L1374" s="17"/>
      <c r="M1374" s="2" t="b">
        <v>0</v>
      </c>
      <c r="N1374" s="2"/>
      <c r="O1374" s="2" t="str">
        <f>IF(Table1[[#This Row],[is_returned]]=TRUE,IF(Table1[[#This Row],[return_reason]]="","Error","OK"),"OK")</f>
        <v>OK</v>
      </c>
      <c r="P1374" s="8">
        <f>Table1[[#This Row],[original_price]]*Table1[[#This Row],[markdown_percentage]]/100</f>
        <v>0</v>
      </c>
      <c r="Q137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374" s="25">
        <f>Table1[[#This Row],[current_price]]*Table1[[#This Row],[stock_quantity]]</f>
        <v>2724.2999999999997</v>
      </c>
    </row>
    <row r="1375" spans="1:18" x14ac:dyDescent="0.25">
      <c r="A1375" s="2" t="s">
        <v>1428</v>
      </c>
      <c r="B1375" s="2" t="s">
        <v>27</v>
      </c>
      <c r="C1375" s="2" t="s">
        <v>61</v>
      </c>
      <c r="D1375" s="2" t="s">
        <v>23</v>
      </c>
      <c r="E1375" s="2"/>
      <c r="F1375" s="2" t="s">
        <v>44</v>
      </c>
      <c r="G1375" s="8">
        <v>72.900000000000006</v>
      </c>
      <c r="H1375" s="11">
        <v>44</v>
      </c>
      <c r="I1375" s="8">
        <v>40.82</v>
      </c>
      <c r="J1375" s="3">
        <v>45875</v>
      </c>
      <c r="K1375" s="14">
        <v>25</v>
      </c>
      <c r="L1375" s="17">
        <v>3</v>
      </c>
      <c r="M1375" s="2" t="b">
        <v>0</v>
      </c>
      <c r="N1375" s="2"/>
      <c r="O1375" s="2" t="str">
        <f>IF(Table1[[#This Row],[is_returned]]=TRUE,IF(Table1[[#This Row],[return_reason]]="","Error","OK"),"OK")</f>
        <v>OK</v>
      </c>
      <c r="P1375" s="8">
        <f>Table1[[#This Row],[original_price]]*Table1[[#This Row],[markdown_percentage]]/100</f>
        <v>32.076000000000001</v>
      </c>
      <c r="Q137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375" s="25">
        <f>Table1[[#This Row],[current_price]]*Table1[[#This Row],[stock_quantity]]</f>
        <v>1020.5</v>
      </c>
    </row>
    <row r="1376" spans="1:18" x14ac:dyDescent="0.25">
      <c r="A1376" s="2" t="s">
        <v>1429</v>
      </c>
      <c r="B1376" s="2" t="s">
        <v>27</v>
      </c>
      <c r="C1376" s="2" t="s">
        <v>61</v>
      </c>
      <c r="D1376" s="2" t="s">
        <v>23</v>
      </c>
      <c r="E1376" s="2"/>
      <c r="F1376" s="2" t="s">
        <v>66</v>
      </c>
      <c r="G1376" s="8">
        <v>79.48</v>
      </c>
      <c r="H1376" s="11">
        <v>0</v>
      </c>
      <c r="I1376" s="8">
        <v>79.48</v>
      </c>
      <c r="J1376" s="3">
        <v>45875</v>
      </c>
      <c r="K1376" s="14">
        <v>2</v>
      </c>
      <c r="L1376" s="17">
        <v>3.3</v>
      </c>
      <c r="M1376" s="2" t="b">
        <v>0</v>
      </c>
      <c r="N1376" s="2"/>
      <c r="O1376" s="2" t="str">
        <f>IF(Table1[[#This Row],[is_returned]]=TRUE,IF(Table1[[#This Row],[return_reason]]="","Error","OK"),"OK")</f>
        <v>OK</v>
      </c>
      <c r="P1376" s="8">
        <f>Table1[[#This Row],[original_price]]*Table1[[#This Row],[markdown_percentage]]/100</f>
        <v>0</v>
      </c>
      <c r="Q137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376" s="25">
        <f>Table1[[#This Row],[current_price]]*Table1[[#This Row],[stock_quantity]]</f>
        <v>158.96</v>
      </c>
    </row>
    <row r="1377" spans="1:18" x14ac:dyDescent="0.25">
      <c r="A1377" s="2" t="s">
        <v>1430</v>
      </c>
      <c r="B1377" s="2" t="s">
        <v>30</v>
      </c>
      <c r="C1377" s="2" t="s">
        <v>43</v>
      </c>
      <c r="D1377" s="2" t="s">
        <v>34</v>
      </c>
      <c r="E1377" s="2" t="s">
        <v>58</v>
      </c>
      <c r="F1377" s="2" t="s">
        <v>56</v>
      </c>
      <c r="G1377" s="8">
        <v>122.77</v>
      </c>
      <c r="H1377" s="11">
        <v>59.8</v>
      </c>
      <c r="I1377" s="8">
        <v>49.35</v>
      </c>
      <c r="J1377" s="3">
        <v>45875</v>
      </c>
      <c r="K1377" s="14">
        <v>33</v>
      </c>
      <c r="L1377" s="17">
        <v>4</v>
      </c>
      <c r="M1377" s="2" t="b">
        <v>0</v>
      </c>
      <c r="N1377" s="2"/>
      <c r="O1377" s="2" t="str">
        <f>IF(Table1[[#This Row],[is_returned]]=TRUE,IF(Table1[[#This Row],[return_reason]]="","Error","OK"),"OK")</f>
        <v>OK</v>
      </c>
      <c r="P1377" s="8">
        <f>Table1[[#This Row],[original_price]]*Table1[[#This Row],[markdown_percentage]]/100</f>
        <v>73.416460000000001</v>
      </c>
      <c r="Q137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377" s="25">
        <f>Table1[[#This Row],[current_price]]*Table1[[#This Row],[stock_quantity]]</f>
        <v>1628.55</v>
      </c>
    </row>
    <row r="1378" spans="1:18" x14ac:dyDescent="0.25">
      <c r="A1378" s="2" t="s">
        <v>1431</v>
      </c>
      <c r="B1378" s="2" t="s">
        <v>38</v>
      </c>
      <c r="C1378" s="2" t="s">
        <v>75</v>
      </c>
      <c r="D1378" s="2" t="s">
        <v>62</v>
      </c>
      <c r="E1378" s="2" t="s">
        <v>18</v>
      </c>
      <c r="F1378" s="2" t="s">
        <v>28</v>
      </c>
      <c r="G1378" s="8">
        <v>79.61</v>
      </c>
      <c r="H1378" s="11">
        <v>0</v>
      </c>
      <c r="I1378" s="8">
        <v>79.61</v>
      </c>
      <c r="J1378" s="3">
        <v>45875</v>
      </c>
      <c r="K1378" s="14">
        <v>29</v>
      </c>
      <c r="L1378" s="17">
        <v>3.7</v>
      </c>
      <c r="M1378" s="2" t="b">
        <v>0</v>
      </c>
      <c r="N1378" s="2"/>
      <c r="O1378" s="2" t="str">
        <f>IF(Table1[[#This Row],[is_returned]]=TRUE,IF(Table1[[#This Row],[return_reason]]="","Error","OK"),"OK")</f>
        <v>OK</v>
      </c>
      <c r="P1378" s="8">
        <f>Table1[[#This Row],[original_price]]*Table1[[#This Row],[markdown_percentage]]/100</f>
        <v>0</v>
      </c>
      <c r="Q137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378" s="25">
        <f>Table1[[#This Row],[current_price]]*Table1[[#This Row],[stock_quantity]]</f>
        <v>2308.69</v>
      </c>
    </row>
    <row r="1379" spans="1:18" x14ac:dyDescent="0.25">
      <c r="A1379" s="2" t="s">
        <v>1432</v>
      </c>
      <c r="B1379" s="2" t="s">
        <v>38</v>
      </c>
      <c r="C1379" s="2" t="s">
        <v>22</v>
      </c>
      <c r="D1379" s="2" t="s">
        <v>23</v>
      </c>
      <c r="E1379" s="2" t="s">
        <v>24</v>
      </c>
      <c r="F1379" s="2" t="s">
        <v>35</v>
      </c>
      <c r="G1379" s="8">
        <v>60.13</v>
      </c>
      <c r="H1379" s="11">
        <v>0</v>
      </c>
      <c r="I1379" s="8">
        <v>60.13</v>
      </c>
      <c r="J1379" s="3">
        <v>45875</v>
      </c>
      <c r="K1379" s="14">
        <v>27</v>
      </c>
      <c r="L1379" s="17"/>
      <c r="M1379" s="2" t="b">
        <v>0</v>
      </c>
      <c r="N1379" s="2"/>
      <c r="O1379" s="2" t="str">
        <f>IF(Table1[[#This Row],[is_returned]]=TRUE,IF(Table1[[#This Row],[return_reason]]="","Error","OK"),"OK")</f>
        <v>OK</v>
      </c>
      <c r="P1379" s="8">
        <f>Table1[[#This Row],[original_price]]*Table1[[#This Row],[markdown_percentage]]/100</f>
        <v>0</v>
      </c>
      <c r="Q137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379" s="25">
        <f>Table1[[#This Row],[current_price]]*Table1[[#This Row],[stock_quantity]]</f>
        <v>1623.51</v>
      </c>
    </row>
    <row r="1380" spans="1:18" x14ac:dyDescent="0.25">
      <c r="A1380" s="2" t="s">
        <v>1433</v>
      </c>
      <c r="B1380" s="2" t="s">
        <v>27</v>
      </c>
      <c r="C1380" s="2" t="s">
        <v>61</v>
      </c>
      <c r="D1380" s="2" t="s">
        <v>23</v>
      </c>
      <c r="E1380" s="2"/>
      <c r="F1380" s="2" t="s">
        <v>40</v>
      </c>
      <c r="G1380" s="8">
        <v>72.260000000000005</v>
      </c>
      <c r="H1380" s="11">
        <v>41</v>
      </c>
      <c r="I1380" s="8">
        <v>42.63</v>
      </c>
      <c r="J1380" s="3">
        <v>45875</v>
      </c>
      <c r="K1380" s="14">
        <v>43</v>
      </c>
      <c r="L1380" s="17">
        <v>3.5</v>
      </c>
      <c r="M1380" s="2" t="b">
        <v>0</v>
      </c>
      <c r="N1380" s="2"/>
      <c r="O1380" s="2" t="str">
        <f>IF(Table1[[#This Row],[is_returned]]=TRUE,IF(Table1[[#This Row],[return_reason]]="","Error","OK"),"OK")</f>
        <v>OK</v>
      </c>
      <c r="P1380" s="8">
        <f>Table1[[#This Row],[original_price]]*Table1[[#This Row],[markdown_percentage]]/100</f>
        <v>29.626600000000003</v>
      </c>
      <c r="Q138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380" s="25">
        <f>Table1[[#This Row],[current_price]]*Table1[[#This Row],[stock_quantity]]</f>
        <v>1833.0900000000001</v>
      </c>
    </row>
    <row r="1381" spans="1:18" x14ac:dyDescent="0.25">
      <c r="A1381" s="2" t="s">
        <v>1434</v>
      </c>
      <c r="B1381" s="2" t="s">
        <v>38</v>
      </c>
      <c r="C1381" s="2" t="s">
        <v>43</v>
      </c>
      <c r="D1381" s="2" t="s">
        <v>62</v>
      </c>
      <c r="E1381" s="2" t="s">
        <v>18</v>
      </c>
      <c r="F1381" s="2" t="s">
        <v>46</v>
      </c>
      <c r="G1381" s="8">
        <v>66.38</v>
      </c>
      <c r="H1381" s="11">
        <v>17</v>
      </c>
      <c r="I1381" s="8">
        <v>55.1</v>
      </c>
      <c r="J1381" s="3">
        <v>45875</v>
      </c>
      <c r="K1381" s="14">
        <v>24</v>
      </c>
      <c r="L1381" s="17">
        <v>4.9000000000000004</v>
      </c>
      <c r="M1381" s="2" t="b">
        <v>1</v>
      </c>
      <c r="N1381" s="2" t="s">
        <v>73</v>
      </c>
      <c r="O1381" s="2" t="str">
        <f>IF(Table1[[#This Row],[is_returned]]=TRUE,IF(Table1[[#This Row],[return_reason]]="","Error","OK"),"OK")</f>
        <v>OK</v>
      </c>
      <c r="P1381" s="8">
        <f>Table1[[#This Row],[original_price]]*Table1[[#This Row],[markdown_percentage]]/100</f>
        <v>11.284600000000001</v>
      </c>
      <c r="Q138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381" s="25">
        <f>Table1[[#This Row],[current_price]]*Table1[[#This Row],[stock_quantity]]</f>
        <v>1322.4</v>
      </c>
    </row>
    <row r="1382" spans="1:18" x14ac:dyDescent="0.25">
      <c r="A1382" s="2" t="s">
        <v>1435</v>
      </c>
      <c r="B1382" s="2" t="s">
        <v>15</v>
      </c>
      <c r="C1382" s="2" t="s">
        <v>53</v>
      </c>
      <c r="D1382" s="2" t="s">
        <v>17</v>
      </c>
      <c r="E1382" s="2" t="s">
        <v>55</v>
      </c>
      <c r="F1382" s="2" t="s">
        <v>56</v>
      </c>
      <c r="G1382" s="8">
        <v>100.27</v>
      </c>
      <c r="H1382" s="11">
        <v>0</v>
      </c>
      <c r="I1382" s="8">
        <v>100.27</v>
      </c>
      <c r="J1382" s="3">
        <v>45719</v>
      </c>
      <c r="K1382" s="14">
        <v>37</v>
      </c>
      <c r="L1382" s="17">
        <v>3.1</v>
      </c>
      <c r="M1382" s="2" t="b">
        <v>0</v>
      </c>
      <c r="N1382" s="2"/>
      <c r="O1382" s="2" t="str">
        <f>IF(Table1[[#This Row],[is_returned]]=TRUE,IF(Table1[[#This Row],[return_reason]]="","Error","OK"),"OK")</f>
        <v>OK</v>
      </c>
      <c r="P1382" s="8">
        <f>Table1[[#This Row],[original_price]]*Table1[[#This Row],[markdown_percentage]]/100</f>
        <v>0</v>
      </c>
      <c r="Q138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382" s="25">
        <f>Table1[[#This Row],[current_price]]*Table1[[#This Row],[stock_quantity]]</f>
        <v>3709.99</v>
      </c>
    </row>
    <row r="1383" spans="1:18" x14ac:dyDescent="0.25">
      <c r="A1383" s="2" t="s">
        <v>1436</v>
      </c>
      <c r="B1383" s="2" t="s">
        <v>42</v>
      </c>
      <c r="C1383" s="2" t="s">
        <v>16</v>
      </c>
      <c r="D1383" s="2" t="s">
        <v>62</v>
      </c>
      <c r="E1383" s="2" t="s">
        <v>39</v>
      </c>
      <c r="F1383" s="2" t="s">
        <v>56</v>
      </c>
      <c r="G1383" s="8">
        <v>116.09</v>
      </c>
      <c r="H1383" s="11">
        <v>52.8</v>
      </c>
      <c r="I1383" s="8">
        <v>54.79</v>
      </c>
      <c r="J1383" s="3">
        <v>45875</v>
      </c>
      <c r="K1383" s="14">
        <v>22</v>
      </c>
      <c r="L1383" s="17"/>
      <c r="M1383" s="2" t="b">
        <v>0</v>
      </c>
      <c r="N1383" s="2"/>
      <c r="O1383" s="2" t="str">
        <f>IF(Table1[[#This Row],[is_returned]]=TRUE,IF(Table1[[#This Row],[return_reason]]="","Error","OK"),"OK")</f>
        <v>OK</v>
      </c>
      <c r="P1383" s="8">
        <f>Table1[[#This Row],[original_price]]*Table1[[#This Row],[markdown_percentage]]/100</f>
        <v>61.295519999999996</v>
      </c>
      <c r="Q138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383" s="25">
        <f>Table1[[#This Row],[current_price]]*Table1[[#This Row],[stock_quantity]]</f>
        <v>1205.3799999999999</v>
      </c>
    </row>
    <row r="1384" spans="1:18" x14ac:dyDescent="0.25">
      <c r="A1384" s="2" t="s">
        <v>1437</v>
      </c>
      <c r="B1384" s="2" t="s">
        <v>15</v>
      </c>
      <c r="C1384" s="2" t="s">
        <v>43</v>
      </c>
      <c r="D1384" s="2" t="s">
        <v>34</v>
      </c>
      <c r="E1384" s="2" t="s">
        <v>39</v>
      </c>
      <c r="F1384" s="2" t="s">
        <v>35</v>
      </c>
      <c r="G1384" s="8">
        <v>80.709999999999994</v>
      </c>
      <c r="H1384" s="11">
        <v>0.9</v>
      </c>
      <c r="I1384" s="8">
        <v>79.98</v>
      </c>
      <c r="J1384" s="3">
        <v>45875</v>
      </c>
      <c r="K1384" s="14">
        <v>11</v>
      </c>
      <c r="L1384" s="17">
        <v>1.1000000000000001</v>
      </c>
      <c r="M1384" s="2" t="b">
        <v>0</v>
      </c>
      <c r="N1384" s="2"/>
      <c r="O1384" s="2" t="str">
        <f>IF(Table1[[#This Row],[is_returned]]=TRUE,IF(Table1[[#This Row],[return_reason]]="","Error","OK"),"OK")</f>
        <v>OK</v>
      </c>
      <c r="P1384" s="8">
        <f>Table1[[#This Row],[original_price]]*Table1[[#This Row],[markdown_percentage]]/100</f>
        <v>0.72638999999999998</v>
      </c>
      <c r="Q138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384" s="25">
        <f>Table1[[#This Row],[current_price]]*Table1[[#This Row],[stock_quantity]]</f>
        <v>879.78000000000009</v>
      </c>
    </row>
    <row r="1385" spans="1:18" x14ac:dyDescent="0.25">
      <c r="A1385" s="2" t="s">
        <v>1438</v>
      </c>
      <c r="B1385" s="2" t="s">
        <v>42</v>
      </c>
      <c r="C1385" s="2" t="s">
        <v>32</v>
      </c>
      <c r="D1385" s="2" t="s">
        <v>62</v>
      </c>
      <c r="E1385" s="2" t="s">
        <v>58</v>
      </c>
      <c r="F1385" s="2" t="s">
        <v>44</v>
      </c>
      <c r="G1385" s="8">
        <v>175.11</v>
      </c>
      <c r="H1385" s="11">
        <v>0</v>
      </c>
      <c r="I1385" s="8">
        <v>175.11</v>
      </c>
      <c r="J1385" s="3">
        <v>45875</v>
      </c>
      <c r="K1385" s="14">
        <v>39</v>
      </c>
      <c r="L1385" s="17">
        <v>2.9</v>
      </c>
      <c r="M1385" s="2" t="b">
        <v>0</v>
      </c>
      <c r="N1385" s="2"/>
      <c r="O1385" s="2" t="str">
        <f>IF(Table1[[#This Row],[is_returned]]=TRUE,IF(Table1[[#This Row],[return_reason]]="","Error","OK"),"OK")</f>
        <v>OK</v>
      </c>
      <c r="P1385" s="8">
        <f>Table1[[#This Row],[original_price]]*Table1[[#This Row],[markdown_percentage]]/100</f>
        <v>0</v>
      </c>
      <c r="Q138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385" s="25">
        <f>Table1[[#This Row],[current_price]]*Table1[[#This Row],[stock_quantity]]</f>
        <v>6829.2900000000009</v>
      </c>
    </row>
    <row r="1386" spans="1:18" x14ac:dyDescent="0.25">
      <c r="A1386" s="2" t="s">
        <v>1439</v>
      </c>
      <c r="B1386" s="2" t="s">
        <v>42</v>
      </c>
      <c r="C1386" s="2" t="s">
        <v>43</v>
      </c>
      <c r="D1386" s="2" t="s">
        <v>34</v>
      </c>
      <c r="E1386" s="2" t="s">
        <v>55</v>
      </c>
      <c r="F1386" s="2" t="s">
        <v>70</v>
      </c>
      <c r="G1386" s="8">
        <v>122.35</v>
      </c>
      <c r="H1386" s="11">
        <v>37</v>
      </c>
      <c r="I1386" s="8">
        <v>77.08</v>
      </c>
      <c r="J1386" s="3">
        <v>45875</v>
      </c>
      <c r="K1386" s="14">
        <v>25</v>
      </c>
      <c r="L1386" s="17"/>
      <c r="M1386" s="2" t="b">
        <v>0</v>
      </c>
      <c r="N1386" s="2"/>
      <c r="O1386" s="2" t="str">
        <f>IF(Table1[[#This Row],[is_returned]]=TRUE,IF(Table1[[#This Row],[return_reason]]="","Error","OK"),"OK")</f>
        <v>OK</v>
      </c>
      <c r="P1386" s="8">
        <f>Table1[[#This Row],[original_price]]*Table1[[#This Row],[markdown_percentage]]/100</f>
        <v>45.269500000000001</v>
      </c>
      <c r="Q138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386" s="25">
        <f>Table1[[#This Row],[current_price]]*Table1[[#This Row],[stock_quantity]]</f>
        <v>1927</v>
      </c>
    </row>
    <row r="1387" spans="1:18" x14ac:dyDescent="0.25">
      <c r="A1387" s="2" t="s">
        <v>1440</v>
      </c>
      <c r="B1387" s="2" t="s">
        <v>30</v>
      </c>
      <c r="C1387" s="2" t="s">
        <v>22</v>
      </c>
      <c r="D1387" s="2" t="s">
        <v>23</v>
      </c>
      <c r="E1387" s="2" t="s">
        <v>39</v>
      </c>
      <c r="F1387" s="2" t="s">
        <v>44</v>
      </c>
      <c r="G1387" s="8">
        <v>127.99</v>
      </c>
      <c r="H1387" s="11">
        <v>0</v>
      </c>
      <c r="I1387" s="8">
        <v>127.99</v>
      </c>
      <c r="J1387" s="3">
        <v>45875</v>
      </c>
      <c r="K1387" s="14">
        <v>14</v>
      </c>
      <c r="L1387" s="17">
        <v>2.7</v>
      </c>
      <c r="M1387" s="2" t="b">
        <v>0</v>
      </c>
      <c r="N1387" s="2"/>
      <c r="O1387" s="2" t="str">
        <f>IF(Table1[[#This Row],[is_returned]]=TRUE,IF(Table1[[#This Row],[return_reason]]="","Error","OK"),"OK")</f>
        <v>OK</v>
      </c>
      <c r="P1387" s="8">
        <f>Table1[[#This Row],[original_price]]*Table1[[#This Row],[markdown_percentage]]/100</f>
        <v>0</v>
      </c>
      <c r="Q138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387" s="25">
        <f>Table1[[#This Row],[current_price]]*Table1[[#This Row],[stock_quantity]]</f>
        <v>1791.86</v>
      </c>
    </row>
    <row r="1388" spans="1:18" x14ac:dyDescent="0.25">
      <c r="A1388" s="2" t="s">
        <v>1441</v>
      </c>
      <c r="B1388" s="2" t="s">
        <v>38</v>
      </c>
      <c r="C1388" s="2" t="s">
        <v>16</v>
      </c>
      <c r="D1388" s="2" t="s">
        <v>62</v>
      </c>
      <c r="E1388" s="2" t="s">
        <v>39</v>
      </c>
      <c r="F1388" s="2" t="s">
        <v>70</v>
      </c>
      <c r="G1388" s="8">
        <v>101.07</v>
      </c>
      <c r="H1388" s="11">
        <v>4.5999999999999996</v>
      </c>
      <c r="I1388" s="8">
        <v>96.42</v>
      </c>
      <c r="J1388" s="3">
        <v>45875</v>
      </c>
      <c r="K1388" s="14">
        <v>19</v>
      </c>
      <c r="L1388" s="17">
        <v>4.7</v>
      </c>
      <c r="M1388" s="2" t="b">
        <v>0</v>
      </c>
      <c r="N1388" s="2"/>
      <c r="O1388" s="2" t="str">
        <f>IF(Table1[[#This Row],[is_returned]]=TRUE,IF(Table1[[#This Row],[return_reason]]="","Error","OK"),"OK")</f>
        <v>OK</v>
      </c>
      <c r="P1388" s="8">
        <f>Table1[[#This Row],[original_price]]*Table1[[#This Row],[markdown_percentage]]/100</f>
        <v>4.6492199999999988</v>
      </c>
      <c r="Q138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388" s="25">
        <f>Table1[[#This Row],[current_price]]*Table1[[#This Row],[stock_quantity]]</f>
        <v>1831.98</v>
      </c>
    </row>
    <row r="1389" spans="1:18" x14ac:dyDescent="0.25">
      <c r="A1389" s="2" t="s">
        <v>1442</v>
      </c>
      <c r="B1389" s="2" t="s">
        <v>38</v>
      </c>
      <c r="C1389" s="2" t="s">
        <v>75</v>
      </c>
      <c r="D1389" s="2" t="s">
        <v>23</v>
      </c>
      <c r="E1389" s="2" t="s">
        <v>24</v>
      </c>
      <c r="F1389" s="2" t="s">
        <v>70</v>
      </c>
      <c r="G1389" s="8">
        <v>41.83</v>
      </c>
      <c r="H1389" s="11">
        <v>44.1</v>
      </c>
      <c r="I1389" s="8">
        <v>23.38</v>
      </c>
      <c r="J1389" s="3">
        <v>45875</v>
      </c>
      <c r="K1389" s="14">
        <v>6</v>
      </c>
      <c r="L1389" s="17">
        <v>2.4</v>
      </c>
      <c r="M1389" s="2" t="b">
        <v>0</v>
      </c>
      <c r="N1389" s="2"/>
      <c r="O1389" s="2" t="str">
        <f>IF(Table1[[#This Row],[is_returned]]=TRUE,IF(Table1[[#This Row],[return_reason]]="","Error","OK"),"OK")</f>
        <v>OK</v>
      </c>
      <c r="P1389" s="8">
        <f>Table1[[#This Row],[original_price]]*Table1[[#This Row],[markdown_percentage]]/100</f>
        <v>18.447029999999998</v>
      </c>
      <c r="Q138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389" s="25">
        <f>Table1[[#This Row],[current_price]]*Table1[[#This Row],[stock_quantity]]</f>
        <v>140.28</v>
      </c>
    </row>
    <row r="1390" spans="1:18" x14ac:dyDescent="0.25">
      <c r="A1390" s="2" t="s">
        <v>1443</v>
      </c>
      <c r="B1390" s="2" t="s">
        <v>30</v>
      </c>
      <c r="C1390" s="2" t="s">
        <v>48</v>
      </c>
      <c r="D1390" s="2" t="s">
        <v>17</v>
      </c>
      <c r="E1390" s="2" t="s">
        <v>58</v>
      </c>
      <c r="F1390" s="2" t="s">
        <v>46</v>
      </c>
      <c r="G1390" s="8">
        <v>147.52000000000001</v>
      </c>
      <c r="H1390" s="11">
        <v>0</v>
      </c>
      <c r="I1390" s="8">
        <v>147.52000000000001</v>
      </c>
      <c r="J1390" s="3">
        <v>45665</v>
      </c>
      <c r="K1390" s="14">
        <v>41</v>
      </c>
      <c r="L1390" s="17">
        <v>4</v>
      </c>
      <c r="M1390" s="2" t="b">
        <v>0</v>
      </c>
      <c r="N1390" s="2"/>
      <c r="O1390" s="2" t="str">
        <f>IF(Table1[[#This Row],[is_returned]]=TRUE,IF(Table1[[#This Row],[return_reason]]="","Error","OK"),"OK")</f>
        <v>OK</v>
      </c>
      <c r="P1390" s="8">
        <f>Table1[[#This Row],[original_price]]*Table1[[#This Row],[markdown_percentage]]/100</f>
        <v>0</v>
      </c>
      <c r="Q139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390" s="25">
        <f>Table1[[#This Row],[current_price]]*Table1[[#This Row],[stock_quantity]]</f>
        <v>6048.3200000000006</v>
      </c>
    </row>
    <row r="1391" spans="1:18" x14ac:dyDescent="0.25">
      <c r="A1391" s="2" t="s">
        <v>1444</v>
      </c>
      <c r="B1391" s="2" t="s">
        <v>21</v>
      </c>
      <c r="C1391" s="2" t="s">
        <v>32</v>
      </c>
      <c r="D1391" s="2" t="s">
        <v>34</v>
      </c>
      <c r="E1391" s="2" t="s">
        <v>39</v>
      </c>
      <c r="F1391" s="2" t="s">
        <v>40</v>
      </c>
      <c r="G1391" s="8">
        <v>85.94</v>
      </c>
      <c r="H1391" s="11">
        <v>0</v>
      </c>
      <c r="I1391" s="8">
        <v>85.94</v>
      </c>
      <c r="J1391" s="3">
        <v>45875</v>
      </c>
      <c r="K1391" s="14">
        <v>49</v>
      </c>
      <c r="L1391" s="17">
        <v>1.5</v>
      </c>
      <c r="M1391" s="2" t="b">
        <v>0</v>
      </c>
      <c r="N1391" s="2"/>
      <c r="O1391" s="2" t="str">
        <f>IF(Table1[[#This Row],[is_returned]]=TRUE,IF(Table1[[#This Row],[return_reason]]="","Error","OK"),"OK")</f>
        <v>OK</v>
      </c>
      <c r="P1391" s="8">
        <f>Table1[[#This Row],[original_price]]*Table1[[#This Row],[markdown_percentage]]/100</f>
        <v>0</v>
      </c>
      <c r="Q139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391" s="25">
        <f>Table1[[#This Row],[current_price]]*Table1[[#This Row],[stock_quantity]]</f>
        <v>4211.0599999999995</v>
      </c>
    </row>
    <row r="1392" spans="1:18" x14ac:dyDescent="0.25">
      <c r="A1392" s="2" t="s">
        <v>1445</v>
      </c>
      <c r="B1392" s="2" t="s">
        <v>42</v>
      </c>
      <c r="C1392" s="2" t="s">
        <v>61</v>
      </c>
      <c r="D1392" s="2" t="s">
        <v>23</v>
      </c>
      <c r="E1392" s="2" t="s">
        <v>49</v>
      </c>
      <c r="F1392" s="2" t="s">
        <v>46</v>
      </c>
      <c r="G1392" s="8">
        <v>115.61</v>
      </c>
      <c r="H1392" s="11">
        <v>0</v>
      </c>
      <c r="I1392" s="8">
        <v>115.61</v>
      </c>
      <c r="J1392" s="3">
        <v>45875</v>
      </c>
      <c r="K1392" s="14">
        <v>35</v>
      </c>
      <c r="L1392" s="17">
        <v>1.8</v>
      </c>
      <c r="M1392" s="2" t="b">
        <v>0</v>
      </c>
      <c r="N1392" s="2"/>
      <c r="O1392" s="2" t="str">
        <f>IF(Table1[[#This Row],[is_returned]]=TRUE,IF(Table1[[#This Row],[return_reason]]="","Error","OK"),"OK")</f>
        <v>OK</v>
      </c>
      <c r="P1392" s="8">
        <f>Table1[[#This Row],[original_price]]*Table1[[#This Row],[markdown_percentage]]/100</f>
        <v>0</v>
      </c>
      <c r="Q139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392" s="25">
        <f>Table1[[#This Row],[current_price]]*Table1[[#This Row],[stock_quantity]]</f>
        <v>4046.35</v>
      </c>
    </row>
    <row r="1393" spans="1:18" x14ac:dyDescent="0.25">
      <c r="A1393" s="2" t="s">
        <v>1446</v>
      </c>
      <c r="B1393" s="2" t="s">
        <v>15</v>
      </c>
      <c r="C1393" s="2" t="s">
        <v>53</v>
      </c>
      <c r="D1393" s="2" t="s">
        <v>23</v>
      </c>
      <c r="E1393" s="2" t="s">
        <v>55</v>
      </c>
      <c r="F1393" s="2" t="s">
        <v>25</v>
      </c>
      <c r="G1393" s="8">
        <v>90.58</v>
      </c>
      <c r="H1393" s="11">
        <v>0</v>
      </c>
      <c r="I1393" s="8">
        <v>90.58</v>
      </c>
      <c r="J1393" s="3">
        <v>45875</v>
      </c>
      <c r="K1393" s="14">
        <v>1</v>
      </c>
      <c r="L1393" s="17">
        <v>1</v>
      </c>
      <c r="M1393" s="2" t="b">
        <v>0</v>
      </c>
      <c r="N1393" s="2"/>
      <c r="O1393" s="2" t="str">
        <f>IF(Table1[[#This Row],[is_returned]]=TRUE,IF(Table1[[#This Row],[return_reason]]="","Error","OK"),"OK")</f>
        <v>OK</v>
      </c>
      <c r="P1393" s="8">
        <f>Table1[[#This Row],[original_price]]*Table1[[#This Row],[markdown_percentage]]/100</f>
        <v>0</v>
      </c>
      <c r="Q139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393" s="25">
        <f>Table1[[#This Row],[current_price]]*Table1[[#This Row],[stock_quantity]]</f>
        <v>90.58</v>
      </c>
    </row>
    <row r="1394" spans="1:18" x14ac:dyDescent="0.25">
      <c r="A1394" s="2" t="s">
        <v>1447</v>
      </c>
      <c r="B1394" s="2" t="s">
        <v>21</v>
      </c>
      <c r="C1394" s="2" t="s">
        <v>61</v>
      </c>
      <c r="D1394" s="2" t="s">
        <v>17</v>
      </c>
      <c r="E1394" s="2" t="s">
        <v>39</v>
      </c>
      <c r="F1394" s="2" t="s">
        <v>19</v>
      </c>
      <c r="G1394" s="8">
        <v>64.84</v>
      </c>
      <c r="H1394" s="11">
        <v>0</v>
      </c>
      <c r="I1394" s="8">
        <v>64.84</v>
      </c>
      <c r="J1394" s="3">
        <v>45591</v>
      </c>
      <c r="K1394" s="14">
        <v>25</v>
      </c>
      <c r="L1394" s="17">
        <v>3.9</v>
      </c>
      <c r="M1394" s="2" t="b">
        <v>0</v>
      </c>
      <c r="N1394" s="2"/>
      <c r="O1394" s="2" t="str">
        <f>IF(Table1[[#This Row],[is_returned]]=TRUE,IF(Table1[[#This Row],[return_reason]]="","Error","OK"),"OK")</f>
        <v>OK</v>
      </c>
      <c r="P1394" s="8">
        <f>Table1[[#This Row],[original_price]]*Table1[[#This Row],[markdown_percentage]]/100</f>
        <v>0</v>
      </c>
      <c r="Q139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394" s="25">
        <f>Table1[[#This Row],[current_price]]*Table1[[#This Row],[stock_quantity]]</f>
        <v>1621</v>
      </c>
    </row>
    <row r="1395" spans="1:18" x14ac:dyDescent="0.25">
      <c r="A1395" s="2" t="s">
        <v>1448</v>
      </c>
      <c r="B1395" s="2" t="s">
        <v>38</v>
      </c>
      <c r="C1395" s="2" t="s">
        <v>32</v>
      </c>
      <c r="D1395" s="2" t="s">
        <v>62</v>
      </c>
      <c r="E1395" s="2" t="s">
        <v>55</v>
      </c>
      <c r="F1395" s="2" t="s">
        <v>28</v>
      </c>
      <c r="G1395" s="8">
        <v>37.270000000000003</v>
      </c>
      <c r="H1395" s="11">
        <v>0</v>
      </c>
      <c r="I1395" s="8">
        <v>37.270000000000003</v>
      </c>
      <c r="J1395" s="3">
        <v>45875</v>
      </c>
      <c r="K1395" s="14">
        <v>27</v>
      </c>
      <c r="L1395" s="17">
        <v>2.8</v>
      </c>
      <c r="M1395" s="2" t="b">
        <v>1</v>
      </c>
      <c r="N1395" s="2" t="s">
        <v>115</v>
      </c>
      <c r="O1395" s="2" t="str">
        <f>IF(Table1[[#This Row],[is_returned]]=TRUE,IF(Table1[[#This Row],[return_reason]]="","Error","OK"),"OK")</f>
        <v>OK</v>
      </c>
      <c r="P1395" s="8">
        <f>Table1[[#This Row],[original_price]]*Table1[[#This Row],[markdown_percentage]]/100</f>
        <v>0</v>
      </c>
      <c r="Q139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395" s="25">
        <f>Table1[[#This Row],[current_price]]*Table1[[#This Row],[stock_quantity]]</f>
        <v>1006.2900000000001</v>
      </c>
    </row>
    <row r="1396" spans="1:18" x14ac:dyDescent="0.25">
      <c r="A1396" s="2" t="s">
        <v>1449</v>
      </c>
      <c r="B1396" s="2" t="s">
        <v>21</v>
      </c>
      <c r="C1396" s="2" t="s">
        <v>61</v>
      </c>
      <c r="D1396" s="2" t="s">
        <v>62</v>
      </c>
      <c r="E1396" s="2" t="s">
        <v>18</v>
      </c>
      <c r="F1396" s="2" t="s">
        <v>44</v>
      </c>
      <c r="G1396" s="8">
        <v>90.48</v>
      </c>
      <c r="H1396" s="11">
        <v>55.2</v>
      </c>
      <c r="I1396" s="8">
        <v>40.54</v>
      </c>
      <c r="J1396" s="3">
        <v>45875</v>
      </c>
      <c r="K1396" s="14">
        <v>26</v>
      </c>
      <c r="L1396" s="17">
        <v>3</v>
      </c>
      <c r="M1396" s="2" t="b">
        <v>0</v>
      </c>
      <c r="N1396" s="2"/>
      <c r="O1396" s="2" t="str">
        <f>IF(Table1[[#This Row],[is_returned]]=TRUE,IF(Table1[[#This Row],[return_reason]]="","Error","OK"),"OK")</f>
        <v>OK</v>
      </c>
      <c r="P1396" s="8">
        <f>Table1[[#This Row],[original_price]]*Table1[[#This Row],[markdown_percentage]]/100</f>
        <v>49.944960000000002</v>
      </c>
      <c r="Q139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396" s="25">
        <f>Table1[[#This Row],[current_price]]*Table1[[#This Row],[stock_quantity]]</f>
        <v>1054.04</v>
      </c>
    </row>
    <row r="1397" spans="1:18" x14ac:dyDescent="0.25">
      <c r="A1397" s="2" t="s">
        <v>1450</v>
      </c>
      <c r="B1397" s="2" t="s">
        <v>30</v>
      </c>
      <c r="C1397" s="2" t="s">
        <v>61</v>
      </c>
      <c r="D1397" s="2" t="s">
        <v>62</v>
      </c>
      <c r="E1397" s="2" t="s">
        <v>39</v>
      </c>
      <c r="F1397" s="2" t="s">
        <v>46</v>
      </c>
      <c r="G1397" s="8">
        <v>159.62</v>
      </c>
      <c r="H1397" s="11">
        <v>58.4</v>
      </c>
      <c r="I1397" s="8">
        <v>66.400000000000006</v>
      </c>
      <c r="J1397" s="3">
        <v>45875</v>
      </c>
      <c r="K1397" s="14">
        <v>45</v>
      </c>
      <c r="L1397" s="17">
        <v>1.1000000000000001</v>
      </c>
      <c r="M1397" s="2" t="b">
        <v>0</v>
      </c>
      <c r="N1397" s="2"/>
      <c r="O1397" s="2" t="str">
        <f>IF(Table1[[#This Row],[is_returned]]=TRUE,IF(Table1[[#This Row],[return_reason]]="","Error","OK"),"OK")</f>
        <v>OK</v>
      </c>
      <c r="P1397" s="8">
        <f>Table1[[#This Row],[original_price]]*Table1[[#This Row],[markdown_percentage]]/100</f>
        <v>93.218080000000015</v>
      </c>
      <c r="Q139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397" s="25">
        <f>Table1[[#This Row],[current_price]]*Table1[[#This Row],[stock_quantity]]</f>
        <v>2988.0000000000005</v>
      </c>
    </row>
    <row r="1398" spans="1:18" x14ac:dyDescent="0.25">
      <c r="A1398" s="2" t="s">
        <v>1451</v>
      </c>
      <c r="B1398" s="2" t="s">
        <v>30</v>
      </c>
      <c r="C1398" s="2" t="s">
        <v>53</v>
      </c>
      <c r="D1398" s="2" t="s">
        <v>62</v>
      </c>
      <c r="E1398" s="2" t="s">
        <v>24</v>
      </c>
      <c r="F1398" s="2" t="s">
        <v>40</v>
      </c>
      <c r="G1398" s="8">
        <v>81.459999999999994</v>
      </c>
      <c r="H1398" s="11">
        <v>58.8</v>
      </c>
      <c r="I1398" s="8">
        <v>33.56</v>
      </c>
      <c r="J1398" s="3">
        <v>45875</v>
      </c>
      <c r="K1398" s="14">
        <v>37</v>
      </c>
      <c r="L1398" s="17">
        <v>4.5999999999999996</v>
      </c>
      <c r="M1398" s="2" t="b">
        <v>0</v>
      </c>
      <c r="N1398" s="2"/>
      <c r="O1398" s="2" t="str">
        <f>IF(Table1[[#This Row],[is_returned]]=TRUE,IF(Table1[[#This Row],[return_reason]]="","Error","OK"),"OK")</f>
        <v>OK</v>
      </c>
      <c r="P1398" s="8">
        <f>Table1[[#This Row],[original_price]]*Table1[[#This Row],[markdown_percentage]]/100</f>
        <v>47.898479999999992</v>
      </c>
      <c r="Q139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398" s="25">
        <f>Table1[[#This Row],[current_price]]*Table1[[#This Row],[stock_quantity]]</f>
        <v>1241.72</v>
      </c>
    </row>
    <row r="1399" spans="1:18" x14ac:dyDescent="0.25">
      <c r="A1399" s="2" t="s">
        <v>1452</v>
      </c>
      <c r="B1399" s="2" t="s">
        <v>30</v>
      </c>
      <c r="C1399" s="2" t="s">
        <v>75</v>
      </c>
      <c r="D1399" s="2" t="s">
        <v>23</v>
      </c>
      <c r="E1399" s="2" t="s">
        <v>55</v>
      </c>
      <c r="F1399" s="2" t="s">
        <v>35</v>
      </c>
      <c r="G1399" s="8">
        <v>93.63</v>
      </c>
      <c r="H1399" s="11">
        <v>0</v>
      </c>
      <c r="I1399" s="8">
        <v>93.63</v>
      </c>
      <c r="J1399" s="3">
        <v>45875</v>
      </c>
      <c r="K1399" s="14">
        <v>47</v>
      </c>
      <c r="L1399" s="17">
        <v>4.0999999999999996</v>
      </c>
      <c r="M1399" s="2" t="b">
        <v>0</v>
      </c>
      <c r="N1399" s="2"/>
      <c r="O1399" s="2" t="str">
        <f>IF(Table1[[#This Row],[is_returned]]=TRUE,IF(Table1[[#This Row],[return_reason]]="","Error","OK"),"OK")</f>
        <v>OK</v>
      </c>
      <c r="P1399" s="8">
        <f>Table1[[#This Row],[original_price]]*Table1[[#This Row],[markdown_percentage]]/100</f>
        <v>0</v>
      </c>
      <c r="Q139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399" s="25">
        <f>Table1[[#This Row],[current_price]]*Table1[[#This Row],[stock_quantity]]</f>
        <v>4400.6099999999997</v>
      </c>
    </row>
    <row r="1400" spans="1:18" x14ac:dyDescent="0.25">
      <c r="A1400" s="2" t="s">
        <v>1453</v>
      </c>
      <c r="B1400" s="2" t="s">
        <v>21</v>
      </c>
      <c r="C1400" s="2" t="s">
        <v>53</v>
      </c>
      <c r="D1400" s="2" t="s">
        <v>62</v>
      </c>
      <c r="E1400" s="2" t="s">
        <v>58</v>
      </c>
      <c r="F1400" s="2" t="s">
        <v>70</v>
      </c>
      <c r="G1400" s="8">
        <v>95.55</v>
      </c>
      <c r="H1400" s="11">
        <v>0</v>
      </c>
      <c r="I1400" s="8">
        <v>95.55</v>
      </c>
      <c r="J1400" s="3">
        <v>45875</v>
      </c>
      <c r="K1400" s="14">
        <v>25</v>
      </c>
      <c r="L1400" s="17">
        <v>4.7</v>
      </c>
      <c r="M1400" s="2" t="b">
        <v>0</v>
      </c>
      <c r="N1400" s="2"/>
      <c r="O1400" s="2" t="str">
        <f>IF(Table1[[#This Row],[is_returned]]=TRUE,IF(Table1[[#This Row],[return_reason]]="","Error","OK"),"OK")</f>
        <v>OK</v>
      </c>
      <c r="P1400" s="8">
        <f>Table1[[#This Row],[original_price]]*Table1[[#This Row],[markdown_percentage]]/100</f>
        <v>0</v>
      </c>
      <c r="Q140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400" s="25">
        <f>Table1[[#This Row],[current_price]]*Table1[[#This Row],[stock_quantity]]</f>
        <v>2388.75</v>
      </c>
    </row>
    <row r="1401" spans="1:18" x14ac:dyDescent="0.25">
      <c r="A1401" s="2" t="s">
        <v>1454</v>
      </c>
      <c r="B1401" s="2" t="s">
        <v>15</v>
      </c>
      <c r="C1401" s="2" t="s">
        <v>16</v>
      </c>
      <c r="D1401" s="2" t="s">
        <v>23</v>
      </c>
      <c r="E1401" s="2" t="s">
        <v>58</v>
      </c>
      <c r="F1401" s="2" t="s">
        <v>35</v>
      </c>
      <c r="G1401" s="8">
        <v>146.44999999999999</v>
      </c>
      <c r="H1401" s="11">
        <v>0</v>
      </c>
      <c r="I1401" s="8">
        <v>146.44999999999999</v>
      </c>
      <c r="J1401" s="3">
        <v>45875</v>
      </c>
      <c r="K1401" s="14">
        <v>45</v>
      </c>
      <c r="L1401" s="17">
        <v>3.4</v>
      </c>
      <c r="M1401" s="2" t="b">
        <v>0</v>
      </c>
      <c r="N1401" s="2"/>
      <c r="O1401" s="2" t="str">
        <f>IF(Table1[[#This Row],[is_returned]]=TRUE,IF(Table1[[#This Row],[return_reason]]="","Error","OK"),"OK")</f>
        <v>OK</v>
      </c>
      <c r="P1401" s="8">
        <f>Table1[[#This Row],[original_price]]*Table1[[#This Row],[markdown_percentage]]/100</f>
        <v>0</v>
      </c>
      <c r="Q140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401" s="25">
        <f>Table1[[#This Row],[current_price]]*Table1[[#This Row],[stock_quantity]]</f>
        <v>6590.2499999999991</v>
      </c>
    </row>
    <row r="1402" spans="1:18" x14ac:dyDescent="0.25">
      <c r="A1402" s="2" t="s">
        <v>1455</v>
      </c>
      <c r="B1402" s="2" t="s">
        <v>30</v>
      </c>
      <c r="C1402" s="2" t="s">
        <v>32</v>
      </c>
      <c r="D1402" s="2" t="s">
        <v>17</v>
      </c>
      <c r="E1402" s="2" t="s">
        <v>58</v>
      </c>
      <c r="F1402" s="2" t="s">
        <v>44</v>
      </c>
      <c r="G1402" s="8">
        <v>96.9</v>
      </c>
      <c r="H1402" s="11">
        <v>0</v>
      </c>
      <c r="I1402" s="8">
        <v>96.9</v>
      </c>
      <c r="J1402" s="3">
        <v>45691</v>
      </c>
      <c r="K1402" s="14">
        <v>24</v>
      </c>
      <c r="L1402" s="17">
        <v>4.3</v>
      </c>
      <c r="M1402" s="2" t="b">
        <v>0</v>
      </c>
      <c r="N1402" s="2"/>
      <c r="O1402" s="2" t="str">
        <f>IF(Table1[[#This Row],[is_returned]]=TRUE,IF(Table1[[#This Row],[return_reason]]="","Error","OK"),"OK")</f>
        <v>OK</v>
      </c>
      <c r="P1402" s="8">
        <f>Table1[[#This Row],[original_price]]*Table1[[#This Row],[markdown_percentage]]/100</f>
        <v>0</v>
      </c>
      <c r="Q140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402" s="25">
        <f>Table1[[#This Row],[current_price]]*Table1[[#This Row],[stock_quantity]]</f>
        <v>2325.6000000000004</v>
      </c>
    </row>
    <row r="1403" spans="1:18" x14ac:dyDescent="0.25">
      <c r="A1403" s="2" t="s">
        <v>1456</v>
      </c>
      <c r="B1403" s="2" t="s">
        <v>21</v>
      </c>
      <c r="C1403" s="2" t="s">
        <v>32</v>
      </c>
      <c r="D1403" s="2" t="s">
        <v>34</v>
      </c>
      <c r="E1403" s="2" t="s">
        <v>49</v>
      </c>
      <c r="F1403" s="2" t="s">
        <v>70</v>
      </c>
      <c r="G1403" s="8">
        <v>71.83</v>
      </c>
      <c r="H1403" s="11">
        <v>0</v>
      </c>
      <c r="I1403" s="8">
        <v>71.83</v>
      </c>
      <c r="J1403" s="3">
        <v>45875</v>
      </c>
      <c r="K1403" s="14">
        <v>46</v>
      </c>
      <c r="L1403" s="17">
        <v>4.5</v>
      </c>
      <c r="M1403" s="2" t="b">
        <v>0</v>
      </c>
      <c r="N1403" s="2"/>
      <c r="O1403" s="2" t="str">
        <f>IF(Table1[[#This Row],[is_returned]]=TRUE,IF(Table1[[#This Row],[return_reason]]="","Error","OK"),"OK")</f>
        <v>OK</v>
      </c>
      <c r="P1403" s="8">
        <f>Table1[[#This Row],[original_price]]*Table1[[#This Row],[markdown_percentage]]/100</f>
        <v>0</v>
      </c>
      <c r="Q140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403" s="25">
        <f>Table1[[#This Row],[current_price]]*Table1[[#This Row],[stock_quantity]]</f>
        <v>3304.18</v>
      </c>
    </row>
    <row r="1404" spans="1:18" x14ac:dyDescent="0.25">
      <c r="A1404" s="2" t="s">
        <v>1457</v>
      </c>
      <c r="B1404" s="2" t="s">
        <v>21</v>
      </c>
      <c r="C1404" s="2" t="s">
        <v>48</v>
      </c>
      <c r="D1404" s="2" t="s">
        <v>62</v>
      </c>
      <c r="E1404" s="2" t="s">
        <v>24</v>
      </c>
      <c r="F1404" s="2" t="s">
        <v>64</v>
      </c>
      <c r="G1404" s="8">
        <v>29.17</v>
      </c>
      <c r="H1404" s="11">
        <v>0</v>
      </c>
      <c r="I1404" s="8">
        <v>29.17</v>
      </c>
      <c r="J1404" s="3">
        <v>45875</v>
      </c>
      <c r="K1404" s="14">
        <v>17</v>
      </c>
      <c r="L1404" s="17">
        <v>1.6</v>
      </c>
      <c r="M1404" s="2" t="b">
        <v>0</v>
      </c>
      <c r="N1404" s="2"/>
      <c r="O1404" s="2" t="str">
        <f>IF(Table1[[#This Row],[is_returned]]=TRUE,IF(Table1[[#This Row],[return_reason]]="","Error","OK"),"OK")</f>
        <v>OK</v>
      </c>
      <c r="P1404" s="8">
        <f>Table1[[#This Row],[original_price]]*Table1[[#This Row],[markdown_percentage]]/100</f>
        <v>0</v>
      </c>
      <c r="Q140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404" s="25">
        <f>Table1[[#This Row],[current_price]]*Table1[[#This Row],[stock_quantity]]</f>
        <v>495.89000000000004</v>
      </c>
    </row>
    <row r="1405" spans="1:18" x14ac:dyDescent="0.25">
      <c r="A1405" s="2" t="s">
        <v>1458</v>
      </c>
      <c r="B1405" s="2" t="s">
        <v>21</v>
      </c>
      <c r="C1405" s="2" t="s">
        <v>48</v>
      </c>
      <c r="D1405" s="2" t="s">
        <v>17</v>
      </c>
      <c r="E1405" s="2" t="s">
        <v>39</v>
      </c>
      <c r="F1405" s="2" t="s">
        <v>46</v>
      </c>
      <c r="G1405" s="8">
        <v>31.3</v>
      </c>
      <c r="H1405" s="11">
        <v>43.6</v>
      </c>
      <c r="I1405" s="8">
        <v>17.649999999999999</v>
      </c>
      <c r="J1405" s="3">
        <v>45722</v>
      </c>
      <c r="K1405" s="14">
        <v>21</v>
      </c>
      <c r="L1405" s="17">
        <v>4.4000000000000004</v>
      </c>
      <c r="M1405" s="2" t="b">
        <v>0</v>
      </c>
      <c r="N1405" s="2"/>
      <c r="O1405" s="2" t="str">
        <f>IF(Table1[[#This Row],[is_returned]]=TRUE,IF(Table1[[#This Row],[return_reason]]="","Error","OK"),"OK")</f>
        <v>OK</v>
      </c>
      <c r="P1405" s="8">
        <f>Table1[[#This Row],[original_price]]*Table1[[#This Row],[markdown_percentage]]/100</f>
        <v>13.646800000000001</v>
      </c>
      <c r="Q140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405" s="25">
        <f>Table1[[#This Row],[current_price]]*Table1[[#This Row],[stock_quantity]]</f>
        <v>370.65</v>
      </c>
    </row>
    <row r="1406" spans="1:18" x14ac:dyDescent="0.25">
      <c r="A1406" s="2" t="s">
        <v>1459</v>
      </c>
      <c r="B1406" s="2" t="s">
        <v>27</v>
      </c>
      <c r="C1406" s="2" t="s">
        <v>16</v>
      </c>
      <c r="D1406" s="2" t="s">
        <v>34</v>
      </c>
      <c r="E1406" s="2"/>
      <c r="F1406" s="2" t="s">
        <v>46</v>
      </c>
      <c r="G1406" s="8">
        <v>73.569999999999993</v>
      </c>
      <c r="H1406" s="11">
        <v>0</v>
      </c>
      <c r="I1406" s="8">
        <v>73.569999999999993</v>
      </c>
      <c r="J1406" s="3">
        <v>45875</v>
      </c>
      <c r="K1406" s="14">
        <v>22</v>
      </c>
      <c r="L1406" s="17">
        <v>1.1000000000000001</v>
      </c>
      <c r="M1406" s="2" t="b">
        <v>0</v>
      </c>
      <c r="N1406" s="2"/>
      <c r="O1406" s="2" t="str">
        <f>IF(Table1[[#This Row],[is_returned]]=TRUE,IF(Table1[[#This Row],[return_reason]]="","Error","OK"),"OK")</f>
        <v>OK</v>
      </c>
      <c r="P1406" s="8">
        <f>Table1[[#This Row],[original_price]]*Table1[[#This Row],[markdown_percentage]]/100</f>
        <v>0</v>
      </c>
      <c r="Q140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406" s="25">
        <f>Table1[[#This Row],[current_price]]*Table1[[#This Row],[stock_quantity]]</f>
        <v>1618.54</v>
      </c>
    </row>
    <row r="1407" spans="1:18" x14ac:dyDescent="0.25">
      <c r="A1407" s="2" t="s">
        <v>1460</v>
      </c>
      <c r="B1407" s="2" t="s">
        <v>30</v>
      </c>
      <c r="C1407" s="2" t="s">
        <v>43</v>
      </c>
      <c r="D1407" s="2" t="s">
        <v>62</v>
      </c>
      <c r="E1407" s="2"/>
      <c r="F1407" s="2" t="s">
        <v>25</v>
      </c>
      <c r="G1407" s="8">
        <v>75.95</v>
      </c>
      <c r="H1407" s="11">
        <v>0</v>
      </c>
      <c r="I1407" s="8">
        <v>75.95</v>
      </c>
      <c r="J1407" s="3">
        <v>45875</v>
      </c>
      <c r="K1407" s="14">
        <v>14</v>
      </c>
      <c r="L1407" s="17"/>
      <c r="M1407" s="2" t="b">
        <v>0</v>
      </c>
      <c r="N1407" s="2"/>
      <c r="O1407" s="2" t="str">
        <f>IF(Table1[[#This Row],[is_returned]]=TRUE,IF(Table1[[#This Row],[return_reason]]="","Error","OK"),"OK")</f>
        <v>OK</v>
      </c>
      <c r="P1407" s="8">
        <f>Table1[[#This Row],[original_price]]*Table1[[#This Row],[markdown_percentage]]/100</f>
        <v>0</v>
      </c>
      <c r="Q140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407" s="25">
        <f>Table1[[#This Row],[current_price]]*Table1[[#This Row],[stock_quantity]]</f>
        <v>1063.3</v>
      </c>
    </row>
    <row r="1408" spans="1:18" x14ac:dyDescent="0.25">
      <c r="A1408" s="2" t="s">
        <v>1461</v>
      </c>
      <c r="B1408" s="2" t="s">
        <v>27</v>
      </c>
      <c r="C1408" s="2" t="s">
        <v>48</v>
      </c>
      <c r="D1408" s="2" t="s">
        <v>17</v>
      </c>
      <c r="E1408" s="2"/>
      <c r="F1408" s="2" t="s">
        <v>46</v>
      </c>
      <c r="G1408" s="8">
        <v>79.040000000000006</v>
      </c>
      <c r="H1408" s="11">
        <v>0</v>
      </c>
      <c r="I1408" s="8">
        <v>79.040000000000006</v>
      </c>
      <c r="J1408" s="3">
        <v>45568</v>
      </c>
      <c r="K1408" s="14">
        <v>28</v>
      </c>
      <c r="L1408" s="17">
        <v>4.7</v>
      </c>
      <c r="M1408" s="2" t="b">
        <v>0</v>
      </c>
      <c r="N1408" s="2"/>
      <c r="O1408" s="2" t="str">
        <f>IF(Table1[[#This Row],[is_returned]]=TRUE,IF(Table1[[#This Row],[return_reason]]="","Error","OK"),"OK")</f>
        <v>OK</v>
      </c>
      <c r="P1408" s="8">
        <f>Table1[[#This Row],[original_price]]*Table1[[#This Row],[markdown_percentage]]/100</f>
        <v>0</v>
      </c>
      <c r="Q140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408" s="25">
        <f>Table1[[#This Row],[current_price]]*Table1[[#This Row],[stock_quantity]]</f>
        <v>2213.1200000000003</v>
      </c>
    </row>
    <row r="1409" spans="1:18" x14ac:dyDescent="0.25">
      <c r="A1409" s="2" t="s">
        <v>1462</v>
      </c>
      <c r="B1409" s="2" t="s">
        <v>21</v>
      </c>
      <c r="C1409" s="2" t="s">
        <v>43</v>
      </c>
      <c r="D1409" s="2" t="s">
        <v>34</v>
      </c>
      <c r="E1409" s="2" t="s">
        <v>24</v>
      </c>
      <c r="F1409" s="2" t="s">
        <v>35</v>
      </c>
      <c r="G1409" s="8">
        <v>26.85</v>
      </c>
      <c r="H1409" s="11">
        <v>0</v>
      </c>
      <c r="I1409" s="8">
        <v>26.85</v>
      </c>
      <c r="J1409" s="3">
        <v>45875</v>
      </c>
      <c r="K1409" s="14">
        <v>26</v>
      </c>
      <c r="L1409" s="17"/>
      <c r="M1409" s="2" t="b">
        <v>0</v>
      </c>
      <c r="N1409" s="2"/>
      <c r="O1409" s="2" t="str">
        <f>IF(Table1[[#This Row],[is_returned]]=TRUE,IF(Table1[[#This Row],[return_reason]]="","Error","OK"),"OK")</f>
        <v>OK</v>
      </c>
      <c r="P1409" s="8">
        <f>Table1[[#This Row],[original_price]]*Table1[[#This Row],[markdown_percentage]]/100</f>
        <v>0</v>
      </c>
      <c r="Q140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409" s="25">
        <f>Table1[[#This Row],[current_price]]*Table1[[#This Row],[stock_quantity]]</f>
        <v>698.1</v>
      </c>
    </row>
    <row r="1410" spans="1:18" x14ac:dyDescent="0.25">
      <c r="A1410" s="2" t="s">
        <v>1463</v>
      </c>
      <c r="B1410" s="2" t="s">
        <v>42</v>
      </c>
      <c r="C1410" s="2" t="s">
        <v>53</v>
      </c>
      <c r="D1410" s="2" t="s">
        <v>17</v>
      </c>
      <c r="E1410" s="2" t="s">
        <v>24</v>
      </c>
      <c r="F1410" s="2" t="s">
        <v>40</v>
      </c>
      <c r="G1410" s="8">
        <v>126.21</v>
      </c>
      <c r="H1410" s="11">
        <v>29.2</v>
      </c>
      <c r="I1410" s="8">
        <v>89.36</v>
      </c>
      <c r="J1410" s="3">
        <v>45519</v>
      </c>
      <c r="K1410" s="14">
        <v>25</v>
      </c>
      <c r="L1410" s="17">
        <v>1.1000000000000001</v>
      </c>
      <c r="M1410" s="2" t="b">
        <v>0</v>
      </c>
      <c r="N1410" s="2"/>
      <c r="O1410" s="2" t="str">
        <f>IF(Table1[[#This Row],[is_returned]]=TRUE,IF(Table1[[#This Row],[return_reason]]="","Error","OK"),"OK")</f>
        <v>OK</v>
      </c>
      <c r="P1410" s="8">
        <f>Table1[[#This Row],[original_price]]*Table1[[#This Row],[markdown_percentage]]/100</f>
        <v>36.853319999999997</v>
      </c>
      <c r="Q141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410" s="25">
        <f>Table1[[#This Row],[current_price]]*Table1[[#This Row],[stock_quantity]]</f>
        <v>2234</v>
      </c>
    </row>
    <row r="1411" spans="1:18" x14ac:dyDescent="0.25">
      <c r="A1411" s="2" t="s">
        <v>1464</v>
      </c>
      <c r="B1411" s="2" t="s">
        <v>30</v>
      </c>
      <c r="C1411" s="2" t="s">
        <v>43</v>
      </c>
      <c r="D1411" s="2" t="s">
        <v>34</v>
      </c>
      <c r="E1411" s="2" t="s">
        <v>39</v>
      </c>
      <c r="F1411" s="2" t="s">
        <v>64</v>
      </c>
      <c r="G1411" s="8">
        <v>71.459999999999994</v>
      </c>
      <c r="H1411" s="11">
        <v>0</v>
      </c>
      <c r="I1411" s="8">
        <v>71.459999999999994</v>
      </c>
      <c r="J1411" s="3">
        <v>45875</v>
      </c>
      <c r="K1411" s="14">
        <v>2</v>
      </c>
      <c r="L1411" s="17">
        <v>3.1</v>
      </c>
      <c r="M1411" s="2" t="b">
        <v>0</v>
      </c>
      <c r="N1411" s="2"/>
      <c r="O1411" s="2" t="str">
        <f>IF(Table1[[#This Row],[is_returned]]=TRUE,IF(Table1[[#This Row],[return_reason]]="","Error","OK"),"OK")</f>
        <v>OK</v>
      </c>
      <c r="P1411" s="8">
        <f>Table1[[#This Row],[original_price]]*Table1[[#This Row],[markdown_percentage]]/100</f>
        <v>0</v>
      </c>
      <c r="Q141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411" s="25">
        <f>Table1[[#This Row],[current_price]]*Table1[[#This Row],[stock_quantity]]</f>
        <v>142.91999999999999</v>
      </c>
    </row>
    <row r="1412" spans="1:18" x14ac:dyDescent="0.25">
      <c r="A1412" s="2" t="s">
        <v>1465</v>
      </c>
      <c r="B1412" s="2" t="s">
        <v>42</v>
      </c>
      <c r="C1412" s="2" t="s">
        <v>43</v>
      </c>
      <c r="D1412" s="2" t="s">
        <v>23</v>
      </c>
      <c r="E1412" s="2" t="s">
        <v>58</v>
      </c>
      <c r="F1412" s="2" t="s">
        <v>56</v>
      </c>
      <c r="G1412" s="8">
        <v>65.069999999999993</v>
      </c>
      <c r="H1412" s="11">
        <v>14.8</v>
      </c>
      <c r="I1412" s="8">
        <v>55.44</v>
      </c>
      <c r="J1412" s="3">
        <v>45875</v>
      </c>
      <c r="K1412" s="14">
        <v>21</v>
      </c>
      <c r="L1412" s="17"/>
      <c r="M1412" s="2" t="b">
        <v>0</v>
      </c>
      <c r="N1412" s="2"/>
      <c r="O1412" s="2" t="str">
        <f>IF(Table1[[#This Row],[is_returned]]=TRUE,IF(Table1[[#This Row],[return_reason]]="","Error","OK"),"OK")</f>
        <v>OK</v>
      </c>
      <c r="P1412" s="8">
        <f>Table1[[#This Row],[original_price]]*Table1[[#This Row],[markdown_percentage]]/100</f>
        <v>9.6303599999999996</v>
      </c>
      <c r="Q141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412" s="25">
        <f>Table1[[#This Row],[current_price]]*Table1[[#This Row],[stock_quantity]]</f>
        <v>1164.24</v>
      </c>
    </row>
    <row r="1413" spans="1:18" x14ac:dyDescent="0.25">
      <c r="A1413" s="2" t="s">
        <v>1466</v>
      </c>
      <c r="B1413" s="2" t="s">
        <v>38</v>
      </c>
      <c r="C1413" s="2" t="s">
        <v>43</v>
      </c>
      <c r="D1413" s="2" t="s">
        <v>34</v>
      </c>
      <c r="E1413" s="2" t="s">
        <v>18</v>
      </c>
      <c r="F1413" s="2" t="s">
        <v>25</v>
      </c>
      <c r="G1413" s="8">
        <v>28.11</v>
      </c>
      <c r="H1413" s="11">
        <v>20.9</v>
      </c>
      <c r="I1413" s="8">
        <v>22.24</v>
      </c>
      <c r="J1413" s="3">
        <v>45875</v>
      </c>
      <c r="K1413" s="14">
        <v>6</v>
      </c>
      <c r="L1413" s="17">
        <v>2.2999999999999998</v>
      </c>
      <c r="M1413" s="2" t="b">
        <v>0</v>
      </c>
      <c r="N1413" s="2"/>
      <c r="O1413" s="2" t="str">
        <f>IF(Table1[[#This Row],[is_returned]]=TRUE,IF(Table1[[#This Row],[return_reason]]="","Error","OK"),"OK")</f>
        <v>OK</v>
      </c>
      <c r="P1413" s="8">
        <f>Table1[[#This Row],[original_price]]*Table1[[#This Row],[markdown_percentage]]/100</f>
        <v>5.8749899999999995</v>
      </c>
      <c r="Q141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413" s="25">
        <f>Table1[[#This Row],[current_price]]*Table1[[#This Row],[stock_quantity]]</f>
        <v>133.44</v>
      </c>
    </row>
    <row r="1414" spans="1:18" x14ac:dyDescent="0.25">
      <c r="A1414" s="2" t="s">
        <v>1467</v>
      </c>
      <c r="B1414" s="2" t="s">
        <v>21</v>
      </c>
      <c r="C1414" s="2" t="s">
        <v>48</v>
      </c>
      <c r="D1414" s="2" t="s">
        <v>17</v>
      </c>
      <c r="E1414" s="2" t="s">
        <v>24</v>
      </c>
      <c r="F1414" s="2" t="s">
        <v>46</v>
      </c>
      <c r="G1414" s="8">
        <v>29.12</v>
      </c>
      <c r="H1414" s="11">
        <v>0</v>
      </c>
      <c r="I1414" s="8">
        <v>29.12</v>
      </c>
      <c r="J1414" s="3">
        <v>45741</v>
      </c>
      <c r="K1414" s="14">
        <v>14</v>
      </c>
      <c r="L1414" s="17">
        <v>2.7</v>
      </c>
      <c r="M1414" s="2" t="b">
        <v>0</v>
      </c>
      <c r="N1414" s="2"/>
      <c r="O1414" s="2" t="str">
        <f>IF(Table1[[#This Row],[is_returned]]=TRUE,IF(Table1[[#This Row],[return_reason]]="","Error","OK"),"OK")</f>
        <v>OK</v>
      </c>
      <c r="P1414" s="8">
        <f>Table1[[#This Row],[original_price]]*Table1[[#This Row],[markdown_percentage]]/100</f>
        <v>0</v>
      </c>
      <c r="Q141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414" s="25">
        <f>Table1[[#This Row],[current_price]]*Table1[[#This Row],[stock_quantity]]</f>
        <v>407.68</v>
      </c>
    </row>
    <row r="1415" spans="1:18" x14ac:dyDescent="0.25">
      <c r="A1415" s="2" t="s">
        <v>1468</v>
      </c>
      <c r="B1415" s="2" t="s">
        <v>27</v>
      </c>
      <c r="C1415" s="2" t="s">
        <v>75</v>
      </c>
      <c r="D1415" s="2" t="s">
        <v>23</v>
      </c>
      <c r="E1415" s="2"/>
      <c r="F1415" s="2" t="s">
        <v>28</v>
      </c>
      <c r="G1415" s="8">
        <v>57.1</v>
      </c>
      <c r="H1415" s="11">
        <v>0</v>
      </c>
      <c r="I1415" s="8">
        <v>57.1</v>
      </c>
      <c r="J1415" s="3">
        <v>45875</v>
      </c>
      <c r="K1415" s="14">
        <v>28</v>
      </c>
      <c r="L1415" s="17"/>
      <c r="M1415" s="2" t="b">
        <v>1</v>
      </c>
      <c r="N1415" s="2" t="s">
        <v>125</v>
      </c>
      <c r="O1415" s="2" t="str">
        <f>IF(Table1[[#This Row],[is_returned]]=TRUE,IF(Table1[[#This Row],[return_reason]]="","Error","OK"),"OK")</f>
        <v>OK</v>
      </c>
      <c r="P1415" s="8">
        <f>Table1[[#This Row],[original_price]]*Table1[[#This Row],[markdown_percentage]]/100</f>
        <v>0</v>
      </c>
      <c r="Q141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415" s="25">
        <f>Table1[[#This Row],[current_price]]*Table1[[#This Row],[stock_quantity]]</f>
        <v>1598.8</v>
      </c>
    </row>
    <row r="1416" spans="1:18" x14ac:dyDescent="0.25">
      <c r="A1416" s="2" t="s">
        <v>1469</v>
      </c>
      <c r="B1416" s="2" t="s">
        <v>15</v>
      </c>
      <c r="C1416" s="2" t="s">
        <v>22</v>
      </c>
      <c r="D1416" s="2" t="s">
        <v>17</v>
      </c>
      <c r="E1416" s="2" t="s">
        <v>58</v>
      </c>
      <c r="F1416" s="2" t="s">
        <v>28</v>
      </c>
      <c r="G1416" s="8">
        <v>248.05</v>
      </c>
      <c r="H1416" s="11">
        <v>0</v>
      </c>
      <c r="I1416" s="8">
        <v>248.05</v>
      </c>
      <c r="J1416" s="3">
        <v>45776</v>
      </c>
      <c r="K1416" s="14">
        <v>17</v>
      </c>
      <c r="L1416" s="17">
        <v>4.5999999999999996</v>
      </c>
      <c r="M1416" s="2" t="b">
        <v>0</v>
      </c>
      <c r="N1416" s="2"/>
      <c r="O1416" s="2" t="str">
        <f>IF(Table1[[#This Row],[is_returned]]=TRUE,IF(Table1[[#This Row],[return_reason]]="","Error","OK"),"OK")</f>
        <v>OK</v>
      </c>
      <c r="P1416" s="8">
        <f>Table1[[#This Row],[original_price]]*Table1[[#This Row],[markdown_percentage]]/100</f>
        <v>0</v>
      </c>
      <c r="Q141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416" s="25">
        <f>Table1[[#This Row],[current_price]]*Table1[[#This Row],[stock_quantity]]</f>
        <v>4216.8500000000004</v>
      </c>
    </row>
    <row r="1417" spans="1:18" x14ac:dyDescent="0.25">
      <c r="A1417" s="2" t="s">
        <v>1470</v>
      </c>
      <c r="B1417" s="2" t="s">
        <v>38</v>
      </c>
      <c r="C1417" s="2" t="s">
        <v>16</v>
      </c>
      <c r="D1417" s="2" t="s">
        <v>34</v>
      </c>
      <c r="E1417" s="2" t="s">
        <v>39</v>
      </c>
      <c r="F1417" s="2" t="s">
        <v>40</v>
      </c>
      <c r="G1417" s="8">
        <v>108.59</v>
      </c>
      <c r="H1417" s="11">
        <v>40.6</v>
      </c>
      <c r="I1417" s="8">
        <v>64.5</v>
      </c>
      <c r="J1417" s="3">
        <v>45875</v>
      </c>
      <c r="K1417" s="14">
        <v>9</v>
      </c>
      <c r="L1417" s="17">
        <v>1.3</v>
      </c>
      <c r="M1417" s="2" t="b">
        <v>0</v>
      </c>
      <c r="N1417" s="2"/>
      <c r="O1417" s="2" t="str">
        <f>IF(Table1[[#This Row],[is_returned]]=TRUE,IF(Table1[[#This Row],[return_reason]]="","Error","OK"),"OK")</f>
        <v>OK</v>
      </c>
      <c r="P1417" s="8">
        <f>Table1[[#This Row],[original_price]]*Table1[[#This Row],[markdown_percentage]]/100</f>
        <v>44.087539999999997</v>
      </c>
      <c r="Q141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417" s="25">
        <f>Table1[[#This Row],[current_price]]*Table1[[#This Row],[stock_quantity]]</f>
        <v>580.5</v>
      </c>
    </row>
    <row r="1418" spans="1:18" x14ac:dyDescent="0.25">
      <c r="A1418" s="2" t="s">
        <v>1471</v>
      </c>
      <c r="B1418" s="2" t="s">
        <v>15</v>
      </c>
      <c r="C1418" s="2" t="s">
        <v>75</v>
      </c>
      <c r="D1418" s="2" t="s">
        <v>62</v>
      </c>
      <c r="E1418" s="2" t="s">
        <v>18</v>
      </c>
      <c r="F1418" s="2" t="s">
        <v>56</v>
      </c>
      <c r="G1418" s="8">
        <v>124.13</v>
      </c>
      <c r="H1418" s="11">
        <v>0</v>
      </c>
      <c r="I1418" s="8">
        <v>124.13</v>
      </c>
      <c r="J1418" s="3">
        <v>45875</v>
      </c>
      <c r="K1418" s="14">
        <v>33</v>
      </c>
      <c r="L1418" s="17">
        <v>5</v>
      </c>
      <c r="M1418" s="2" t="b">
        <v>0</v>
      </c>
      <c r="N1418" s="2"/>
      <c r="O1418" s="2" t="str">
        <f>IF(Table1[[#This Row],[is_returned]]=TRUE,IF(Table1[[#This Row],[return_reason]]="","Error","OK"),"OK")</f>
        <v>OK</v>
      </c>
      <c r="P1418" s="8">
        <f>Table1[[#This Row],[original_price]]*Table1[[#This Row],[markdown_percentage]]/100</f>
        <v>0</v>
      </c>
      <c r="Q141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418" s="25">
        <f>Table1[[#This Row],[current_price]]*Table1[[#This Row],[stock_quantity]]</f>
        <v>4096.29</v>
      </c>
    </row>
    <row r="1419" spans="1:18" x14ac:dyDescent="0.25">
      <c r="A1419" s="2" t="s">
        <v>1472</v>
      </c>
      <c r="B1419" s="2" t="s">
        <v>27</v>
      </c>
      <c r="C1419" s="2" t="s">
        <v>16</v>
      </c>
      <c r="D1419" s="2" t="s">
        <v>17</v>
      </c>
      <c r="E1419" s="2"/>
      <c r="F1419" s="2" t="s">
        <v>70</v>
      </c>
      <c r="G1419" s="8">
        <v>62.21</v>
      </c>
      <c r="H1419" s="11">
        <v>1.8</v>
      </c>
      <c r="I1419" s="8">
        <v>61.09</v>
      </c>
      <c r="J1419" s="3">
        <v>45599</v>
      </c>
      <c r="K1419" s="14">
        <v>4</v>
      </c>
      <c r="L1419" s="17">
        <v>2.2999999999999998</v>
      </c>
      <c r="M1419" s="2" t="b">
        <v>0</v>
      </c>
      <c r="N1419" s="2"/>
      <c r="O1419" s="2" t="str">
        <f>IF(Table1[[#This Row],[is_returned]]=TRUE,IF(Table1[[#This Row],[return_reason]]="","Error","OK"),"OK")</f>
        <v>OK</v>
      </c>
      <c r="P1419" s="8">
        <f>Table1[[#This Row],[original_price]]*Table1[[#This Row],[markdown_percentage]]/100</f>
        <v>1.11978</v>
      </c>
      <c r="Q141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419" s="25">
        <f>Table1[[#This Row],[current_price]]*Table1[[#This Row],[stock_quantity]]</f>
        <v>244.36</v>
      </c>
    </row>
    <row r="1420" spans="1:18" x14ac:dyDescent="0.25">
      <c r="A1420" s="2" t="s">
        <v>1473</v>
      </c>
      <c r="B1420" s="2" t="s">
        <v>38</v>
      </c>
      <c r="C1420" s="2" t="s">
        <v>22</v>
      </c>
      <c r="D1420" s="2" t="s">
        <v>34</v>
      </c>
      <c r="E1420" s="2" t="s">
        <v>58</v>
      </c>
      <c r="F1420" s="2" t="s">
        <v>40</v>
      </c>
      <c r="G1420" s="8">
        <v>48.27</v>
      </c>
      <c r="H1420" s="11">
        <v>0</v>
      </c>
      <c r="I1420" s="8">
        <v>48.27</v>
      </c>
      <c r="J1420" s="3">
        <v>45875</v>
      </c>
      <c r="K1420" s="14">
        <v>33</v>
      </c>
      <c r="L1420" s="17"/>
      <c r="M1420" s="2" t="b">
        <v>0</v>
      </c>
      <c r="N1420" s="2"/>
      <c r="O1420" s="2" t="str">
        <f>IF(Table1[[#This Row],[is_returned]]=TRUE,IF(Table1[[#This Row],[return_reason]]="","Error","OK"),"OK")</f>
        <v>OK</v>
      </c>
      <c r="P1420" s="8">
        <f>Table1[[#This Row],[original_price]]*Table1[[#This Row],[markdown_percentage]]/100</f>
        <v>0</v>
      </c>
      <c r="Q142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420" s="25">
        <f>Table1[[#This Row],[current_price]]*Table1[[#This Row],[stock_quantity]]</f>
        <v>1592.91</v>
      </c>
    </row>
    <row r="1421" spans="1:18" x14ac:dyDescent="0.25">
      <c r="A1421" s="2" t="s">
        <v>1474</v>
      </c>
      <c r="B1421" s="2" t="s">
        <v>21</v>
      </c>
      <c r="C1421" s="2" t="s">
        <v>16</v>
      </c>
      <c r="D1421" s="2" t="s">
        <v>17</v>
      </c>
      <c r="E1421" s="2" t="s">
        <v>18</v>
      </c>
      <c r="F1421" s="2" t="s">
        <v>44</v>
      </c>
      <c r="G1421" s="8">
        <v>88.77</v>
      </c>
      <c r="H1421" s="11">
        <v>0</v>
      </c>
      <c r="I1421" s="8">
        <v>88.77</v>
      </c>
      <c r="J1421" s="3">
        <v>45793</v>
      </c>
      <c r="K1421" s="14">
        <v>40</v>
      </c>
      <c r="L1421" s="17">
        <v>4.8</v>
      </c>
      <c r="M1421" s="2" t="b">
        <v>0</v>
      </c>
      <c r="N1421" s="2"/>
      <c r="O1421" s="2" t="str">
        <f>IF(Table1[[#This Row],[is_returned]]=TRUE,IF(Table1[[#This Row],[return_reason]]="","Error","OK"),"OK")</f>
        <v>OK</v>
      </c>
      <c r="P1421" s="8">
        <f>Table1[[#This Row],[original_price]]*Table1[[#This Row],[markdown_percentage]]/100</f>
        <v>0</v>
      </c>
      <c r="Q142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421" s="25">
        <f>Table1[[#This Row],[current_price]]*Table1[[#This Row],[stock_quantity]]</f>
        <v>3550.7999999999997</v>
      </c>
    </row>
    <row r="1422" spans="1:18" x14ac:dyDescent="0.25">
      <c r="A1422" s="2" t="s">
        <v>1475</v>
      </c>
      <c r="B1422" s="2" t="s">
        <v>42</v>
      </c>
      <c r="C1422" s="2" t="s">
        <v>61</v>
      </c>
      <c r="D1422" s="2" t="s">
        <v>34</v>
      </c>
      <c r="E1422" s="2" t="s">
        <v>58</v>
      </c>
      <c r="F1422" s="2" t="s">
        <v>64</v>
      </c>
      <c r="G1422" s="8">
        <v>94.17</v>
      </c>
      <c r="H1422" s="11">
        <v>0</v>
      </c>
      <c r="I1422" s="8">
        <v>94.17</v>
      </c>
      <c r="J1422" s="3">
        <v>45875</v>
      </c>
      <c r="K1422" s="14">
        <v>2</v>
      </c>
      <c r="L1422" s="17"/>
      <c r="M1422" s="2" t="b">
        <v>0</v>
      </c>
      <c r="N1422" s="2"/>
      <c r="O1422" s="2" t="str">
        <f>IF(Table1[[#This Row],[is_returned]]=TRUE,IF(Table1[[#This Row],[return_reason]]="","Error","OK"),"OK")</f>
        <v>OK</v>
      </c>
      <c r="P1422" s="8">
        <f>Table1[[#This Row],[original_price]]*Table1[[#This Row],[markdown_percentage]]/100</f>
        <v>0</v>
      </c>
      <c r="Q142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422" s="25">
        <f>Table1[[#This Row],[current_price]]*Table1[[#This Row],[stock_quantity]]</f>
        <v>188.34</v>
      </c>
    </row>
    <row r="1423" spans="1:18" x14ac:dyDescent="0.25">
      <c r="A1423" s="2" t="s">
        <v>1476</v>
      </c>
      <c r="B1423" s="2" t="s">
        <v>27</v>
      </c>
      <c r="C1423" s="2" t="s">
        <v>75</v>
      </c>
      <c r="D1423" s="2" t="s">
        <v>34</v>
      </c>
      <c r="E1423" s="2"/>
      <c r="F1423" s="2" t="s">
        <v>28</v>
      </c>
      <c r="G1423" s="8">
        <v>30.44</v>
      </c>
      <c r="H1423" s="11">
        <v>0</v>
      </c>
      <c r="I1423" s="8">
        <v>30.44</v>
      </c>
      <c r="J1423" s="3">
        <v>45875</v>
      </c>
      <c r="K1423" s="14">
        <v>42</v>
      </c>
      <c r="L1423" s="17"/>
      <c r="M1423" s="2" t="b">
        <v>0</v>
      </c>
      <c r="N1423" s="2"/>
      <c r="O1423" s="2" t="str">
        <f>IF(Table1[[#This Row],[is_returned]]=TRUE,IF(Table1[[#This Row],[return_reason]]="","Error","OK"),"OK")</f>
        <v>OK</v>
      </c>
      <c r="P1423" s="8">
        <f>Table1[[#This Row],[original_price]]*Table1[[#This Row],[markdown_percentage]]/100</f>
        <v>0</v>
      </c>
      <c r="Q142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423" s="25">
        <f>Table1[[#This Row],[current_price]]*Table1[[#This Row],[stock_quantity]]</f>
        <v>1278.48</v>
      </c>
    </row>
    <row r="1424" spans="1:18" x14ac:dyDescent="0.25">
      <c r="A1424" s="2" t="s">
        <v>1477</v>
      </c>
      <c r="B1424" s="2" t="s">
        <v>38</v>
      </c>
      <c r="C1424" s="2" t="s">
        <v>22</v>
      </c>
      <c r="D1424" s="2" t="s">
        <v>34</v>
      </c>
      <c r="E1424" s="2" t="s">
        <v>55</v>
      </c>
      <c r="F1424" s="2" t="s">
        <v>66</v>
      </c>
      <c r="G1424" s="8">
        <v>114.29</v>
      </c>
      <c r="H1424" s="11">
        <v>0</v>
      </c>
      <c r="I1424" s="8">
        <v>114.29</v>
      </c>
      <c r="J1424" s="3">
        <v>45875</v>
      </c>
      <c r="K1424" s="14">
        <v>9</v>
      </c>
      <c r="L1424" s="17">
        <v>3.2</v>
      </c>
      <c r="M1424" s="2" t="b">
        <v>0</v>
      </c>
      <c r="N1424" s="2"/>
      <c r="O1424" s="2" t="str">
        <f>IF(Table1[[#This Row],[is_returned]]=TRUE,IF(Table1[[#This Row],[return_reason]]="","Error","OK"),"OK")</f>
        <v>OK</v>
      </c>
      <c r="P1424" s="8">
        <f>Table1[[#This Row],[original_price]]*Table1[[#This Row],[markdown_percentage]]/100</f>
        <v>0</v>
      </c>
      <c r="Q142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424" s="25">
        <f>Table1[[#This Row],[current_price]]*Table1[[#This Row],[stock_quantity]]</f>
        <v>1028.6100000000001</v>
      </c>
    </row>
    <row r="1425" spans="1:18" x14ac:dyDescent="0.25">
      <c r="A1425" s="2" t="s">
        <v>1478</v>
      </c>
      <c r="B1425" s="2" t="s">
        <v>30</v>
      </c>
      <c r="C1425" s="2" t="s">
        <v>22</v>
      </c>
      <c r="D1425" s="2" t="s">
        <v>34</v>
      </c>
      <c r="E1425" s="2" t="s">
        <v>18</v>
      </c>
      <c r="F1425" s="2" t="s">
        <v>40</v>
      </c>
      <c r="G1425" s="8">
        <v>105.01</v>
      </c>
      <c r="H1425" s="11">
        <v>25.8</v>
      </c>
      <c r="I1425" s="8">
        <v>77.92</v>
      </c>
      <c r="J1425" s="3">
        <v>45875</v>
      </c>
      <c r="K1425" s="14">
        <v>17</v>
      </c>
      <c r="L1425" s="17">
        <v>3.2</v>
      </c>
      <c r="M1425" s="2" t="b">
        <v>0</v>
      </c>
      <c r="N1425" s="2"/>
      <c r="O1425" s="2" t="str">
        <f>IF(Table1[[#This Row],[is_returned]]=TRUE,IF(Table1[[#This Row],[return_reason]]="","Error","OK"),"OK")</f>
        <v>OK</v>
      </c>
      <c r="P1425" s="8">
        <f>Table1[[#This Row],[original_price]]*Table1[[#This Row],[markdown_percentage]]/100</f>
        <v>27.092580000000002</v>
      </c>
      <c r="Q142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425" s="25">
        <f>Table1[[#This Row],[current_price]]*Table1[[#This Row],[stock_quantity]]</f>
        <v>1324.64</v>
      </c>
    </row>
    <row r="1426" spans="1:18" x14ac:dyDescent="0.25">
      <c r="A1426" s="2" t="s">
        <v>1479</v>
      </c>
      <c r="B1426" s="2" t="s">
        <v>21</v>
      </c>
      <c r="C1426" s="2" t="s">
        <v>53</v>
      </c>
      <c r="D1426" s="2" t="s">
        <v>17</v>
      </c>
      <c r="E1426" s="2" t="s">
        <v>18</v>
      </c>
      <c r="F1426" s="2" t="s">
        <v>44</v>
      </c>
      <c r="G1426" s="8">
        <v>38.56</v>
      </c>
      <c r="H1426" s="11">
        <v>0</v>
      </c>
      <c r="I1426" s="8">
        <v>38.56</v>
      </c>
      <c r="J1426" s="3">
        <v>45807</v>
      </c>
      <c r="K1426" s="14">
        <v>39</v>
      </c>
      <c r="L1426" s="17">
        <v>1.5</v>
      </c>
      <c r="M1426" s="2" t="b">
        <v>0</v>
      </c>
      <c r="N1426" s="2"/>
      <c r="O1426" s="2" t="str">
        <f>IF(Table1[[#This Row],[is_returned]]=TRUE,IF(Table1[[#This Row],[return_reason]]="","Error","OK"),"OK")</f>
        <v>OK</v>
      </c>
      <c r="P1426" s="8">
        <f>Table1[[#This Row],[original_price]]*Table1[[#This Row],[markdown_percentage]]/100</f>
        <v>0</v>
      </c>
      <c r="Q142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426" s="25">
        <f>Table1[[#This Row],[current_price]]*Table1[[#This Row],[stock_quantity]]</f>
        <v>1503.8400000000001</v>
      </c>
    </row>
    <row r="1427" spans="1:18" x14ac:dyDescent="0.25">
      <c r="A1427" s="2" t="s">
        <v>1480</v>
      </c>
      <c r="B1427" s="2" t="s">
        <v>30</v>
      </c>
      <c r="C1427" s="2" t="s">
        <v>43</v>
      </c>
      <c r="D1427" s="2" t="s">
        <v>23</v>
      </c>
      <c r="E1427" s="2" t="s">
        <v>24</v>
      </c>
      <c r="F1427" s="2" t="s">
        <v>66</v>
      </c>
      <c r="G1427" s="8">
        <v>64.94</v>
      </c>
      <c r="H1427" s="11">
        <v>0</v>
      </c>
      <c r="I1427" s="8">
        <v>64.94</v>
      </c>
      <c r="J1427" s="3">
        <v>45875</v>
      </c>
      <c r="K1427" s="14">
        <v>32</v>
      </c>
      <c r="L1427" s="17">
        <v>4.5</v>
      </c>
      <c r="M1427" s="2" t="b">
        <v>0</v>
      </c>
      <c r="N1427" s="2"/>
      <c r="O1427" s="2" t="str">
        <f>IF(Table1[[#This Row],[is_returned]]=TRUE,IF(Table1[[#This Row],[return_reason]]="","Error","OK"),"OK")</f>
        <v>OK</v>
      </c>
      <c r="P1427" s="8">
        <f>Table1[[#This Row],[original_price]]*Table1[[#This Row],[markdown_percentage]]/100</f>
        <v>0</v>
      </c>
      <c r="Q142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427" s="25">
        <f>Table1[[#This Row],[current_price]]*Table1[[#This Row],[stock_quantity]]</f>
        <v>2078.08</v>
      </c>
    </row>
    <row r="1428" spans="1:18" x14ac:dyDescent="0.25">
      <c r="A1428" s="2" t="s">
        <v>1481</v>
      </c>
      <c r="B1428" s="2" t="s">
        <v>38</v>
      </c>
      <c r="C1428" s="2" t="s">
        <v>43</v>
      </c>
      <c r="D1428" s="2" t="s">
        <v>23</v>
      </c>
      <c r="E1428" s="2" t="s">
        <v>39</v>
      </c>
      <c r="F1428" s="2" t="s">
        <v>46</v>
      </c>
      <c r="G1428" s="8">
        <v>63.74</v>
      </c>
      <c r="H1428" s="11">
        <v>56.8</v>
      </c>
      <c r="I1428" s="8">
        <v>27.54</v>
      </c>
      <c r="J1428" s="3">
        <v>45875</v>
      </c>
      <c r="K1428" s="14">
        <v>15</v>
      </c>
      <c r="L1428" s="17">
        <v>4</v>
      </c>
      <c r="M1428" s="2" t="b">
        <v>0</v>
      </c>
      <c r="N1428" s="2"/>
      <c r="O1428" s="2" t="str">
        <f>IF(Table1[[#This Row],[is_returned]]=TRUE,IF(Table1[[#This Row],[return_reason]]="","Error","OK"),"OK")</f>
        <v>OK</v>
      </c>
      <c r="P1428" s="8">
        <f>Table1[[#This Row],[original_price]]*Table1[[#This Row],[markdown_percentage]]/100</f>
        <v>36.204319999999996</v>
      </c>
      <c r="Q142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428" s="25">
        <f>Table1[[#This Row],[current_price]]*Table1[[#This Row],[stock_quantity]]</f>
        <v>413.09999999999997</v>
      </c>
    </row>
    <row r="1429" spans="1:18" x14ac:dyDescent="0.25">
      <c r="A1429" s="2" t="s">
        <v>1482</v>
      </c>
      <c r="B1429" s="2" t="s">
        <v>21</v>
      </c>
      <c r="C1429" s="2" t="s">
        <v>16</v>
      </c>
      <c r="D1429" s="2" t="s">
        <v>62</v>
      </c>
      <c r="E1429" s="2" t="s">
        <v>18</v>
      </c>
      <c r="F1429" s="2" t="s">
        <v>25</v>
      </c>
      <c r="G1429" s="8">
        <v>67.23</v>
      </c>
      <c r="H1429" s="11">
        <v>11.1</v>
      </c>
      <c r="I1429" s="8">
        <v>59.77</v>
      </c>
      <c r="J1429" s="3">
        <v>45875</v>
      </c>
      <c r="K1429" s="14">
        <v>39</v>
      </c>
      <c r="L1429" s="17">
        <v>1.1000000000000001</v>
      </c>
      <c r="M1429" s="2" t="b">
        <v>1</v>
      </c>
      <c r="N1429" s="2" t="s">
        <v>125</v>
      </c>
      <c r="O1429" s="2" t="str">
        <f>IF(Table1[[#This Row],[is_returned]]=TRUE,IF(Table1[[#This Row],[return_reason]]="","Error","OK"),"OK")</f>
        <v>OK</v>
      </c>
      <c r="P1429" s="8">
        <f>Table1[[#This Row],[original_price]]*Table1[[#This Row],[markdown_percentage]]/100</f>
        <v>7.4625300000000001</v>
      </c>
      <c r="Q142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429" s="25">
        <f>Table1[[#This Row],[current_price]]*Table1[[#This Row],[stock_quantity]]</f>
        <v>2331.0300000000002</v>
      </c>
    </row>
    <row r="1430" spans="1:18" x14ac:dyDescent="0.25">
      <c r="A1430" s="2" t="s">
        <v>1483</v>
      </c>
      <c r="B1430" s="2" t="s">
        <v>27</v>
      </c>
      <c r="C1430" s="2" t="s">
        <v>48</v>
      </c>
      <c r="D1430" s="2" t="s">
        <v>17</v>
      </c>
      <c r="E1430" s="2"/>
      <c r="F1430" s="2" t="s">
        <v>44</v>
      </c>
      <c r="G1430" s="8">
        <v>27.2</v>
      </c>
      <c r="H1430" s="11">
        <v>40.4</v>
      </c>
      <c r="I1430" s="8">
        <v>16.21</v>
      </c>
      <c r="J1430" s="3">
        <v>45523</v>
      </c>
      <c r="K1430" s="14">
        <v>20</v>
      </c>
      <c r="L1430" s="17">
        <v>4.3</v>
      </c>
      <c r="M1430" s="2" t="b">
        <v>0</v>
      </c>
      <c r="N1430" s="2"/>
      <c r="O1430" s="2" t="str">
        <f>IF(Table1[[#This Row],[is_returned]]=TRUE,IF(Table1[[#This Row],[return_reason]]="","Error","OK"),"OK")</f>
        <v>OK</v>
      </c>
      <c r="P1430" s="8">
        <f>Table1[[#This Row],[original_price]]*Table1[[#This Row],[markdown_percentage]]/100</f>
        <v>10.988799999999999</v>
      </c>
      <c r="Q143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430" s="25">
        <f>Table1[[#This Row],[current_price]]*Table1[[#This Row],[stock_quantity]]</f>
        <v>324.20000000000005</v>
      </c>
    </row>
    <row r="1431" spans="1:18" x14ac:dyDescent="0.25">
      <c r="A1431" s="2" t="s">
        <v>1484</v>
      </c>
      <c r="B1431" s="2" t="s">
        <v>21</v>
      </c>
      <c r="C1431" s="2" t="s">
        <v>43</v>
      </c>
      <c r="D1431" s="2" t="s">
        <v>17</v>
      </c>
      <c r="E1431" s="2" t="s">
        <v>18</v>
      </c>
      <c r="F1431" s="2" t="s">
        <v>70</v>
      </c>
      <c r="G1431" s="8">
        <v>75.84</v>
      </c>
      <c r="H1431" s="11">
        <v>0</v>
      </c>
      <c r="I1431" s="8">
        <v>75.84</v>
      </c>
      <c r="J1431" s="3">
        <v>45754</v>
      </c>
      <c r="K1431" s="14">
        <v>8</v>
      </c>
      <c r="L1431" s="17">
        <v>4.0999999999999996</v>
      </c>
      <c r="M1431" s="2" t="b">
        <v>0</v>
      </c>
      <c r="N1431" s="2"/>
      <c r="O1431" s="2" t="str">
        <f>IF(Table1[[#This Row],[is_returned]]=TRUE,IF(Table1[[#This Row],[return_reason]]="","Error","OK"),"OK")</f>
        <v>OK</v>
      </c>
      <c r="P1431" s="8">
        <f>Table1[[#This Row],[original_price]]*Table1[[#This Row],[markdown_percentage]]/100</f>
        <v>0</v>
      </c>
      <c r="Q143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431" s="25">
        <f>Table1[[#This Row],[current_price]]*Table1[[#This Row],[stock_quantity]]</f>
        <v>606.72</v>
      </c>
    </row>
    <row r="1432" spans="1:18" x14ac:dyDescent="0.25">
      <c r="A1432" s="2" t="s">
        <v>1485</v>
      </c>
      <c r="B1432" s="2" t="s">
        <v>42</v>
      </c>
      <c r="C1432" s="2" t="s">
        <v>43</v>
      </c>
      <c r="D1432" s="2" t="s">
        <v>23</v>
      </c>
      <c r="E1432" s="2" t="s">
        <v>58</v>
      </c>
      <c r="F1432" s="2" t="s">
        <v>64</v>
      </c>
      <c r="G1432" s="8">
        <v>68.510000000000005</v>
      </c>
      <c r="H1432" s="11">
        <v>0</v>
      </c>
      <c r="I1432" s="8">
        <v>68.510000000000005</v>
      </c>
      <c r="J1432" s="3">
        <v>45875</v>
      </c>
      <c r="K1432" s="14">
        <v>1</v>
      </c>
      <c r="L1432" s="17">
        <v>2.6</v>
      </c>
      <c r="M1432" s="2" t="b">
        <v>0</v>
      </c>
      <c r="N1432" s="2"/>
      <c r="O1432" s="2" t="str">
        <f>IF(Table1[[#This Row],[is_returned]]=TRUE,IF(Table1[[#This Row],[return_reason]]="","Error","OK"),"OK")</f>
        <v>OK</v>
      </c>
      <c r="P1432" s="8">
        <f>Table1[[#This Row],[original_price]]*Table1[[#This Row],[markdown_percentage]]/100</f>
        <v>0</v>
      </c>
      <c r="Q143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432" s="25">
        <f>Table1[[#This Row],[current_price]]*Table1[[#This Row],[stock_quantity]]</f>
        <v>68.510000000000005</v>
      </c>
    </row>
    <row r="1433" spans="1:18" x14ac:dyDescent="0.25">
      <c r="A1433" s="2" t="s">
        <v>1486</v>
      </c>
      <c r="B1433" s="2" t="s">
        <v>27</v>
      </c>
      <c r="C1433" s="2" t="s">
        <v>43</v>
      </c>
      <c r="D1433" s="2" t="s">
        <v>62</v>
      </c>
      <c r="E1433" s="2"/>
      <c r="F1433" s="2" t="s">
        <v>66</v>
      </c>
      <c r="G1433" s="8">
        <v>25.49</v>
      </c>
      <c r="H1433" s="11">
        <v>0</v>
      </c>
      <c r="I1433" s="8">
        <v>25.49</v>
      </c>
      <c r="J1433" s="3">
        <v>45875</v>
      </c>
      <c r="K1433" s="14">
        <v>35</v>
      </c>
      <c r="L1433" s="17">
        <v>2.2000000000000002</v>
      </c>
      <c r="M1433" s="2" t="b">
        <v>1</v>
      </c>
      <c r="N1433" s="2" t="s">
        <v>73</v>
      </c>
      <c r="O1433" s="2" t="str">
        <f>IF(Table1[[#This Row],[is_returned]]=TRUE,IF(Table1[[#This Row],[return_reason]]="","Error","OK"),"OK")</f>
        <v>OK</v>
      </c>
      <c r="P1433" s="8">
        <f>Table1[[#This Row],[original_price]]*Table1[[#This Row],[markdown_percentage]]/100</f>
        <v>0</v>
      </c>
      <c r="Q143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433" s="25">
        <f>Table1[[#This Row],[current_price]]*Table1[[#This Row],[stock_quantity]]</f>
        <v>892.15</v>
      </c>
    </row>
    <row r="1434" spans="1:18" x14ac:dyDescent="0.25">
      <c r="A1434" s="2" t="s">
        <v>1487</v>
      </c>
      <c r="B1434" s="2" t="s">
        <v>21</v>
      </c>
      <c r="C1434" s="2" t="s">
        <v>53</v>
      </c>
      <c r="D1434" s="2" t="s">
        <v>34</v>
      </c>
      <c r="E1434" s="2" t="s">
        <v>55</v>
      </c>
      <c r="F1434" s="2" t="s">
        <v>19</v>
      </c>
      <c r="G1434" s="8">
        <v>70.88</v>
      </c>
      <c r="H1434" s="11">
        <v>0</v>
      </c>
      <c r="I1434" s="8">
        <v>70.88</v>
      </c>
      <c r="J1434" s="3">
        <v>45875</v>
      </c>
      <c r="K1434" s="14">
        <v>5</v>
      </c>
      <c r="L1434" s="17">
        <v>2.2999999999999998</v>
      </c>
      <c r="M1434" s="2" t="b">
        <v>0</v>
      </c>
      <c r="N1434" s="2"/>
      <c r="O1434" s="2" t="str">
        <f>IF(Table1[[#This Row],[is_returned]]=TRUE,IF(Table1[[#This Row],[return_reason]]="","Error","OK"),"OK")</f>
        <v>OK</v>
      </c>
      <c r="P1434" s="8">
        <f>Table1[[#This Row],[original_price]]*Table1[[#This Row],[markdown_percentage]]/100</f>
        <v>0</v>
      </c>
      <c r="Q143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434" s="25">
        <f>Table1[[#This Row],[current_price]]*Table1[[#This Row],[stock_quantity]]</f>
        <v>354.4</v>
      </c>
    </row>
    <row r="1435" spans="1:18" x14ac:dyDescent="0.25">
      <c r="A1435" s="2" t="s">
        <v>1488</v>
      </c>
      <c r="B1435" s="2" t="s">
        <v>30</v>
      </c>
      <c r="C1435" s="2" t="s">
        <v>48</v>
      </c>
      <c r="D1435" s="2" t="s">
        <v>62</v>
      </c>
      <c r="E1435" s="2" t="s">
        <v>55</v>
      </c>
      <c r="F1435" s="2" t="s">
        <v>35</v>
      </c>
      <c r="G1435" s="8">
        <v>176.64</v>
      </c>
      <c r="H1435" s="11">
        <v>8.8000000000000007</v>
      </c>
      <c r="I1435" s="8">
        <v>161.1</v>
      </c>
      <c r="J1435" s="3">
        <v>45875</v>
      </c>
      <c r="K1435" s="14">
        <v>1</v>
      </c>
      <c r="L1435" s="17">
        <v>1.7</v>
      </c>
      <c r="M1435" s="2" t="b">
        <v>0</v>
      </c>
      <c r="N1435" s="2"/>
      <c r="O1435" s="2" t="str">
        <f>IF(Table1[[#This Row],[is_returned]]=TRUE,IF(Table1[[#This Row],[return_reason]]="","Error","OK"),"OK")</f>
        <v>OK</v>
      </c>
      <c r="P1435" s="8">
        <f>Table1[[#This Row],[original_price]]*Table1[[#This Row],[markdown_percentage]]/100</f>
        <v>15.544320000000001</v>
      </c>
      <c r="Q143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435" s="25">
        <f>Table1[[#This Row],[current_price]]*Table1[[#This Row],[stock_quantity]]</f>
        <v>161.1</v>
      </c>
    </row>
    <row r="1436" spans="1:18" x14ac:dyDescent="0.25">
      <c r="A1436" s="2" t="s">
        <v>1489</v>
      </c>
      <c r="B1436" s="2" t="s">
        <v>42</v>
      </c>
      <c r="C1436" s="2" t="s">
        <v>53</v>
      </c>
      <c r="D1436" s="2" t="s">
        <v>23</v>
      </c>
      <c r="E1436" s="2" t="s">
        <v>24</v>
      </c>
      <c r="F1436" s="2" t="s">
        <v>19</v>
      </c>
      <c r="G1436" s="8">
        <v>50.76</v>
      </c>
      <c r="H1436" s="11">
        <v>0</v>
      </c>
      <c r="I1436" s="8">
        <v>50.76</v>
      </c>
      <c r="J1436" s="3">
        <v>45875</v>
      </c>
      <c r="K1436" s="14">
        <v>45</v>
      </c>
      <c r="L1436" s="17">
        <v>4.3</v>
      </c>
      <c r="M1436" s="2" t="b">
        <v>0</v>
      </c>
      <c r="N1436" s="2"/>
      <c r="O1436" s="2" t="str">
        <f>IF(Table1[[#This Row],[is_returned]]=TRUE,IF(Table1[[#This Row],[return_reason]]="","Error","OK"),"OK")</f>
        <v>OK</v>
      </c>
      <c r="P1436" s="8">
        <f>Table1[[#This Row],[original_price]]*Table1[[#This Row],[markdown_percentage]]/100</f>
        <v>0</v>
      </c>
      <c r="Q143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436" s="25">
        <f>Table1[[#This Row],[current_price]]*Table1[[#This Row],[stock_quantity]]</f>
        <v>2284.1999999999998</v>
      </c>
    </row>
    <row r="1437" spans="1:18" x14ac:dyDescent="0.25">
      <c r="A1437" s="2" t="s">
        <v>1490</v>
      </c>
      <c r="B1437" s="2" t="s">
        <v>30</v>
      </c>
      <c r="C1437" s="2" t="s">
        <v>43</v>
      </c>
      <c r="D1437" s="2" t="s">
        <v>34</v>
      </c>
      <c r="E1437" s="2" t="s">
        <v>18</v>
      </c>
      <c r="F1437" s="2" t="s">
        <v>25</v>
      </c>
      <c r="G1437" s="8">
        <v>155.85</v>
      </c>
      <c r="H1437" s="11">
        <v>0</v>
      </c>
      <c r="I1437" s="8">
        <v>155.85</v>
      </c>
      <c r="J1437" s="3">
        <v>45875</v>
      </c>
      <c r="K1437" s="14">
        <v>1</v>
      </c>
      <c r="L1437" s="17">
        <v>3.5</v>
      </c>
      <c r="M1437" s="2" t="b">
        <v>0</v>
      </c>
      <c r="N1437" s="2"/>
      <c r="O1437" s="2" t="str">
        <f>IF(Table1[[#This Row],[is_returned]]=TRUE,IF(Table1[[#This Row],[return_reason]]="","Error","OK"),"OK")</f>
        <v>OK</v>
      </c>
      <c r="P1437" s="8">
        <f>Table1[[#This Row],[original_price]]*Table1[[#This Row],[markdown_percentage]]/100</f>
        <v>0</v>
      </c>
      <c r="Q143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437" s="25">
        <f>Table1[[#This Row],[current_price]]*Table1[[#This Row],[stock_quantity]]</f>
        <v>155.85</v>
      </c>
    </row>
    <row r="1438" spans="1:18" x14ac:dyDescent="0.25">
      <c r="A1438" s="2" t="s">
        <v>1491</v>
      </c>
      <c r="B1438" s="2" t="s">
        <v>42</v>
      </c>
      <c r="C1438" s="2" t="s">
        <v>32</v>
      </c>
      <c r="D1438" s="2" t="s">
        <v>17</v>
      </c>
      <c r="E1438" s="2" t="s">
        <v>18</v>
      </c>
      <c r="F1438" s="2" t="s">
        <v>44</v>
      </c>
      <c r="G1438" s="8">
        <v>48.04</v>
      </c>
      <c r="H1438" s="11">
        <v>0</v>
      </c>
      <c r="I1438" s="8">
        <v>48.04</v>
      </c>
      <c r="J1438" s="3">
        <v>45778</v>
      </c>
      <c r="K1438" s="14">
        <v>20</v>
      </c>
      <c r="L1438" s="17">
        <v>3.2</v>
      </c>
      <c r="M1438" s="2" t="b">
        <v>0</v>
      </c>
      <c r="N1438" s="2"/>
      <c r="O1438" s="2" t="str">
        <f>IF(Table1[[#This Row],[is_returned]]=TRUE,IF(Table1[[#This Row],[return_reason]]="","Error","OK"),"OK")</f>
        <v>OK</v>
      </c>
      <c r="P1438" s="8">
        <f>Table1[[#This Row],[original_price]]*Table1[[#This Row],[markdown_percentage]]/100</f>
        <v>0</v>
      </c>
      <c r="Q143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438" s="25">
        <f>Table1[[#This Row],[current_price]]*Table1[[#This Row],[stock_quantity]]</f>
        <v>960.8</v>
      </c>
    </row>
    <row r="1439" spans="1:18" x14ac:dyDescent="0.25">
      <c r="A1439" s="2" t="s">
        <v>1492</v>
      </c>
      <c r="B1439" s="2" t="s">
        <v>21</v>
      </c>
      <c r="C1439" s="2" t="s">
        <v>75</v>
      </c>
      <c r="D1439" s="2" t="s">
        <v>17</v>
      </c>
      <c r="E1439" s="2" t="s">
        <v>55</v>
      </c>
      <c r="F1439" s="2" t="s">
        <v>64</v>
      </c>
      <c r="G1439" s="8">
        <v>44.79</v>
      </c>
      <c r="H1439" s="11">
        <v>0</v>
      </c>
      <c r="I1439" s="8">
        <v>44.79</v>
      </c>
      <c r="J1439" s="3">
        <v>45676</v>
      </c>
      <c r="K1439" s="14">
        <v>7</v>
      </c>
      <c r="L1439" s="17">
        <v>3.6</v>
      </c>
      <c r="M1439" s="2" t="b">
        <v>0</v>
      </c>
      <c r="N1439" s="2"/>
      <c r="O1439" s="2" t="str">
        <f>IF(Table1[[#This Row],[is_returned]]=TRUE,IF(Table1[[#This Row],[return_reason]]="","Error","OK"),"OK")</f>
        <v>OK</v>
      </c>
      <c r="P1439" s="8">
        <f>Table1[[#This Row],[original_price]]*Table1[[#This Row],[markdown_percentage]]/100</f>
        <v>0</v>
      </c>
      <c r="Q143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439" s="25">
        <f>Table1[[#This Row],[current_price]]*Table1[[#This Row],[stock_quantity]]</f>
        <v>313.52999999999997</v>
      </c>
    </row>
    <row r="1440" spans="1:18" x14ac:dyDescent="0.25">
      <c r="A1440" s="2" t="s">
        <v>1493</v>
      </c>
      <c r="B1440" s="2" t="s">
        <v>21</v>
      </c>
      <c r="C1440" s="2" t="s">
        <v>22</v>
      </c>
      <c r="D1440" s="2" t="s">
        <v>17</v>
      </c>
      <c r="E1440" s="2" t="s">
        <v>55</v>
      </c>
      <c r="F1440" s="2" t="s">
        <v>44</v>
      </c>
      <c r="G1440" s="8">
        <v>76.95</v>
      </c>
      <c r="H1440" s="11">
        <v>0</v>
      </c>
      <c r="I1440" s="8">
        <v>76.95</v>
      </c>
      <c r="J1440" s="3">
        <v>45669</v>
      </c>
      <c r="K1440" s="14">
        <v>9</v>
      </c>
      <c r="L1440" s="17">
        <v>2.5</v>
      </c>
      <c r="M1440" s="2" t="b">
        <v>0</v>
      </c>
      <c r="N1440" s="2"/>
      <c r="O1440" s="2" t="str">
        <f>IF(Table1[[#This Row],[is_returned]]=TRUE,IF(Table1[[#This Row],[return_reason]]="","Error","OK"),"OK")</f>
        <v>OK</v>
      </c>
      <c r="P1440" s="8">
        <f>Table1[[#This Row],[original_price]]*Table1[[#This Row],[markdown_percentage]]/100</f>
        <v>0</v>
      </c>
      <c r="Q144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440" s="25">
        <f>Table1[[#This Row],[current_price]]*Table1[[#This Row],[stock_quantity]]</f>
        <v>692.55000000000007</v>
      </c>
    </row>
    <row r="1441" spans="1:18" x14ac:dyDescent="0.25">
      <c r="A1441" s="2" t="s">
        <v>1494</v>
      </c>
      <c r="B1441" s="2" t="s">
        <v>27</v>
      </c>
      <c r="C1441" s="2" t="s">
        <v>61</v>
      </c>
      <c r="D1441" s="2" t="s">
        <v>62</v>
      </c>
      <c r="E1441" s="2"/>
      <c r="F1441" s="2" t="s">
        <v>40</v>
      </c>
      <c r="G1441" s="8">
        <v>35.93</v>
      </c>
      <c r="H1441" s="11">
        <v>49.9</v>
      </c>
      <c r="I1441" s="8">
        <v>18</v>
      </c>
      <c r="J1441" s="3">
        <v>45875</v>
      </c>
      <c r="K1441" s="14">
        <v>26</v>
      </c>
      <c r="L1441" s="17">
        <v>4</v>
      </c>
      <c r="M1441" s="2" t="b">
        <v>0</v>
      </c>
      <c r="N1441" s="2"/>
      <c r="O1441" s="2" t="str">
        <f>IF(Table1[[#This Row],[is_returned]]=TRUE,IF(Table1[[#This Row],[return_reason]]="","Error","OK"),"OK")</f>
        <v>OK</v>
      </c>
      <c r="P1441" s="8">
        <f>Table1[[#This Row],[original_price]]*Table1[[#This Row],[markdown_percentage]]/100</f>
        <v>17.929069999999999</v>
      </c>
      <c r="Q144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441" s="25">
        <f>Table1[[#This Row],[current_price]]*Table1[[#This Row],[stock_quantity]]</f>
        <v>468</v>
      </c>
    </row>
    <row r="1442" spans="1:18" x14ac:dyDescent="0.25">
      <c r="A1442" s="2" t="s">
        <v>1495</v>
      </c>
      <c r="B1442" s="2" t="s">
        <v>38</v>
      </c>
      <c r="C1442" s="2" t="s">
        <v>32</v>
      </c>
      <c r="D1442" s="2" t="s">
        <v>34</v>
      </c>
      <c r="E1442" s="2" t="s">
        <v>18</v>
      </c>
      <c r="F1442" s="2" t="s">
        <v>19</v>
      </c>
      <c r="G1442" s="8">
        <v>49.97</v>
      </c>
      <c r="H1442" s="11">
        <v>0</v>
      </c>
      <c r="I1442" s="8">
        <v>49.97</v>
      </c>
      <c r="J1442" s="3">
        <v>45875</v>
      </c>
      <c r="K1442" s="14">
        <v>11</v>
      </c>
      <c r="L1442" s="17">
        <v>3.5</v>
      </c>
      <c r="M1442" s="2" t="b">
        <v>1</v>
      </c>
      <c r="N1442" s="2" t="s">
        <v>83</v>
      </c>
      <c r="O1442" s="2" t="str">
        <f>IF(Table1[[#This Row],[is_returned]]=TRUE,IF(Table1[[#This Row],[return_reason]]="","Error","OK"),"OK")</f>
        <v>OK</v>
      </c>
      <c r="P1442" s="8">
        <f>Table1[[#This Row],[original_price]]*Table1[[#This Row],[markdown_percentage]]/100</f>
        <v>0</v>
      </c>
      <c r="Q144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442" s="25">
        <f>Table1[[#This Row],[current_price]]*Table1[[#This Row],[stock_quantity]]</f>
        <v>549.66999999999996</v>
      </c>
    </row>
    <row r="1443" spans="1:18" x14ac:dyDescent="0.25">
      <c r="A1443" s="2" t="s">
        <v>1496</v>
      </c>
      <c r="B1443" s="2" t="s">
        <v>15</v>
      </c>
      <c r="C1443" s="2" t="s">
        <v>48</v>
      </c>
      <c r="D1443" s="2" t="s">
        <v>62</v>
      </c>
      <c r="E1443" s="2"/>
      <c r="F1443" s="2" t="s">
        <v>28</v>
      </c>
      <c r="G1443" s="8">
        <v>169.69</v>
      </c>
      <c r="H1443" s="11">
        <v>0</v>
      </c>
      <c r="I1443" s="8">
        <v>169.69</v>
      </c>
      <c r="J1443" s="3">
        <v>45875</v>
      </c>
      <c r="K1443" s="14">
        <v>29</v>
      </c>
      <c r="L1443" s="17">
        <v>1.9</v>
      </c>
      <c r="M1443" s="2" t="b">
        <v>0</v>
      </c>
      <c r="N1443" s="2"/>
      <c r="O1443" s="2" t="str">
        <f>IF(Table1[[#This Row],[is_returned]]=TRUE,IF(Table1[[#This Row],[return_reason]]="","Error","OK"),"OK")</f>
        <v>OK</v>
      </c>
      <c r="P1443" s="8">
        <f>Table1[[#This Row],[original_price]]*Table1[[#This Row],[markdown_percentage]]/100</f>
        <v>0</v>
      </c>
      <c r="Q144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443" s="25">
        <f>Table1[[#This Row],[current_price]]*Table1[[#This Row],[stock_quantity]]</f>
        <v>4921.01</v>
      </c>
    </row>
    <row r="1444" spans="1:18" x14ac:dyDescent="0.25">
      <c r="A1444" s="2" t="s">
        <v>1497</v>
      </c>
      <c r="B1444" s="2" t="s">
        <v>15</v>
      </c>
      <c r="C1444" s="2" t="s">
        <v>53</v>
      </c>
      <c r="D1444" s="2" t="s">
        <v>17</v>
      </c>
      <c r="E1444" s="2"/>
      <c r="F1444" s="2" t="s">
        <v>35</v>
      </c>
      <c r="G1444" s="8">
        <v>209.3</v>
      </c>
      <c r="H1444" s="11">
        <v>14.2</v>
      </c>
      <c r="I1444" s="8">
        <v>179.58</v>
      </c>
      <c r="J1444" s="3">
        <v>45721</v>
      </c>
      <c r="K1444" s="14">
        <v>29</v>
      </c>
      <c r="L1444" s="17"/>
      <c r="M1444" s="2" t="b">
        <v>0</v>
      </c>
      <c r="N1444" s="2"/>
      <c r="O1444" s="2" t="str">
        <f>IF(Table1[[#This Row],[is_returned]]=TRUE,IF(Table1[[#This Row],[return_reason]]="","Error","OK"),"OK")</f>
        <v>OK</v>
      </c>
      <c r="P1444" s="8">
        <f>Table1[[#This Row],[original_price]]*Table1[[#This Row],[markdown_percentage]]/100</f>
        <v>29.720600000000001</v>
      </c>
      <c r="Q144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444" s="25">
        <f>Table1[[#This Row],[current_price]]*Table1[[#This Row],[stock_quantity]]</f>
        <v>5207.8200000000006</v>
      </c>
    </row>
    <row r="1445" spans="1:18" x14ac:dyDescent="0.25">
      <c r="A1445" s="2" t="s">
        <v>1498</v>
      </c>
      <c r="B1445" s="2" t="s">
        <v>21</v>
      </c>
      <c r="C1445" s="2" t="s">
        <v>61</v>
      </c>
      <c r="D1445" s="2" t="s">
        <v>62</v>
      </c>
      <c r="E1445" s="2" t="s">
        <v>49</v>
      </c>
      <c r="F1445" s="2" t="s">
        <v>25</v>
      </c>
      <c r="G1445" s="8">
        <v>110.81</v>
      </c>
      <c r="H1445" s="11">
        <v>0</v>
      </c>
      <c r="I1445" s="8">
        <v>110.81</v>
      </c>
      <c r="J1445" s="3">
        <v>45875</v>
      </c>
      <c r="K1445" s="14">
        <v>24</v>
      </c>
      <c r="L1445" s="17">
        <v>2.4</v>
      </c>
      <c r="M1445" s="2" t="b">
        <v>0</v>
      </c>
      <c r="N1445" s="2"/>
      <c r="O1445" s="2" t="str">
        <f>IF(Table1[[#This Row],[is_returned]]=TRUE,IF(Table1[[#This Row],[return_reason]]="","Error","OK"),"OK")</f>
        <v>OK</v>
      </c>
      <c r="P1445" s="8">
        <f>Table1[[#This Row],[original_price]]*Table1[[#This Row],[markdown_percentage]]/100</f>
        <v>0</v>
      </c>
      <c r="Q144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445" s="25">
        <f>Table1[[#This Row],[current_price]]*Table1[[#This Row],[stock_quantity]]</f>
        <v>2659.44</v>
      </c>
    </row>
    <row r="1446" spans="1:18" x14ac:dyDescent="0.25">
      <c r="A1446" s="2" t="s">
        <v>1499</v>
      </c>
      <c r="B1446" s="2" t="s">
        <v>27</v>
      </c>
      <c r="C1446" s="2" t="s">
        <v>22</v>
      </c>
      <c r="D1446" s="2" t="s">
        <v>34</v>
      </c>
      <c r="E1446" s="2"/>
      <c r="F1446" s="2" t="s">
        <v>28</v>
      </c>
      <c r="G1446" s="8">
        <v>61.84</v>
      </c>
      <c r="H1446" s="11">
        <v>0</v>
      </c>
      <c r="I1446" s="8">
        <v>61.84</v>
      </c>
      <c r="J1446" s="3">
        <v>45875</v>
      </c>
      <c r="K1446" s="14">
        <v>0</v>
      </c>
      <c r="L1446" s="17">
        <v>4.7</v>
      </c>
      <c r="M1446" s="2" t="b">
        <v>1</v>
      </c>
      <c r="N1446" s="2" t="s">
        <v>125</v>
      </c>
      <c r="O1446" s="2" t="str">
        <f>IF(Table1[[#This Row],[is_returned]]=TRUE,IF(Table1[[#This Row],[return_reason]]="","Error","OK"),"OK")</f>
        <v>OK</v>
      </c>
      <c r="P1446" s="8">
        <f>Table1[[#This Row],[original_price]]*Table1[[#This Row],[markdown_percentage]]/100</f>
        <v>0</v>
      </c>
      <c r="Q144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446" s="25">
        <f>Table1[[#This Row],[current_price]]*Table1[[#This Row],[stock_quantity]]</f>
        <v>0</v>
      </c>
    </row>
    <row r="1447" spans="1:18" x14ac:dyDescent="0.25">
      <c r="A1447" s="2" t="s">
        <v>1500</v>
      </c>
      <c r="B1447" s="2" t="s">
        <v>15</v>
      </c>
      <c r="C1447" s="2" t="s">
        <v>16</v>
      </c>
      <c r="D1447" s="2" t="s">
        <v>17</v>
      </c>
      <c r="E1447" s="2" t="s">
        <v>39</v>
      </c>
      <c r="F1447" s="2" t="s">
        <v>70</v>
      </c>
      <c r="G1447" s="8">
        <v>190.03</v>
      </c>
      <c r="H1447" s="11">
        <v>14.9</v>
      </c>
      <c r="I1447" s="8">
        <v>161.72</v>
      </c>
      <c r="J1447" s="3">
        <v>45862</v>
      </c>
      <c r="K1447" s="14">
        <v>35</v>
      </c>
      <c r="L1447" s="17">
        <v>4.0999999999999996</v>
      </c>
      <c r="M1447" s="2" t="b">
        <v>0</v>
      </c>
      <c r="N1447" s="2"/>
      <c r="O1447" s="2" t="str">
        <f>IF(Table1[[#This Row],[is_returned]]=TRUE,IF(Table1[[#This Row],[return_reason]]="","Error","OK"),"OK")</f>
        <v>OK</v>
      </c>
      <c r="P1447" s="8">
        <f>Table1[[#This Row],[original_price]]*Table1[[#This Row],[markdown_percentage]]/100</f>
        <v>28.31447</v>
      </c>
      <c r="Q144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447" s="25">
        <f>Table1[[#This Row],[current_price]]*Table1[[#This Row],[stock_quantity]]</f>
        <v>5660.2</v>
      </c>
    </row>
    <row r="1448" spans="1:18" x14ac:dyDescent="0.25">
      <c r="A1448" s="2" t="s">
        <v>1501</v>
      </c>
      <c r="B1448" s="2" t="s">
        <v>38</v>
      </c>
      <c r="C1448" s="2" t="s">
        <v>32</v>
      </c>
      <c r="D1448" s="2" t="s">
        <v>34</v>
      </c>
      <c r="E1448" s="2" t="s">
        <v>55</v>
      </c>
      <c r="F1448" s="2" t="s">
        <v>19</v>
      </c>
      <c r="G1448" s="8">
        <v>74.27</v>
      </c>
      <c r="H1448" s="11">
        <v>0</v>
      </c>
      <c r="I1448" s="8">
        <v>74.27</v>
      </c>
      <c r="J1448" s="3">
        <v>45875</v>
      </c>
      <c r="K1448" s="14">
        <v>6</v>
      </c>
      <c r="L1448" s="17">
        <v>1.3</v>
      </c>
      <c r="M1448" s="2" t="b">
        <v>0</v>
      </c>
      <c r="N1448" s="2"/>
      <c r="O1448" s="2" t="str">
        <f>IF(Table1[[#This Row],[is_returned]]=TRUE,IF(Table1[[#This Row],[return_reason]]="","Error","OK"),"OK")</f>
        <v>OK</v>
      </c>
      <c r="P1448" s="8">
        <f>Table1[[#This Row],[original_price]]*Table1[[#This Row],[markdown_percentage]]/100</f>
        <v>0</v>
      </c>
      <c r="Q144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448" s="25">
        <f>Table1[[#This Row],[current_price]]*Table1[[#This Row],[stock_quantity]]</f>
        <v>445.62</v>
      </c>
    </row>
    <row r="1449" spans="1:18" x14ac:dyDescent="0.25">
      <c r="A1449" s="2" t="s">
        <v>1502</v>
      </c>
      <c r="B1449" s="2" t="s">
        <v>15</v>
      </c>
      <c r="C1449" s="2" t="s">
        <v>16</v>
      </c>
      <c r="D1449" s="2" t="s">
        <v>34</v>
      </c>
      <c r="E1449" s="2" t="s">
        <v>18</v>
      </c>
      <c r="F1449" s="2" t="s">
        <v>56</v>
      </c>
      <c r="G1449" s="8">
        <v>163.77000000000001</v>
      </c>
      <c r="H1449" s="11">
        <v>30.5</v>
      </c>
      <c r="I1449" s="8">
        <v>113.82</v>
      </c>
      <c r="J1449" s="3">
        <v>45875</v>
      </c>
      <c r="K1449" s="14">
        <v>10</v>
      </c>
      <c r="L1449" s="17"/>
      <c r="M1449" s="2" t="b">
        <v>0</v>
      </c>
      <c r="N1449" s="2"/>
      <c r="O1449" s="2" t="str">
        <f>IF(Table1[[#This Row],[is_returned]]=TRUE,IF(Table1[[#This Row],[return_reason]]="","Error","OK"),"OK")</f>
        <v>OK</v>
      </c>
      <c r="P1449" s="8">
        <f>Table1[[#This Row],[original_price]]*Table1[[#This Row],[markdown_percentage]]/100</f>
        <v>49.949850000000005</v>
      </c>
      <c r="Q144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449" s="25">
        <f>Table1[[#This Row],[current_price]]*Table1[[#This Row],[stock_quantity]]</f>
        <v>1138.1999999999998</v>
      </c>
    </row>
    <row r="1450" spans="1:18" x14ac:dyDescent="0.25">
      <c r="A1450" s="2" t="s">
        <v>1503</v>
      </c>
      <c r="B1450" s="2" t="s">
        <v>27</v>
      </c>
      <c r="C1450" s="2" t="s">
        <v>43</v>
      </c>
      <c r="D1450" s="2" t="s">
        <v>23</v>
      </c>
      <c r="E1450" s="2"/>
      <c r="F1450" s="2" t="s">
        <v>66</v>
      </c>
      <c r="G1450" s="8">
        <v>42.28</v>
      </c>
      <c r="H1450" s="11">
        <v>0</v>
      </c>
      <c r="I1450" s="8">
        <v>42.28</v>
      </c>
      <c r="J1450" s="3">
        <v>45875</v>
      </c>
      <c r="K1450" s="14">
        <v>22</v>
      </c>
      <c r="L1450" s="17">
        <v>1.9</v>
      </c>
      <c r="M1450" s="2" t="b">
        <v>0</v>
      </c>
      <c r="N1450" s="2"/>
      <c r="O1450" s="2" t="str">
        <f>IF(Table1[[#This Row],[is_returned]]=TRUE,IF(Table1[[#This Row],[return_reason]]="","Error","OK"),"OK")</f>
        <v>OK</v>
      </c>
      <c r="P1450" s="8">
        <f>Table1[[#This Row],[original_price]]*Table1[[#This Row],[markdown_percentage]]/100</f>
        <v>0</v>
      </c>
      <c r="Q145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450" s="25">
        <f>Table1[[#This Row],[current_price]]*Table1[[#This Row],[stock_quantity]]</f>
        <v>930.16000000000008</v>
      </c>
    </row>
    <row r="1451" spans="1:18" x14ac:dyDescent="0.25">
      <c r="A1451" s="2" t="s">
        <v>1504</v>
      </c>
      <c r="B1451" s="2" t="s">
        <v>38</v>
      </c>
      <c r="C1451" s="2" t="s">
        <v>48</v>
      </c>
      <c r="D1451" s="2" t="s">
        <v>62</v>
      </c>
      <c r="E1451" s="2" t="s">
        <v>55</v>
      </c>
      <c r="F1451" s="2" t="s">
        <v>64</v>
      </c>
      <c r="G1451" s="8">
        <v>52.92</v>
      </c>
      <c r="H1451" s="11">
        <v>0</v>
      </c>
      <c r="I1451" s="8">
        <v>52.92</v>
      </c>
      <c r="J1451" s="3">
        <v>45875</v>
      </c>
      <c r="K1451" s="14">
        <v>9</v>
      </c>
      <c r="L1451" s="17"/>
      <c r="M1451" s="2" t="b">
        <v>0</v>
      </c>
      <c r="N1451" s="2"/>
      <c r="O1451" s="2" t="str">
        <f>IF(Table1[[#This Row],[is_returned]]=TRUE,IF(Table1[[#This Row],[return_reason]]="","Error","OK"),"OK")</f>
        <v>OK</v>
      </c>
      <c r="P1451" s="8">
        <f>Table1[[#This Row],[original_price]]*Table1[[#This Row],[markdown_percentage]]/100</f>
        <v>0</v>
      </c>
      <c r="Q145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451" s="25">
        <f>Table1[[#This Row],[current_price]]*Table1[[#This Row],[stock_quantity]]</f>
        <v>476.28000000000003</v>
      </c>
    </row>
    <row r="1452" spans="1:18" x14ac:dyDescent="0.25">
      <c r="A1452" s="2" t="s">
        <v>1505</v>
      </c>
      <c r="B1452" s="2" t="s">
        <v>27</v>
      </c>
      <c r="C1452" s="2" t="s">
        <v>53</v>
      </c>
      <c r="D1452" s="2" t="s">
        <v>17</v>
      </c>
      <c r="E1452" s="2"/>
      <c r="F1452" s="2" t="s">
        <v>28</v>
      </c>
      <c r="G1452" s="8">
        <v>40.549999999999997</v>
      </c>
      <c r="H1452" s="11">
        <v>6.2</v>
      </c>
      <c r="I1452" s="8">
        <v>38.04</v>
      </c>
      <c r="J1452" s="3">
        <v>45544</v>
      </c>
      <c r="K1452" s="14">
        <v>26</v>
      </c>
      <c r="L1452" s="17">
        <v>3.7</v>
      </c>
      <c r="M1452" s="2" t="b">
        <v>1</v>
      </c>
      <c r="N1452" s="2" t="s">
        <v>125</v>
      </c>
      <c r="O1452" s="2" t="str">
        <f>IF(Table1[[#This Row],[is_returned]]=TRUE,IF(Table1[[#This Row],[return_reason]]="","Error","OK"),"OK")</f>
        <v>OK</v>
      </c>
      <c r="P1452" s="8">
        <f>Table1[[#This Row],[original_price]]*Table1[[#This Row],[markdown_percentage]]/100</f>
        <v>2.5141</v>
      </c>
      <c r="Q145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452" s="25">
        <f>Table1[[#This Row],[current_price]]*Table1[[#This Row],[stock_quantity]]</f>
        <v>989.04</v>
      </c>
    </row>
    <row r="1453" spans="1:18" x14ac:dyDescent="0.25">
      <c r="A1453" s="2" t="s">
        <v>1506</v>
      </c>
      <c r="B1453" s="2" t="s">
        <v>30</v>
      </c>
      <c r="C1453" s="2" t="s">
        <v>43</v>
      </c>
      <c r="D1453" s="2" t="s">
        <v>62</v>
      </c>
      <c r="E1453" s="2" t="s">
        <v>49</v>
      </c>
      <c r="F1453" s="2" t="s">
        <v>28</v>
      </c>
      <c r="G1453" s="8">
        <v>129.76</v>
      </c>
      <c r="H1453" s="11">
        <v>0</v>
      </c>
      <c r="I1453" s="8">
        <v>129.76</v>
      </c>
      <c r="J1453" s="3">
        <v>45875</v>
      </c>
      <c r="K1453" s="14">
        <v>39</v>
      </c>
      <c r="L1453" s="17">
        <v>2.9</v>
      </c>
      <c r="M1453" s="2" t="b">
        <v>0</v>
      </c>
      <c r="N1453" s="2"/>
      <c r="O1453" s="2" t="str">
        <f>IF(Table1[[#This Row],[is_returned]]=TRUE,IF(Table1[[#This Row],[return_reason]]="","Error","OK"),"OK")</f>
        <v>OK</v>
      </c>
      <c r="P1453" s="8">
        <f>Table1[[#This Row],[original_price]]*Table1[[#This Row],[markdown_percentage]]/100</f>
        <v>0</v>
      </c>
      <c r="Q145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453" s="25">
        <f>Table1[[#This Row],[current_price]]*Table1[[#This Row],[stock_quantity]]</f>
        <v>5060.6399999999994</v>
      </c>
    </row>
    <row r="1454" spans="1:18" x14ac:dyDescent="0.25">
      <c r="A1454" s="2" t="s">
        <v>1507</v>
      </c>
      <c r="B1454" s="2" t="s">
        <v>21</v>
      </c>
      <c r="C1454" s="2" t="s">
        <v>53</v>
      </c>
      <c r="D1454" s="2" t="s">
        <v>34</v>
      </c>
      <c r="E1454" s="2" t="s">
        <v>18</v>
      </c>
      <c r="F1454" s="2" t="s">
        <v>66</v>
      </c>
      <c r="G1454" s="8">
        <v>63.39</v>
      </c>
      <c r="H1454" s="11">
        <v>0</v>
      </c>
      <c r="I1454" s="8">
        <v>63.39</v>
      </c>
      <c r="J1454" s="3">
        <v>45875</v>
      </c>
      <c r="K1454" s="14">
        <v>50</v>
      </c>
      <c r="L1454" s="17">
        <v>2.5</v>
      </c>
      <c r="M1454" s="2" t="b">
        <v>0</v>
      </c>
      <c r="N1454" s="2"/>
      <c r="O1454" s="2" t="str">
        <f>IF(Table1[[#This Row],[is_returned]]=TRUE,IF(Table1[[#This Row],[return_reason]]="","Error","OK"),"OK")</f>
        <v>OK</v>
      </c>
      <c r="P1454" s="8">
        <f>Table1[[#This Row],[original_price]]*Table1[[#This Row],[markdown_percentage]]/100</f>
        <v>0</v>
      </c>
      <c r="Q145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454" s="25">
        <f>Table1[[#This Row],[current_price]]*Table1[[#This Row],[stock_quantity]]</f>
        <v>3169.5</v>
      </c>
    </row>
    <row r="1455" spans="1:18" x14ac:dyDescent="0.25">
      <c r="A1455" s="2" t="s">
        <v>1508</v>
      </c>
      <c r="B1455" s="2" t="s">
        <v>30</v>
      </c>
      <c r="C1455" s="2" t="s">
        <v>48</v>
      </c>
      <c r="D1455" s="2" t="s">
        <v>34</v>
      </c>
      <c r="E1455" s="2" t="s">
        <v>39</v>
      </c>
      <c r="F1455" s="2" t="s">
        <v>64</v>
      </c>
      <c r="G1455" s="8">
        <v>191.94</v>
      </c>
      <c r="H1455" s="11">
        <v>1.3</v>
      </c>
      <c r="I1455" s="8">
        <v>189.44</v>
      </c>
      <c r="J1455" s="3">
        <v>45875</v>
      </c>
      <c r="K1455" s="14">
        <v>39</v>
      </c>
      <c r="L1455" s="17">
        <v>1.2</v>
      </c>
      <c r="M1455" s="2" t="b">
        <v>0</v>
      </c>
      <c r="N1455" s="2"/>
      <c r="O1455" s="2" t="str">
        <f>IF(Table1[[#This Row],[is_returned]]=TRUE,IF(Table1[[#This Row],[return_reason]]="","Error","OK"),"OK")</f>
        <v>OK</v>
      </c>
      <c r="P1455" s="8">
        <f>Table1[[#This Row],[original_price]]*Table1[[#This Row],[markdown_percentage]]/100</f>
        <v>2.4952199999999998</v>
      </c>
      <c r="Q145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455" s="25">
        <f>Table1[[#This Row],[current_price]]*Table1[[#This Row],[stock_quantity]]</f>
        <v>7388.16</v>
      </c>
    </row>
    <row r="1456" spans="1:18" x14ac:dyDescent="0.25">
      <c r="A1456" s="2" t="s">
        <v>1509</v>
      </c>
      <c r="B1456" s="2" t="s">
        <v>27</v>
      </c>
      <c r="C1456" s="2" t="s">
        <v>22</v>
      </c>
      <c r="D1456" s="2" t="s">
        <v>17</v>
      </c>
      <c r="E1456" s="2"/>
      <c r="F1456" s="2" t="s">
        <v>66</v>
      </c>
      <c r="G1456" s="8">
        <v>63.42</v>
      </c>
      <c r="H1456" s="11">
        <v>0</v>
      </c>
      <c r="I1456" s="8">
        <v>63.42</v>
      </c>
      <c r="J1456" s="3">
        <v>45608</v>
      </c>
      <c r="K1456" s="14">
        <v>19</v>
      </c>
      <c r="L1456" s="17">
        <v>2.9</v>
      </c>
      <c r="M1456" s="2" t="b">
        <v>1</v>
      </c>
      <c r="N1456" s="2" t="s">
        <v>36</v>
      </c>
      <c r="O1456" s="2" t="str">
        <f>IF(Table1[[#This Row],[is_returned]]=TRUE,IF(Table1[[#This Row],[return_reason]]="","Error","OK"),"OK")</f>
        <v>OK</v>
      </c>
      <c r="P1456" s="8">
        <f>Table1[[#This Row],[original_price]]*Table1[[#This Row],[markdown_percentage]]/100</f>
        <v>0</v>
      </c>
      <c r="Q145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456" s="25">
        <f>Table1[[#This Row],[current_price]]*Table1[[#This Row],[stock_quantity]]</f>
        <v>1204.98</v>
      </c>
    </row>
    <row r="1457" spans="1:18" x14ac:dyDescent="0.25">
      <c r="A1457" s="2" t="s">
        <v>1510</v>
      </c>
      <c r="B1457" s="2" t="s">
        <v>21</v>
      </c>
      <c r="C1457" s="2" t="s">
        <v>53</v>
      </c>
      <c r="D1457" s="2" t="s">
        <v>23</v>
      </c>
      <c r="E1457" s="2" t="s">
        <v>49</v>
      </c>
      <c r="F1457" s="2" t="s">
        <v>56</v>
      </c>
      <c r="G1457" s="8">
        <v>35.26</v>
      </c>
      <c r="H1457" s="11">
        <v>0</v>
      </c>
      <c r="I1457" s="8">
        <v>35.26</v>
      </c>
      <c r="J1457" s="3">
        <v>45875</v>
      </c>
      <c r="K1457" s="14">
        <v>47</v>
      </c>
      <c r="L1457" s="17">
        <v>2.2999999999999998</v>
      </c>
      <c r="M1457" s="2" t="b">
        <v>0</v>
      </c>
      <c r="N1457" s="2"/>
      <c r="O1457" s="2" t="str">
        <f>IF(Table1[[#This Row],[is_returned]]=TRUE,IF(Table1[[#This Row],[return_reason]]="","Error","OK"),"OK")</f>
        <v>OK</v>
      </c>
      <c r="P1457" s="8">
        <f>Table1[[#This Row],[original_price]]*Table1[[#This Row],[markdown_percentage]]/100</f>
        <v>0</v>
      </c>
      <c r="Q145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457" s="25">
        <f>Table1[[#This Row],[current_price]]*Table1[[#This Row],[stock_quantity]]</f>
        <v>1657.2199999999998</v>
      </c>
    </row>
    <row r="1458" spans="1:18" x14ac:dyDescent="0.25">
      <c r="A1458" s="2" t="s">
        <v>1511</v>
      </c>
      <c r="B1458" s="2" t="s">
        <v>27</v>
      </c>
      <c r="C1458" s="2" t="s">
        <v>61</v>
      </c>
      <c r="D1458" s="2" t="s">
        <v>17</v>
      </c>
      <c r="E1458" s="2"/>
      <c r="F1458" s="2" t="s">
        <v>46</v>
      </c>
      <c r="G1458" s="8">
        <v>44.5</v>
      </c>
      <c r="H1458" s="11">
        <v>0</v>
      </c>
      <c r="I1458" s="8">
        <v>44.5</v>
      </c>
      <c r="J1458" s="3">
        <v>45821</v>
      </c>
      <c r="K1458" s="14">
        <v>36</v>
      </c>
      <c r="L1458" s="17">
        <v>3.6</v>
      </c>
      <c r="M1458" s="2" t="b">
        <v>0</v>
      </c>
      <c r="N1458" s="2"/>
      <c r="O1458" s="2" t="str">
        <f>IF(Table1[[#This Row],[is_returned]]=TRUE,IF(Table1[[#This Row],[return_reason]]="","Error","OK"),"OK")</f>
        <v>OK</v>
      </c>
      <c r="P1458" s="8">
        <f>Table1[[#This Row],[original_price]]*Table1[[#This Row],[markdown_percentage]]/100</f>
        <v>0</v>
      </c>
      <c r="Q145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458" s="25">
        <f>Table1[[#This Row],[current_price]]*Table1[[#This Row],[stock_quantity]]</f>
        <v>1602</v>
      </c>
    </row>
    <row r="1459" spans="1:18" x14ac:dyDescent="0.25">
      <c r="A1459" s="2" t="s">
        <v>1512</v>
      </c>
      <c r="B1459" s="2" t="s">
        <v>30</v>
      </c>
      <c r="C1459" s="2" t="s">
        <v>16</v>
      </c>
      <c r="D1459" s="2" t="s">
        <v>17</v>
      </c>
      <c r="E1459" s="2" t="s">
        <v>55</v>
      </c>
      <c r="F1459" s="2" t="s">
        <v>35</v>
      </c>
      <c r="G1459" s="8">
        <v>186.78</v>
      </c>
      <c r="H1459" s="11">
        <v>43.4</v>
      </c>
      <c r="I1459" s="8">
        <v>105.72</v>
      </c>
      <c r="J1459" s="3">
        <v>45568</v>
      </c>
      <c r="K1459" s="14">
        <v>42</v>
      </c>
      <c r="L1459" s="17">
        <v>2.5</v>
      </c>
      <c r="M1459" s="2" t="b">
        <v>1</v>
      </c>
      <c r="N1459" s="2" t="s">
        <v>78</v>
      </c>
      <c r="O1459" s="2" t="str">
        <f>IF(Table1[[#This Row],[is_returned]]=TRUE,IF(Table1[[#This Row],[return_reason]]="","Error","OK"),"OK")</f>
        <v>OK</v>
      </c>
      <c r="P1459" s="8">
        <f>Table1[[#This Row],[original_price]]*Table1[[#This Row],[markdown_percentage]]/100</f>
        <v>81.062519999999992</v>
      </c>
      <c r="Q145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459" s="25">
        <f>Table1[[#This Row],[current_price]]*Table1[[#This Row],[stock_quantity]]</f>
        <v>4440.24</v>
      </c>
    </row>
    <row r="1460" spans="1:18" x14ac:dyDescent="0.25">
      <c r="A1460" s="2" t="s">
        <v>1513</v>
      </c>
      <c r="B1460" s="2" t="s">
        <v>21</v>
      </c>
      <c r="C1460" s="2" t="s">
        <v>48</v>
      </c>
      <c r="D1460" s="2" t="s">
        <v>62</v>
      </c>
      <c r="E1460" s="2" t="s">
        <v>24</v>
      </c>
      <c r="F1460" s="2" t="s">
        <v>28</v>
      </c>
      <c r="G1460" s="8">
        <v>116.71</v>
      </c>
      <c r="H1460" s="11">
        <v>55.4</v>
      </c>
      <c r="I1460" s="8">
        <v>52.05</v>
      </c>
      <c r="J1460" s="3">
        <v>45875</v>
      </c>
      <c r="K1460" s="14">
        <v>15</v>
      </c>
      <c r="L1460" s="17"/>
      <c r="M1460" s="2" t="b">
        <v>0</v>
      </c>
      <c r="N1460" s="2"/>
      <c r="O1460" s="2" t="str">
        <f>IF(Table1[[#This Row],[is_returned]]=TRUE,IF(Table1[[#This Row],[return_reason]]="","Error","OK"),"OK")</f>
        <v>OK</v>
      </c>
      <c r="P1460" s="8">
        <f>Table1[[#This Row],[original_price]]*Table1[[#This Row],[markdown_percentage]]/100</f>
        <v>64.657339999999991</v>
      </c>
      <c r="Q146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460" s="25">
        <f>Table1[[#This Row],[current_price]]*Table1[[#This Row],[stock_quantity]]</f>
        <v>780.75</v>
      </c>
    </row>
    <row r="1461" spans="1:18" x14ac:dyDescent="0.25">
      <c r="A1461" s="2" t="s">
        <v>1514</v>
      </c>
      <c r="B1461" s="2" t="s">
        <v>27</v>
      </c>
      <c r="C1461" s="2" t="s">
        <v>48</v>
      </c>
      <c r="D1461" s="2" t="s">
        <v>23</v>
      </c>
      <c r="E1461" s="2"/>
      <c r="F1461" s="2" t="s">
        <v>28</v>
      </c>
      <c r="G1461" s="8">
        <v>24.5</v>
      </c>
      <c r="H1461" s="11">
        <v>0</v>
      </c>
      <c r="I1461" s="8">
        <v>24.5</v>
      </c>
      <c r="J1461" s="3">
        <v>45875</v>
      </c>
      <c r="K1461" s="14">
        <v>7</v>
      </c>
      <c r="L1461" s="17"/>
      <c r="M1461" s="2" t="b">
        <v>0</v>
      </c>
      <c r="N1461" s="2"/>
      <c r="O1461" s="2" t="str">
        <f>IF(Table1[[#This Row],[is_returned]]=TRUE,IF(Table1[[#This Row],[return_reason]]="","Error","OK"),"OK")</f>
        <v>OK</v>
      </c>
      <c r="P1461" s="8">
        <f>Table1[[#This Row],[original_price]]*Table1[[#This Row],[markdown_percentage]]/100</f>
        <v>0</v>
      </c>
      <c r="Q146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461" s="25">
        <f>Table1[[#This Row],[current_price]]*Table1[[#This Row],[stock_quantity]]</f>
        <v>171.5</v>
      </c>
    </row>
    <row r="1462" spans="1:18" x14ac:dyDescent="0.25">
      <c r="A1462" s="2" t="s">
        <v>1515</v>
      </c>
      <c r="B1462" s="2" t="s">
        <v>27</v>
      </c>
      <c r="C1462" s="2" t="s">
        <v>61</v>
      </c>
      <c r="D1462" s="2" t="s">
        <v>23</v>
      </c>
      <c r="E1462" s="2"/>
      <c r="F1462" s="2" t="s">
        <v>64</v>
      </c>
      <c r="G1462" s="8">
        <v>23.2</v>
      </c>
      <c r="H1462" s="11">
        <v>0</v>
      </c>
      <c r="I1462" s="8">
        <v>23.2</v>
      </c>
      <c r="J1462" s="3">
        <v>45875</v>
      </c>
      <c r="K1462" s="14">
        <v>17</v>
      </c>
      <c r="L1462" s="17">
        <v>2.1</v>
      </c>
      <c r="M1462" s="2" t="b">
        <v>0</v>
      </c>
      <c r="N1462" s="2"/>
      <c r="O1462" s="2" t="str">
        <f>IF(Table1[[#This Row],[is_returned]]=TRUE,IF(Table1[[#This Row],[return_reason]]="","Error","OK"),"OK")</f>
        <v>OK</v>
      </c>
      <c r="P1462" s="8">
        <f>Table1[[#This Row],[original_price]]*Table1[[#This Row],[markdown_percentage]]/100</f>
        <v>0</v>
      </c>
      <c r="Q146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462" s="25">
        <f>Table1[[#This Row],[current_price]]*Table1[[#This Row],[stock_quantity]]</f>
        <v>394.4</v>
      </c>
    </row>
    <row r="1463" spans="1:18" x14ac:dyDescent="0.25">
      <c r="A1463" s="2" t="s">
        <v>1516</v>
      </c>
      <c r="B1463" s="2" t="s">
        <v>38</v>
      </c>
      <c r="C1463" s="2" t="s">
        <v>75</v>
      </c>
      <c r="D1463" s="2" t="s">
        <v>23</v>
      </c>
      <c r="E1463" s="2" t="s">
        <v>18</v>
      </c>
      <c r="F1463" s="2" t="s">
        <v>46</v>
      </c>
      <c r="G1463" s="8">
        <v>73.8</v>
      </c>
      <c r="H1463" s="11">
        <v>0</v>
      </c>
      <c r="I1463" s="8">
        <v>73.8</v>
      </c>
      <c r="J1463" s="3">
        <v>45875</v>
      </c>
      <c r="K1463" s="14">
        <v>42</v>
      </c>
      <c r="L1463" s="17"/>
      <c r="M1463" s="2" t="b">
        <v>0</v>
      </c>
      <c r="N1463" s="2"/>
      <c r="O1463" s="2" t="str">
        <f>IF(Table1[[#This Row],[is_returned]]=TRUE,IF(Table1[[#This Row],[return_reason]]="","Error","OK"),"OK")</f>
        <v>OK</v>
      </c>
      <c r="P1463" s="8">
        <f>Table1[[#This Row],[original_price]]*Table1[[#This Row],[markdown_percentage]]/100</f>
        <v>0</v>
      </c>
      <c r="Q146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463" s="25">
        <f>Table1[[#This Row],[current_price]]*Table1[[#This Row],[stock_quantity]]</f>
        <v>3099.6</v>
      </c>
    </row>
    <row r="1464" spans="1:18" x14ac:dyDescent="0.25">
      <c r="A1464" s="2" t="s">
        <v>1517</v>
      </c>
      <c r="B1464" s="2" t="s">
        <v>27</v>
      </c>
      <c r="C1464" s="2" t="s">
        <v>16</v>
      </c>
      <c r="D1464" s="2" t="s">
        <v>62</v>
      </c>
      <c r="E1464" s="2"/>
      <c r="F1464" s="2" t="s">
        <v>28</v>
      </c>
      <c r="G1464" s="8">
        <v>51.33</v>
      </c>
      <c r="H1464" s="11">
        <v>0</v>
      </c>
      <c r="I1464" s="8">
        <v>51.33</v>
      </c>
      <c r="J1464" s="3">
        <v>45875</v>
      </c>
      <c r="K1464" s="14">
        <v>25</v>
      </c>
      <c r="L1464" s="17">
        <v>1.2</v>
      </c>
      <c r="M1464" s="2" t="b">
        <v>0</v>
      </c>
      <c r="N1464" s="2"/>
      <c r="O1464" s="2" t="str">
        <f>IF(Table1[[#This Row],[is_returned]]=TRUE,IF(Table1[[#This Row],[return_reason]]="","Error","OK"),"OK")</f>
        <v>OK</v>
      </c>
      <c r="P1464" s="8">
        <f>Table1[[#This Row],[original_price]]*Table1[[#This Row],[markdown_percentage]]/100</f>
        <v>0</v>
      </c>
      <c r="Q146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464" s="25">
        <f>Table1[[#This Row],[current_price]]*Table1[[#This Row],[stock_quantity]]</f>
        <v>1283.25</v>
      </c>
    </row>
    <row r="1465" spans="1:18" x14ac:dyDescent="0.25">
      <c r="A1465" s="2" t="s">
        <v>1518</v>
      </c>
      <c r="B1465" s="2" t="s">
        <v>38</v>
      </c>
      <c r="C1465" s="2" t="s">
        <v>48</v>
      </c>
      <c r="D1465" s="2" t="s">
        <v>23</v>
      </c>
      <c r="E1465" s="2" t="s">
        <v>49</v>
      </c>
      <c r="F1465" s="2" t="s">
        <v>46</v>
      </c>
      <c r="G1465" s="8">
        <v>80.209999999999994</v>
      </c>
      <c r="H1465" s="11">
        <v>0</v>
      </c>
      <c r="I1465" s="8">
        <v>80.209999999999994</v>
      </c>
      <c r="J1465" s="3">
        <v>45875</v>
      </c>
      <c r="K1465" s="14">
        <v>17</v>
      </c>
      <c r="L1465" s="17"/>
      <c r="M1465" s="2" t="b">
        <v>0</v>
      </c>
      <c r="N1465" s="2"/>
      <c r="O1465" s="2" t="str">
        <f>IF(Table1[[#This Row],[is_returned]]=TRUE,IF(Table1[[#This Row],[return_reason]]="","Error","OK"),"OK")</f>
        <v>OK</v>
      </c>
      <c r="P1465" s="8">
        <f>Table1[[#This Row],[original_price]]*Table1[[#This Row],[markdown_percentage]]/100</f>
        <v>0</v>
      </c>
      <c r="Q146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465" s="25">
        <f>Table1[[#This Row],[current_price]]*Table1[[#This Row],[stock_quantity]]</f>
        <v>1363.57</v>
      </c>
    </row>
    <row r="1466" spans="1:18" x14ac:dyDescent="0.25">
      <c r="A1466" s="2" t="s">
        <v>1519</v>
      </c>
      <c r="B1466" s="2" t="s">
        <v>15</v>
      </c>
      <c r="C1466" s="2" t="s">
        <v>22</v>
      </c>
      <c r="D1466" s="2" t="s">
        <v>34</v>
      </c>
      <c r="E1466" s="2" t="s">
        <v>24</v>
      </c>
      <c r="F1466" s="2" t="s">
        <v>70</v>
      </c>
      <c r="G1466" s="8">
        <v>237.65</v>
      </c>
      <c r="H1466" s="11">
        <v>0</v>
      </c>
      <c r="I1466" s="8">
        <v>237.65</v>
      </c>
      <c r="J1466" s="3">
        <v>45875</v>
      </c>
      <c r="K1466" s="14">
        <v>3</v>
      </c>
      <c r="L1466" s="17">
        <v>3.4</v>
      </c>
      <c r="M1466" s="2" t="b">
        <v>0</v>
      </c>
      <c r="N1466" s="2"/>
      <c r="O1466" s="2" t="str">
        <f>IF(Table1[[#This Row],[is_returned]]=TRUE,IF(Table1[[#This Row],[return_reason]]="","Error","OK"),"OK")</f>
        <v>OK</v>
      </c>
      <c r="P1466" s="8">
        <f>Table1[[#This Row],[original_price]]*Table1[[#This Row],[markdown_percentage]]/100</f>
        <v>0</v>
      </c>
      <c r="Q146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466" s="25">
        <f>Table1[[#This Row],[current_price]]*Table1[[#This Row],[stock_quantity]]</f>
        <v>712.95</v>
      </c>
    </row>
    <row r="1467" spans="1:18" x14ac:dyDescent="0.25">
      <c r="A1467" s="2" t="s">
        <v>1520</v>
      </c>
      <c r="B1467" s="2" t="s">
        <v>38</v>
      </c>
      <c r="C1467" s="2" t="s">
        <v>32</v>
      </c>
      <c r="D1467" s="2" t="s">
        <v>17</v>
      </c>
      <c r="E1467" s="2" t="s">
        <v>39</v>
      </c>
      <c r="F1467" s="2" t="s">
        <v>70</v>
      </c>
      <c r="G1467" s="8">
        <v>96.35</v>
      </c>
      <c r="H1467" s="11">
        <v>0</v>
      </c>
      <c r="I1467" s="8">
        <v>96.35</v>
      </c>
      <c r="J1467" s="3">
        <v>45638</v>
      </c>
      <c r="K1467" s="14">
        <v>34</v>
      </c>
      <c r="L1467" s="17">
        <v>3.7</v>
      </c>
      <c r="M1467" s="2" t="b">
        <v>0</v>
      </c>
      <c r="N1467" s="2"/>
      <c r="O1467" s="2" t="str">
        <f>IF(Table1[[#This Row],[is_returned]]=TRUE,IF(Table1[[#This Row],[return_reason]]="","Error","OK"),"OK")</f>
        <v>OK</v>
      </c>
      <c r="P1467" s="8">
        <f>Table1[[#This Row],[original_price]]*Table1[[#This Row],[markdown_percentage]]/100</f>
        <v>0</v>
      </c>
      <c r="Q146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467" s="25">
        <f>Table1[[#This Row],[current_price]]*Table1[[#This Row],[stock_quantity]]</f>
        <v>3275.8999999999996</v>
      </c>
    </row>
    <row r="1468" spans="1:18" x14ac:dyDescent="0.25">
      <c r="A1468" s="2" t="s">
        <v>1521</v>
      </c>
      <c r="B1468" s="2" t="s">
        <v>38</v>
      </c>
      <c r="C1468" s="2" t="s">
        <v>32</v>
      </c>
      <c r="D1468" s="2" t="s">
        <v>23</v>
      </c>
      <c r="E1468" s="2" t="s">
        <v>18</v>
      </c>
      <c r="F1468" s="2" t="s">
        <v>35</v>
      </c>
      <c r="G1468" s="8">
        <v>91.92</v>
      </c>
      <c r="H1468" s="11">
        <v>0</v>
      </c>
      <c r="I1468" s="8">
        <v>91.92</v>
      </c>
      <c r="J1468" s="3">
        <v>45875</v>
      </c>
      <c r="K1468" s="14">
        <v>29</v>
      </c>
      <c r="L1468" s="17"/>
      <c r="M1468" s="2" t="b">
        <v>0</v>
      </c>
      <c r="N1468" s="2"/>
      <c r="O1468" s="2" t="str">
        <f>IF(Table1[[#This Row],[is_returned]]=TRUE,IF(Table1[[#This Row],[return_reason]]="","Error","OK"),"OK")</f>
        <v>OK</v>
      </c>
      <c r="P1468" s="8">
        <f>Table1[[#This Row],[original_price]]*Table1[[#This Row],[markdown_percentage]]/100</f>
        <v>0</v>
      </c>
      <c r="Q146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468" s="25">
        <f>Table1[[#This Row],[current_price]]*Table1[[#This Row],[stock_quantity]]</f>
        <v>2665.68</v>
      </c>
    </row>
    <row r="1469" spans="1:18" x14ac:dyDescent="0.25">
      <c r="A1469" s="2" t="s">
        <v>1522</v>
      </c>
      <c r="B1469" s="2" t="s">
        <v>30</v>
      </c>
      <c r="C1469" s="2" t="s">
        <v>32</v>
      </c>
      <c r="D1469" s="2" t="s">
        <v>34</v>
      </c>
      <c r="E1469" s="2" t="s">
        <v>49</v>
      </c>
      <c r="F1469" s="2" t="s">
        <v>64</v>
      </c>
      <c r="G1469" s="8">
        <v>194.05</v>
      </c>
      <c r="H1469" s="11">
        <v>0</v>
      </c>
      <c r="I1469" s="8">
        <v>194.05</v>
      </c>
      <c r="J1469" s="3">
        <v>45875</v>
      </c>
      <c r="K1469" s="14">
        <v>7</v>
      </c>
      <c r="L1469" s="17">
        <v>1.3</v>
      </c>
      <c r="M1469" s="2" t="b">
        <v>0</v>
      </c>
      <c r="N1469" s="2"/>
      <c r="O1469" s="2" t="str">
        <f>IF(Table1[[#This Row],[is_returned]]=TRUE,IF(Table1[[#This Row],[return_reason]]="","Error","OK"),"OK")</f>
        <v>OK</v>
      </c>
      <c r="P1469" s="8">
        <f>Table1[[#This Row],[original_price]]*Table1[[#This Row],[markdown_percentage]]/100</f>
        <v>0</v>
      </c>
      <c r="Q146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469" s="25">
        <f>Table1[[#This Row],[current_price]]*Table1[[#This Row],[stock_quantity]]</f>
        <v>1358.3500000000001</v>
      </c>
    </row>
    <row r="1470" spans="1:18" x14ac:dyDescent="0.25">
      <c r="A1470" s="2" t="s">
        <v>1523</v>
      </c>
      <c r="B1470" s="2" t="s">
        <v>15</v>
      </c>
      <c r="C1470" s="2" t="s">
        <v>61</v>
      </c>
      <c r="D1470" s="2" t="s">
        <v>62</v>
      </c>
      <c r="E1470" s="2" t="s">
        <v>39</v>
      </c>
      <c r="F1470" s="2" t="s">
        <v>19</v>
      </c>
      <c r="G1470" s="8">
        <v>166.88</v>
      </c>
      <c r="H1470" s="11">
        <v>0</v>
      </c>
      <c r="I1470" s="8">
        <v>166.88</v>
      </c>
      <c r="J1470" s="3">
        <v>45875</v>
      </c>
      <c r="K1470" s="14">
        <v>10</v>
      </c>
      <c r="L1470" s="17">
        <v>1.6</v>
      </c>
      <c r="M1470" s="2" t="b">
        <v>0</v>
      </c>
      <c r="N1470" s="2"/>
      <c r="O1470" s="2" t="str">
        <f>IF(Table1[[#This Row],[is_returned]]=TRUE,IF(Table1[[#This Row],[return_reason]]="","Error","OK"),"OK")</f>
        <v>OK</v>
      </c>
      <c r="P1470" s="8">
        <f>Table1[[#This Row],[original_price]]*Table1[[#This Row],[markdown_percentage]]/100</f>
        <v>0</v>
      </c>
      <c r="Q147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470" s="25">
        <f>Table1[[#This Row],[current_price]]*Table1[[#This Row],[stock_quantity]]</f>
        <v>1668.8</v>
      </c>
    </row>
    <row r="1471" spans="1:18" x14ac:dyDescent="0.25">
      <c r="A1471" s="2" t="s">
        <v>1524</v>
      </c>
      <c r="B1471" s="2" t="s">
        <v>38</v>
      </c>
      <c r="C1471" s="2" t="s">
        <v>48</v>
      </c>
      <c r="D1471" s="2" t="s">
        <v>23</v>
      </c>
      <c r="E1471" s="2" t="s">
        <v>39</v>
      </c>
      <c r="F1471" s="2" t="s">
        <v>19</v>
      </c>
      <c r="G1471" s="8">
        <v>47.01</v>
      </c>
      <c r="H1471" s="11">
        <v>0</v>
      </c>
      <c r="I1471" s="8">
        <v>47.01</v>
      </c>
      <c r="J1471" s="3">
        <v>45875</v>
      </c>
      <c r="K1471" s="14">
        <v>17</v>
      </c>
      <c r="L1471" s="17">
        <v>1.6</v>
      </c>
      <c r="M1471" s="2" t="b">
        <v>0</v>
      </c>
      <c r="N1471" s="2"/>
      <c r="O1471" s="2" t="str">
        <f>IF(Table1[[#This Row],[is_returned]]=TRUE,IF(Table1[[#This Row],[return_reason]]="","Error","OK"),"OK")</f>
        <v>OK</v>
      </c>
      <c r="P1471" s="8">
        <f>Table1[[#This Row],[original_price]]*Table1[[#This Row],[markdown_percentage]]/100</f>
        <v>0</v>
      </c>
      <c r="Q147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471" s="25">
        <f>Table1[[#This Row],[current_price]]*Table1[[#This Row],[stock_quantity]]</f>
        <v>799.17</v>
      </c>
    </row>
    <row r="1472" spans="1:18" x14ac:dyDescent="0.25">
      <c r="A1472" s="2" t="s">
        <v>1525</v>
      </c>
      <c r="B1472" s="2" t="s">
        <v>30</v>
      </c>
      <c r="C1472" s="2" t="s">
        <v>32</v>
      </c>
      <c r="D1472" s="2" t="s">
        <v>23</v>
      </c>
      <c r="E1472" s="2" t="s">
        <v>49</v>
      </c>
      <c r="F1472" s="2" t="s">
        <v>25</v>
      </c>
      <c r="G1472" s="8">
        <v>119.91</v>
      </c>
      <c r="H1472" s="11">
        <v>20.3</v>
      </c>
      <c r="I1472" s="8">
        <v>95.57</v>
      </c>
      <c r="J1472" s="3">
        <v>45875</v>
      </c>
      <c r="K1472" s="14">
        <v>15</v>
      </c>
      <c r="L1472" s="17">
        <v>3.8</v>
      </c>
      <c r="M1472" s="2" t="b">
        <v>0</v>
      </c>
      <c r="N1472" s="2"/>
      <c r="O1472" s="2" t="str">
        <f>IF(Table1[[#This Row],[is_returned]]=TRUE,IF(Table1[[#This Row],[return_reason]]="","Error","OK"),"OK")</f>
        <v>OK</v>
      </c>
      <c r="P1472" s="8">
        <f>Table1[[#This Row],[original_price]]*Table1[[#This Row],[markdown_percentage]]/100</f>
        <v>24.341730000000002</v>
      </c>
      <c r="Q147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472" s="25">
        <f>Table1[[#This Row],[current_price]]*Table1[[#This Row],[stock_quantity]]</f>
        <v>1433.55</v>
      </c>
    </row>
    <row r="1473" spans="1:18" x14ac:dyDescent="0.25">
      <c r="A1473" s="2" t="s">
        <v>1526</v>
      </c>
      <c r="B1473" s="2" t="s">
        <v>27</v>
      </c>
      <c r="C1473" s="2" t="s">
        <v>48</v>
      </c>
      <c r="D1473" s="2" t="s">
        <v>34</v>
      </c>
      <c r="E1473" s="2"/>
      <c r="F1473" s="2" t="s">
        <v>19</v>
      </c>
      <c r="G1473" s="8">
        <v>73.73</v>
      </c>
      <c r="H1473" s="11">
        <v>54.2</v>
      </c>
      <c r="I1473" s="8">
        <v>33.770000000000003</v>
      </c>
      <c r="J1473" s="3">
        <v>45875</v>
      </c>
      <c r="K1473" s="14">
        <v>37</v>
      </c>
      <c r="L1473" s="17">
        <v>4.0999999999999996</v>
      </c>
      <c r="M1473" s="2" t="b">
        <v>0</v>
      </c>
      <c r="N1473" s="2"/>
      <c r="O1473" s="2" t="str">
        <f>IF(Table1[[#This Row],[is_returned]]=TRUE,IF(Table1[[#This Row],[return_reason]]="","Error","OK"),"OK")</f>
        <v>OK</v>
      </c>
      <c r="P1473" s="8">
        <f>Table1[[#This Row],[original_price]]*Table1[[#This Row],[markdown_percentage]]/100</f>
        <v>39.961660000000009</v>
      </c>
      <c r="Q147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473" s="25">
        <f>Table1[[#This Row],[current_price]]*Table1[[#This Row],[stock_quantity]]</f>
        <v>1249.49</v>
      </c>
    </row>
    <row r="1474" spans="1:18" x14ac:dyDescent="0.25">
      <c r="A1474" s="2" t="s">
        <v>1527</v>
      </c>
      <c r="B1474" s="2" t="s">
        <v>38</v>
      </c>
      <c r="C1474" s="2" t="s">
        <v>16</v>
      </c>
      <c r="D1474" s="2" t="s">
        <v>34</v>
      </c>
      <c r="E1474" s="2" t="s">
        <v>24</v>
      </c>
      <c r="F1474" s="2" t="s">
        <v>28</v>
      </c>
      <c r="G1474" s="8">
        <v>108.65</v>
      </c>
      <c r="H1474" s="11">
        <v>0</v>
      </c>
      <c r="I1474" s="8">
        <v>108.65</v>
      </c>
      <c r="J1474" s="3">
        <v>45875</v>
      </c>
      <c r="K1474" s="14">
        <v>26</v>
      </c>
      <c r="L1474" s="17">
        <v>2.4</v>
      </c>
      <c r="M1474" s="2" t="b">
        <v>0</v>
      </c>
      <c r="N1474" s="2"/>
      <c r="O1474" s="2" t="str">
        <f>IF(Table1[[#This Row],[is_returned]]=TRUE,IF(Table1[[#This Row],[return_reason]]="","Error","OK"),"OK")</f>
        <v>OK</v>
      </c>
      <c r="P1474" s="8">
        <f>Table1[[#This Row],[original_price]]*Table1[[#This Row],[markdown_percentage]]/100</f>
        <v>0</v>
      </c>
      <c r="Q147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474" s="25">
        <f>Table1[[#This Row],[current_price]]*Table1[[#This Row],[stock_quantity]]</f>
        <v>2824.9</v>
      </c>
    </row>
    <row r="1475" spans="1:18" x14ac:dyDescent="0.25">
      <c r="A1475" s="2" t="s">
        <v>1528</v>
      </c>
      <c r="B1475" s="2" t="s">
        <v>30</v>
      </c>
      <c r="C1475" s="2" t="s">
        <v>43</v>
      </c>
      <c r="D1475" s="2" t="s">
        <v>62</v>
      </c>
      <c r="E1475" s="2" t="s">
        <v>24</v>
      </c>
      <c r="F1475" s="2" t="s">
        <v>19</v>
      </c>
      <c r="G1475" s="8">
        <v>186.53</v>
      </c>
      <c r="H1475" s="11">
        <v>0</v>
      </c>
      <c r="I1475" s="8">
        <v>186.53</v>
      </c>
      <c r="J1475" s="3">
        <v>45875</v>
      </c>
      <c r="K1475" s="14">
        <v>31</v>
      </c>
      <c r="L1475" s="17">
        <v>2.6</v>
      </c>
      <c r="M1475" s="2" t="b">
        <v>0</v>
      </c>
      <c r="N1475" s="2"/>
      <c r="O1475" s="2" t="str">
        <f>IF(Table1[[#This Row],[is_returned]]=TRUE,IF(Table1[[#This Row],[return_reason]]="","Error","OK"),"OK")</f>
        <v>OK</v>
      </c>
      <c r="P1475" s="8">
        <f>Table1[[#This Row],[original_price]]*Table1[[#This Row],[markdown_percentage]]/100</f>
        <v>0</v>
      </c>
      <c r="Q147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475" s="25">
        <f>Table1[[#This Row],[current_price]]*Table1[[#This Row],[stock_quantity]]</f>
        <v>5782.43</v>
      </c>
    </row>
    <row r="1476" spans="1:18" x14ac:dyDescent="0.25">
      <c r="A1476" s="2" t="s">
        <v>1529</v>
      </c>
      <c r="B1476" s="2" t="s">
        <v>27</v>
      </c>
      <c r="C1476" s="2" t="s">
        <v>16</v>
      </c>
      <c r="D1476" s="2" t="s">
        <v>62</v>
      </c>
      <c r="E1476" s="2"/>
      <c r="F1476" s="2" t="s">
        <v>19</v>
      </c>
      <c r="G1476" s="8">
        <v>60.34</v>
      </c>
      <c r="H1476" s="11">
        <v>0</v>
      </c>
      <c r="I1476" s="8">
        <v>60.34</v>
      </c>
      <c r="J1476" s="3">
        <v>45875</v>
      </c>
      <c r="K1476" s="14">
        <v>13</v>
      </c>
      <c r="L1476" s="17"/>
      <c r="M1476" s="2" t="b">
        <v>0</v>
      </c>
      <c r="N1476" s="2"/>
      <c r="O1476" s="2" t="str">
        <f>IF(Table1[[#This Row],[is_returned]]=TRUE,IF(Table1[[#This Row],[return_reason]]="","Error","OK"),"OK")</f>
        <v>OK</v>
      </c>
      <c r="P1476" s="8">
        <f>Table1[[#This Row],[original_price]]*Table1[[#This Row],[markdown_percentage]]/100</f>
        <v>0</v>
      </c>
      <c r="Q147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476" s="25">
        <f>Table1[[#This Row],[current_price]]*Table1[[#This Row],[stock_quantity]]</f>
        <v>784.42000000000007</v>
      </c>
    </row>
    <row r="1477" spans="1:18" x14ac:dyDescent="0.25">
      <c r="A1477" s="2" t="s">
        <v>1530</v>
      </c>
      <c r="B1477" s="2" t="s">
        <v>27</v>
      </c>
      <c r="C1477" s="2" t="s">
        <v>43</v>
      </c>
      <c r="D1477" s="2" t="s">
        <v>23</v>
      </c>
      <c r="E1477" s="2"/>
      <c r="F1477" s="2" t="s">
        <v>64</v>
      </c>
      <c r="G1477" s="8">
        <v>61.16</v>
      </c>
      <c r="H1477" s="11">
        <v>0</v>
      </c>
      <c r="I1477" s="8">
        <v>61.16</v>
      </c>
      <c r="J1477" s="3">
        <v>45875</v>
      </c>
      <c r="K1477" s="14">
        <v>28</v>
      </c>
      <c r="L1477" s="17">
        <v>2.2999999999999998</v>
      </c>
      <c r="M1477" s="2" t="b">
        <v>0</v>
      </c>
      <c r="N1477" s="2"/>
      <c r="O1477" s="2" t="str">
        <f>IF(Table1[[#This Row],[is_returned]]=TRUE,IF(Table1[[#This Row],[return_reason]]="","Error","OK"),"OK")</f>
        <v>OK</v>
      </c>
      <c r="P1477" s="8">
        <f>Table1[[#This Row],[original_price]]*Table1[[#This Row],[markdown_percentage]]/100</f>
        <v>0</v>
      </c>
      <c r="Q147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477" s="25">
        <f>Table1[[#This Row],[current_price]]*Table1[[#This Row],[stock_quantity]]</f>
        <v>1712.48</v>
      </c>
    </row>
    <row r="1478" spans="1:18" x14ac:dyDescent="0.25">
      <c r="A1478" s="2" t="s">
        <v>1531</v>
      </c>
      <c r="B1478" s="2" t="s">
        <v>30</v>
      </c>
      <c r="C1478" s="2" t="s">
        <v>75</v>
      </c>
      <c r="D1478" s="2" t="s">
        <v>23</v>
      </c>
      <c r="E1478" s="2" t="s">
        <v>18</v>
      </c>
      <c r="F1478" s="2" t="s">
        <v>46</v>
      </c>
      <c r="G1478" s="8">
        <v>168.85</v>
      </c>
      <c r="H1478" s="11">
        <v>35.299999999999997</v>
      </c>
      <c r="I1478" s="8">
        <v>109.25</v>
      </c>
      <c r="J1478" s="3">
        <v>45875</v>
      </c>
      <c r="K1478" s="14">
        <v>10</v>
      </c>
      <c r="L1478" s="17">
        <v>3.3</v>
      </c>
      <c r="M1478" s="2" t="b">
        <v>0</v>
      </c>
      <c r="N1478" s="2"/>
      <c r="O1478" s="2" t="str">
        <f>IF(Table1[[#This Row],[is_returned]]=TRUE,IF(Table1[[#This Row],[return_reason]]="","Error","OK"),"OK")</f>
        <v>OK</v>
      </c>
      <c r="P1478" s="8">
        <f>Table1[[#This Row],[original_price]]*Table1[[#This Row],[markdown_percentage]]/100</f>
        <v>59.604050000000001</v>
      </c>
      <c r="Q147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478" s="25">
        <f>Table1[[#This Row],[current_price]]*Table1[[#This Row],[stock_quantity]]</f>
        <v>1092.5</v>
      </c>
    </row>
    <row r="1479" spans="1:18" x14ac:dyDescent="0.25">
      <c r="A1479" s="2" t="s">
        <v>1532</v>
      </c>
      <c r="B1479" s="2" t="s">
        <v>21</v>
      </c>
      <c r="C1479" s="2" t="s">
        <v>53</v>
      </c>
      <c r="D1479" s="2" t="s">
        <v>23</v>
      </c>
      <c r="E1479" s="2" t="s">
        <v>24</v>
      </c>
      <c r="F1479" s="2" t="s">
        <v>64</v>
      </c>
      <c r="G1479" s="8">
        <v>60.08</v>
      </c>
      <c r="H1479" s="11">
        <v>0</v>
      </c>
      <c r="I1479" s="8">
        <v>60.08</v>
      </c>
      <c r="J1479" s="3">
        <v>45875</v>
      </c>
      <c r="K1479" s="14">
        <v>26</v>
      </c>
      <c r="L1479" s="17"/>
      <c r="M1479" s="2" t="b">
        <v>0</v>
      </c>
      <c r="N1479" s="2"/>
      <c r="O1479" s="2" t="str">
        <f>IF(Table1[[#This Row],[is_returned]]=TRUE,IF(Table1[[#This Row],[return_reason]]="","Error","OK"),"OK")</f>
        <v>OK</v>
      </c>
      <c r="P1479" s="8">
        <f>Table1[[#This Row],[original_price]]*Table1[[#This Row],[markdown_percentage]]/100</f>
        <v>0</v>
      </c>
      <c r="Q147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479" s="25">
        <f>Table1[[#This Row],[current_price]]*Table1[[#This Row],[stock_quantity]]</f>
        <v>1562.08</v>
      </c>
    </row>
    <row r="1480" spans="1:18" x14ac:dyDescent="0.25">
      <c r="A1480" s="2" t="s">
        <v>1533</v>
      </c>
      <c r="B1480" s="2" t="s">
        <v>27</v>
      </c>
      <c r="C1480" s="2" t="s">
        <v>61</v>
      </c>
      <c r="D1480" s="2" t="s">
        <v>62</v>
      </c>
      <c r="E1480" s="2"/>
      <c r="F1480" s="2" t="s">
        <v>70</v>
      </c>
      <c r="G1480" s="8">
        <v>39.39</v>
      </c>
      <c r="H1480" s="11">
        <v>29.8</v>
      </c>
      <c r="I1480" s="8">
        <v>27.65</v>
      </c>
      <c r="J1480" s="3">
        <v>45875</v>
      </c>
      <c r="K1480" s="14">
        <v>13</v>
      </c>
      <c r="L1480" s="17">
        <v>4.7</v>
      </c>
      <c r="M1480" s="2" t="b">
        <v>0</v>
      </c>
      <c r="N1480" s="2"/>
      <c r="O1480" s="2" t="str">
        <f>IF(Table1[[#This Row],[is_returned]]=TRUE,IF(Table1[[#This Row],[return_reason]]="","Error","OK"),"OK")</f>
        <v>OK</v>
      </c>
      <c r="P1480" s="8">
        <f>Table1[[#This Row],[original_price]]*Table1[[#This Row],[markdown_percentage]]/100</f>
        <v>11.738220000000002</v>
      </c>
      <c r="Q148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480" s="25">
        <f>Table1[[#This Row],[current_price]]*Table1[[#This Row],[stock_quantity]]</f>
        <v>359.45</v>
      </c>
    </row>
    <row r="1481" spans="1:18" x14ac:dyDescent="0.25">
      <c r="A1481" s="2" t="s">
        <v>1534</v>
      </c>
      <c r="B1481" s="2" t="s">
        <v>21</v>
      </c>
      <c r="C1481" s="2" t="s">
        <v>61</v>
      </c>
      <c r="D1481" s="2" t="s">
        <v>34</v>
      </c>
      <c r="E1481" s="2" t="s">
        <v>58</v>
      </c>
      <c r="F1481" s="2" t="s">
        <v>25</v>
      </c>
      <c r="G1481" s="8">
        <v>111.09</v>
      </c>
      <c r="H1481" s="11">
        <v>0</v>
      </c>
      <c r="I1481" s="8">
        <v>111.09</v>
      </c>
      <c r="J1481" s="3">
        <v>45875</v>
      </c>
      <c r="K1481" s="14">
        <v>24</v>
      </c>
      <c r="L1481" s="17">
        <v>2.2000000000000002</v>
      </c>
      <c r="M1481" s="2" t="b">
        <v>0</v>
      </c>
      <c r="N1481" s="2"/>
      <c r="O1481" s="2" t="str">
        <f>IF(Table1[[#This Row],[is_returned]]=TRUE,IF(Table1[[#This Row],[return_reason]]="","Error","OK"),"OK")</f>
        <v>OK</v>
      </c>
      <c r="P1481" s="8">
        <f>Table1[[#This Row],[original_price]]*Table1[[#This Row],[markdown_percentage]]/100</f>
        <v>0</v>
      </c>
      <c r="Q148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481" s="25">
        <f>Table1[[#This Row],[current_price]]*Table1[[#This Row],[stock_quantity]]</f>
        <v>2666.16</v>
      </c>
    </row>
    <row r="1482" spans="1:18" x14ac:dyDescent="0.25">
      <c r="A1482" s="2" t="s">
        <v>1535</v>
      </c>
      <c r="B1482" s="2" t="s">
        <v>42</v>
      </c>
      <c r="C1482" s="2" t="s">
        <v>32</v>
      </c>
      <c r="D1482" s="2" t="s">
        <v>62</v>
      </c>
      <c r="E1482" s="2" t="s">
        <v>58</v>
      </c>
      <c r="F1482" s="2" t="s">
        <v>46</v>
      </c>
      <c r="G1482" s="8">
        <v>133.51</v>
      </c>
      <c r="H1482" s="11">
        <v>0</v>
      </c>
      <c r="I1482" s="8">
        <v>133.51</v>
      </c>
      <c r="J1482" s="3">
        <v>45875</v>
      </c>
      <c r="K1482" s="14">
        <v>5</v>
      </c>
      <c r="L1482" s="17">
        <v>1.7</v>
      </c>
      <c r="M1482" s="2" t="b">
        <v>1</v>
      </c>
      <c r="N1482" s="2" t="s">
        <v>83</v>
      </c>
      <c r="O1482" s="2" t="str">
        <f>IF(Table1[[#This Row],[is_returned]]=TRUE,IF(Table1[[#This Row],[return_reason]]="","Error","OK"),"OK")</f>
        <v>OK</v>
      </c>
      <c r="P1482" s="8">
        <f>Table1[[#This Row],[original_price]]*Table1[[#This Row],[markdown_percentage]]/100</f>
        <v>0</v>
      </c>
      <c r="Q148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482" s="25">
        <f>Table1[[#This Row],[current_price]]*Table1[[#This Row],[stock_quantity]]</f>
        <v>667.55</v>
      </c>
    </row>
    <row r="1483" spans="1:18" x14ac:dyDescent="0.25">
      <c r="A1483" s="2" t="s">
        <v>1536</v>
      </c>
      <c r="B1483" s="2" t="s">
        <v>42</v>
      </c>
      <c r="C1483" s="2" t="s">
        <v>75</v>
      </c>
      <c r="D1483" s="2" t="s">
        <v>62</v>
      </c>
      <c r="E1483" s="2" t="s">
        <v>55</v>
      </c>
      <c r="F1483" s="2" t="s">
        <v>25</v>
      </c>
      <c r="G1483" s="8">
        <v>158.9</v>
      </c>
      <c r="H1483" s="11">
        <v>43.5</v>
      </c>
      <c r="I1483" s="8">
        <v>89.78</v>
      </c>
      <c r="J1483" s="3">
        <v>45875</v>
      </c>
      <c r="K1483" s="14">
        <v>46</v>
      </c>
      <c r="L1483" s="17"/>
      <c r="M1483" s="2" t="b">
        <v>0</v>
      </c>
      <c r="N1483" s="2"/>
      <c r="O1483" s="2" t="str">
        <f>IF(Table1[[#This Row],[is_returned]]=TRUE,IF(Table1[[#This Row],[return_reason]]="","Error","OK"),"OK")</f>
        <v>OK</v>
      </c>
      <c r="P1483" s="8">
        <f>Table1[[#This Row],[original_price]]*Table1[[#This Row],[markdown_percentage]]/100</f>
        <v>69.121500000000012</v>
      </c>
      <c r="Q148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483" s="25">
        <f>Table1[[#This Row],[current_price]]*Table1[[#This Row],[stock_quantity]]</f>
        <v>4129.88</v>
      </c>
    </row>
    <row r="1484" spans="1:18" x14ac:dyDescent="0.25">
      <c r="A1484" s="2" t="s">
        <v>1537</v>
      </c>
      <c r="B1484" s="2" t="s">
        <v>21</v>
      </c>
      <c r="C1484" s="2" t="s">
        <v>61</v>
      </c>
      <c r="D1484" s="2" t="s">
        <v>17</v>
      </c>
      <c r="E1484" s="2" t="s">
        <v>55</v>
      </c>
      <c r="F1484" s="2" t="s">
        <v>70</v>
      </c>
      <c r="G1484" s="8">
        <v>65.27</v>
      </c>
      <c r="H1484" s="11">
        <v>19</v>
      </c>
      <c r="I1484" s="8">
        <v>52.87</v>
      </c>
      <c r="J1484" s="3">
        <v>45533</v>
      </c>
      <c r="K1484" s="14">
        <v>48</v>
      </c>
      <c r="L1484" s="17">
        <v>3</v>
      </c>
      <c r="M1484" s="2" t="b">
        <v>0</v>
      </c>
      <c r="N1484" s="2"/>
      <c r="O1484" s="2" t="str">
        <f>IF(Table1[[#This Row],[is_returned]]=TRUE,IF(Table1[[#This Row],[return_reason]]="","Error","OK"),"OK")</f>
        <v>OK</v>
      </c>
      <c r="P1484" s="8">
        <f>Table1[[#This Row],[original_price]]*Table1[[#This Row],[markdown_percentage]]/100</f>
        <v>12.401299999999999</v>
      </c>
      <c r="Q148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484" s="25">
        <f>Table1[[#This Row],[current_price]]*Table1[[#This Row],[stock_quantity]]</f>
        <v>2537.7599999999998</v>
      </c>
    </row>
    <row r="1485" spans="1:18" x14ac:dyDescent="0.25">
      <c r="A1485" s="2" t="s">
        <v>1538</v>
      </c>
      <c r="B1485" s="2" t="s">
        <v>27</v>
      </c>
      <c r="C1485" s="2" t="s">
        <v>16</v>
      </c>
      <c r="D1485" s="2" t="s">
        <v>34</v>
      </c>
      <c r="E1485" s="2"/>
      <c r="F1485" s="2" t="s">
        <v>46</v>
      </c>
      <c r="G1485" s="8">
        <v>72.37</v>
      </c>
      <c r="H1485" s="11">
        <v>0</v>
      </c>
      <c r="I1485" s="8">
        <v>72.37</v>
      </c>
      <c r="J1485" s="3">
        <v>45875</v>
      </c>
      <c r="K1485" s="14">
        <v>24</v>
      </c>
      <c r="L1485" s="17">
        <v>2.9</v>
      </c>
      <c r="M1485" s="2" t="b">
        <v>0</v>
      </c>
      <c r="N1485" s="2"/>
      <c r="O1485" s="2" t="str">
        <f>IF(Table1[[#This Row],[is_returned]]=TRUE,IF(Table1[[#This Row],[return_reason]]="","Error","OK"),"OK")</f>
        <v>OK</v>
      </c>
      <c r="P1485" s="8">
        <f>Table1[[#This Row],[original_price]]*Table1[[#This Row],[markdown_percentage]]/100</f>
        <v>0</v>
      </c>
      <c r="Q148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485" s="25">
        <f>Table1[[#This Row],[current_price]]*Table1[[#This Row],[stock_quantity]]</f>
        <v>1736.88</v>
      </c>
    </row>
    <row r="1486" spans="1:18" x14ac:dyDescent="0.25">
      <c r="A1486" s="2" t="s">
        <v>1539</v>
      </c>
      <c r="B1486" s="2" t="s">
        <v>42</v>
      </c>
      <c r="C1486" s="2" t="s">
        <v>32</v>
      </c>
      <c r="D1486" s="2" t="s">
        <v>34</v>
      </c>
      <c r="E1486" s="2" t="s">
        <v>18</v>
      </c>
      <c r="F1486" s="2" t="s">
        <v>35</v>
      </c>
      <c r="G1486" s="8">
        <v>133.88</v>
      </c>
      <c r="H1486" s="11">
        <v>21.5</v>
      </c>
      <c r="I1486" s="8">
        <v>105.1</v>
      </c>
      <c r="J1486" s="3">
        <v>45875</v>
      </c>
      <c r="K1486" s="14">
        <v>42</v>
      </c>
      <c r="L1486" s="17">
        <v>3.1</v>
      </c>
      <c r="M1486" s="2" t="b">
        <v>0</v>
      </c>
      <c r="N1486" s="2"/>
      <c r="O1486" s="2" t="str">
        <f>IF(Table1[[#This Row],[is_returned]]=TRUE,IF(Table1[[#This Row],[return_reason]]="","Error","OK"),"OK")</f>
        <v>OK</v>
      </c>
      <c r="P1486" s="8">
        <f>Table1[[#This Row],[original_price]]*Table1[[#This Row],[markdown_percentage]]/100</f>
        <v>28.784200000000002</v>
      </c>
      <c r="Q148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486" s="25">
        <f>Table1[[#This Row],[current_price]]*Table1[[#This Row],[stock_quantity]]</f>
        <v>4414.2</v>
      </c>
    </row>
    <row r="1487" spans="1:18" x14ac:dyDescent="0.25">
      <c r="A1487" s="2" t="s">
        <v>1540</v>
      </c>
      <c r="B1487" s="2" t="s">
        <v>21</v>
      </c>
      <c r="C1487" s="2" t="s">
        <v>16</v>
      </c>
      <c r="D1487" s="2" t="s">
        <v>17</v>
      </c>
      <c r="E1487" s="2" t="s">
        <v>49</v>
      </c>
      <c r="F1487" s="2" t="s">
        <v>66</v>
      </c>
      <c r="G1487" s="8">
        <v>74.3</v>
      </c>
      <c r="H1487" s="11">
        <v>0</v>
      </c>
      <c r="I1487" s="8">
        <v>74.3</v>
      </c>
      <c r="J1487" s="3">
        <v>45633</v>
      </c>
      <c r="K1487" s="14">
        <v>24</v>
      </c>
      <c r="L1487" s="17">
        <v>4.4000000000000004</v>
      </c>
      <c r="M1487" s="2" t="b">
        <v>0</v>
      </c>
      <c r="N1487" s="2"/>
      <c r="O1487" s="2" t="str">
        <f>IF(Table1[[#This Row],[is_returned]]=TRUE,IF(Table1[[#This Row],[return_reason]]="","Error","OK"),"OK")</f>
        <v>OK</v>
      </c>
      <c r="P1487" s="8">
        <f>Table1[[#This Row],[original_price]]*Table1[[#This Row],[markdown_percentage]]/100</f>
        <v>0</v>
      </c>
      <c r="Q148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487" s="25">
        <f>Table1[[#This Row],[current_price]]*Table1[[#This Row],[stock_quantity]]</f>
        <v>1783.1999999999998</v>
      </c>
    </row>
    <row r="1488" spans="1:18" x14ac:dyDescent="0.25">
      <c r="A1488" s="2" t="s">
        <v>1541</v>
      </c>
      <c r="B1488" s="2" t="s">
        <v>30</v>
      </c>
      <c r="C1488" s="2" t="s">
        <v>32</v>
      </c>
      <c r="D1488" s="2" t="s">
        <v>62</v>
      </c>
      <c r="E1488" s="2" t="s">
        <v>18</v>
      </c>
      <c r="F1488" s="2" t="s">
        <v>56</v>
      </c>
      <c r="G1488" s="8">
        <v>192.74</v>
      </c>
      <c r="H1488" s="11">
        <v>47.5</v>
      </c>
      <c r="I1488" s="8">
        <v>101.19</v>
      </c>
      <c r="J1488" s="3">
        <v>45875</v>
      </c>
      <c r="K1488" s="14">
        <v>40</v>
      </c>
      <c r="L1488" s="17">
        <v>2.8</v>
      </c>
      <c r="M1488" s="2" t="b">
        <v>0</v>
      </c>
      <c r="N1488" s="2"/>
      <c r="O1488" s="2" t="str">
        <f>IF(Table1[[#This Row],[is_returned]]=TRUE,IF(Table1[[#This Row],[return_reason]]="","Error","OK"),"OK")</f>
        <v>OK</v>
      </c>
      <c r="P1488" s="8">
        <f>Table1[[#This Row],[original_price]]*Table1[[#This Row],[markdown_percentage]]/100</f>
        <v>91.55149999999999</v>
      </c>
      <c r="Q148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488" s="25">
        <f>Table1[[#This Row],[current_price]]*Table1[[#This Row],[stock_quantity]]</f>
        <v>4047.6</v>
      </c>
    </row>
    <row r="1489" spans="1:18" x14ac:dyDescent="0.25">
      <c r="A1489" s="2" t="s">
        <v>1542</v>
      </c>
      <c r="B1489" s="2" t="s">
        <v>27</v>
      </c>
      <c r="C1489" s="2" t="s">
        <v>22</v>
      </c>
      <c r="D1489" s="2" t="s">
        <v>62</v>
      </c>
      <c r="E1489" s="2"/>
      <c r="F1489" s="2" t="s">
        <v>19</v>
      </c>
      <c r="G1489" s="8">
        <v>79.02</v>
      </c>
      <c r="H1489" s="11">
        <v>2.5</v>
      </c>
      <c r="I1489" s="8">
        <v>77.040000000000006</v>
      </c>
      <c r="J1489" s="3">
        <v>45875</v>
      </c>
      <c r="K1489" s="14">
        <v>16</v>
      </c>
      <c r="L1489" s="17">
        <v>2.8</v>
      </c>
      <c r="M1489" s="2" t="b">
        <v>0</v>
      </c>
      <c r="N1489" s="2"/>
      <c r="O1489" s="2" t="str">
        <f>IF(Table1[[#This Row],[is_returned]]=TRUE,IF(Table1[[#This Row],[return_reason]]="","Error","OK"),"OK")</f>
        <v>OK</v>
      </c>
      <c r="P1489" s="8">
        <f>Table1[[#This Row],[original_price]]*Table1[[#This Row],[markdown_percentage]]/100</f>
        <v>1.9754999999999998</v>
      </c>
      <c r="Q148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489" s="25">
        <f>Table1[[#This Row],[current_price]]*Table1[[#This Row],[stock_quantity]]</f>
        <v>1232.6400000000001</v>
      </c>
    </row>
    <row r="1490" spans="1:18" x14ac:dyDescent="0.25">
      <c r="A1490" s="2" t="s">
        <v>1543</v>
      </c>
      <c r="B1490" s="2" t="s">
        <v>30</v>
      </c>
      <c r="C1490" s="2" t="s">
        <v>16</v>
      </c>
      <c r="D1490" s="2" t="s">
        <v>23</v>
      </c>
      <c r="E1490" s="2" t="s">
        <v>39</v>
      </c>
      <c r="F1490" s="2" t="s">
        <v>35</v>
      </c>
      <c r="G1490" s="8">
        <v>158.29</v>
      </c>
      <c r="H1490" s="11">
        <v>0</v>
      </c>
      <c r="I1490" s="8">
        <v>158.29</v>
      </c>
      <c r="J1490" s="3">
        <v>45875</v>
      </c>
      <c r="K1490" s="14">
        <v>5</v>
      </c>
      <c r="L1490" s="17">
        <v>1.6</v>
      </c>
      <c r="M1490" s="2" t="b">
        <v>0</v>
      </c>
      <c r="N1490" s="2"/>
      <c r="O1490" s="2" t="str">
        <f>IF(Table1[[#This Row],[is_returned]]=TRUE,IF(Table1[[#This Row],[return_reason]]="","Error","OK"),"OK")</f>
        <v>OK</v>
      </c>
      <c r="P1490" s="8">
        <f>Table1[[#This Row],[original_price]]*Table1[[#This Row],[markdown_percentage]]/100</f>
        <v>0</v>
      </c>
      <c r="Q149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490" s="25">
        <f>Table1[[#This Row],[current_price]]*Table1[[#This Row],[stock_quantity]]</f>
        <v>791.44999999999993</v>
      </c>
    </row>
    <row r="1491" spans="1:18" x14ac:dyDescent="0.25">
      <c r="A1491" s="2" t="s">
        <v>1544</v>
      </c>
      <c r="B1491" s="2" t="s">
        <v>21</v>
      </c>
      <c r="C1491" s="2" t="s">
        <v>53</v>
      </c>
      <c r="D1491" s="2" t="s">
        <v>23</v>
      </c>
      <c r="E1491" s="2" t="s">
        <v>24</v>
      </c>
      <c r="F1491" s="2" t="s">
        <v>35</v>
      </c>
      <c r="G1491" s="8">
        <v>69.33</v>
      </c>
      <c r="H1491" s="11">
        <v>0</v>
      </c>
      <c r="I1491" s="8">
        <v>69.33</v>
      </c>
      <c r="J1491" s="3">
        <v>45875</v>
      </c>
      <c r="K1491" s="14">
        <v>26</v>
      </c>
      <c r="L1491" s="17">
        <v>4.9000000000000004</v>
      </c>
      <c r="M1491" s="2" t="b">
        <v>0</v>
      </c>
      <c r="N1491" s="2"/>
      <c r="O1491" s="2" t="str">
        <f>IF(Table1[[#This Row],[is_returned]]=TRUE,IF(Table1[[#This Row],[return_reason]]="","Error","OK"),"OK")</f>
        <v>OK</v>
      </c>
      <c r="P1491" s="8">
        <f>Table1[[#This Row],[original_price]]*Table1[[#This Row],[markdown_percentage]]/100</f>
        <v>0</v>
      </c>
      <c r="Q149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491" s="25">
        <f>Table1[[#This Row],[current_price]]*Table1[[#This Row],[stock_quantity]]</f>
        <v>1802.58</v>
      </c>
    </row>
    <row r="1492" spans="1:18" x14ac:dyDescent="0.25">
      <c r="A1492" s="2" t="s">
        <v>1545</v>
      </c>
      <c r="B1492" s="2" t="s">
        <v>30</v>
      </c>
      <c r="C1492" s="2" t="s">
        <v>61</v>
      </c>
      <c r="D1492" s="2" t="s">
        <v>23</v>
      </c>
      <c r="E1492" s="2" t="s">
        <v>55</v>
      </c>
      <c r="F1492" s="2" t="s">
        <v>70</v>
      </c>
      <c r="G1492" s="8">
        <v>86.89</v>
      </c>
      <c r="H1492" s="11">
        <v>19.5</v>
      </c>
      <c r="I1492" s="8">
        <v>69.95</v>
      </c>
      <c r="J1492" s="3">
        <v>45875</v>
      </c>
      <c r="K1492" s="14">
        <v>49</v>
      </c>
      <c r="L1492" s="17">
        <v>1.3</v>
      </c>
      <c r="M1492" s="2" t="b">
        <v>0</v>
      </c>
      <c r="N1492" s="2"/>
      <c r="O1492" s="2" t="str">
        <f>IF(Table1[[#This Row],[is_returned]]=TRUE,IF(Table1[[#This Row],[return_reason]]="","Error","OK"),"OK")</f>
        <v>OK</v>
      </c>
      <c r="P1492" s="8">
        <f>Table1[[#This Row],[original_price]]*Table1[[#This Row],[markdown_percentage]]/100</f>
        <v>16.943550000000002</v>
      </c>
      <c r="Q149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492" s="25">
        <f>Table1[[#This Row],[current_price]]*Table1[[#This Row],[stock_quantity]]</f>
        <v>3427.55</v>
      </c>
    </row>
    <row r="1493" spans="1:18" x14ac:dyDescent="0.25">
      <c r="A1493" s="2" t="s">
        <v>1546</v>
      </c>
      <c r="B1493" s="2" t="s">
        <v>15</v>
      </c>
      <c r="C1493" s="2" t="s">
        <v>22</v>
      </c>
      <c r="D1493" s="2" t="s">
        <v>34</v>
      </c>
      <c r="E1493" s="2" t="s">
        <v>24</v>
      </c>
      <c r="F1493" s="2" t="s">
        <v>46</v>
      </c>
      <c r="G1493" s="8">
        <v>162.75</v>
      </c>
      <c r="H1493" s="11">
        <v>0</v>
      </c>
      <c r="I1493" s="8">
        <v>162.75</v>
      </c>
      <c r="J1493" s="3">
        <v>45875</v>
      </c>
      <c r="K1493" s="14">
        <v>13</v>
      </c>
      <c r="L1493" s="17">
        <v>4.8</v>
      </c>
      <c r="M1493" s="2" t="b">
        <v>0</v>
      </c>
      <c r="N1493" s="2"/>
      <c r="O1493" s="2" t="str">
        <f>IF(Table1[[#This Row],[is_returned]]=TRUE,IF(Table1[[#This Row],[return_reason]]="","Error","OK"),"OK")</f>
        <v>OK</v>
      </c>
      <c r="P1493" s="8">
        <f>Table1[[#This Row],[original_price]]*Table1[[#This Row],[markdown_percentage]]/100</f>
        <v>0</v>
      </c>
      <c r="Q149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493" s="25">
        <f>Table1[[#This Row],[current_price]]*Table1[[#This Row],[stock_quantity]]</f>
        <v>2115.75</v>
      </c>
    </row>
    <row r="1494" spans="1:18" x14ac:dyDescent="0.25">
      <c r="A1494" s="2" t="s">
        <v>1547</v>
      </c>
      <c r="B1494" s="2" t="s">
        <v>30</v>
      </c>
      <c r="C1494" s="2" t="s">
        <v>48</v>
      </c>
      <c r="D1494" s="2" t="s">
        <v>62</v>
      </c>
      <c r="E1494" s="2" t="s">
        <v>58</v>
      </c>
      <c r="F1494" s="2" t="s">
        <v>44</v>
      </c>
      <c r="G1494" s="8">
        <v>70.28</v>
      </c>
      <c r="H1494" s="11">
        <v>0</v>
      </c>
      <c r="I1494" s="8">
        <v>70.28</v>
      </c>
      <c r="J1494" s="3">
        <v>45875</v>
      </c>
      <c r="K1494" s="14">
        <v>27</v>
      </c>
      <c r="L1494" s="17">
        <v>4.7</v>
      </c>
      <c r="M1494" s="2" t="b">
        <v>0</v>
      </c>
      <c r="N1494" s="2"/>
      <c r="O1494" s="2" t="str">
        <f>IF(Table1[[#This Row],[is_returned]]=TRUE,IF(Table1[[#This Row],[return_reason]]="","Error","OK"),"OK")</f>
        <v>OK</v>
      </c>
      <c r="P1494" s="8">
        <f>Table1[[#This Row],[original_price]]*Table1[[#This Row],[markdown_percentage]]/100</f>
        <v>0</v>
      </c>
      <c r="Q149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494" s="25">
        <f>Table1[[#This Row],[current_price]]*Table1[[#This Row],[stock_quantity]]</f>
        <v>1897.56</v>
      </c>
    </row>
    <row r="1495" spans="1:18" x14ac:dyDescent="0.25">
      <c r="A1495" s="2" t="s">
        <v>1548</v>
      </c>
      <c r="B1495" s="2" t="s">
        <v>38</v>
      </c>
      <c r="C1495" s="2" t="s">
        <v>43</v>
      </c>
      <c r="D1495" s="2" t="s">
        <v>17</v>
      </c>
      <c r="E1495" s="2" t="s">
        <v>39</v>
      </c>
      <c r="F1495" s="2" t="s">
        <v>35</v>
      </c>
      <c r="G1495" s="8">
        <v>111.91</v>
      </c>
      <c r="H1495" s="11">
        <v>0</v>
      </c>
      <c r="I1495" s="8">
        <v>111.91</v>
      </c>
      <c r="J1495" s="3">
        <v>45860</v>
      </c>
      <c r="K1495" s="14">
        <v>28</v>
      </c>
      <c r="L1495" s="17">
        <v>1.8</v>
      </c>
      <c r="M1495" s="2" t="b">
        <v>0</v>
      </c>
      <c r="N1495" s="2"/>
      <c r="O1495" s="2" t="str">
        <f>IF(Table1[[#This Row],[is_returned]]=TRUE,IF(Table1[[#This Row],[return_reason]]="","Error","OK"),"OK")</f>
        <v>OK</v>
      </c>
      <c r="P1495" s="8">
        <f>Table1[[#This Row],[original_price]]*Table1[[#This Row],[markdown_percentage]]/100</f>
        <v>0</v>
      </c>
      <c r="Q149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495" s="25">
        <f>Table1[[#This Row],[current_price]]*Table1[[#This Row],[stock_quantity]]</f>
        <v>3133.48</v>
      </c>
    </row>
    <row r="1496" spans="1:18" x14ac:dyDescent="0.25">
      <c r="A1496" s="2" t="s">
        <v>1549</v>
      </c>
      <c r="B1496" s="2" t="s">
        <v>15</v>
      </c>
      <c r="C1496" s="2" t="s">
        <v>53</v>
      </c>
      <c r="D1496" s="2" t="s">
        <v>34</v>
      </c>
      <c r="E1496" s="2" t="s">
        <v>39</v>
      </c>
      <c r="F1496" s="2" t="s">
        <v>66</v>
      </c>
      <c r="G1496" s="8">
        <v>143.76</v>
      </c>
      <c r="H1496" s="11">
        <v>0</v>
      </c>
      <c r="I1496" s="8">
        <v>143.76</v>
      </c>
      <c r="J1496" s="3">
        <v>45875</v>
      </c>
      <c r="K1496" s="14">
        <v>7</v>
      </c>
      <c r="L1496" s="17">
        <v>2</v>
      </c>
      <c r="M1496" s="2" t="b">
        <v>0</v>
      </c>
      <c r="N1496" s="2"/>
      <c r="O1496" s="2" t="str">
        <f>IF(Table1[[#This Row],[is_returned]]=TRUE,IF(Table1[[#This Row],[return_reason]]="","Error","OK"),"OK")</f>
        <v>OK</v>
      </c>
      <c r="P1496" s="8">
        <f>Table1[[#This Row],[original_price]]*Table1[[#This Row],[markdown_percentage]]/100</f>
        <v>0</v>
      </c>
      <c r="Q149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496" s="25">
        <f>Table1[[#This Row],[current_price]]*Table1[[#This Row],[stock_quantity]]</f>
        <v>1006.3199999999999</v>
      </c>
    </row>
    <row r="1497" spans="1:18" x14ac:dyDescent="0.25">
      <c r="A1497" s="2" t="s">
        <v>1550</v>
      </c>
      <c r="B1497" s="2" t="s">
        <v>42</v>
      </c>
      <c r="C1497" s="2" t="s">
        <v>48</v>
      </c>
      <c r="D1497" s="2" t="s">
        <v>62</v>
      </c>
      <c r="E1497" s="2" t="s">
        <v>39</v>
      </c>
      <c r="F1497" s="2" t="s">
        <v>66</v>
      </c>
      <c r="G1497" s="8">
        <v>169.89</v>
      </c>
      <c r="H1497" s="11">
        <v>0</v>
      </c>
      <c r="I1497" s="8">
        <v>169.89</v>
      </c>
      <c r="J1497" s="3">
        <v>45875</v>
      </c>
      <c r="K1497" s="14">
        <v>17</v>
      </c>
      <c r="L1497" s="17">
        <v>1.3</v>
      </c>
      <c r="M1497" s="2" t="b">
        <v>0</v>
      </c>
      <c r="N1497" s="2"/>
      <c r="O1497" s="2" t="str">
        <f>IF(Table1[[#This Row],[is_returned]]=TRUE,IF(Table1[[#This Row],[return_reason]]="","Error","OK"),"OK")</f>
        <v>OK</v>
      </c>
      <c r="P1497" s="8">
        <f>Table1[[#This Row],[original_price]]*Table1[[#This Row],[markdown_percentage]]/100</f>
        <v>0</v>
      </c>
      <c r="Q149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497" s="25">
        <f>Table1[[#This Row],[current_price]]*Table1[[#This Row],[stock_quantity]]</f>
        <v>2888.1299999999997</v>
      </c>
    </row>
    <row r="1498" spans="1:18" x14ac:dyDescent="0.25">
      <c r="A1498" s="2" t="s">
        <v>1551</v>
      </c>
      <c r="B1498" s="2" t="s">
        <v>30</v>
      </c>
      <c r="C1498" s="2" t="s">
        <v>16</v>
      </c>
      <c r="D1498" s="2" t="s">
        <v>23</v>
      </c>
      <c r="E1498" s="2" t="s">
        <v>18</v>
      </c>
      <c r="F1498" s="2" t="s">
        <v>35</v>
      </c>
      <c r="G1498" s="8">
        <v>72.290000000000006</v>
      </c>
      <c r="H1498" s="11">
        <v>0</v>
      </c>
      <c r="I1498" s="8">
        <v>72.290000000000006</v>
      </c>
      <c r="J1498" s="3">
        <v>45875</v>
      </c>
      <c r="K1498" s="14">
        <v>0</v>
      </c>
      <c r="L1498" s="17"/>
      <c r="M1498" s="2" t="b">
        <v>0</v>
      </c>
      <c r="N1498" s="2"/>
      <c r="O1498" s="2" t="str">
        <f>IF(Table1[[#This Row],[is_returned]]=TRUE,IF(Table1[[#This Row],[return_reason]]="","Error","OK"),"OK")</f>
        <v>OK</v>
      </c>
      <c r="P1498" s="8">
        <f>Table1[[#This Row],[original_price]]*Table1[[#This Row],[markdown_percentage]]/100</f>
        <v>0</v>
      </c>
      <c r="Q149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498" s="25">
        <f>Table1[[#This Row],[current_price]]*Table1[[#This Row],[stock_quantity]]</f>
        <v>0</v>
      </c>
    </row>
    <row r="1499" spans="1:18" x14ac:dyDescent="0.25">
      <c r="A1499" s="2" t="s">
        <v>1552</v>
      </c>
      <c r="B1499" s="2" t="s">
        <v>15</v>
      </c>
      <c r="C1499" s="2" t="s">
        <v>75</v>
      </c>
      <c r="D1499" s="2" t="s">
        <v>23</v>
      </c>
      <c r="E1499" s="2" t="s">
        <v>55</v>
      </c>
      <c r="F1499" s="2" t="s">
        <v>66</v>
      </c>
      <c r="G1499" s="8">
        <v>136.19999999999999</v>
      </c>
      <c r="H1499" s="11">
        <v>10.199999999999999</v>
      </c>
      <c r="I1499" s="8">
        <v>122.31</v>
      </c>
      <c r="J1499" s="3">
        <v>45875</v>
      </c>
      <c r="K1499" s="14">
        <v>10</v>
      </c>
      <c r="L1499" s="17">
        <v>3.6</v>
      </c>
      <c r="M1499" s="2" t="b">
        <v>0</v>
      </c>
      <c r="N1499" s="2"/>
      <c r="O1499" s="2" t="str">
        <f>IF(Table1[[#This Row],[is_returned]]=TRUE,IF(Table1[[#This Row],[return_reason]]="","Error","OK"),"OK")</f>
        <v>OK</v>
      </c>
      <c r="P1499" s="8">
        <f>Table1[[#This Row],[original_price]]*Table1[[#This Row],[markdown_percentage]]/100</f>
        <v>13.892399999999999</v>
      </c>
      <c r="Q149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499" s="25">
        <f>Table1[[#This Row],[current_price]]*Table1[[#This Row],[stock_quantity]]</f>
        <v>1223.0999999999999</v>
      </c>
    </row>
    <row r="1500" spans="1:18" x14ac:dyDescent="0.25">
      <c r="A1500" s="2" t="s">
        <v>1553</v>
      </c>
      <c r="B1500" s="2" t="s">
        <v>21</v>
      </c>
      <c r="C1500" s="2" t="s">
        <v>75</v>
      </c>
      <c r="D1500" s="2" t="s">
        <v>62</v>
      </c>
      <c r="E1500" s="2" t="s">
        <v>39</v>
      </c>
      <c r="F1500" s="2" t="s">
        <v>19</v>
      </c>
      <c r="G1500" s="8">
        <v>92.5</v>
      </c>
      <c r="H1500" s="11">
        <v>0</v>
      </c>
      <c r="I1500" s="8">
        <v>92.5</v>
      </c>
      <c r="J1500" s="3">
        <v>45875</v>
      </c>
      <c r="K1500" s="14">
        <v>15</v>
      </c>
      <c r="L1500" s="17">
        <v>2.7</v>
      </c>
      <c r="M1500" s="2" t="b">
        <v>0</v>
      </c>
      <c r="N1500" s="2"/>
      <c r="O1500" s="2" t="str">
        <f>IF(Table1[[#This Row],[is_returned]]=TRUE,IF(Table1[[#This Row],[return_reason]]="","Error","OK"),"OK")</f>
        <v>OK</v>
      </c>
      <c r="P1500" s="8">
        <f>Table1[[#This Row],[original_price]]*Table1[[#This Row],[markdown_percentage]]/100</f>
        <v>0</v>
      </c>
      <c r="Q150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500" s="25">
        <f>Table1[[#This Row],[current_price]]*Table1[[#This Row],[stock_quantity]]</f>
        <v>1387.5</v>
      </c>
    </row>
    <row r="1501" spans="1:18" x14ac:dyDescent="0.25">
      <c r="A1501" s="2" t="s">
        <v>1554</v>
      </c>
      <c r="B1501" s="2" t="s">
        <v>30</v>
      </c>
      <c r="C1501" s="2" t="s">
        <v>32</v>
      </c>
      <c r="D1501" s="2" t="s">
        <v>23</v>
      </c>
      <c r="E1501" s="2" t="s">
        <v>24</v>
      </c>
      <c r="F1501" s="2" t="s">
        <v>66</v>
      </c>
      <c r="G1501" s="8">
        <v>89.5</v>
      </c>
      <c r="H1501" s="11">
        <v>0</v>
      </c>
      <c r="I1501" s="8">
        <v>89.5</v>
      </c>
      <c r="J1501" s="3">
        <v>45875</v>
      </c>
      <c r="K1501" s="14">
        <v>5</v>
      </c>
      <c r="L1501" s="17">
        <v>4.5</v>
      </c>
      <c r="M1501" s="2" t="b">
        <v>0</v>
      </c>
      <c r="N1501" s="2"/>
      <c r="O1501" s="2" t="str">
        <f>IF(Table1[[#This Row],[is_returned]]=TRUE,IF(Table1[[#This Row],[return_reason]]="","Error","OK"),"OK")</f>
        <v>OK</v>
      </c>
      <c r="P1501" s="8">
        <f>Table1[[#This Row],[original_price]]*Table1[[#This Row],[markdown_percentage]]/100</f>
        <v>0</v>
      </c>
      <c r="Q150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501" s="25">
        <f>Table1[[#This Row],[current_price]]*Table1[[#This Row],[stock_quantity]]</f>
        <v>447.5</v>
      </c>
    </row>
    <row r="1502" spans="1:18" x14ac:dyDescent="0.25">
      <c r="A1502" s="2" t="s">
        <v>1555</v>
      </c>
      <c r="B1502" s="2" t="s">
        <v>15</v>
      </c>
      <c r="C1502" s="2" t="s">
        <v>48</v>
      </c>
      <c r="D1502" s="2" t="s">
        <v>17</v>
      </c>
      <c r="E1502" s="2" t="s">
        <v>24</v>
      </c>
      <c r="F1502" s="2" t="s">
        <v>56</v>
      </c>
      <c r="G1502" s="8">
        <v>161.51</v>
      </c>
      <c r="H1502" s="11">
        <v>0</v>
      </c>
      <c r="I1502" s="8">
        <v>161.51</v>
      </c>
      <c r="J1502" s="3">
        <v>45598</v>
      </c>
      <c r="K1502" s="14">
        <v>22</v>
      </c>
      <c r="L1502" s="17">
        <v>4.7</v>
      </c>
      <c r="M1502" s="2" t="b">
        <v>0</v>
      </c>
      <c r="N1502" s="2"/>
      <c r="O1502" s="2" t="str">
        <f>IF(Table1[[#This Row],[is_returned]]=TRUE,IF(Table1[[#This Row],[return_reason]]="","Error","OK"),"OK")</f>
        <v>OK</v>
      </c>
      <c r="P1502" s="8">
        <f>Table1[[#This Row],[original_price]]*Table1[[#This Row],[markdown_percentage]]/100</f>
        <v>0</v>
      </c>
      <c r="Q150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502" s="25">
        <f>Table1[[#This Row],[current_price]]*Table1[[#This Row],[stock_quantity]]</f>
        <v>3553.22</v>
      </c>
    </row>
    <row r="1503" spans="1:18" x14ac:dyDescent="0.25">
      <c r="A1503" s="2" t="s">
        <v>1556</v>
      </c>
      <c r="B1503" s="2" t="s">
        <v>27</v>
      </c>
      <c r="C1503" s="2" t="s">
        <v>16</v>
      </c>
      <c r="D1503" s="2" t="s">
        <v>23</v>
      </c>
      <c r="E1503" s="2"/>
      <c r="F1503" s="2" t="s">
        <v>70</v>
      </c>
      <c r="G1503" s="8">
        <v>38.119999999999997</v>
      </c>
      <c r="H1503" s="11">
        <v>0</v>
      </c>
      <c r="I1503" s="8">
        <v>38.119999999999997</v>
      </c>
      <c r="J1503" s="3">
        <v>45875</v>
      </c>
      <c r="K1503" s="14">
        <v>18</v>
      </c>
      <c r="L1503" s="17">
        <v>4.4000000000000004</v>
      </c>
      <c r="M1503" s="2" t="b">
        <v>1</v>
      </c>
      <c r="N1503" s="2" t="s">
        <v>78</v>
      </c>
      <c r="O1503" s="2" t="str">
        <f>IF(Table1[[#This Row],[is_returned]]=TRUE,IF(Table1[[#This Row],[return_reason]]="","Error","OK"),"OK")</f>
        <v>OK</v>
      </c>
      <c r="P1503" s="8">
        <f>Table1[[#This Row],[original_price]]*Table1[[#This Row],[markdown_percentage]]/100</f>
        <v>0</v>
      </c>
      <c r="Q150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503" s="25">
        <f>Table1[[#This Row],[current_price]]*Table1[[#This Row],[stock_quantity]]</f>
        <v>686.16</v>
      </c>
    </row>
    <row r="1504" spans="1:18" x14ac:dyDescent="0.25">
      <c r="A1504" s="2" t="s">
        <v>1557</v>
      </c>
      <c r="B1504" s="2" t="s">
        <v>42</v>
      </c>
      <c r="C1504" s="2" t="s">
        <v>48</v>
      </c>
      <c r="D1504" s="2" t="s">
        <v>62</v>
      </c>
      <c r="E1504" s="2" t="s">
        <v>55</v>
      </c>
      <c r="F1504" s="2" t="s">
        <v>66</v>
      </c>
      <c r="G1504" s="8">
        <v>100.08</v>
      </c>
      <c r="H1504" s="11">
        <v>0</v>
      </c>
      <c r="I1504" s="8">
        <v>100.08</v>
      </c>
      <c r="J1504" s="3">
        <v>45875</v>
      </c>
      <c r="K1504" s="14">
        <v>23</v>
      </c>
      <c r="L1504" s="17">
        <v>4.8</v>
      </c>
      <c r="M1504" s="2" t="b">
        <v>0</v>
      </c>
      <c r="N1504" s="2"/>
      <c r="O1504" s="2" t="str">
        <f>IF(Table1[[#This Row],[is_returned]]=TRUE,IF(Table1[[#This Row],[return_reason]]="","Error","OK"),"OK")</f>
        <v>OK</v>
      </c>
      <c r="P1504" s="8">
        <f>Table1[[#This Row],[original_price]]*Table1[[#This Row],[markdown_percentage]]/100</f>
        <v>0</v>
      </c>
      <c r="Q150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504" s="25">
        <f>Table1[[#This Row],[current_price]]*Table1[[#This Row],[stock_quantity]]</f>
        <v>2301.84</v>
      </c>
    </row>
    <row r="1505" spans="1:18" x14ac:dyDescent="0.25">
      <c r="A1505" s="2" t="s">
        <v>1558</v>
      </c>
      <c r="B1505" s="2" t="s">
        <v>42</v>
      </c>
      <c r="C1505" s="2" t="s">
        <v>22</v>
      </c>
      <c r="D1505" s="2" t="s">
        <v>34</v>
      </c>
      <c r="E1505" s="2" t="s">
        <v>24</v>
      </c>
      <c r="F1505" s="2" t="s">
        <v>35</v>
      </c>
      <c r="G1505" s="8">
        <v>161.79</v>
      </c>
      <c r="H1505" s="11">
        <v>0</v>
      </c>
      <c r="I1505" s="8">
        <v>161.79</v>
      </c>
      <c r="J1505" s="3">
        <v>45875</v>
      </c>
      <c r="K1505" s="14">
        <v>44</v>
      </c>
      <c r="L1505" s="17">
        <v>3.9</v>
      </c>
      <c r="M1505" s="2" t="b">
        <v>0</v>
      </c>
      <c r="N1505" s="2"/>
      <c r="O1505" s="2" t="str">
        <f>IF(Table1[[#This Row],[is_returned]]=TRUE,IF(Table1[[#This Row],[return_reason]]="","Error","OK"),"OK")</f>
        <v>OK</v>
      </c>
      <c r="P1505" s="8">
        <f>Table1[[#This Row],[original_price]]*Table1[[#This Row],[markdown_percentage]]/100</f>
        <v>0</v>
      </c>
      <c r="Q150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505" s="25">
        <f>Table1[[#This Row],[current_price]]*Table1[[#This Row],[stock_quantity]]</f>
        <v>7118.7599999999993</v>
      </c>
    </row>
    <row r="1506" spans="1:18" x14ac:dyDescent="0.25">
      <c r="A1506" s="2" t="s">
        <v>1559</v>
      </c>
      <c r="B1506" s="2" t="s">
        <v>38</v>
      </c>
      <c r="C1506" s="2" t="s">
        <v>53</v>
      </c>
      <c r="D1506" s="2" t="s">
        <v>34</v>
      </c>
      <c r="E1506" s="2" t="s">
        <v>18</v>
      </c>
      <c r="F1506" s="2" t="s">
        <v>28</v>
      </c>
      <c r="G1506" s="8">
        <v>46.42</v>
      </c>
      <c r="H1506" s="11">
        <v>0</v>
      </c>
      <c r="I1506" s="8">
        <v>46.42</v>
      </c>
      <c r="J1506" s="3">
        <v>45875</v>
      </c>
      <c r="K1506" s="14">
        <v>2</v>
      </c>
      <c r="L1506" s="17">
        <v>3.7</v>
      </c>
      <c r="M1506" s="2" t="b">
        <v>1</v>
      </c>
      <c r="N1506" s="2" t="s">
        <v>115</v>
      </c>
      <c r="O1506" s="2" t="str">
        <f>IF(Table1[[#This Row],[is_returned]]=TRUE,IF(Table1[[#This Row],[return_reason]]="","Error","OK"),"OK")</f>
        <v>OK</v>
      </c>
      <c r="P1506" s="8">
        <f>Table1[[#This Row],[original_price]]*Table1[[#This Row],[markdown_percentage]]/100</f>
        <v>0</v>
      </c>
      <c r="Q150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506" s="25">
        <f>Table1[[#This Row],[current_price]]*Table1[[#This Row],[stock_quantity]]</f>
        <v>92.84</v>
      </c>
    </row>
    <row r="1507" spans="1:18" x14ac:dyDescent="0.25">
      <c r="A1507" s="2" t="s">
        <v>1560</v>
      </c>
      <c r="B1507" s="2" t="s">
        <v>30</v>
      </c>
      <c r="C1507" s="2" t="s">
        <v>22</v>
      </c>
      <c r="D1507" s="2" t="s">
        <v>17</v>
      </c>
      <c r="E1507" s="2" t="s">
        <v>24</v>
      </c>
      <c r="F1507" s="2" t="s">
        <v>70</v>
      </c>
      <c r="G1507" s="8">
        <v>199.33</v>
      </c>
      <c r="H1507" s="11">
        <v>44.3</v>
      </c>
      <c r="I1507" s="8">
        <v>111.03</v>
      </c>
      <c r="J1507" s="3">
        <v>45616</v>
      </c>
      <c r="K1507" s="14">
        <v>19</v>
      </c>
      <c r="L1507" s="17">
        <v>1.8</v>
      </c>
      <c r="M1507" s="2" t="b">
        <v>0</v>
      </c>
      <c r="N1507" s="2"/>
      <c r="O1507" s="2" t="str">
        <f>IF(Table1[[#This Row],[is_returned]]=TRUE,IF(Table1[[#This Row],[return_reason]]="","Error","OK"),"OK")</f>
        <v>OK</v>
      </c>
      <c r="P1507" s="8">
        <f>Table1[[#This Row],[original_price]]*Table1[[#This Row],[markdown_percentage]]/100</f>
        <v>88.303190000000001</v>
      </c>
      <c r="Q150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507" s="25">
        <f>Table1[[#This Row],[current_price]]*Table1[[#This Row],[stock_quantity]]</f>
        <v>2109.5700000000002</v>
      </c>
    </row>
    <row r="1508" spans="1:18" x14ac:dyDescent="0.25">
      <c r="A1508" s="2" t="s">
        <v>1561</v>
      </c>
      <c r="B1508" s="2" t="s">
        <v>38</v>
      </c>
      <c r="C1508" s="2" t="s">
        <v>75</v>
      </c>
      <c r="D1508" s="2" t="s">
        <v>62</v>
      </c>
      <c r="E1508" s="2" t="s">
        <v>49</v>
      </c>
      <c r="F1508" s="2" t="s">
        <v>28</v>
      </c>
      <c r="G1508" s="8">
        <v>25.77</v>
      </c>
      <c r="H1508" s="11">
        <v>0</v>
      </c>
      <c r="I1508" s="8">
        <v>25.77</v>
      </c>
      <c r="J1508" s="3">
        <v>45875</v>
      </c>
      <c r="K1508" s="14">
        <v>5</v>
      </c>
      <c r="L1508" s="17">
        <v>3.1</v>
      </c>
      <c r="M1508" s="2" t="b">
        <v>0</v>
      </c>
      <c r="N1508" s="2"/>
      <c r="O1508" s="2" t="str">
        <f>IF(Table1[[#This Row],[is_returned]]=TRUE,IF(Table1[[#This Row],[return_reason]]="","Error","OK"),"OK")</f>
        <v>OK</v>
      </c>
      <c r="P1508" s="8">
        <f>Table1[[#This Row],[original_price]]*Table1[[#This Row],[markdown_percentage]]/100</f>
        <v>0</v>
      </c>
      <c r="Q150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508" s="25">
        <f>Table1[[#This Row],[current_price]]*Table1[[#This Row],[stock_quantity]]</f>
        <v>128.85</v>
      </c>
    </row>
    <row r="1509" spans="1:18" x14ac:dyDescent="0.25">
      <c r="A1509" s="2" t="s">
        <v>1562</v>
      </c>
      <c r="B1509" s="2" t="s">
        <v>30</v>
      </c>
      <c r="C1509" s="2" t="s">
        <v>75</v>
      </c>
      <c r="D1509" s="2" t="s">
        <v>23</v>
      </c>
      <c r="E1509" s="2" t="s">
        <v>58</v>
      </c>
      <c r="F1509" s="2" t="s">
        <v>64</v>
      </c>
      <c r="G1509" s="8">
        <v>180.67</v>
      </c>
      <c r="H1509" s="11">
        <v>0</v>
      </c>
      <c r="I1509" s="8">
        <v>180.67</v>
      </c>
      <c r="J1509" s="3">
        <v>45875</v>
      </c>
      <c r="K1509" s="14">
        <v>31</v>
      </c>
      <c r="L1509" s="17">
        <v>4.4000000000000004</v>
      </c>
      <c r="M1509" s="2" t="b">
        <v>0</v>
      </c>
      <c r="N1509" s="2"/>
      <c r="O1509" s="2" t="str">
        <f>IF(Table1[[#This Row],[is_returned]]=TRUE,IF(Table1[[#This Row],[return_reason]]="","Error","OK"),"OK")</f>
        <v>OK</v>
      </c>
      <c r="P1509" s="8">
        <f>Table1[[#This Row],[original_price]]*Table1[[#This Row],[markdown_percentage]]/100</f>
        <v>0</v>
      </c>
      <c r="Q150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509" s="25">
        <f>Table1[[#This Row],[current_price]]*Table1[[#This Row],[stock_quantity]]</f>
        <v>5600.7699999999995</v>
      </c>
    </row>
    <row r="1510" spans="1:18" x14ac:dyDescent="0.25">
      <c r="A1510" s="2" t="s">
        <v>1563</v>
      </c>
      <c r="B1510" s="2" t="s">
        <v>30</v>
      </c>
      <c r="C1510" s="2" t="s">
        <v>75</v>
      </c>
      <c r="D1510" s="2" t="s">
        <v>17</v>
      </c>
      <c r="E1510" s="2" t="s">
        <v>24</v>
      </c>
      <c r="F1510" s="2" t="s">
        <v>46</v>
      </c>
      <c r="G1510" s="8">
        <v>198.13</v>
      </c>
      <c r="H1510" s="11">
        <v>46.1</v>
      </c>
      <c r="I1510" s="8">
        <v>106.79</v>
      </c>
      <c r="J1510" s="3">
        <v>45796</v>
      </c>
      <c r="K1510" s="14">
        <v>8</v>
      </c>
      <c r="L1510" s="17">
        <v>3.2</v>
      </c>
      <c r="M1510" s="2" t="b">
        <v>0</v>
      </c>
      <c r="N1510" s="2"/>
      <c r="O1510" s="2" t="str">
        <f>IF(Table1[[#This Row],[is_returned]]=TRUE,IF(Table1[[#This Row],[return_reason]]="","Error","OK"),"OK")</f>
        <v>OK</v>
      </c>
      <c r="P1510" s="8">
        <f>Table1[[#This Row],[original_price]]*Table1[[#This Row],[markdown_percentage]]/100</f>
        <v>91.33793</v>
      </c>
      <c r="Q151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510" s="25">
        <f>Table1[[#This Row],[current_price]]*Table1[[#This Row],[stock_quantity]]</f>
        <v>854.32</v>
      </c>
    </row>
    <row r="1511" spans="1:18" x14ac:dyDescent="0.25">
      <c r="A1511" s="2" t="s">
        <v>1564</v>
      </c>
      <c r="B1511" s="2" t="s">
        <v>42</v>
      </c>
      <c r="C1511" s="2" t="s">
        <v>22</v>
      </c>
      <c r="D1511" s="2" t="s">
        <v>62</v>
      </c>
      <c r="E1511" s="2"/>
      <c r="F1511" s="2" t="s">
        <v>64</v>
      </c>
      <c r="G1511" s="8">
        <v>161.53</v>
      </c>
      <c r="H1511" s="11">
        <v>5.3</v>
      </c>
      <c r="I1511" s="8">
        <v>152.97</v>
      </c>
      <c r="J1511" s="3">
        <v>45875</v>
      </c>
      <c r="K1511" s="14">
        <v>33</v>
      </c>
      <c r="L1511" s="17">
        <v>3.7</v>
      </c>
      <c r="M1511" s="2" t="b">
        <v>0</v>
      </c>
      <c r="N1511" s="2"/>
      <c r="O1511" s="2" t="str">
        <f>IF(Table1[[#This Row],[is_returned]]=TRUE,IF(Table1[[#This Row],[return_reason]]="","Error","OK"),"OK")</f>
        <v>OK</v>
      </c>
      <c r="P1511" s="8">
        <f>Table1[[#This Row],[original_price]]*Table1[[#This Row],[markdown_percentage]]/100</f>
        <v>8.5610900000000001</v>
      </c>
      <c r="Q151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511" s="25">
        <f>Table1[[#This Row],[current_price]]*Table1[[#This Row],[stock_quantity]]</f>
        <v>5048.01</v>
      </c>
    </row>
    <row r="1512" spans="1:18" x14ac:dyDescent="0.25">
      <c r="A1512" s="2" t="s">
        <v>1565</v>
      </c>
      <c r="B1512" s="2" t="s">
        <v>38</v>
      </c>
      <c r="C1512" s="2" t="s">
        <v>16</v>
      </c>
      <c r="D1512" s="2" t="s">
        <v>17</v>
      </c>
      <c r="E1512" s="2" t="s">
        <v>58</v>
      </c>
      <c r="F1512" s="2" t="s">
        <v>40</v>
      </c>
      <c r="G1512" s="8">
        <v>25.97</v>
      </c>
      <c r="H1512" s="11">
        <v>0</v>
      </c>
      <c r="I1512" s="8">
        <v>25.97</v>
      </c>
      <c r="J1512" s="3">
        <v>45624</v>
      </c>
      <c r="K1512" s="14">
        <v>31</v>
      </c>
      <c r="L1512" s="17">
        <v>1.2</v>
      </c>
      <c r="M1512" s="2" t="b">
        <v>0</v>
      </c>
      <c r="N1512" s="2"/>
      <c r="O1512" s="2" t="str">
        <f>IF(Table1[[#This Row],[is_returned]]=TRUE,IF(Table1[[#This Row],[return_reason]]="","Error","OK"),"OK")</f>
        <v>OK</v>
      </c>
      <c r="P1512" s="8">
        <f>Table1[[#This Row],[original_price]]*Table1[[#This Row],[markdown_percentage]]/100</f>
        <v>0</v>
      </c>
      <c r="Q151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512" s="25">
        <f>Table1[[#This Row],[current_price]]*Table1[[#This Row],[stock_quantity]]</f>
        <v>805.06999999999994</v>
      </c>
    </row>
    <row r="1513" spans="1:18" x14ac:dyDescent="0.25">
      <c r="A1513" s="2" t="s">
        <v>1566</v>
      </c>
      <c r="B1513" s="2" t="s">
        <v>21</v>
      </c>
      <c r="C1513" s="2" t="s">
        <v>75</v>
      </c>
      <c r="D1513" s="2" t="s">
        <v>62</v>
      </c>
      <c r="E1513" s="2" t="s">
        <v>24</v>
      </c>
      <c r="F1513" s="2" t="s">
        <v>56</v>
      </c>
      <c r="G1513" s="8">
        <v>85</v>
      </c>
      <c r="H1513" s="11">
        <v>39.9</v>
      </c>
      <c r="I1513" s="8">
        <v>51.09</v>
      </c>
      <c r="J1513" s="3">
        <v>45875</v>
      </c>
      <c r="K1513" s="14">
        <v>44</v>
      </c>
      <c r="L1513" s="17">
        <v>3</v>
      </c>
      <c r="M1513" s="2" t="b">
        <v>0</v>
      </c>
      <c r="N1513" s="2"/>
      <c r="O1513" s="2" t="str">
        <f>IF(Table1[[#This Row],[is_returned]]=TRUE,IF(Table1[[#This Row],[return_reason]]="","Error","OK"),"OK")</f>
        <v>OK</v>
      </c>
      <c r="P1513" s="8">
        <f>Table1[[#This Row],[original_price]]*Table1[[#This Row],[markdown_percentage]]/100</f>
        <v>33.914999999999999</v>
      </c>
      <c r="Q151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513" s="25">
        <f>Table1[[#This Row],[current_price]]*Table1[[#This Row],[stock_quantity]]</f>
        <v>2247.96</v>
      </c>
    </row>
    <row r="1514" spans="1:18" x14ac:dyDescent="0.25">
      <c r="A1514" s="2" t="s">
        <v>1567</v>
      </c>
      <c r="B1514" s="2" t="s">
        <v>27</v>
      </c>
      <c r="C1514" s="2" t="s">
        <v>22</v>
      </c>
      <c r="D1514" s="2" t="s">
        <v>62</v>
      </c>
      <c r="E1514" s="2"/>
      <c r="F1514" s="2" t="s">
        <v>25</v>
      </c>
      <c r="G1514" s="8">
        <v>75.03</v>
      </c>
      <c r="H1514" s="11">
        <v>10.9</v>
      </c>
      <c r="I1514" s="8">
        <v>66.849999999999994</v>
      </c>
      <c r="J1514" s="3">
        <v>45875</v>
      </c>
      <c r="K1514" s="14">
        <v>12</v>
      </c>
      <c r="L1514" s="17">
        <v>1.2</v>
      </c>
      <c r="M1514" s="2" t="b">
        <v>0</v>
      </c>
      <c r="N1514" s="2"/>
      <c r="O1514" s="2" t="str">
        <f>IF(Table1[[#This Row],[is_returned]]=TRUE,IF(Table1[[#This Row],[return_reason]]="","Error","OK"),"OK")</f>
        <v>OK</v>
      </c>
      <c r="P1514" s="8">
        <f>Table1[[#This Row],[original_price]]*Table1[[#This Row],[markdown_percentage]]/100</f>
        <v>8.1782699999999995</v>
      </c>
      <c r="Q151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514" s="25">
        <f>Table1[[#This Row],[current_price]]*Table1[[#This Row],[stock_quantity]]</f>
        <v>802.19999999999993</v>
      </c>
    </row>
    <row r="1515" spans="1:18" x14ac:dyDescent="0.25">
      <c r="A1515" s="2" t="s">
        <v>1568</v>
      </c>
      <c r="B1515" s="2" t="s">
        <v>27</v>
      </c>
      <c r="C1515" s="2" t="s">
        <v>53</v>
      </c>
      <c r="D1515" s="2" t="s">
        <v>23</v>
      </c>
      <c r="E1515" s="2"/>
      <c r="F1515" s="2" t="s">
        <v>56</v>
      </c>
      <c r="G1515" s="8">
        <v>33.880000000000003</v>
      </c>
      <c r="H1515" s="11">
        <v>0</v>
      </c>
      <c r="I1515" s="8">
        <v>33.880000000000003</v>
      </c>
      <c r="J1515" s="3">
        <v>45875</v>
      </c>
      <c r="K1515" s="14">
        <v>9</v>
      </c>
      <c r="L1515" s="17"/>
      <c r="M1515" s="2" t="b">
        <v>0</v>
      </c>
      <c r="N1515" s="2"/>
      <c r="O1515" s="2" t="str">
        <f>IF(Table1[[#This Row],[is_returned]]=TRUE,IF(Table1[[#This Row],[return_reason]]="","Error","OK"),"OK")</f>
        <v>OK</v>
      </c>
      <c r="P1515" s="8">
        <f>Table1[[#This Row],[original_price]]*Table1[[#This Row],[markdown_percentage]]/100</f>
        <v>0</v>
      </c>
      <c r="Q151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515" s="25">
        <f>Table1[[#This Row],[current_price]]*Table1[[#This Row],[stock_quantity]]</f>
        <v>304.92</v>
      </c>
    </row>
    <row r="1516" spans="1:18" x14ac:dyDescent="0.25">
      <c r="A1516" s="2" t="s">
        <v>1569</v>
      </c>
      <c r="B1516" s="2" t="s">
        <v>30</v>
      </c>
      <c r="C1516" s="2" t="s">
        <v>32</v>
      </c>
      <c r="D1516" s="2" t="s">
        <v>62</v>
      </c>
      <c r="E1516" s="2" t="s">
        <v>55</v>
      </c>
      <c r="F1516" s="2" t="s">
        <v>66</v>
      </c>
      <c r="G1516" s="8">
        <v>142</v>
      </c>
      <c r="H1516" s="11">
        <v>12.3</v>
      </c>
      <c r="I1516" s="8">
        <v>124.53</v>
      </c>
      <c r="J1516" s="3">
        <v>45875</v>
      </c>
      <c r="K1516" s="14">
        <v>39</v>
      </c>
      <c r="L1516" s="17">
        <v>3.3</v>
      </c>
      <c r="M1516" s="2" t="b">
        <v>0</v>
      </c>
      <c r="N1516" s="2"/>
      <c r="O1516" s="2" t="str">
        <f>IF(Table1[[#This Row],[is_returned]]=TRUE,IF(Table1[[#This Row],[return_reason]]="","Error","OK"),"OK")</f>
        <v>OK</v>
      </c>
      <c r="P1516" s="8">
        <f>Table1[[#This Row],[original_price]]*Table1[[#This Row],[markdown_percentage]]/100</f>
        <v>17.466000000000001</v>
      </c>
      <c r="Q151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516" s="25">
        <f>Table1[[#This Row],[current_price]]*Table1[[#This Row],[stock_quantity]]</f>
        <v>4856.67</v>
      </c>
    </row>
    <row r="1517" spans="1:18" x14ac:dyDescent="0.25">
      <c r="A1517" s="2" t="s">
        <v>1570</v>
      </c>
      <c r="B1517" s="2" t="s">
        <v>42</v>
      </c>
      <c r="C1517" s="2" t="s">
        <v>48</v>
      </c>
      <c r="D1517" s="2" t="s">
        <v>34</v>
      </c>
      <c r="E1517" s="2" t="s">
        <v>18</v>
      </c>
      <c r="F1517" s="2" t="s">
        <v>46</v>
      </c>
      <c r="G1517" s="8">
        <v>125.46</v>
      </c>
      <c r="H1517" s="11">
        <v>0</v>
      </c>
      <c r="I1517" s="8">
        <v>125.46</v>
      </c>
      <c r="J1517" s="3">
        <v>45875</v>
      </c>
      <c r="K1517" s="14">
        <v>26</v>
      </c>
      <c r="L1517" s="17">
        <v>1.1000000000000001</v>
      </c>
      <c r="M1517" s="2" t="b">
        <v>0</v>
      </c>
      <c r="N1517" s="2"/>
      <c r="O1517" s="2" t="str">
        <f>IF(Table1[[#This Row],[is_returned]]=TRUE,IF(Table1[[#This Row],[return_reason]]="","Error","OK"),"OK")</f>
        <v>OK</v>
      </c>
      <c r="P1517" s="8">
        <f>Table1[[#This Row],[original_price]]*Table1[[#This Row],[markdown_percentage]]/100</f>
        <v>0</v>
      </c>
      <c r="Q151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517" s="25">
        <f>Table1[[#This Row],[current_price]]*Table1[[#This Row],[stock_quantity]]</f>
        <v>3261.96</v>
      </c>
    </row>
    <row r="1518" spans="1:18" x14ac:dyDescent="0.25">
      <c r="A1518" s="2" t="s">
        <v>1571</v>
      </c>
      <c r="B1518" s="2" t="s">
        <v>30</v>
      </c>
      <c r="C1518" s="2" t="s">
        <v>48</v>
      </c>
      <c r="D1518" s="2" t="s">
        <v>23</v>
      </c>
      <c r="E1518" s="2" t="s">
        <v>24</v>
      </c>
      <c r="F1518" s="2" t="s">
        <v>44</v>
      </c>
      <c r="G1518" s="8">
        <v>138.79</v>
      </c>
      <c r="H1518" s="11">
        <v>0</v>
      </c>
      <c r="I1518" s="8">
        <v>138.79</v>
      </c>
      <c r="J1518" s="3">
        <v>45875</v>
      </c>
      <c r="K1518" s="14">
        <v>16</v>
      </c>
      <c r="L1518" s="17"/>
      <c r="M1518" s="2" t="b">
        <v>1</v>
      </c>
      <c r="N1518" s="2" t="s">
        <v>73</v>
      </c>
      <c r="O1518" s="2" t="str">
        <f>IF(Table1[[#This Row],[is_returned]]=TRUE,IF(Table1[[#This Row],[return_reason]]="","Error","OK"),"OK")</f>
        <v>OK</v>
      </c>
      <c r="P1518" s="8">
        <f>Table1[[#This Row],[original_price]]*Table1[[#This Row],[markdown_percentage]]/100</f>
        <v>0</v>
      </c>
      <c r="Q151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518" s="25">
        <f>Table1[[#This Row],[current_price]]*Table1[[#This Row],[stock_quantity]]</f>
        <v>2220.64</v>
      </c>
    </row>
    <row r="1519" spans="1:18" x14ac:dyDescent="0.25">
      <c r="A1519" s="2" t="s">
        <v>1572</v>
      </c>
      <c r="B1519" s="2" t="s">
        <v>38</v>
      </c>
      <c r="C1519" s="2" t="s">
        <v>53</v>
      </c>
      <c r="D1519" s="2" t="s">
        <v>17</v>
      </c>
      <c r="E1519" s="2" t="s">
        <v>18</v>
      </c>
      <c r="F1519" s="2" t="s">
        <v>25</v>
      </c>
      <c r="G1519" s="8">
        <v>81.81</v>
      </c>
      <c r="H1519" s="11">
        <v>37.9</v>
      </c>
      <c r="I1519" s="8">
        <v>50.8</v>
      </c>
      <c r="J1519" s="3">
        <v>45704</v>
      </c>
      <c r="K1519" s="14">
        <v>44</v>
      </c>
      <c r="L1519" s="17"/>
      <c r="M1519" s="2" t="b">
        <v>0</v>
      </c>
      <c r="N1519" s="2"/>
      <c r="O1519" s="2" t="str">
        <f>IF(Table1[[#This Row],[is_returned]]=TRUE,IF(Table1[[#This Row],[return_reason]]="","Error","OK"),"OK")</f>
        <v>OK</v>
      </c>
      <c r="P1519" s="8">
        <f>Table1[[#This Row],[original_price]]*Table1[[#This Row],[markdown_percentage]]/100</f>
        <v>31.005990000000001</v>
      </c>
      <c r="Q151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519" s="25">
        <f>Table1[[#This Row],[current_price]]*Table1[[#This Row],[stock_quantity]]</f>
        <v>2235.1999999999998</v>
      </c>
    </row>
    <row r="1520" spans="1:18" x14ac:dyDescent="0.25">
      <c r="A1520" s="2" t="s">
        <v>1573</v>
      </c>
      <c r="B1520" s="2" t="s">
        <v>27</v>
      </c>
      <c r="C1520" s="2" t="s">
        <v>22</v>
      </c>
      <c r="D1520" s="2" t="s">
        <v>34</v>
      </c>
      <c r="E1520" s="2"/>
      <c r="F1520" s="2" t="s">
        <v>70</v>
      </c>
      <c r="G1520" s="8">
        <v>78.260000000000005</v>
      </c>
      <c r="H1520" s="11">
        <v>47.3</v>
      </c>
      <c r="I1520" s="8">
        <v>41.24</v>
      </c>
      <c r="J1520" s="3">
        <v>45875</v>
      </c>
      <c r="K1520" s="14">
        <v>20</v>
      </c>
      <c r="L1520" s="17">
        <v>4</v>
      </c>
      <c r="M1520" s="2" t="b">
        <v>0</v>
      </c>
      <c r="N1520" s="2"/>
      <c r="O1520" s="2" t="str">
        <f>IF(Table1[[#This Row],[is_returned]]=TRUE,IF(Table1[[#This Row],[return_reason]]="","Error","OK"),"OK")</f>
        <v>OK</v>
      </c>
      <c r="P1520" s="8">
        <f>Table1[[#This Row],[original_price]]*Table1[[#This Row],[markdown_percentage]]/100</f>
        <v>37.016979999999997</v>
      </c>
      <c r="Q152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520" s="25">
        <f>Table1[[#This Row],[current_price]]*Table1[[#This Row],[stock_quantity]]</f>
        <v>824.80000000000007</v>
      </c>
    </row>
    <row r="1521" spans="1:18" x14ac:dyDescent="0.25">
      <c r="A1521" s="2" t="s">
        <v>1574</v>
      </c>
      <c r="B1521" s="2" t="s">
        <v>38</v>
      </c>
      <c r="C1521" s="2" t="s">
        <v>32</v>
      </c>
      <c r="D1521" s="2" t="s">
        <v>17</v>
      </c>
      <c r="E1521" s="2" t="s">
        <v>18</v>
      </c>
      <c r="F1521" s="2" t="s">
        <v>64</v>
      </c>
      <c r="G1521" s="8">
        <v>119.33</v>
      </c>
      <c r="H1521" s="11">
        <v>16</v>
      </c>
      <c r="I1521" s="8">
        <v>100.24</v>
      </c>
      <c r="J1521" s="3">
        <v>45520</v>
      </c>
      <c r="K1521" s="14">
        <v>35</v>
      </c>
      <c r="L1521" s="17"/>
      <c r="M1521" s="2" t="b">
        <v>0</v>
      </c>
      <c r="N1521" s="2"/>
      <c r="O1521" s="2" t="str">
        <f>IF(Table1[[#This Row],[is_returned]]=TRUE,IF(Table1[[#This Row],[return_reason]]="","Error","OK"),"OK")</f>
        <v>OK</v>
      </c>
      <c r="P1521" s="8">
        <f>Table1[[#This Row],[original_price]]*Table1[[#This Row],[markdown_percentage]]/100</f>
        <v>19.0928</v>
      </c>
      <c r="Q152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521" s="25">
        <f>Table1[[#This Row],[current_price]]*Table1[[#This Row],[stock_quantity]]</f>
        <v>3508.3999999999996</v>
      </c>
    </row>
    <row r="1522" spans="1:18" x14ac:dyDescent="0.25">
      <c r="A1522" s="2" t="s">
        <v>1575</v>
      </c>
      <c r="B1522" s="2" t="s">
        <v>27</v>
      </c>
      <c r="C1522" s="2" t="s">
        <v>53</v>
      </c>
      <c r="D1522" s="2" t="s">
        <v>17</v>
      </c>
      <c r="E1522" s="2"/>
      <c r="F1522" s="2" t="s">
        <v>28</v>
      </c>
      <c r="G1522" s="8">
        <v>52.97</v>
      </c>
      <c r="H1522" s="11">
        <v>0</v>
      </c>
      <c r="I1522" s="8">
        <v>52.97</v>
      </c>
      <c r="J1522" s="3">
        <v>45864</v>
      </c>
      <c r="K1522" s="14">
        <v>36</v>
      </c>
      <c r="L1522" s="17">
        <v>4.5999999999999996</v>
      </c>
      <c r="M1522" s="2" t="b">
        <v>0</v>
      </c>
      <c r="N1522" s="2"/>
      <c r="O1522" s="2" t="str">
        <f>IF(Table1[[#This Row],[is_returned]]=TRUE,IF(Table1[[#This Row],[return_reason]]="","Error","OK"),"OK")</f>
        <v>OK</v>
      </c>
      <c r="P1522" s="8">
        <f>Table1[[#This Row],[original_price]]*Table1[[#This Row],[markdown_percentage]]/100</f>
        <v>0</v>
      </c>
      <c r="Q152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522" s="25">
        <f>Table1[[#This Row],[current_price]]*Table1[[#This Row],[stock_quantity]]</f>
        <v>1906.92</v>
      </c>
    </row>
    <row r="1523" spans="1:18" x14ac:dyDescent="0.25">
      <c r="A1523" s="2" t="s">
        <v>1576</v>
      </c>
      <c r="B1523" s="2" t="s">
        <v>27</v>
      </c>
      <c r="C1523" s="2" t="s">
        <v>43</v>
      </c>
      <c r="D1523" s="2" t="s">
        <v>23</v>
      </c>
      <c r="E1523" s="2"/>
      <c r="F1523" s="2" t="s">
        <v>44</v>
      </c>
      <c r="G1523" s="8">
        <v>69.48</v>
      </c>
      <c r="H1523" s="11">
        <v>0</v>
      </c>
      <c r="I1523" s="8">
        <v>69.48</v>
      </c>
      <c r="J1523" s="3">
        <v>45875</v>
      </c>
      <c r="K1523" s="14">
        <v>17</v>
      </c>
      <c r="L1523" s="17">
        <v>3.4</v>
      </c>
      <c r="M1523" s="2" t="b">
        <v>0</v>
      </c>
      <c r="N1523" s="2"/>
      <c r="O1523" s="2" t="str">
        <f>IF(Table1[[#This Row],[is_returned]]=TRUE,IF(Table1[[#This Row],[return_reason]]="","Error","OK"),"OK")</f>
        <v>OK</v>
      </c>
      <c r="P1523" s="8">
        <f>Table1[[#This Row],[original_price]]*Table1[[#This Row],[markdown_percentage]]/100</f>
        <v>0</v>
      </c>
      <c r="Q152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523" s="25">
        <f>Table1[[#This Row],[current_price]]*Table1[[#This Row],[stock_quantity]]</f>
        <v>1181.1600000000001</v>
      </c>
    </row>
    <row r="1524" spans="1:18" x14ac:dyDescent="0.25">
      <c r="A1524" s="2" t="s">
        <v>1577</v>
      </c>
      <c r="B1524" s="2" t="s">
        <v>15</v>
      </c>
      <c r="C1524" s="2" t="s">
        <v>32</v>
      </c>
      <c r="D1524" s="2" t="s">
        <v>62</v>
      </c>
      <c r="E1524" s="2" t="s">
        <v>24</v>
      </c>
      <c r="F1524" s="2" t="s">
        <v>40</v>
      </c>
      <c r="G1524" s="8">
        <v>177.82</v>
      </c>
      <c r="H1524" s="11">
        <v>0</v>
      </c>
      <c r="I1524" s="8">
        <v>177.82</v>
      </c>
      <c r="J1524" s="3">
        <v>45875</v>
      </c>
      <c r="K1524" s="14">
        <v>9</v>
      </c>
      <c r="L1524" s="17">
        <v>1.1000000000000001</v>
      </c>
      <c r="M1524" s="2" t="b">
        <v>0</v>
      </c>
      <c r="N1524" s="2"/>
      <c r="O1524" s="2" t="str">
        <f>IF(Table1[[#This Row],[is_returned]]=TRUE,IF(Table1[[#This Row],[return_reason]]="","Error","OK"),"OK")</f>
        <v>OK</v>
      </c>
      <c r="P1524" s="8">
        <f>Table1[[#This Row],[original_price]]*Table1[[#This Row],[markdown_percentage]]/100</f>
        <v>0</v>
      </c>
      <c r="Q152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524" s="25">
        <f>Table1[[#This Row],[current_price]]*Table1[[#This Row],[stock_quantity]]</f>
        <v>1600.3799999999999</v>
      </c>
    </row>
    <row r="1525" spans="1:18" x14ac:dyDescent="0.25">
      <c r="A1525" s="2" t="s">
        <v>1578</v>
      </c>
      <c r="B1525" s="2" t="s">
        <v>30</v>
      </c>
      <c r="C1525" s="2" t="s">
        <v>32</v>
      </c>
      <c r="D1525" s="2" t="s">
        <v>23</v>
      </c>
      <c r="E1525" s="2" t="s">
        <v>24</v>
      </c>
      <c r="F1525" s="2" t="s">
        <v>25</v>
      </c>
      <c r="G1525" s="8">
        <v>142.71</v>
      </c>
      <c r="H1525" s="11">
        <v>0</v>
      </c>
      <c r="I1525" s="8">
        <v>142.71</v>
      </c>
      <c r="J1525" s="3">
        <v>45875</v>
      </c>
      <c r="K1525" s="14">
        <v>28</v>
      </c>
      <c r="L1525" s="17">
        <v>1</v>
      </c>
      <c r="M1525" s="2" t="b">
        <v>0</v>
      </c>
      <c r="N1525" s="2"/>
      <c r="O1525" s="2" t="str">
        <f>IF(Table1[[#This Row],[is_returned]]=TRUE,IF(Table1[[#This Row],[return_reason]]="","Error","OK"),"OK")</f>
        <v>OK</v>
      </c>
      <c r="P1525" s="8">
        <f>Table1[[#This Row],[original_price]]*Table1[[#This Row],[markdown_percentage]]/100</f>
        <v>0</v>
      </c>
      <c r="Q152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525" s="25">
        <f>Table1[[#This Row],[current_price]]*Table1[[#This Row],[stock_quantity]]</f>
        <v>3995.88</v>
      </c>
    </row>
    <row r="1526" spans="1:18" x14ac:dyDescent="0.25">
      <c r="A1526" s="2" t="s">
        <v>1579</v>
      </c>
      <c r="B1526" s="2" t="s">
        <v>38</v>
      </c>
      <c r="C1526" s="2" t="s">
        <v>16</v>
      </c>
      <c r="D1526" s="2" t="s">
        <v>17</v>
      </c>
      <c r="E1526" s="2" t="s">
        <v>55</v>
      </c>
      <c r="F1526" s="2" t="s">
        <v>44</v>
      </c>
      <c r="G1526" s="8">
        <v>105.21</v>
      </c>
      <c r="H1526" s="11">
        <v>0</v>
      </c>
      <c r="I1526" s="8">
        <v>105.21</v>
      </c>
      <c r="J1526" s="3">
        <v>45598</v>
      </c>
      <c r="K1526" s="14">
        <v>41</v>
      </c>
      <c r="L1526" s="17">
        <v>4.9000000000000004</v>
      </c>
      <c r="M1526" s="2" t="b">
        <v>0</v>
      </c>
      <c r="N1526" s="2"/>
      <c r="O1526" s="2" t="str">
        <f>IF(Table1[[#This Row],[is_returned]]=TRUE,IF(Table1[[#This Row],[return_reason]]="","Error","OK"),"OK")</f>
        <v>OK</v>
      </c>
      <c r="P1526" s="8">
        <f>Table1[[#This Row],[original_price]]*Table1[[#This Row],[markdown_percentage]]/100</f>
        <v>0</v>
      </c>
      <c r="Q152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526" s="25">
        <f>Table1[[#This Row],[current_price]]*Table1[[#This Row],[stock_quantity]]</f>
        <v>4313.6099999999997</v>
      </c>
    </row>
    <row r="1527" spans="1:18" x14ac:dyDescent="0.25">
      <c r="A1527" s="2" t="s">
        <v>1580</v>
      </c>
      <c r="B1527" s="2" t="s">
        <v>27</v>
      </c>
      <c r="C1527" s="2" t="s">
        <v>75</v>
      </c>
      <c r="D1527" s="2" t="s">
        <v>34</v>
      </c>
      <c r="E1527" s="2"/>
      <c r="F1527" s="2" t="s">
        <v>40</v>
      </c>
      <c r="G1527" s="8">
        <v>65.09</v>
      </c>
      <c r="H1527" s="11">
        <v>49.8</v>
      </c>
      <c r="I1527" s="8">
        <v>32.68</v>
      </c>
      <c r="J1527" s="3">
        <v>45875</v>
      </c>
      <c r="K1527" s="14">
        <v>32</v>
      </c>
      <c r="L1527" s="17">
        <v>4.9000000000000004</v>
      </c>
      <c r="M1527" s="2" t="b">
        <v>0</v>
      </c>
      <c r="N1527" s="2"/>
      <c r="O1527" s="2" t="str">
        <f>IF(Table1[[#This Row],[is_returned]]=TRUE,IF(Table1[[#This Row],[return_reason]]="","Error","OK"),"OK")</f>
        <v>OK</v>
      </c>
      <c r="P1527" s="8">
        <f>Table1[[#This Row],[original_price]]*Table1[[#This Row],[markdown_percentage]]/100</f>
        <v>32.414819999999999</v>
      </c>
      <c r="Q152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527" s="25">
        <f>Table1[[#This Row],[current_price]]*Table1[[#This Row],[stock_quantity]]</f>
        <v>1045.76</v>
      </c>
    </row>
    <row r="1528" spans="1:18" x14ac:dyDescent="0.25">
      <c r="A1528" s="2" t="s">
        <v>1581</v>
      </c>
      <c r="B1528" s="2" t="s">
        <v>15</v>
      </c>
      <c r="C1528" s="2" t="s">
        <v>22</v>
      </c>
      <c r="D1528" s="2" t="s">
        <v>23</v>
      </c>
      <c r="E1528" s="2" t="s">
        <v>58</v>
      </c>
      <c r="F1528" s="2" t="s">
        <v>64</v>
      </c>
      <c r="G1528" s="8">
        <v>167.39</v>
      </c>
      <c r="H1528" s="11">
        <v>0</v>
      </c>
      <c r="I1528" s="8">
        <v>167.39</v>
      </c>
      <c r="J1528" s="3">
        <v>45875</v>
      </c>
      <c r="K1528" s="14">
        <v>43</v>
      </c>
      <c r="L1528" s="17">
        <v>1.8</v>
      </c>
      <c r="M1528" s="2" t="b">
        <v>0</v>
      </c>
      <c r="N1528" s="2"/>
      <c r="O1528" s="2" t="str">
        <f>IF(Table1[[#This Row],[is_returned]]=TRUE,IF(Table1[[#This Row],[return_reason]]="","Error","OK"),"OK")</f>
        <v>OK</v>
      </c>
      <c r="P1528" s="8">
        <f>Table1[[#This Row],[original_price]]*Table1[[#This Row],[markdown_percentage]]/100</f>
        <v>0</v>
      </c>
      <c r="Q152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528" s="25">
        <f>Table1[[#This Row],[current_price]]*Table1[[#This Row],[stock_quantity]]</f>
        <v>7197.7699999999995</v>
      </c>
    </row>
    <row r="1529" spans="1:18" x14ac:dyDescent="0.25">
      <c r="A1529" s="2" t="s">
        <v>1582</v>
      </c>
      <c r="B1529" s="2" t="s">
        <v>27</v>
      </c>
      <c r="C1529" s="2" t="s">
        <v>22</v>
      </c>
      <c r="D1529" s="2" t="s">
        <v>23</v>
      </c>
      <c r="E1529" s="2"/>
      <c r="F1529" s="2" t="s">
        <v>19</v>
      </c>
      <c r="G1529" s="8">
        <v>49.89</v>
      </c>
      <c r="H1529" s="11">
        <v>0</v>
      </c>
      <c r="I1529" s="8">
        <v>49.89</v>
      </c>
      <c r="J1529" s="3">
        <v>45875</v>
      </c>
      <c r="K1529" s="14">
        <v>32</v>
      </c>
      <c r="L1529" s="17">
        <v>2.4</v>
      </c>
      <c r="M1529" s="2" t="b">
        <v>0</v>
      </c>
      <c r="N1529" s="2"/>
      <c r="O1529" s="2" t="str">
        <f>IF(Table1[[#This Row],[is_returned]]=TRUE,IF(Table1[[#This Row],[return_reason]]="","Error","OK"),"OK")</f>
        <v>OK</v>
      </c>
      <c r="P1529" s="8">
        <f>Table1[[#This Row],[original_price]]*Table1[[#This Row],[markdown_percentage]]/100</f>
        <v>0</v>
      </c>
      <c r="Q152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529" s="25">
        <f>Table1[[#This Row],[current_price]]*Table1[[#This Row],[stock_quantity]]</f>
        <v>1596.48</v>
      </c>
    </row>
    <row r="1530" spans="1:18" x14ac:dyDescent="0.25">
      <c r="A1530" s="2" t="s">
        <v>1583</v>
      </c>
      <c r="B1530" s="2" t="s">
        <v>15</v>
      </c>
      <c r="C1530" s="2" t="s">
        <v>32</v>
      </c>
      <c r="D1530" s="2" t="s">
        <v>34</v>
      </c>
      <c r="E1530" s="2" t="s">
        <v>39</v>
      </c>
      <c r="F1530" s="2" t="s">
        <v>35</v>
      </c>
      <c r="G1530" s="8">
        <v>218.06</v>
      </c>
      <c r="H1530" s="11">
        <v>0</v>
      </c>
      <c r="I1530" s="8">
        <v>218.06</v>
      </c>
      <c r="J1530" s="3">
        <v>45875</v>
      </c>
      <c r="K1530" s="14">
        <v>32</v>
      </c>
      <c r="L1530" s="17">
        <v>4</v>
      </c>
      <c r="M1530" s="2" t="b">
        <v>0</v>
      </c>
      <c r="N1530" s="2"/>
      <c r="O1530" s="2" t="str">
        <f>IF(Table1[[#This Row],[is_returned]]=TRUE,IF(Table1[[#This Row],[return_reason]]="","Error","OK"),"OK")</f>
        <v>OK</v>
      </c>
      <c r="P1530" s="8">
        <f>Table1[[#This Row],[original_price]]*Table1[[#This Row],[markdown_percentage]]/100</f>
        <v>0</v>
      </c>
      <c r="Q153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530" s="25">
        <f>Table1[[#This Row],[current_price]]*Table1[[#This Row],[stock_quantity]]</f>
        <v>6977.92</v>
      </c>
    </row>
    <row r="1531" spans="1:18" x14ac:dyDescent="0.25">
      <c r="A1531" s="2" t="s">
        <v>1584</v>
      </c>
      <c r="B1531" s="2" t="s">
        <v>38</v>
      </c>
      <c r="C1531" s="2" t="s">
        <v>61</v>
      </c>
      <c r="D1531" s="2" t="s">
        <v>62</v>
      </c>
      <c r="E1531" s="2" t="s">
        <v>55</v>
      </c>
      <c r="F1531" s="2" t="s">
        <v>35</v>
      </c>
      <c r="G1531" s="8">
        <v>66.64</v>
      </c>
      <c r="H1531" s="11">
        <v>21.8</v>
      </c>
      <c r="I1531" s="8">
        <v>52.11</v>
      </c>
      <c r="J1531" s="3">
        <v>45875</v>
      </c>
      <c r="K1531" s="14">
        <v>25</v>
      </c>
      <c r="L1531" s="17">
        <v>3.5</v>
      </c>
      <c r="M1531" s="2" t="b">
        <v>1</v>
      </c>
      <c r="N1531" s="2" t="s">
        <v>115</v>
      </c>
      <c r="O1531" s="2" t="str">
        <f>IF(Table1[[#This Row],[is_returned]]=TRUE,IF(Table1[[#This Row],[return_reason]]="","Error","OK"),"OK")</f>
        <v>OK</v>
      </c>
      <c r="P1531" s="8">
        <f>Table1[[#This Row],[original_price]]*Table1[[#This Row],[markdown_percentage]]/100</f>
        <v>14.527519999999999</v>
      </c>
      <c r="Q153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531" s="25">
        <f>Table1[[#This Row],[current_price]]*Table1[[#This Row],[stock_quantity]]</f>
        <v>1302.75</v>
      </c>
    </row>
    <row r="1532" spans="1:18" x14ac:dyDescent="0.25">
      <c r="A1532" s="2" t="s">
        <v>1585</v>
      </c>
      <c r="B1532" s="2" t="s">
        <v>15</v>
      </c>
      <c r="C1532" s="2" t="s">
        <v>53</v>
      </c>
      <c r="D1532" s="2" t="s">
        <v>34</v>
      </c>
      <c r="E1532" s="2" t="s">
        <v>39</v>
      </c>
      <c r="F1532" s="2" t="s">
        <v>40</v>
      </c>
      <c r="G1532" s="8">
        <v>124.69</v>
      </c>
      <c r="H1532" s="11">
        <v>40.9</v>
      </c>
      <c r="I1532" s="8">
        <v>73.69</v>
      </c>
      <c r="J1532" s="3">
        <v>45875</v>
      </c>
      <c r="K1532" s="14">
        <v>9</v>
      </c>
      <c r="L1532" s="17">
        <v>4.0999999999999996</v>
      </c>
      <c r="M1532" s="2" t="b">
        <v>0</v>
      </c>
      <c r="N1532" s="2"/>
      <c r="O1532" s="2" t="str">
        <f>IF(Table1[[#This Row],[is_returned]]=TRUE,IF(Table1[[#This Row],[return_reason]]="","Error","OK"),"OK")</f>
        <v>OK</v>
      </c>
      <c r="P1532" s="8">
        <f>Table1[[#This Row],[original_price]]*Table1[[#This Row],[markdown_percentage]]/100</f>
        <v>50.99821</v>
      </c>
      <c r="Q153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532" s="25">
        <f>Table1[[#This Row],[current_price]]*Table1[[#This Row],[stock_quantity]]</f>
        <v>663.21</v>
      </c>
    </row>
    <row r="1533" spans="1:18" x14ac:dyDescent="0.25">
      <c r="A1533" s="2" t="s">
        <v>1586</v>
      </c>
      <c r="B1533" s="2" t="s">
        <v>21</v>
      </c>
      <c r="C1533" s="2" t="s">
        <v>43</v>
      </c>
      <c r="D1533" s="2" t="s">
        <v>62</v>
      </c>
      <c r="E1533" s="2" t="s">
        <v>39</v>
      </c>
      <c r="F1533" s="2" t="s">
        <v>25</v>
      </c>
      <c r="G1533" s="8">
        <v>28.24</v>
      </c>
      <c r="H1533" s="11">
        <v>48.2</v>
      </c>
      <c r="I1533" s="8">
        <v>14.63</v>
      </c>
      <c r="J1533" s="3">
        <v>45875</v>
      </c>
      <c r="K1533" s="14">
        <v>20</v>
      </c>
      <c r="L1533" s="17">
        <v>4.5</v>
      </c>
      <c r="M1533" s="2" t="b">
        <v>0</v>
      </c>
      <c r="N1533" s="2"/>
      <c r="O1533" s="2" t="str">
        <f>IF(Table1[[#This Row],[is_returned]]=TRUE,IF(Table1[[#This Row],[return_reason]]="","Error","OK"),"OK")</f>
        <v>OK</v>
      </c>
      <c r="P1533" s="8">
        <f>Table1[[#This Row],[original_price]]*Table1[[#This Row],[markdown_percentage]]/100</f>
        <v>13.61168</v>
      </c>
      <c r="Q153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533" s="25">
        <f>Table1[[#This Row],[current_price]]*Table1[[#This Row],[stock_quantity]]</f>
        <v>292.60000000000002</v>
      </c>
    </row>
    <row r="1534" spans="1:18" x14ac:dyDescent="0.25">
      <c r="A1534" s="2" t="s">
        <v>1587</v>
      </c>
      <c r="B1534" s="2" t="s">
        <v>27</v>
      </c>
      <c r="C1534" s="2" t="s">
        <v>16</v>
      </c>
      <c r="D1534" s="2" t="s">
        <v>62</v>
      </c>
      <c r="E1534" s="2"/>
      <c r="F1534" s="2" t="s">
        <v>66</v>
      </c>
      <c r="G1534" s="8">
        <v>76.39</v>
      </c>
      <c r="H1534" s="11">
        <v>53.9</v>
      </c>
      <c r="I1534" s="8">
        <v>35.22</v>
      </c>
      <c r="J1534" s="3">
        <v>45875</v>
      </c>
      <c r="K1534" s="14">
        <v>15</v>
      </c>
      <c r="L1534" s="17">
        <v>1.5</v>
      </c>
      <c r="M1534" s="2" t="b">
        <v>0</v>
      </c>
      <c r="N1534" s="2"/>
      <c r="O1534" s="2" t="str">
        <f>IF(Table1[[#This Row],[is_returned]]=TRUE,IF(Table1[[#This Row],[return_reason]]="","Error","OK"),"OK")</f>
        <v>OK</v>
      </c>
      <c r="P1534" s="8">
        <f>Table1[[#This Row],[original_price]]*Table1[[#This Row],[markdown_percentage]]/100</f>
        <v>41.174210000000002</v>
      </c>
      <c r="Q153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534" s="25">
        <f>Table1[[#This Row],[current_price]]*Table1[[#This Row],[stock_quantity]]</f>
        <v>528.29999999999995</v>
      </c>
    </row>
    <row r="1535" spans="1:18" x14ac:dyDescent="0.25">
      <c r="A1535" s="2" t="s">
        <v>1588</v>
      </c>
      <c r="B1535" s="2" t="s">
        <v>38</v>
      </c>
      <c r="C1535" s="2" t="s">
        <v>16</v>
      </c>
      <c r="D1535" s="2" t="s">
        <v>23</v>
      </c>
      <c r="E1535" s="2" t="s">
        <v>58</v>
      </c>
      <c r="F1535" s="2" t="s">
        <v>44</v>
      </c>
      <c r="G1535" s="8">
        <v>96.82</v>
      </c>
      <c r="H1535" s="11">
        <v>0</v>
      </c>
      <c r="I1535" s="8">
        <v>96.82</v>
      </c>
      <c r="J1535" s="3">
        <v>45875</v>
      </c>
      <c r="K1535" s="14">
        <v>0</v>
      </c>
      <c r="L1535" s="17">
        <v>1.1000000000000001</v>
      </c>
      <c r="M1535" s="2" t="b">
        <v>0</v>
      </c>
      <c r="N1535" s="2"/>
      <c r="O1535" s="2" t="str">
        <f>IF(Table1[[#This Row],[is_returned]]=TRUE,IF(Table1[[#This Row],[return_reason]]="","Error","OK"),"OK")</f>
        <v>OK</v>
      </c>
      <c r="P1535" s="8">
        <f>Table1[[#This Row],[original_price]]*Table1[[#This Row],[markdown_percentage]]/100</f>
        <v>0</v>
      </c>
      <c r="Q153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535" s="25">
        <f>Table1[[#This Row],[current_price]]*Table1[[#This Row],[stock_quantity]]</f>
        <v>0</v>
      </c>
    </row>
    <row r="1536" spans="1:18" x14ac:dyDescent="0.25">
      <c r="A1536" s="2" t="s">
        <v>1589</v>
      </c>
      <c r="B1536" s="2" t="s">
        <v>30</v>
      </c>
      <c r="C1536" s="2" t="s">
        <v>32</v>
      </c>
      <c r="D1536" s="2" t="s">
        <v>34</v>
      </c>
      <c r="E1536" s="2" t="s">
        <v>55</v>
      </c>
      <c r="F1536" s="2" t="s">
        <v>64</v>
      </c>
      <c r="G1536" s="8">
        <v>159.25</v>
      </c>
      <c r="H1536" s="11">
        <v>28.2</v>
      </c>
      <c r="I1536" s="8">
        <v>114.34</v>
      </c>
      <c r="J1536" s="3">
        <v>45875</v>
      </c>
      <c r="K1536" s="14">
        <v>1</v>
      </c>
      <c r="L1536" s="17"/>
      <c r="M1536" s="2" t="b">
        <v>1</v>
      </c>
      <c r="N1536" s="2" t="s">
        <v>125</v>
      </c>
      <c r="O1536" s="2" t="str">
        <f>IF(Table1[[#This Row],[is_returned]]=TRUE,IF(Table1[[#This Row],[return_reason]]="","Error","OK"),"OK")</f>
        <v>OK</v>
      </c>
      <c r="P1536" s="8">
        <f>Table1[[#This Row],[original_price]]*Table1[[#This Row],[markdown_percentage]]/100</f>
        <v>44.908499999999997</v>
      </c>
      <c r="Q153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536" s="25">
        <f>Table1[[#This Row],[current_price]]*Table1[[#This Row],[stock_quantity]]</f>
        <v>114.34</v>
      </c>
    </row>
    <row r="1537" spans="1:18" x14ac:dyDescent="0.25">
      <c r="A1537" s="2" t="s">
        <v>1590</v>
      </c>
      <c r="B1537" s="2" t="s">
        <v>42</v>
      </c>
      <c r="C1537" s="2" t="s">
        <v>16</v>
      </c>
      <c r="D1537" s="2" t="s">
        <v>62</v>
      </c>
      <c r="E1537" s="2" t="s">
        <v>49</v>
      </c>
      <c r="F1537" s="2" t="s">
        <v>64</v>
      </c>
      <c r="G1537" s="8">
        <v>171.93</v>
      </c>
      <c r="H1537" s="11">
        <v>52.3</v>
      </c>
      <c r="I1537" s="8">
        <v>82.01</v>
      </c>
      <c r="J1537" s="3">
        <v>45875</v>
      </c>
      <c r="K1537" s="14">
        <v>28</v>
      </c>
      <c r="L1537" s="17">
        <v>2.2000000000000002</v>
      </c>
      <c r="M1537" s="2" t="b">
        <v>0</v>
      </c>
      <c r="N1537" s="2"/>
      <c r="O1537" s="2" t="str">
        <f>IF(Table1[[#This Row],[is_returned]]=TRUE,IF(Table1[[#This Row],[return_reason]]="","Error","OK"),"OK")</f>
        <v>OK</v>
      </c>
      <c r="P1537" s="8">
        <f>Table1[[#This Row],[original_price]]*Table1[[#This Row],[markdown_percentage]]/100</f>
        <v>89.919390000000007</v>
      </c>
      <c r="Q153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537" s="25">
        <f>Table1[[#This Row],[current_price]]*Table1[[#This Row],[stock_quantity]]</f>
        <v>2296.2800000000002</v>
      </c>
    </row>
    <row r="1538" spans="1:18" x14ac:dyDescent="0.25">
      <c r="A1538" s="2" t="s">
        <v>1591</v>
      </c>
      <c r="B1538" s="2" t="s">
        <v>21</v>
      </c>
      <c r="C1538" s="2" t="s">
        <v>16</v>
      </c>
      <c r="D1538" s="2" t="s">
        <v>62</v>
      </c>
      <c r="E1538" s="2" t="s">
        <v>55</v>
      </c>
      <c r="F1538" s="2" t="s">
        <v>70</v>
      </c>
      <c r="G1538" s="8">
        <v>85.25</v>
      </c>
      <c r="H1538" s="11">
        <v>0</v>
      </c>
      <c r="I1538" s="8">
        <v>85.25</v>
      </c>
      <c r="J1538" s="3">
        <v>45875</v>
      </c>
      <c r="K1538" s="14">
        <v>11</v>
      </c>
      <c r="L1538" s="17"/>
      <c r="M1538" s="2" t="b">
        <v>0</v>
      </c>
      <c r="N1538" s="2"/>
      <c r="O1538" s="2" t="str">
        <f>IF(Table1[[#This Row],[is_returned]]=TRUE,IF(Table1[[#This Row],[return_reason]]="","Error","OK"),"OK")</f>
        <v>OK</v>
      </c>
      <c r="P1538" s="8">
        <f>Table1[[#This Row],[original_price]]*Table1[[#This Row],[markdown_percentage]]/100</f>
        <v>0</v>
      </c>
      <c r="Q153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538" s="25">
        <f>Table1[[#This Row],[current_price]]*Table1[[#This Row],[stock_quantity]]</f>
        <v>937.75</v>
      </c>
    </row>
    <row r="1539" spans="1:18" x14ac:dyDescent="0.25">
      <c r="A1539" s="2" t="s">
        <v>1592</v>
      </c>
      <c r="B1539" s="2" t="s">
        <v>21</v>
      </c>
      <c r="C1539" s="2" t="s">
        <v>32</v>
      </c>
      <c r="D1539" s="2" t="s">
        <v>17</v>
      </c>
      <c r="E1539" s="2" t="s">
        <v>49</v>
      </c>
      <c r="F1539" s="2" t="s">
        <v>25</v>
      </c>
      <c r="G1539" s="8">
        <v>70.48</v>
      </c>
      <c r="H1539" s="11">
        <v>0</v>
      </c>
      <c r="I1539" s="8">
        <v>70.48</v>
      </c>
      <c r="J1539" s="3">
        <v>45623</v>
      </c>
      <c r="K1539" s="14">
        <v>22</v>
      </c>
      <c r="L1539" s="17">
        <v>1.2</v>
      </c>
      <c r="M1539" s="2" t="b">
        <v>0</v>
      </c>
      <c r="N1539" s="2"/>
      <c r="O1539" s="2" t="str">
        <f>IF(Table1[[#This Row],[is_returned]]=TRUE,IF(Table1[[#This Row],[return_reason]]="","Error","OK"),"OK")</f>
        <v>OK</v>
      </c>
      <c r="P1539" s="8">
        <f>Table1[[#This Row],[original_price]]*Table1[[#This Row],[markdown_percentage]]/100</f>
        <v>0</v>
      </c>
      <c r="Q153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539" s="25">
        <f>Table1[[#This Row],[current_price]]*Table1[[#This Row],[stock_quantity]]</f>
        <v>1550.5600000000002</v>
      </c>
    </row>
    <row r="1540" spans="1:18" x14ac:dyDescent="0.25">
      <c r="A1540" s="2" t="s">
        <v>1593</v>
      </c>
      <c r="B1540" s="2" t="s">
        <v>15</v>
      </c>
      <c r="C1540" s="2" t="s">
        <v>32</v>
      </c>
      <c r="D1540" s="2" t="s">
        <v>17</v>
      </c>
      <c r="E1540" s="2" t="s">
        <v>39</v>
      </c>
      <c r="F1540" s="2" t="s">
        <v>70</v>
      </c>
      <c r="G1540" s="8">
        <v>203.02</v>
      </c>
      <c r="H1540" s="11">
        <v>0</v>
      </c>
      <c r="I1540" s="8">
        <v>203.02</v>
      </c>
      <c r="J1540" s="3">
        <v>45794</v>
      </c>
      <c r="K1540" s="14">
        <v>23</v>
      </c>
      <c r="L1540" s="17">
        <v>3.5</v>
      </c>
      <c r="M1540" s="2" t="b">
        <v>1</v>
      </c>
      <c r="N1540" s="2" t="s">
        <v>83</v>
      </c>
      <c r="O1540" s="2" t="str">
        <f>IF(Table1[[#This Row],[is_returned]]=TRUE,IF(Table1[[#This Row],[return_reason]]="","Error","OK"),"OK")</f>
        <v>OK</v>
      </c>
      <c r="P1540" s="8">
        <f>Table1[[#This Row],[original_price]]*Table1[[#This Row],[markdown_percentage]]/100</f>
        <v>0</v>
      </c>
      <c r="Q154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540" s="25">
        <f>Table1[[#This Row],[current_price]]*Table1[[#This Row],[stock_quantity]]</f>
        <v>4669.46</v>
      </c>
    </row>
    <row r="1541" spans="1:18" x14ac:dyDescent="0.25">
      <c r="A1541" s="2" t="s">
        <v>1594</v>
      </c>
      <c r="B1541" s="2" t="s">
        <v>42</v>
      </c>
      <c r="C1541" s="2" t="s">
        <v>53</v>
      </c>
      <c r="D1541" s="2" t="s">
        <v>34</v>
      </c>
      <c r="E1541" s="2" t="s">
        <v>49</v>
      </c>
      <c r="F1541" s="2" t="s">
        <v>25</v>
      </c>
      <c r="G1541" s="8">
        <v>115.39</v>
      </c>
      <c r="H1541" s="11">
        <v>11.2</v>
      </c>
      <c r="I1541" s="8">
        <v>102.47</v>
      </c>
      <c r="J1541" s="3">
        <v>45875</v>
      </c>
      <c r="K1541" s="14">
        <v>4</v>
      </c>
      <c r="L1541" s="17">
        <v>3.8</v>
      </c>
      <c r="M1541" s="2" t="b">
        <v>0</v>
      </c>
      <c r="N1541" s="2"/>
      <c r="O1541" s="2" t="str">
        <f>IF(Table1[[#This Row],[is_returned]]=TRUE,IF(Table1[[#This Row],[return_reason]]="","Error","OK"),"OK")</f>
        <v>OK</v>
      </c>
      <c r="P1541" s="8">
        <f>Table1[[#This Row],[original_price]]*Table1[[#This Row],[markdown_percentage]]/100</f>
        <v>12.923679999999999</v>
      </c>
      <c r="Q154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541" s="25">
        <f>Table1[[#This Row],[current_price]]*Table1[[#This Row],[stock_quantity]]</f>
        <v>409.88</v>
      </c>
    </row>
    <row r="1542" spans="1:18" x14ac:dyDescent="0.25">
      <c r="A1542" s="2" t="s">
        <v>1595</v>
      </c>
      <c r="B1542" s="2" t="s">
        <v>27</v>
      </c>
      <c r="C1542" s="2" t="s">
        <v>43</v>
      </c>
      <c r="D1542" s="2" t="s">
        <v>17</v>
      </c>
      <c r="E1542" s="2"/>
      <c r="F1542" s="2" t="s">
        <v>25</v>
      </c>
      <c r="G1542" s="8">
        <v>27.91</v>
      </c>
      <c r="H1542" s="11">
        <v>49.8</v>
      </c>
      <c r="I1542" s="8">
        <v>14.01</v>
      </c>
      <c r="J1542" s="3">
        <v>45701</v>
      </c>
      <c r="K1542" s="14">
        <v>12</v>
      </c>
      <c r="L1542" s="17">
        <v>2.6</v>
      </c>
      <c r="M1542" s="2" t="b">
        <v>0</v>
      </c>
      <c r="N1542" s="2"/>
      <c r="O1542" s="2" t="str">
        <f>IF(Table1[[#This Row],[is_returned]]=TRUE,IF(Table1[[#This Row],[return_reason]]="","Error","OK"),"OK")</f>
        <v>OK</v>
      </c>
      <c r="P1542" s="8">
        <f>Table1[[#This Row],[original_price]]*Table1[[#This Row],[markdown_percentage]]/100</f>
        <v>13.899179999999999</v>
      </c>
      <c r="Q154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542" s="25">
        <f>Table1[[#This Row],[current_price]]*Table1[[#This Row],[stock_quantity]]</f>
        <v>168.12</v>
      </c>
    </row>
    <row r="1543" spans="1:18" x14ac:dyDescent="0.25">
      <c r="A1543" s="2" t="s">
        <v>1596</v>
      </c>
      <c r="B1543" s="2" t="s">
        <v>27</v>
      </c>
      <c r="C1543" s="2" t="s">
        <v>48</v>
      </c>
      <c r="D1543" s="2" t="s">
        <v>23</v>
      </c>
      <c r="E1543" s="2"/>
      <c r="F1543" s="2" t="s">
        <v>64</v>
      </c>
      <c r="G1543" s="8">
        <v>79.69</v>
      </c>
      <c r="H1543" s="11">
        <v>0</v>
      </c>
      <c r="I1543" s="8">
        <v>79.69</v>
      </c>
      <c r="J1543" s="3">
        <v>45875</v>
      </c>
      <c r="K1543" s="14">
        <v>44</v>
      </c>
      <c r="L1543" s="17">
        <v>1.6</v>
      </c>
      <c r="M1543" s="2" t="b">
        <v>0</v>
      </c>
      <c r="N1543" s="2"/>
      <c r="O1543" s="2" t="str">
        <f>IF(Table1[[#This Row],[is_returned]]=TRUE,IF(Table1[[#This Row],[return_reason]]="","Error","OK"),"OK")</f>
        <v>OK</v>
      </c>
      <c r="P1543" s="8">
        <f>Table1[[#This Row],[original_price]]*Table1[[#This Row],[markdown_percentage]]/100</f>
        <v>0</v>
      </c>
      <c r="Q154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543" s="25">
        <f>Table1[[#This Row],[current_price]]*Table1[[#This Row],[stock_quantity]]</f>
        <v>3506.3599999999997</v>
      </c>
    </row>
    <row r="1544" spans="1:18" x14ac:dyDescent="0.25">
      <c r="A1544" s="2" t="s">
        <v>1597</v>
      </c>
      <c r="B1544" s="2" t="s">
        <v>38</v>
      </c>
      <c r="C1544" s="2" t="s">
        <v>75</v>
      </c>
      <c r="D1544" s="2" t="s">
        <v>34</v>
      </c>
      <c r="E1544" s="2" t="s">
        <v>39</v>
      </c>
      <c r="F1544" s="2" t="s">
        <v>70</v>
      </c>
      <c r="G1544" s="8">
        <v>47.22</v>
      </c>
      <c r="H1544" s="11">
        <v>0</v>
      </c>
      <c r="I1544" s="8">
        <v>47.22</v>
      </c>
      <c r="J1544" s="3">
        <v>45875</v>
      </c>
      <c r="K1544" s="14">
        <v>19</v>
      </c>
      <c r="L1544" s="17">
        <v>1.9</v>
      </c>
      <c r="M1544" s="2" t="b">
        <v>0</v>
      </c>
      <c r="N1544" s="2"/>
      <c r="O1544" s="2" t="str">
        <f>IF(Table1[[#This Row],[is_returned]]=TRUE,IF(Table1[[#This Row],[return_reason]]="","Error","OK"),"OK")</f>
        <v>OK</v>
      </c>
      <c r="P1544" s="8">
        <f>Table1[[#This Row],[original_price]]*Table1[[#This Row],[markdown_percentage]]/100</f>
        <v>0</v>
      </c>
      <c r="Q154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544" s="25">
        <f>Table1[[#This Row],[current_price]]*Table1[[#This Row],[stock_quantity]]</f>
        <v>897.18</v>
      </c>
    </row>
    <row r="1545" spans="1:18" x14ac:dyDescent="0.25">
      <c r="A1545" s="2" t="s">
        <v>1598</v>
      </c>
      <c r="B1545" s="2" t="s">
        <v>30</v>
      </c>
      <c r="C1545" s="2" t="s">
        <v>48</v>
      </c>
      <c r="D1545" s="2" t="s">
        <v>34</v>
      </c>
      <c r="E1545" s="2"/>
      <c r="F1545" s="2" t="s">
        <v>70</v>
      </c>
      <c r="G1545" s="8">
        <v>172.27</v>
      </c>
      <c r="H1545" s="11">
        <v>14.9</v>
      </c>
      <c r="I1545" s="8">
        <v>146.6</v>
      </c>
      <c r="J1545" s="3">
        <v>45875</v>
      </c>
      <c r="K1545" s="14">
        <v>8</v>
      </c>
      <c r="L1545" s="17">
        <v>3.7</v>
      </c>
      <c r="M1545" s="2" t="b">
        <v>0</v>
      </c>
      <c r="N1545" s="2"/>
      <c r="O1545" s="2" t="str">
        <f>IF(Table1[[#This Row],[is_returned]]=TRUE,IF(Table1[[#This Row],[return_reason]]="","Error","OK"),"OK")</f>
        <v>OK</v>
      </c>
      <c r="P1545" s="8">
        <f>Table1[[#This Row],[original_price]]*Table1[[#This Row],[markdown_percentage]]/100</f>
        <v>25.668230000000005</v>
      </c>
      <c r="Q154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545" s="25">
        <f>Table1[[#This Row],[current_price]]*Table1[[#This Row],[stock_quantity]]</f>
        <v>1172.8</v>
      </c>
    </row>
    <row r="1546" spans="1:18" x14ac:dyDescent="0.25">
      <c r="A1546" s="2" t="s">
        <v>1599</v>
      </c>
      <c r="B1546" s="2" t="s">
        <v>27</v>
      </c>
      <c r="C1546" s="2" t="s">
        <v>16</v>
      </c>
      <c r="D1546" s="2" t="s">
        <v>23</v>
      </c>
      <c r="E1546" s="2"/>
      <c r="F1546" s="2" t="s">
        <v>28</v>
      </c>
      <c r="G1546" s="8">
        <v>27.9</v>
      </c>
      <c r="H1546" s="11">
        <v>0</v>
      </c>
      <c r="I1546" s="8">
        <v>27.9</v>
      </c>
      <c r="J1546" s="3">
        <v>45875</v>
      </c>
      <c r="K1546" s="14">
        <v>27</v>
      </c>
      <c r="L1546" s="17">
        <v>3</v>
      </c>
      <c r="M1546" s="2" t="b">
        <v>1</v>
      </c>
      <c r="N1546" s="2" t="s">
        <v>115</v>
      </c>
      <c r="O1546" s="2" t="str">
        <f>IF(Table1[[#This Row],[is_returned]]=TRUE,IF(Table1[[#This Row],[return_reason]]="","Error","OK"),"OK")</f>
        <v>OK</v>
      </c>
      <c r="P1546" s="8">
        <f>Table1[[#This Row],[original_price]]*Table1[[#This Row],[markdown_percentage]]/100</f>
        <v>0</v>
      </c>
      <c r="Q154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546" s="25">
        <f>Table1[[#This Row],[current_price]]*Table1[[#This Row],[stock_quantity]]</f>
        <v>753.3</v>
      </c>
    </row>
    <row r="1547" spans="1:18" x14ac:dyDescent="0.25">
      <c r="A1547" s="2" t="s">
        <v>1600</v>
      </c>
      <c r="B1547" s="2" t="s">
        <v>42</v>
      </c>
      <c r="C1547" s="2" t="s">
        <v>16</v>
      </c>
      <c r="D1547" s="2" t="s">
        <v>17</v>
      </c>
      <c r="E1547" s="2" t="s">
        <v>39</v>
      </c>
      <c r="F1547" s="2" t="s">
        <v>56</v>
      </c>
      <c r="G1547" s="8">
        <v>139.26</v>
      </c>
      <c r="H1547" s="11">
        <v>0</v>
      </c>
      <c r="I1547" s="8">
        <v>139.26</v>
      </c>
      <c r="J1547" s="3">
        <v>45659</v>
      </c>
      <c r="K1547" s="14">
        <v>32</v>
      </c>
      <c r="L1547" s="17">
        <v>3.4</v>
      </c>
      <c r="M1547" s="2" t="b">
        <v>0</v>
      </c>
      <c r="N1547" s="2"/>
      <c r="O1547" s="2" t="str">
        <f>IF(Table1[[#This Row],[is_returned]]=TRUE,IF(Table1[[#This Row],[return_reason]]="","Error","OK"),"OK")</f>
        <v>OK</v>
      </c>
      <c r="P1547" s="8">
        <f>Table1[[#This Row],[original_price]]*Table1[[#This Row],[markdown_percentage]]/100</f>
        <v>0</v>
      </c>
      <c r="Q154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547" s="25">
        <f>Table1[[#This Row],[current_price]]*Table1[[#This Row],[stock_quantity]]</f>
        <v>4456.32</v>
      </c>
    </row>
    <row r="1548" spans="1:18" x14ac:dyDescent="0.25">
      <c r="A1548" s="2" t="s">
        <v>1601</v>
      </c>
      <c r="B1548" s="2" t="s">
        <v>27</v>
      </c>
      <c r="C1548" s="2" t="s">
        <v>53</v>
      </c>
      <c r="D1548" s="2" t="s">
        <v>62</v>
      </c>
      <c r="E1548" s="2"/>
      <c r="F1548" s="2" t="s">
        <v>40</v>
      </c>
      <c r="G1548" s="8">
        <v>30.47</v>
      </c>
      <c r="H1548" s="11">
        <v>0</v>
      </c>
      <c r="I1548" s="8">
        <v>30.47</v>
      </c>
      <c r="J1548" s="3">
        <v>45875</v>
      </c>
      <c r="K1548" s="14">
        <v>34</v>
      </c>
      <c r="L1548" s="17">
        <v>4.2</v>
      </c>
      <c r="M1548" s="2" t="b">
        <v>0</v>
      </c>
      <c r="N1548" s="2"/>
      <c r="O1548" s="2" t="str">
        <f>IF(Table1[[#This Row],[is_returned]]=TRUE,IF(Table1[[#This Row],[return_reason]]="","Error","OK"),"OK")</f>
        <v>OK</v>
      </c>
      <c r="P1548" s="8">
        <f>Table1[[#This Row],[original_price]]*Table1[[#This Row],[markdown_percentage]]/100</f>
        <v>0</v>
      </c>
      <c r="Q154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548" s="25">
        <f>Table1[[#This Row],[current_price]]*Table1[[#This Row],[stock_quantity]]</f>
        <v>1035.98</v>
      </c>
    </row>
    <row r="1549" spans="1:18" x14ac:dyDescent="0.25">
      <c r="A1549" s="2" t="s">
        <v>1602</v>
      </c>
      <c r="B1549" s="2" t="s">
        <v>15</v>
      </c>
      <c r="C1549" s="2" t="s">
        <v>61</v>
      </c>
      <c r="D1549" s="2" t="s">
        <v>34</v>
      </c>
      <c r="E1549" s="2" t="s">
        <v>58</v>
      </c>
      <c r="F1549" s="2" t="s">
        <v>66</v>
      </c>
      <c r="G1549" s="8">
        <v>141.53</v>
      </c>
      <c r="H1549" s="11">
        <v>39.799999999999997</v>
      </c>
      <c r="I1549" s="8">
        <v>85.2</v>
      </c>
      <c r="J1549" s="3">
        <v>45875</v>
      </c>
      <c r="K1549" s="14">
        <v>47</v>
      </c>
      <c r="L1549" s="17">
        <v>3.5</v>
      </c>
      <c r="M1549" s="2" t="b">
        <v>0</v>
      </c>
      <c r="N1549" s="2"/>
      <c r="O1549" s="2" t="str">
        <f>IF(Table1[[#This Row],[is_returned]]=TRUE,IF(Table1[[#This Row],[return_reason]]="","Error","OK"),"OK")</f>
        <v>OK</v>
      </c>
      <c r="P1549" s="8">
        <f>Table1[[#This Row],[original_price]]*Table1[[#This Row],[markdown_percentage]]/100</f>
        <v>56.328939999999996</v>
      </c>
      <c r="Q154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549" s="25">
        <f>Table1[[#This Row],[current_price]]*Table1[[#This Row],[stock_quantity]]</f>
        <v>4004.4</v>
      </c>
    </row>
    <row r="1550" spans="1:18" x14ac:dyDescent="0.25">
      <c r="A1550" s="2" t="s">
        <v>1603</v>
      </c>
      <c r="B1550" s="2" t="s">
        <v>42</v>
      </c>
      <c r="C1550" s="2" t="s">
        <v>61</v>
      </c>
      <c r="D1550" s="2" t="s">
        <v>17</v>
      </c>
      <c r="E1550" s="2" t="s">
        <v>18</v>
      </c>
      <c r="F1550" s="2" t="s">
        <v>40</v>
      </c>
      <c r="G1550" s="8">
        <v>47.45</v>
      </c>
      <c r="H1550" s="11">
        <v>24.4</v>
      </c>
      <c r="I1550" s="8">
        <v>35.869999999999997</v>
      </c>
      <c r="J1550" s="3">
        <v>45823</v>
      </c>
      <c r="K1550" s="14">
        <v>42</v>
      </c>
      <c r="L1550" s="17">
        <v>2.8</v>
      </c>
      <c r="M1550" s="2" t="b">
        <v>0</v>
      </c>
      <c r="N1550" s="2"/>
      <c r="O1550" s="2" t="str">
        <f>IF(Table1[[#This Row],[is_returned]]=TRUE,IF(Table1[[#This Row],[return_reason]]="","Error","OK"),"OK")</f>
        <v>OK</v>
      </c>
      <c r="P1550" s="8">
        <f>Table1[[#This Row],[original_price]]*Table1[[#This Row],[markdown_percentage]]/100</f>
        <v>11.5778</v>
      </c>
      <c r="Q155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550" s="25">
        <f>Table1[[#This Row],[current_price]]*Table1[[#This Row],[stock_quantity]]</f>
        <v>1506.54</v>
      </c>
    </row>
    <row r="1551" spans="1:18" x14ac:dyDescent="0.25">
      <c r="A1551" s="2" t="s">
        <v>1604</v>
      </c>
      <c r="B1551" s="2" t="s">
        <v>38</v>
      </c>
      <c r="C1551" s="2" t="s">
        <v>61</v>
      </c>
      <c r="D1551" s="2" t="s">
        <v>23</v>
      </c>
      <c r="E1551" s="2" t="s">
        <v>55</v>
      </c>
      <c r="F1551" s="2" t="s">
        <v>64</v>
      </c>
      <c r="G1551" s="8">
        <v>51.39</v>
      </c>
      <c r="H1551" s="11">
        <v>6.3</v>
      </c>
      <c r="I1551" s="8">
        <v>48.15</v>
      </c>
      <c r="J1551" s="3">
        <v>45875</v>
      </c>
      <c r="K1551" s="14">
        <v>46</v>
      </c>
      <c r="L1551" s="17"/>
      <c r="M1551" s="2" t="b">
        <v>0</v>
      </c>
      <c r="N1551" s="2"/>
      <c r="O1551" s="2" t="str">
        <f>IF(Table1[[#This Row],[is_returned]]=TRUE,IF(Table1[[#This Row],[return_reason]]="","Error","OK"),"OK")</f>
        <v>OK</v>
      </c>
      <c r="P1551" s="8">
        <f>Table1[[#This Row],[original_price]]*Table1[[#This Row],[markdown_percentage]]/100</f>
        <v>3.2375699999999998</v>
      </c>
      <c r="Q155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551" s="25">
        <f>Table1[[#This Row],[current_price]]*Table1[[#This Row],[stock_quantity]]</f>
        <v>2214.9</v>
      </c>
    </row>
    <row r="1552" spans="1:18" x14ac:dyDescent="0.25">
      <c r="A1552" s="2" t="s">
        <v>1605</v>
      </c>
      <c r="B1552" s="2" t="s">
        <v>21</v>
      </c>
      <c r="C1552" s="2" t="s">
        <v>61</v>
      </c>
      <c r="D1552" s="2" t="s">
        <v>17</v>
      </c>
      <c r="E1552" s="2"/>
      <c r="F1552" s="2" t="s">
        <v>35</v>
      </c>
      <c r="G1552" s="8">
        <v>74.13</v>
      </c>
      <c r="H1552" s="11">
        <v>0</v>
      </c>
      <c r="I1552" s="8">
        <v>74.13</v>
      </c>
      <c r="J1552" s="3">
        <v>45609</v>
      </c>
      <c r="K1552" s="14">
        <v>23</v>
      </c>
      <c r="L1552" s="17"/>
      <c r="M1552" s="2" t="b">
        <v>0</v>
      </c>
      <c r="N1552" s="2"/>
      <c r="O1552" s="2" t="str">
        <f>IF(Table1[[#This Row],[is_returned]]=TRUE,IF(Table1[[#This Row],[return_reason]]="","Error","OK"),"OK")</f>
        <v>OK</v>
      </c>
      <c r="P1552" s="8">
        <f>Table1[[#This Row],[original_price]]*Table1[[#This Row],[markdown_percentage]]/100</f>
        <v>0</v>
      </c>
      <c r="Q155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552" s="25">
        <f>Table1[[#This Row],[current_price]]*Table1[[#This Row],[stock_quantity]]</f>
        <v>1704.9899999999998</v>
      </c>
    </row>
    <row r="1553" spans="1:18" x14ac:dyDescent="0.25">
      <c r="A1553" s="2" t="s">
        <v>1606</v>
      </c>
      <c r="B1553" s="2" t="s">
        <v>42</v>
      </c>
      <c r="C1553" s="2" t="s">
        <v>16</v>
      </c>
      <c r="D1553" s="2" t="s">
        <v>34</v>
      </c>
      <c r="E1553" s="2" t="s">
        <v>18</v>
      </c>
      <c r="F1553" s="2" t="s">
        <v>66</v>
      </c>
      <c r="G1553" s="8">
        <v>156.13999999999999</v>
      </c>
      <c r="H1553" s="11">
        <v>5</v>
      </c>
      <c r="I1553" s="8">
        <v>148.33000000000001</v>
      </c>
      <c r="J1553" s="3">
        <v>45875</v>
      </c>
      <c r="K1553" s="14">
        <v>39</v>
      </c>
      <c r="L1553" s="17"/>
      <c r="M1553" s="2" t="b">
        <v>0</v>
      </c>
      <c r="N1553" s="2"/>
      <c r="O1553" s="2" t="str">
        <f>IF(Table1[[#This Row],[is_returned]]=TRUE,IF(Table1[[#This Row],[return_reason]]="","Error","OK"),"OK")</f>
        <v>OK</v>
      </c>
      <c r="P1553" s="8">
        <f>Table1[[#This Row],[original_price]]*Table1[[#This Row],[markdown_percentage]]/100</f>
        <v>7.8069999999999995</v>
      </c>
      <c r="Q155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553" s="25">
        <f>Table1[[#This Row],[current_price]]*Table1[[#This Row],[stock_quantity]]</f>
        <v>5784.8700000000008</v>
      </c>
    </row>
    <row r="1554" spans="1:18" x14ac:dyDescent="0.25">
      <c r="A1554" s="2" t="s">
        <v>1607</v>
      </c>
      <c r="B1554" s="2" t="s">
        <v>15</v>
      </c>
      <c r="C1554" s="2" t="s">
        <v>32</v>
      </c>
      <c r="D1554" s="2" t="s">
        <v>62</v>
      </c>
      <c r="E1554" s="2" t="s">
        <v>55</v>
      </c>
      <c r="F1554" s="2" t="s">
        <v>46</v>
      </c>
      <c r="G1554" s="8">
        <v>105.3</v>
      </c>
      <c r="H1554" s="11">
        <v>0</v>
      </c>
      <c r="I1554" s="8">
        <v>105.3</v>
      </c>
      <c r="J1554" s="3">
        <v>45875</v>
      </c>
      <c r="K1554" s="14">
        <v>1</v>
      </c>
      <c r="L1554" s="17">
        <v>3</v>
      </c>
      <c r="M1554" s="2" t="b">
        <v>0</v>
      </c>
      <c r="N1554" s="2"/>
      <c r="O1554" s="2" t="str">
        <f>IF(Table1[[#This Row],[is_returned]]=TRUE,IF(Table1[[#This Row],[return_reason]]="","Error","OK"),"OK")</f>
        <v>OK</v>
      </c>
      <c r="P1554" s="8">
        <f>Table1[[#This Row],[original_price]]*Table1[[#This Row],[markdown_percentage]]/100</f>
        <v>0</v>
      </c>
      <c r="Q155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554" s="25">
        <f>Table1[[#This Row],[current_price]]*Table1[[#This Row],[stock_quantity]]</f>
        <v>105.3</v>
      </c>
    </row>
    <row r="1555" spans="1:18" x14ac:dyDescent="0.25">
      <c r="A1555" s="2" t="s">
        <v>1608</v>
      </c>
      <c r="B1555" s="2" t="s">
        <v>42</v>
      </c>
      <c r="C1555" s="2" t="s">
        <v>48</v>
      </c>
      <c r="D1555" s="2" t="s">
        <v>23</v>
      </c>
      <c r="E1555" s="2" t="s">
        <v>39</v>
      </c>
      <c r="F1555" s="2" t="s">
        <v>64</v>
      </c>
      <c r="G1555" s="8">
        <v>126.76</v>
      </c>
      <c r="H1555" s="11">
        <v>0</v>
      </c>
      <c r="I1555" s="8">
        <v>126.76</v>
      </c>
      <c r="J1555" s="3">
        <v>45875</v>
      </c>
      <c r="K1555" s="14">
        <v>24</v>
      </c>
      <c r="L1555" s="17">
        <v>2.2000000000000002</v>
      </c>
      <c r="M1555" s="2" t="b">
        <v>0</v>
      </c>
      <c r="N1555" s="2"/>
      <c r="O1555" s="2" t="str">
        <f>IF(Table1[[#This Row],[is_returned]]=TRUE,IF(Table1[[#This Row],[return_reason]]="","Error","OK"),"OK")</f>
        <v>OK</v>
      </c>
      <c r="P1555" s="8">
        <f>Table1[[#This Row],[original_price]]*Table1[[#This Row],[markdown_percentage]]/100</f>
        <v>0</v>
      </c>
      <c r="Q155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555" s="25">
        <f>Table1[[#This Row],[current_price]]*Table1[[#This Row],[stock_quantity]]</f>
        <v>3042.2400000000002</v>
      </c>
    </row>
    <row r="1556" spans="1:18" x14ac:dyDescent="0.25">
      <c r="A1556" s="2" t="s">
        <v>1609</v>
      </c>
      <c r="B1556" s="2" t="s">
        <v>21</v>
      </c>
      <c r="C1556" s="2" t="s">
        <v>61</v>
      </c>
      <c r="D1556" s="2" t="s">
        <v>23</v>
      </c>
      <c r="E1556" s="2" t="s">
        <v>24</v>
      </c>
      <c r="F1556" s="2" t="s">
        <v>64</v>
      </c>
      <c r="G1556" s="8">
        <v>35.409999999999997</v>
      </c>
      <c r="H1556" s="11">
        <v>0</v>
      </c>
      <c r="I1556" s="8">
        <v>35.409999999999997</v>
      </c>
      <c r="J1556" s="3">
        <v>45875</v>
      </c>
      <c r="K1556" s="14">
        <v>48</v>
      </c>
      <c r="L1556" s="17">
        <v>4.3</v>
      </c>
      <c r="M1556" s="2" t="b">
        <v>1</v>
      </c>
      <c r="N1556" s="2" t="s">
        <v>78</v>
      </c>
      <c r="O1556" s="2" t="str">
        <f>IF(Table1[[#This Row],[is_returned]]=TRUE,IF(Table1[[#This Row],[return_reason]]="","Error","OK"),"OK")</f>
        <v>OK</v>
      </c>
      <c r="P1556" s="8">
        <f>Table1[[#This Row],[original_price]]*Table1[[#This Row],[markdown_percentage]]/100</f>
        <v>0</v>
      </c>
      <c r="Q155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556" s="25">
        <f>Table1[[#This Row],[current_price]]*Table1[[#This Row],[stock_quantity]]</f>
        <v>1699.6799999999998</v>
      </c>
    </row>
    <row r="1557" spans="1:18" x14ac:dyDescent="0.25">
      <c r="A1557" s="2" t="s">
        <v>1610</v>
      </c>
      <c r="B1557" s="2" t="s">
        <v>15</v>
      </c>
      <c r="C1557" s="2" t="s">
        <v>53</v>
      </c>
      <c r="D1557" s="2" t="s">
        <v>23</v>
      </c>
      <c r="E1557" s="2" t="s">
        <v>58</v>
      </c>
      <c r="F1557" s="2" t="s">
        <v>35</v>
      </c>
      <c r="G1557" s="8">
        <v>80.040000000000006</v>
      </c>
      <c r="H1557" s="11">
        <v>0</v>
      </c>
      <c r="I1557" s="8">
        <v>80.040000000000006</v>
      </c>
      <c r="J1557" s="3">
        <v>45875</v>
      </c>
      <c r="K1557" s="14">
        <v>13</v>
      </c>
      <c r="L1557" s="17">
        <v>2.2999999999999998</v>
      </c>
      <c r="M1557" s="2" t="b">
        <v>0</v>
      </c>
      <c r="N1557" s="2"/>
      <c r="O1557" s="2" t="str">
        <f>IF(Table1[[#This Row],[is_returned]]=TRUE,IF(Table1[[#This Row],[return_reason]]="","Error","OK"),"OK")</f>
        <v>OK</v>
      </c>
      <c r="P1557" s="8">
        <f>Table1[[#This Row],[original_price]]*Table1[[#This Row],[markdown_percentage]]/100</f>
        <v>0</v>
      </c>
      <c r="Q155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557" s="25">
        <f>Table1[[#This Row],[current_price]]*Table1[[#This Row],[stock_quantity]]</f>
        <v>1040.52</v>
      </c>
    </row>
    <row r="1558" spans="1:18" x14ac:dyDescent="0.25">
      <c r="A1558" s="2" t="s">
        <v>1611</v>
      </c>
      <c r="B1558" s="2" t="s">
        <v>38</v>
      </c>
      <c r="C1558" s="2" t="s">
        <v>61</v>
      </c>
      <c r="D1558" s="2" t="s">
        <v>34</v>
      </c>
      <c r="E1558" s="2"/>
      <c r="F1558" s="2" t="s">
        <v>64</v>
      </c>
      <c r="G1558" s="8">
        <v>68.16</v>
      </c>
      <c r="H1558" s="11">
        <v>0</v>
      </c>
      <c r="I1558" s="8">
        <v>68.16</v>
      </c>
      <c r="J1558" s="3">
        <v>45875</v>
      </c>
      <c r="K1558" s="14">
        <v>34</v>
      </c>
      <c r="L1558" s="17">
        <v>2.7</v>
      </c>
      <c r="M1558" s="2" t="b">
        <v>0</v>
      </c>
      <c r="N1558" s="2"/>
      <c r="O1558" s="2" t="str">
        <f>IF(Table1[[#This Row],[is_returned]]=TRUE,IF(Table1[[#This Row],[return_reason]]="","Error","OK"),"OK")</f>
        <v>OK</v>
      </c>
      <c r="P1558" s="8">
        <f>Table1[[#This Row],[original_price]]*Table1[[#This Row],[markdown_percentage]]/100</f>
        <v>0</v>
      </c>
      <c r="Q155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558" s="25">
        <f>Table1[[#This Row],[current_price]]*Table1[[#This Row],[stock_quantity]]</f>
        <v>2317.44</v>
      </c>
    </row>
    <row r="1559" spans="1:18" x14ac:dyDescent="0.25">
      <c r="A1559" s="2" t="s">
        <v>1612</v>
      </c>
      <c r="B1559" s="2" t="s">
        <v>42</v>
      </c>
      <c r="C1559" s="2" t="s">
        <v>53</v>
      </c>
      <c r="D1559" s="2" t="s">
        <v>34</v>
      </c>
      <c r="E1559" s="2" t="s">
        <v>18</v>
      </c>
      <c r="F1559" s="2" t="s">
        <v>35</v>
      </c>
      <c r="G1559" s="8">
        <v>60.87</v>
      </c>
      <c r="H1559" s="11">
        <v>0</v>
      </c>
      <c r="I1559" s="8">
        <v>60.87</v>
      </c>
      <c r="J1559" s="3">
        <v>45875</v>
      </c>
      <c r="K1559" s="14">
        <v>35</v>
      </c>
      <c r="L1559" s="17"/>
      <c r="M1559" s="2" t="b">
        <v>0</v>
      </c>
      <c r="N1559" s="2"/>
      <c r="O1559" s="2" t="str">
        <f>IF(Table1[[#This Row],[is_returned]]=TRUE,IF(Table1[[#This Row],[return_reason]]="","Error","OK"),"OK")</f>
        <v>OK</v>
      </c>
      <c r="P1559" s="8">
        <f>Table1[[#This Row],[original_price]]*Table1[[#This Row],[markdown_percentage]]/100</f>
        <v>0</v>
      </c>
      <c r="Q155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559" s="25">
        <f>Table1[[#This Row],[current_price]]*Table1[[#This Row],[stock_quantity]]</f>
        <v>2130.4499999999998</v>
      </c>
    </row>
    <row r="1560" spans="1:18" x14ac:dyDescent="0.25">
      <c r="A1560" s="2" t="s">
        <v>1613</v>
      </c>
      <c r="B1560" s="2" t="s">
        <v>21</v>
      </c>
      <c r="C1560" s="2" t="s">
        <v>48</v>
      </c>
      <c r="D1560" s="2" t="s">
        <v>17</v>
      </c>
      <c r="E1560" s="2" t="s">
        <v>24</v>
      </c>
      <c r="F1560" s="2" t="s">
        <v>70</v>
      </c>
      <c r="G1560" s="8">
        <v>59.8</v>
      </c>
      <c r="H1560" s="11">
        <v>0</v>
      </c>
      <c r="I1560" s="8">
        <v>59.8</v>
      </c>
      <c r="J1560" s="3">
        <v>45753</v>
      </c>
      <c r="K1560" s="14">
        <v>50</v>
      </c>
      <c r="L1560" s="17">
        <v>2.2000000000000002</v>
      </c>
      <c r="M1560" s="2" t="b">
        <v>1</v>
      </c>
      <c r="N1560" s="2" t="s">
        <v>73</v>
      </c>
      <c r="O1560" s="2" t="str">
        <f>IF(Table1[[#This Row],[is_returned]]=TRUE,IF(Table1[[#This Row],[return_reason]]="","Error","OK"),"OK")</f>
        <v>OK</v>
      </c>
      <c r="P1560" s="8">
        <f>Table1[[#This Row],[original_price]]*Table1[[#This Row],[markdown_percentage]]/100</f>
        <v>0</v>
      </c>
      <c r="Q156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560" s="25">
        <f>Table1[[#This Row],[current_price]]*Table1[[#This Row],[stock_quantity]]</f>
        <v>2990</v>
      </c>
    </row>
    <row r="1561" spans="1:18" x14ac:dyDescent="0.25">
      <c r="A1561" s="2" t="s">
        <v>1614</v>
      </c>
      <c r="B1561" s="2" t="s">
        <v>27</v>
      </c>
      <c r="C1561" s="2" t="s">
        <v>61</v>
      </c>
      <c r="D1561" s="2" t="s">
        <v>34</v>
      </c>
      <c r="E1561" s="2"/>
      <c r="F1561" s="2" t="s">
        <v>28</v>
      </c>
      <c r="G1561" s="8">
        <v>75.83</v>
      </c>
      <c r="H1561" s="11">
        <v>0</v>
      </c>
      <c r="I1561" s="8">
        <v>75.83</v>
      </c>
      <c r="J1561" s="3">
        <v>45875</v>
      </c>
      <c r="K1561" s="14">
        <v>8</v>
      </c>
      <c r="L1561" s="17">
        <v>2</v>
      </c>
      <c r="M1561" s="2" t="b">
        <v>0</v>
      </c>
      <c r="N1561" s="2"/>
      <c r="O1561" s="2" t="str">
        <f>IF(Table1[[#This Row],[is_returned]]=TRUE,IF(Table1[[#This Row],[return_reason]]="","Error","OK"),"OK")</f>
        <v>OK</v>
      </c>
      <c r="P1561" s="8">
        <f>Table1[[#This Row],[original_price]]*Table1[[#This Row],[markdown_percentage]]/100</f>
        <v>0</v>
      </c>
      <c r="Q156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561" s="25">
        <f>Table1[[#This Row],[current_price]]*Table1[[#This Row],[stock_quantity]]</f>
        <v>606.64</v>
      </c>
    </row>
    <row r="1562" spans="1:18" x14ac:dyDescent="0.25">
      <c r="A1562" s="2" t="s">
        <v>1615</v>
      </c>
      <c r="B1562" s="2" t="s">
        <v>21</v>
      </c>
      <c r="C1562" s="2" t="s">
        <v>48</v>
      </c>
      <c r="D1562" s="2" t="s">
        <v>62</v>
      </c>
      <c r="E1562" s="2" t="s">
        <v>24</v>
      </c>
      <c r="F1562" s="2" t="s">
        <v>56</v>
      </c>
      <c r="G1562" s="8">
        <v>55.97</v>
      </c>
      <c r="H1562" s="11">
        <v>0</v>
      </c>
      <c r="I1562" s="8">
        <v>55.97</v>
      </c>
      <c r="J1562" s="3">
        <v>45875</v>
      </c>
      <c r="K1562" s="14">
        <v>30</v>
      </c>
      <c r="L1562" s="17"/>
      <c r="M1562" s="2" t="b">
        <v>0</v>
      </c>
      <c r="N1562" s="2"/>
      <c r="O1562" s="2" t="str">
        <f>IF(Table1[[#This Row],[is_returned]]=TRUE,IF(Table1[[#This Row],[return_reason]]="","Error","OK"),"OK")</f>
        <v>OK</v>
      </c>
      <c r="P1562" s="8">
        <f>Table1[[#This Row],[original_price]]*Table1[[#This Row],[markdown_percentage]]/100</f>
        <v>0</v>
      </c>
      <c r="Q156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562" s="25">
        <f>Table1[[#This Row],[current_price]]*Table1[[#This Row],[stock_quantity]]</f>
        <v>1679.1</v>
      </c>
    </row>
    <row r="1563" spans="1:18" x14ac:dyDescent="0.25">
      <c r="A1563" s="2" t="s">
        <v>1616</v>
      </c>
      <c r="B1563" s="2" t="s">
        <v>30</v>
      </c>
      <c r="C1563" s="2" t="s">
        <v>61</v>
      </c>
      <c r="D1563" s="2" t="s">
        <v>23</v>
      </c>
      <c r="E1563" s="2" t="s">
        <v>18</v>
      </c>
      <c r="F1563" s="2" t="s">
        <v>56</v>
      </c>
      <c r="G1563" s="8">
        <v>190.52</v>
      </c>
      <c r="H1563" s="11">
        <v>45.2</v>
      </c>
      <c r="I1563" s="8">
        <v>104.4</v>
      </c>
      <c r="J1563" s="3">
        <v>45875</v>
      </c>
      <c r="K1563" s="14">
        <v>2</v>
      </c>
      <c r="L1563" s="17">
        <v>1.1000000000000001</v>
      </c>
      <c r="M1563" s="2" t="b">
        <v>0</v>
      </c>
      <c r="N1563" s="2"/>
      <c r="O1563" s="2" t="str">
        <f>IF(Table1[[#This Row],[is_returned]]=TRUE,IF(Table1[[#This Row],[return_reason]]="","Error","OK"),"OK")</f>
        <v>OK</v>
      </c>
      <c r="P1563" s="8">
        <f>Table1[[#This Row],[original_price]]*Table1[[#This Row],[markdown_percentage]]/100</f>
        <v>86.115040000000008</v>
      </c>
      <c r="Q156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563" s="25">
        <f>Table1[[#This Row],[current_price]]*Table1[[#This Row],[stock_quantity]]</f>
        <v>208.8</v>
      </c>
    </row>
    <row r="1564" spans="1:18" x14ac:dyDescent="0.25">
      <c r="A1564" s="2" t="s">
        <v>1617</v>
      </c>
      <c r="B1564" s="2" t="s">
        <v>38</v>
      </c>
      <c r="C1564" s="2" t="s">
        <v>16</v>
      </c>
      <c r="D1564" s="2" t="s">
        <v>62</v>
      </c>
      <c r="E1564" s="2" t="s">
        <v>58</v>
      </c>
      <c r="F1564" s="2" t="s">
        <v>25</v>
      </c>
      <c r="G1564" s="8">
        <v>89.19</v>
      </c>
      <c r="H1564" s="11">
        <v>10.3</v>
      </c>
      <c r="I1564" s="8">
        <v>80</v>
      </c>
      <c r="J1564" s="3">
        <v>45875</v>
      </c>
      <c r="K1564" s="14">
        <v>4</v>
      </c>
      <c r="L1564" s="17"/>
      <c r="M1564" s="2" t="b">
        <v>0</v>
      </c>
      <c r="N1564" s="2"/>
      <c r="O1564" s="2" t="str">
        <f>IF(Table1[[#This Row],[is_returned]]=TRUE,IF(Table1[[#This Row],[return_reason]]="","Error","OK"),"OK")</f>
        <v>OK</v>
      </c>
      <c r="P1564" s="8">
        <f>Table1[[#This Row],[original_price]]*Table1[[#This Row],[markdown_percentage]]/100</f>
        <v>9.1865699999999997</v>
      </c>
      <c r="Q156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564" s="25">
        <f>Table1[[#This Row],[current_price]]*Table1[[#This Row],[stock_quantity]]</f>
        <v>320</v>
      </c>
    </row>
    <row r="1565" spans="1:18" x14ac:dyDescent="0.25">
      <c r="A1565" s="2" t="s">
        <v>1618</v>
      </c>
      <c r="B1565" s="2" t="s">
        <v>30</v>
      </c>
      <c r="C1565" s="2" t="s">
        <v>32</v>
      </c>
      <c r="D1565" s="2" t="s">
        <v>62</v>
      </c>
      <c r="E1565" s="2"/>
      <c r="F1565" s="2" t="s">
        <v>35</v>
      </c>
      <c r="G1565" s="8">
        <v>79.59</v>
      </c>
      <c r="H1565" s="11">
        <v>8.9</v>
      </c>
      <c r="I1565" s="8">
        <v>72.510000000000005</v>
      </c>
      <c r="J1565" s="3">
        <v>45875</v>
      </c>
      <c r="K1565" s="14">
        <v>16</v>
      </c>
      <c r="L1565" s="17">
        <v>4.5999999999999996</v>
      </c>
      <c r="M1565" s="2" t="b">
        <v>1</v>
      </c>
      <c r="N1565" s="2" t="s">
        <v>125</v>
      </c>
      <c r="O1565" s="2" t="str">
        <f>IF(Table1[[#This Row],[is_returned]]=TRUE,IF(Table1[[#This Row],[return_reason]]="","Error","OK"),"OK")</f>
        <v>OK</v>
      </c>
      <c r="P1565" s="8">
        <f>Table1[[#This Row],[original_price]]*Table1[[#This Row],[markdown_percentage]]/100</f>
        <v>7.0835100000000013</v>
      </c>
      <c r="Q156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565" s="25">
        <f>Table1[[#This Row],[current_price]]*Table1[[#This Row],[stock_quantity]]</f>
        <v>1160.1600000000001</v>
      </c>
    </row>
    <row r="1566" spans="1:18" x14ac:dyDescent="0.25">
      <c r="A1566" s="2" t="s">
        <v>1619</v>
      </c>
      <c r="B1566" s="2" t="s">
        <v>38</v>
      </c>
      <c r="C1566" s="2" t="s">
        <v>43</v>
      </c>
      <c r="D1566" s="2" t="s">
        <v>17</v>
      </c>
      <c r="E1566" s="2" t="s">
        <v>49</v>
      </c>
      <c r="F1566" s="2" t="s">
        <v>40</v>
      </c>
      <c r="G1566" s="8">
        <v>84.8</v>
      </c>
      <c r="H1566" s="11">
        <v>0</v>
      </c>
      <c r="I1566" s="8">
        <v>84.8</v>
      </c>
      <c r="J1566" s="3">
        <v>45846</v>
      </c>
      <c r="K1566" s="14">
        <v>46</v>
      </c>
      <c r="L1566" s="17">
        <v>4.5999999999999996</v>
      </c>
      <c r="M1566" s="2" t="b">
        <v>0</v>
      </c>
      <c r="N1566" s="2"/>
      <c r="O1566" s="2" t="str">
        <f>IF(Table1[[#This Row],[is_returned]]=TRUE,IF(Table1[[#This Row],[return_reason]]="","Error","OK"),"OK")</f>
        <v>OK</v>
      </c>
      <c r="P1566" s="8">
        <f>Table1[[#This Row],[original_price]]*Table1[[#This Row],[markdown_percentage]]/100</f>
        <v>0</v>
      </c>
      <c r="Q156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566" s="25">
        <f>Table1[[#This Row],[current_price]]*Table1[[#This Row],[stock_quantity]]</f>
        <v>3900.7999999999997</v>
      </c>
    </row>
    <row r="1567" spans="1:18" x14ac:dyDescent="0.25">
      <c r="A1567" s="2" t="s">
        <v>1620</v>
      </c>
      <c r="B1567" s="2" t="s">
        <v>38</v>
      </c>
      <c r="C1567" s="2" t="s">
        <v>75</v>
      </c>
      <c r="D1567" s="2" t="s">
        <v>34</v>
      </c>
      <c r="E1567" s="2" t="s">
        <v>58</v>
      </c>
      <c r="F1567" s="2" t="s">
        <v>28</v>
      </c>
      <c r="G1567" s="8">
        <v>69.209999999999994</v>
      </c>
      <c r="H1567" s="11">
        <v>0</v>
      </c>
      <c r="I1567" s="8">
        <v>69.209999999999994</v>
      </c>
      <c r="J1567" s="3">
        <v>45875</v>
      </c>
      <c r="K1567" s="14">
        <v>41</v>
      </c>
      <c r="L1567" s="17"/>
      <c r="M1567" s="2" t="b">
        <v>0</v>
      </c>
      <c r="N1567" s="2"/>
      <c r="O1567" s="2" t="str">
        <f>IF(Table1[[#This Row],[is_returned]]=TRUE,IF(Table1[[#This Row],[return_reason]]="","Error","OK"),"OK")</f>
        <v>OK</v>
      </c>
      <c r="P1567" s="8">
        <f>Table1[[#This Row],[original_price]]*Table1[[#This Row],[markdown_percentage]]/100</f>
        <v>0</v>
      </c>
      <c r="Q156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567" s="25">
        <f>Table1[[#This Row],[current_price]]*Table1[[#This Row],[stock_quantity]]</f>
        <v>2837.6099999999997</v>
      </c>
    </row>
    <row r="1568" spans="1:18" x14ac:dyDescent="0.25">
      <c r="A1568" s="2" t="s">
        <v>1621</v>
      </c>
      <c r="B1568" s="2" t="s">
        <v>15</v>
      </c>
      <c r="C1568" s="2" t="s">
        <v>32</v>
      </c>
      <c r="D1568" s="2" t="s">
        <v>17</v>
      </c>
      <c r="E1568" s="2" t="s">
        <v>55</v>
      </c>
      <c r="F1568" s="2" t="s">
        <v>64</v>
      </c>
      <c r="G1568" s="8">
        <v>229.17</v>
      </c>
      <c r="H1568" s="11">
        <v>0</v>
      </c>
      <c r="I1568" s="8">
        <v>229.17</v>
      </c>
      <c r="J1568" s="3">
        <v>45855</v>
      </c>
      <c r="K1568" s="14">
        <v>37</v>
      </c>
      <c r="L1568" s="17">
        <v>2</v>
      </c>
      <c r="M1568" s="2" t="b">
        <v>0</v>
      </c>
      <c r="N1568" s="2"/>
      <c r="O1568" s="2" t="str">
        <f>IF(Table1[[#This Row],[is_returned]]=TRUE,IF(Table1[[#This Row],[return_reason]]="","Error","OK"),"OK")</f>
        <v>OK</v>
      </c>
      <c r="P1568" s="8">
        <f>Table1[[#This Row],[original_price]]*Table1[[#This Row],[markdown_percentage]]/100</f>
        <v>0</v>
      </c>
      <c r="Q156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568" s="25">
        <f>Table1[[#This Row],[current_price]]*Table1[[#This Row],[stock_quantity]]</f>
        <v>8479.2899999999991</v>
      </c>
    </row>
    <row r="1569" spans="1:18" x14ac:dyDescent="0.25">
      <c r="A1569" s="2" t="s">
        <v>1622</v>
      </c>
      <c r="B1569" s="2" t="s">
        <v>42</v>
      </c>
      <c r="C1569" s="2" t="s">
        <v>32</v>
      </c>
      <c r="D1569" s="2" t="s">
        <v>23</v>
      </c>
      <c r="E1569" s="2" t="s">
        <v>24</v>
      </c>
      <c r="F1569" s="2" t="s">
        <v>35</v>
      </c>
      <c r="G1569" s="8">
        <v>103.9</v>
      </c>
      <c r="H1569" s="11">
        <v>0</v>
      </c>
      <c r="I1569" s="8">
        <v>103.9</v>
      </c>
      <c r="J1569" s="3">
        <v>45875</v>
      </c>
      <c r="K1569" s="14">
        <v>40</v>
      </c>
      <c r="L1569" s="17">
        <v>4.4000000000000004</v>
      </c>
      <c r="M1569" s="2" t="b">
        <v>0</v>
      </c>
      <c r="N1569" s="2"/>
      <c r="O1569" s="2" t="str">
        <f>IF(Table1[[#This Row],[is_returned]]=TRUE,IF(Table1[[#This Row],[return_reason]]="","Error","OK"),"OK")</f>
        <v>OK</v>
      </c>
      <c r="P1569" s="8">
        <f>Table1[[#This Row],[original_price]]*Table1[[#This Row],[markdown_percentage]]/100</f>
        <v>0</v>
      </c>
      <c r="Q156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569" s="25">
        <f>Table1[[#This Row],[current_price]]*Table1[[#This Row],[stock_quantity]]</f>
        <v>4156</v>
      </c>
    </row>
    <row r="1570" spans="1:18" x14ac:dyDescent="0.25">
      <c r="A1570" s="2" t="s">
        <v>1623</v>
      </c>
      <c r="B1570" s="2" t="s">
        <v>15</v>
      </c>
      <c r="C1570" s="2" t="s">
        <v>16</v>
      </c>
      <c r="D1570" s="2" t="s">
        <v>17</v>
      </c>
      <c r="E1570" s="2" t="s">
        <v>55</v>
      </c>
      <c r="F1570" s="2" t="s">
        <v>56</v>
      </c>
      <c r="G1570" s="8">
        <v>228.46</v>
      </c>
      <c r="H1570" s="11">
        <v>0</v>
      </c>
      <c r="I1570" s="8">
        <v>228.46</v>
      </c>
      <c r="J1570" s="3">
        <v>45695</v>
      </c>
      <c r="K1570" s="14">
        <v>7</v>
      </c>
      <c r="L1570" s="17">
        <v>2.5</v>
      </c>
      <c r="M1570" s="2" t="b">
        <v>1</v>
      </c>
      <c r="N1570" s="2" t="s">
        <v>83</v>
      </c>
      <c r="O1570" s="2" t="str">
        <f>IF(Table1[[#This Row],[is_returned]]=TRUE,IF(Table1[[#This Row],[return_reason]]="","Error","OK"),"OK")</f>
        <v>OK</v>
      </c>
      <c r="P1570" s="8">
        <f>Table1[[#This Row],[original_price]]*Table1[[#This Row],[markdown_percentage]]/100</f>
        <v>0</v>
      </c>
      <c r="Q157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570" s="25">
        <f>Table1[[#This Row],[current_price]]*Table1[[#This Row],[stock_quantity]]</f>
        <v>1599.22</v>
      </c>
    </row>
    <row r="1571" spans="1:18" x14ac:dyDescent="0.25">
      <c r="A1571" s="2" t="s">
        <v>1624</v>
      </c>
      <c r="B1571" s="2" t="s">
        <v>27</v>
      </c>
      <c r="C1571" s="2" t="s">
        <v>16</v>
      </c>
      <c r="D1571" s="2" t="s">
        <v>62</v>
      </c>
      <c r="E1571" s="2"/>
      <c r="F1571" s="2" t="s">
        <v>35</v>
      </c>
      <c r="G1571" s="8">
        <v>44.35</v>
      </c>
      <c r="H1571" s="11">
        <v>29.2</v>
      </c>
      <c r="I1571" s="8">
        <v>31.4</v>
      </c>
      <c r="J1571" s="3">
        <v>45875</v>
      </c>
      <c r="K1571" s="14">
        <v>20</v>
      </c>
      <c r="L1571" s="17">
        <v>4.9000000000000004</v>
      </c>
      <c r="M1571" s="2" t="b">
        <v>0</v>
      </c>
      <c r="N1571" s="2"/>
      <c r="O1571" s="2" t="str">
        <f>IF(Table1[[#This Row],[is_returned]]=TRUE,IF(Table1[[#This Row],[return_reason]]="","Error","OK"),"OK")</f>
        <v>OK</v>
      </c>
      <c r="P1571" s="8">
        <f>Table1[[#This Row],[original_price]]*Table1[[#This Row],[markdown_percentage]]/100</f>
        <v>12.950200000000001</v>
      </c>
      <c r="Q157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571" s="25">
        <f>Table1[[#This Row],[current_price]]*Table1[[#This Row],[stock_quantity]]</f>
        <v>628</v>
      </c>
    </row>
    <row r="1572" spans="1:18" x14ac:dyDescent="0.25">
      <c r="A1572" s="2" t="s">
        <v>1625</v>
      </c>
      <c r="B1572" s="2" t="s">
        <v>38</v>
      </c>
      <c r="C1572" s="2" t="s">
        <v>22</v>
      </c>
      <c r="D1572" s="2" t="s">
        <v>17</v>
      </c>
      <c r="E1572" s="2"/>
      <c r="F1572" s="2" t="s">
        <v>40</v>
      </c>
      <c r="G1572" s="8">
        <v>28.76</v>
      </c>
      <c r="H1572" s="11">
        <v>54.7</v>
      </c>
      <c r="I1572" s="8">
        <v>13.03</v>
      </c>
      <c r="J1572" s="3">
        <v>45791</v>
      </c>
      <c r="K1572" s="14">
        <v>2</v>
      </c>
      <c r="L1572" s="17">
        <v>4.4000000000000004</v>
      </c>
      <c r="M1572" s="2" t="b">
        <v>1</v>
      </c>
      <c r="N1572" s="2" t="s">
        <v>36</v>
      </c>
      <c r="O1572" s="2" t="str">
        <f>IF(Table1[[#This Row],[is_returned]]=TRUE,IF(Table1[[#This Row],[return_reason]]="","Error","OK"),"OK")</f>
        <v>OK</v>
      </c>
      <c r="P1572" s="8">
        <f>Table1[[#This Row],[original_price]]*Table1[[#This Row],[markdown_percentage]]/100</f>
        <v>15.731720000000003</v>
      </c>
      <c r="Q157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572" s="25">
        <f>Table1[[#This Row],[current_price]]*Table1[[#This Row],[stock_quantity]]</f>
        <v>26.06</v>
      </c>
    </row>
    <row r="1573" spans="1:18" x14ac:dyDescent="0.25">
      <c r="A1573" s="2" t="s">
        <v>1626</v>
      </c>
      <c r="B1573" s="2" t="s">
        <v>15</v>
      </c>
      <c r="C1573" s="2" t="s">
        <v>43</v>
      </c>
      <c r="D1573" s="2" t="s">
        <v>17</v>
      </c>
      <c r="E1573" s="2" t="s">
        <v>49</v>
      </c>
      <c r="F1573" s="2" t="s">
        <v>19</v>
      </c>
      <c r="G1573" s="8">
        <v>158.34</v>
      </c>
      <c r="H1573" s="11">
        <v>36.6</v>
      </c>
      <c r="I1573" s="8">
        <v>100.39</v>
      </c>
      <c r="J1573" s="3">
        <v>45684</v>
      </c>
      <c r="K1573" s="14">
        <v>11</v>
      </c>
      <c r="L1573" s="17">
        <v>4.5</v>
      </c>
      <c r="M1573" s="2" t="b">
        <v>0</v>
      </c>
      <c r="N1573" s="2"/>
      <c r="O1573" s="2" t="str">
        <f>IF(Table1[[#This Row],[is_returned]]=TRUE,IF(Table1[[#This Row],[return_reason]]="","Error","OK"),"OK")</f>
        <v>OK</v>
      </c>
      <c r="P1573" s="8">
        <f>Table1[[#This Row],[original_price]]*Table1[[#This Row],[markdown_percentage]]/100</f>
        <v>57.952440000000003</v>
      </c>
      <c r="Q157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573" s="25">
        <f>Table1[[#This Row],[current_price]]*Table1[[#This Row],[stock_quantity]]</f>
        <v>1104.29</v>
      </c>
    </row>
    <row r="1574" spans="1:18" x14ac:dyDescent="0.25">
      <c r="A1574" s="2" t="s">
        <v>1627</v>
      </c>
      <c r="B1574" s="2" t="s">
        <v>27</v>
      </c>
      <c r="C1574" s="2" t="s">
        <v>16</v>
      </c>
      <c r="D1574" s="2" t="s">
        <v>17</v>
      </c>
      <c r="E1574" s="2"/>
      <c r="F1574" s="2" t="s">
        <v>70</v>
      </c>
      <c r="G1574" s="8">
        <v>39.049999999999997</v>
      </c>
      <c r="H1574" s="11">
        <v>12</v>
      </c>
      <c r="I1574" s="8">
        <v>34.36</v>
      </c>
      <c r="J1574" s="3">
        <v>45565</v>
      </c>
      <c r="K1574" s="14">
        <v>0</v>
      </c>
      <c r="L1574" s="17">
        <v>3.1</v>
      </c>
      <c r="M1574" s="2" t="b">
        <v>0</v>
      </c>
      <c r="N1574" s="2"/>
      <c r="O1574" s="2" t="str">
        <f>IF(Table1[[#This Row],[is_returned]]=TRUE,IF(Table1[[#This Row],[return_reason]]="","Error","OK"),"OK")</f>
        <v>OK</v>
      </c>
      <c r="P1574" s="8">
        <f>Table1[[#This Row],[original_price]]*Table1[[#This Row],[markdown_percentage]]/100</f>
        <v>4.6859999999999999</v>
      </c>
      <c r="Q157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574" s="25">
        <f>Table1[[#This Row],[current_price]]*Table1[[#This Row],[stock_quantity]]</f>
        <v>0</v>
      </c>
    </row>
    <row r="1575" spans="1:18" x14ac:dyDescent="0.25">
      <c r="A1575" s="2" t="s">
        <v>1628</v>
      </c>
      <c r="B1575" s="2" t="s">
        <v>21</v>
      </c>
      <c r="C1575" s="2" t="s">
        <v>53</v>
      </c>
      <c r="D1575" s="2" t="s">
        <v>17</v>
      </c>
      <c r="E1575" s="2" t="s">
        <v>39</v>
      </c>
      <c r="F1575" s="2" t="s">
        <v>44</v>
      </c>
      <c r="G1575" s="8">
        <v>52.46</v>
      </c>
      <c r="H1575" s="11">
        <v>12.2</v>
      </c>
      <c r="I1575" s="8">
        <v>46.06</v>
      </c>
      <c r="J1575" s="3">
        <v>45645</v>
      </c>
      <c r="K1575" s="14">
        <v>39</v>
      </c>
      <c r="L1575" s="17">
        <v>2.2999999999999998</v>
      </c>
      <c r="M1575" s="2" t="b">
        <v>0</v>
      </c>
      <c r="N1575" s="2"/>
      <c r="O1575" s="2" t="str">
        <f>IF(Table1[[#This Row],[is_returned]]=TRUE,IF(Table1[[#This Row],[return_reason]]="","Error","OK"),"OK")</f>
        <v>OK</v>
      </c>
      <c r="P1575" s="8">
        <f>Table1[[#This Row],[original_price]]*Table1[[#This Row],[markdown_percentage]]/100</f>
        <v>6.4001199999999994</v>
      </c>
      <c r="Q157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575" s="25">
        <f>Table1[[#This Row],[current_price]]*Table1[[#This Row],[stock_quantity]]</f>
        <v>1796.3400000000001</v>
      </c>
    </row>
    <row r="1576" spans="1:18" x14ac:dyDescent="0.25">
      <c r="A1576" s="2" t="s">
        <v>1629</v>
      </c>
      <c r="B1576" s="2" t="s">
        <v>38</v>
      </c>
      <c r="C1576" s="2" t="s">
        <v>61</v>
      </c>
      <c r="D1576" s="2" t="s">
        <v>17</v>
      </c>
      <c r="E1576" s="2" t="s">
        <v>39</v>
      </c>
      <c r="F1576" s="2" t="s">
        <v>19</v>
      </c>
      <c r="G1576" s="8">
        <v>70.31</v>
      </c>
      <c r="H1576" s="11">
        <v>34.4</v>
      </c>
      <c r="I1576" s="8">
        <v>46.12</v>
      </c>
      <c r="J1576" s="3">
        <v>45681</v>
      </c>
      <c r="K1576" s="14">
        <v>28</v>
      </c>
      <c r="L1576" s="17">
        <v>3.1</v>
      </c>
      <c r="M1576" s="2" t="b">
        <v>0</v>
      </c>
      <c r="N1576" s="2"/>
      <c r="O1576" s="2" t="str">
        <f>IF(Table1[[#This Row],[is_returned]]=TRUE,IF(Table1[[#This Row],[return_reason]]="","Error","OK"),"OK")</f>
        <v>OK</v>
      </c>
      <c r="P1576" s="8">
        <f>Table1[[#This Row],[original_price]]*Table1[[#This Row],[markdown_percentage]]/100</f>
        <v>24.186639999999997</v>
      </c>
      <c r="Q157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576" s="25">
        <f>Table1[[#This Row],[current_price]]*Table1[[#This Row],[stock_quantity]]</f>
        <v>1291.3599999999999</v>
      </c>
    </row>
    <row r="1577" spans="1:18" x14ac:dyDescent="0.25">
      <c r="A1577" s="2" t="s">
        <v>1630</v>
      </c>
      <c r="B1577" s="2" t="s">
        <v>15</v>
      </c>
      <c r="C1577" s="2" t="s">
        <v>75</v>
      </c>
      <c r="D1577" s="2" t="s">
        <v>62</v>
      </c>
      <c r="E1577" s="2" t="s">
        <v>39</v>
      </c>
      <c r="F1577" s="2" t="s">
        <v>56</v>
      </c>
      <c r="G1577" s="8">
        <v>123.27</v>
      </c>
      <c r="H1577" s="11">
        <v>0</v>
      </c>
      <c r="I1577" s="8">
        <v>123.27</v>
      </c>
      <c r="J1577" s="3">
        <v>45875</v>
      </c>
      <c r="K1577" s="14">
        <v>13</v>
      </c>
      <c r="L1577" s="17">
        <v>2.8</v>
      </c>
      <c r="M1577" s="2" t="b">
        <v>0</v>
      </c>
      <c r="N1577" s="2"/>
      <c r="O1577" s="2" t="str">
        <f>IF(Table1[[#This Row],[is_returned]]=TRUE,IF(Table1[[#This Row],[return_reason]]="","Error","OK"),"OK")</f>
        <v>OK</v>
      </c>
      <c r="P1577" s="8">
        <f>Table1[[#This Row],[original_price]]*Table1[[#This Row],[markdown_percentage]]/100</f>
        <v>0</v>
      </c>
      <c r="Q157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577" s="25">
        <f>Table1[[#This Row],[current_price]]*Table1[[#This Row],[stock_quantity]]</f>
        <v>1602.51</v>
      </c>
    </row>
    <row r="1578" spans="1:18" x14ac:dyDescent="0.25">
      <c r="A1578" s="2" t="s">
        <v>1631</v>
      </c>
      <c r="B1578" s="2" t="s">
        <v>15</v>
      </c>
      <c r="C1578" s="2" t="s">
        <v>43</v>
      </c>
      <c r="D1578" s="2" t="s">
        <v>62</v>
      </c>
      <c r="E1578" s="2" t="s">
        <v>24</v>
      </c>
      <c r="F1578" s="2" t="s">
        <v>64</v>
      </c>
      <c r="G1578" s="8">
        <v>215.82</v>
      </c>
      <c r="H1578" s="11">
        <v>16.5</v>
      </c>
      <c r="I1578" s="8">
        <v>180.21</v>
      </c>
      <c r="J1578" s="3">
        <v>45875</v>
      </c>
      <c r="K1578" s="14">
        <v>9</v>
      </c>
      <c r="L1578" s="17">
        <v>2.4</v>
      </c>
      <c r="M1578" s="2" t="b">
        <v>0</v>
      </c>
      <c r="N1578" s="2"/>
      <c r="O1578" s="2" t="str">
        <f>IF(Table1[[#This Row],[is_returned]]=TRUE,IF(Table1[[#This Row],[return_reason]]="","Error","OK"),"OK")</f>
        <v>OK</v>
      </c>
      <c r="P1578" s="8">
        <f>Table1[[#This Row],[original_price]]*Table1[[#This Row],[markdown_percentage]]/100</f>
        <v>35.610299999999995</v>
      </c>
      <c r="Q157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578" s="25">
        <f>Table1[[#This Row],[current_price]]*Table1[[#This Row],[stock_quantity]]</f>
        <v>1621.89</v>
      </c>
    </row>
    <row r="1579" spans="1:18" x14ac:dyDescent="0.25">
      <c r="A1579" s="2" t="s">
        <v>1632</v>
      </c>
      <c r="B1579" s="2" t="s">
        <v>15</v>
      </c>
      <c r="C1579" s="2" t="s">
        <v>61</v>
      </c>
      <c r="D1579" s="2" t="s">
        <v>62</v>
      </c>
      <c r="E1579" s="2" t="s">
        <v>55</v>
      </c>
      <c r="F1579" s="2" t="s">
        <v>44</v>
      </c>
      <c r="G1579" s="8">
        <v>82.91</v>
      </c>
      <c r="H1579" s="11">
        <v>0.7</v>
      </c>
      <c r="I1579" s="8">
        <v>82.33</v>
      </c>
      <c r="J1579" s="3">
        <v>45875</v>
      </c>
      <c r="K1579" s="14">
        <v>24</v>
      </c>
      <c r="L1579" s="17"/>
      <c r="M1579" s="2" t="b">
        <v>1</v>
      </c>
      <c r="N1579" s="2" t="s">
        <v>78</v>
      </c>
      <c r="O1579" s="2" t="str">
        <f>IF(Table1[[#This Row],[is_returned]]=TRUE,IF(Table1[[#This Row],[return_reason]]="","Error","OK"),"OK")</f>
        <v>OK</v>
      </c>
      <c r="P1579" s="8">
        <f>Table1[[#This Row],[original_price]]*Table1[[#This Row],[markdown_percentage]]/100</f>
        <v>0.58036999999999994</v>
      </c>
      <c r="Q157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579" s="25">
        <f>Table1[[#This Row],[current_price]]*Table1[[#This Row],[stock_quantity]]</f>
        <v>1975.92</v>
      </c>
    </row>
    <row r="1580" spans="1:18" x14ac:dyDescent="0.25">
      <c r="A1580" s="2" t="s">
        <v>1633</v>
      </c>
      <c r="B1580" s="2" t="s">
        <v>21</v>
      </c>
      <c r="C1580" s="2" t="s">
        <v>61</v>
      </c>
      <c r="D1580" s="2" t="s">
        <v>23</v>
      </c>
      <c r="E1580" s="2" t="s">
        <v>18</v>
      </c>
      <c r="F1580" s="2" t="s">
        <v>66</v>
      </c>
      <c r="G1580" s="8">
        <v>33.46</v>
      </c>
      <c r="H1580" s="11">
        <v>0</v>
      </c>
      <c r="I1580" s="8">
        <v>33.46</v>
      </c>
      <c r="J1580" s="3">
        <v>45875</v>
      </c>
      <c r="K1580" s="14">
        <v>36</v>
      </c>
      <c r="L1580" s="17">
        <v>3.6</v>
      </c>
      <c r="M1580" s="2" t="b">
        <v>0</v>
      </c>
      <c r="N1580" s="2"/>
      <c r="O1580" s="2" t="str">
        <f>IF(Table1[[#This Row],[is_returned]]=TRUE,IF(Table1[[#This Row],[return_reason]]="","Error","OK"),"OK")</f>
        <v>OK</v>
      </c>
      <c r="P1580" s="8">
        <f>Table1[[#This Row],[original_price]]*Table1[[#This Row],[markdown_percentage]]/100</f>
        <v>0</v>
      </c>
      <c r="Q158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580" s="25">
        <f>Table1[[#This Row],[current_price]]*Table1[[#This Row],[stock_quantity]]</f>
        <v>1204.56</v>
      </c>
    </row>
    <row r="1581" spans="1:18" x14ac:dyDescent="0.25">
      <c r="A1581" s="2" t="s">
        <v>1634</v>
      </c>
      <c r="B1581" s="2" t="s">
        <v>38</v>
      </c>
      <c r="C1581" s="2" t="s">
        <v>32</v>
      </c>
      <c r="D1581" s="2" t="s">
        <v>17</v>
      </c>
      <c r="E1581" s="2" t="s">
        <v>24</v>
      </c>
      <c r="F1581" s="2" t="s">
        <v>40</v>
      </c>
      <c r="G1581" s="8">
        <v>37.21</v>
      </c>
      <c r="H1581" s="11">
        <v>53.9</v>
      </c>
      <c r="I1581" s="8">
        <v>17.149999999999999</v>
      </c>
      <c r="J1581" s="3">
        <v>45835</v>
      </c>
      <c r="K1581" s="14">
        <v>48</v>
      </c>
      <c r="L1581" s="17">
        <v>3.8</v>
      </c>
      <c r="M1581" s="2" t="b">
        <v>0</v>
      </c>
      <c r="N1581" s="2"/>
      <c r="O1581" s="2" t="str">
        <f>IF(Table1[[#This Row],[is_returned]]=TRUE,IF(Table1[[#This Row],[return_reason]]="","Error","OK"),"OK")</f>
        <v>OK</v>
      </c>
      <c r="P1581" s="8">
        <f>Table1[[#This Row],[original_price]]*Table1[[#This Row],[markdown_percentage]]/100</f>
        <v>20.056190000000001</v>
      </c>
      <c r="Q158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581" s="25">
        <f>Table1[[#This Row],[current_price]]*Table1[[#This Row],[stock_quantity]]</f>
        <v>823.19999999999993</v>
      </c>
    </row>
    <row r="1582" spans="1:18" x14ac:dyDescent="0.25">
      <c r="A1582" s="2" t="s">
        <v>1635</v>
      </c>
      <c r="B1582" s="2" t="s">
        <v>38</v>
      </c>
      <c r="C1582" s="2" t="s">
        <v>43</v>
      </c>
      <c r="D1582" s="2" t="s">
        <v>23</v>
      </c>
      <c r="E1582" s="2"/>
      <c r="F1582" s="2" t="s">
        <v>19</v>
      </c>
      <c r="G1582" s="8">
        <v>76.86</v>
      </c>
      <c r="H1582" s="11">
        <v>48.9</v>
      </c>
      <c r="I1582" s="8">
        <v>39.28</v>
      </c>
      <c r="J1582" s="3">
        <v>45875</v>
      </c>
      <c r="K1582" s="14">
        <v>5</v>
      </c>
      <c r="L1582" s="17">
        <v>1.2</v>
      </c>
      <c r="M1582" s="2" t="b">
        <v>0</v>
      </c>
      <c r="N1582" s="2"/>
      <c r="O1582" s="2" t="str">
        <f>IF(Table1[[#This Row],[is_returned]]=TRUE,IF(Table1[[#This Row],[return_reason]]="","Error","OK"),"OK")</f>
        <v>OK</v>
      </c>
      <c r="P1582" s="8">
        <f>Table1[[#This Row],[original_price]]*Table1[[#This Row],[markdown_percentage]]/100</f>
        <v>37.584539999999997</v>
      </c>
      <c r="Q158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582" s="25">
        <f>Table1[[#This Row],[current_price]]*Table1[[#This Row],[stock_quantity]]</f>
        <v>196.4</v>
      </c>
    </row>
    <row r="1583" spans="1:18" x14ac:dyDescent="0.25">
      <c r="A1583" s="2" t="s">
        <v>1636</v>
      </c>
      <c r="B1583" s="2" t="s">
        <v>15</v>
      </c>
      <c r="C1583" s="2" t="s">
        <v>48</v>
      </c>
      <c r="D1583" s="2" t="s">
        <v>23</v>
      </c>
      <c r="E1583" s="2" t="s">
        <v>39</v>
      </c>
      <c r="F1583" s="2" t="s">
        <v>56</v>
      </c>
      <c r="G1583" s="8">
        <v>208.57</v>
      </c>
      <c r="H1583" s="11">
        <v>0</v>
      </c>
      <c r="I1583" s="8">
        <v>208.57</v>
      </c>
      <c r="J1583" s="3">
        <v>45875</v>
      </c>
      <c r="K1583" s="14">
        <v>24</v>
      </c>
      <c r="L1583" s="17">
        <v>3.6</v>
      </c>
      <c r="M1583" s="2" t="b">
        <v>0</v>
      </c>
      <c r="N1583" s="2"/>
      <c r="O1583" s="2" t="str">
        <f>IF(Table1[[#This Row],[is_returned]]=TRUE,IF(Table1[[#This Row],[return_reason]]="","Error","OK"),"OK")</f>
        <v>OK</v>
      </c>
      <c r="P1583" s="8">
        <f>Table1[[#This Row],[original_price]]*Table1[[#This Row],[markdown_percentage]]/100</f>
        <v>0</v>
      </c>
      <c r="Q158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583" s="25">
        <f>Table1[[#This Row],[current_price]]*Table1[[#This Row],[stock_quantity]]</f>
        <v>5005.68</v>
      </c>
    </row>
    <row r="1584" spans="1:18" x14ac:dyDescent="0.25">
      <c r="A1584" s="2" t="s">
        <v>1637</v>
      </c>
      <c r="B1584" s="2" t="s">
        <v>42</v>
      </c>
      <c r="C1584" s="2" t="s">
        <v>61</v>
      </c>
      <c r="D1584" s="2" t="s">
        <v>17</v>
      </c>
      <c r="E1584" s="2" t="s">
        <v>18</v>
      </c>
      <c r="F1584" s="2" t="s">
        <v>19</v>
      </c>
      <c r="G1584" s="8">
        <v>131.69999999999999</v>
      </c>
      <c r="H1584" s="11">
        <v>15.8</v>
      </c>
      <c r="I1584" s="8">
        <v>110.89</v>
      </c>
      <c r="J1584" s="3">
        <v>45516</v>
      </c>
      <c r="K1584" s="14">
        <v>49</v>
      </c>
      <c r="L1584" s="17">
        <v>1.4</v>
      </c>
      <c r="M1584" s="2" t="b">
        <v>1</v>
      </c>
      <c r="N1584" s="2" t="s">
        <v>78</v>
      </c>
      <c r="O1584" s="2" t="str">
        <f>IF(Table1[[#This Row],[is_returned]]=TRUE,IF(Table1[[#This Row],[return_reason]]="","Error","OK"),"OK")</f>
        <v>OK</v>
      </c>
      <c r="P1584" s="8">
        <f>Table1[[#This Row],[original_price]]*Table1[[#This Row],[markdown_percentage]]/100</f>
        <v>20.808600000000002</v>
      </c>
      <c r="Q158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584" s="25">
        <f>Table1[[#This Row],[current_price]]*Table1[[#This Row],[stock_quantity]]</f>
        <v>5433.61</v>
      </c>
    </row>
    <row r="1585" spans="1:18" x14ac:dyDescent="0.25">
      <c r="A1585" s="2" t="s">
        <v>1638</v>
      </c>
      <c r="B1585" s="2" t="s">
        <v>38</v>
      </c>
      <c r="C1585" s="2" t="s">
        <v>43</v>
      </c>
      <c r="D1585" s="2" t="s">
        <v>62</v>
      </c>
      <c r="E1585" s="2" t="s">
        <v>49</v>
      </c>
      <c r="F1585" s="2" t="s">
        <v>44</v>
      </c>
      <c r="G1585" s="8">
        <v>117.21</v>
      </c>
      <c r="H1585" s="11">
        <v>0</v>
      </c>
      <c r="I1585" s="8">
        <v>117.21</v>
      </c>
      <c r="J1585" s="3">
        <v>45875</v>
      </c>
      <c r="K1585" s="14">
        <v>14</v>
      </c>
      <c r="L1585" s="17">
        <v>3.2</v>
      </c>
      <c r="M1585" s="2" t="b">
        <v>0</v>
      </c>
      <c r="N1585" s="2"/>
      <c r="O1585" s="2" t="str">
        <f>IF(Table1[[#This Row],[is_returned]]=TRUE,IF(Table1[[#This Row],[return_reason]]="","Error","OK"),"OK")</f>
        <v>OK</v>
      </c>
      <c r="P1585" s="8">
        <f>Table1[[#This Row],[original_price]]*Table1[[#This Row],[markdown_percentage]]/100</f>
        <v>0</v>
      </c>
      <c r="Q158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585" s="25">
        <f>Table1[[#This Row],[current_price]]*Table1[[#This Row],[stock_quantity]]</f>
        <v>1640.9399999999998</v>
      </c>
    </row>
    <row r="1586" spans="1:18" x14ac:dyDescent="0.25">
      <c r="A1586" s="2" t="s">
        <v>1639</v>
      </c>
      <c r="B1586" s="2" t="s">
        <v>27</v>
      </c>
      <c r="C1586" s="2" t="s">
        <v>43</v>
      </c>
      <c r="D1586" s="2" t="s">
        <v>62</v>
      </c>
      <c r="E1586" s="2"/>
      <c r="F1586" s="2" t="s">
        <v>46</v>
      </c>
      <c r="G1586" s="8">
        <v>23.01</v>
      </c>
      <c r="H1586" s="11">
        <v>48.8</v>
      </c>
      <c r="I1586" s="8">
        <v>11.78</v>
      </c>
      <c r="J1586" s="3">
        <v>45875</v>
      </c>
      <c r="K1586" s="14">
        <v>13</v>
      </c>
      <c r="L1586" s="17">
        <v>3.6</v>
      </c>
      <c r="M1586" s="2" t="b">
        <v>0</v>
      </c>
      <c r="N1586" s="2"/>
      <c r="O1586" s="2" t="str">
        <f>IF(Table1[[#This Row],[is_returned]]=TRUE,IF(Table1[[#This Row],[return_reason]]="","Error","OK"),"OK")</f>
        <v>OK</v>
      </c>
      <c r="P1586" s="8">
        <f>Table1[[#This Row],[original_price]]*Table1[[#This Row],[markdown_percentage]]/100</f>
        <v>11.228879999999998</v>
      </c>
      <c r="Q158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586" s="25">
        <f>Table1[[#This Row],[current_price]]*Table1[[#This Row],[stock_quantity]]</f>
        <v>153.13999999999999</v>
      </c>
    </row>
    <row r="1587" spans="1:18" x14ac:dyDescent="0.25">
      <c r="A1587" s="2" t="s">
        <v>1640</v>
      </c>
      <c r="B1587" s="2" t="s">
        <v>27</v>
      </c>
      <c r="C1587" s="2" t="s">
        <v>75</v>
      </c>
      <c r="D1587" s="2" t="s">
        <v>62</v>
      </c>
      <c r="E1587" s="2"/>
      <c r="F1587" s="2" t="s">
        <v>19</v>
      </c>
      <c r="G1587" s="8">
        <v>47.6</v>
      </c>
      <c r="H1587" s="11">
        <v>0</v>
      </c>
      <c r="I1587" s="8">
        <v>47.6</v>
      </c>
      <c r="J1587" s="3">
        <v>45875</v>
      </c>
      <c r="K1587" s="14">
        <v>24</v>
      </c>
      <c r="L1587" s="17">
        <v>4.4000000000000004</v>
      </c>
      <c r="M1587" s="2" t="b">
        <v>1</v>
      </c>
      <c r="N1587" s="2" t="s">
        <v>125</v>
      </c>
      <c r="O1587" s="2" t="str">
        <f>IF(Table1[[#This Row],[is_returned]]=TRUE,IF(Table1[[#This Row],[return_reason]]="","Error","OK"),"OK")</f>
        <v>OK</v>
      </c>
      <c r="P1587" s="8">
        <f>Table1[[#This Row],[original_price]]*Table1[[#This Row],[markdown_percentage]]/100</f>
        <v>0</v>
      </c>
      <c r="Q158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587" s="25">
        <f>Table1[[#This Row],[current_price]]*Table1[[#This Row],[stock_quantity]]</f>
        <v>1142.4000000000001</v>
      </c>
    </row>
    <row r="1588" spans="1:18" x14ac:dyDescent="0.25">
      <c r="A1588" s="2" t="s">
        <v>1641</v>
      </c>
      <c r="B1588" s="2" t="s">
        <v>38</v>
      </c>
      <c r="C1588" s="2" t="s">
        <v>16</v>
      </c>
      <c r="D1588" s="2" t="s">
        <v>34</v>
      </c>
      <c r="E1588" s="2" t="s">
        <v>24</v>
      </c>
      <c r="F1588" s="2" t="s">
        <v>25</v>
      </c>
      <c r="G1588" s="8">
        <v>33.22</v>
      </c>
      <c r="H1588" s="11">
        <v>38.4</v>
      </c>
      <c r="I1588" s="8">
        <v>20.46</v>
      </c>
      <c r="J1588" s="3">
        <v>45875</v>
      </c>
      <c r="K1588" s="14">
        <v>11</v>
      </c>
      <c r="L1588" s="17">
        <v>2.9</v>
      </c>
      <c r="M1588" s="2" t="b">
        <v>0</v>
      </c>
      <c r="N1588" s="2"/>
      <c r="O1588" s="2" t="str">
        <f>IF(Table1[[#This Row],[is_returned]]=TRUE,IF(Table1[[#This Row],[return_reason]]="","Error","OK"),"OK")</f>
        <v>OK</v>
      </c>
      <c r="P1588" s="8">
        <f>Table1[[#This Row],[original_price]]*Table1[[#This Row],[markdown_percentage]]/100</f>
        <v>12.75648</v>
      </c>
      <c r="Q158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588" s="25">
        <f>Table1[[#This Row],[current_price]]*Table1[[#This Row],[stock_quantity]]</f>
        <v>225.06</v>
      </c>
    </row>
    <row r="1589" spans="1:18" x14ac:dyDescent="0.25">
      <c r="A1589" s="2" t="s">
        <v>1642</v>
      </c>
      <c r="B1589" s="2" t="s">
        <v>27</v>
      </c>
      <c r="C1589" s="2" t="s">
        <v>22</v>
      </c>
      <c r="D1589" s="2" t="s">
        <v>23</v>
      </c>
      <c r="E1589" s="2"/>
      <c r="F1589" s="2" t="s">
        <v>64</v>
      </c>
      <c r="G1589" s="8">
        <v>65.97</v>
      </c>
      <c r="H1589" s="11">
        <v>6.8</v>
      </c>
      <c r="I1589" s="8">
        <v>61.48</v>
      </c>
      <c r="J1589" s="3">
        <v>45875</v>
      </c>
      <c r="K1589" s="14">
        <v>41</v>
      </c>
      <c r="L1589" s="17">
        <v>4.3</v>
      </c>
      <c r="M1589" s="2" t="b">
        <v>0</v>
      </c>
      <c r="N1589" s="2"/>
      <c r="O1589" s="2" t="str">
        <f>IF(Table1[[#This Row],[is_returned]]=TRUE,IF(Table1[[#This Row],[return_reason]]="","Error","OK"),"OK")</f>
        <v>OK</v>
      </c>
      <c r="P1589" s="8">
        <f>Table1[[#This Row],[original_price]]*Table1[[#This Row],[markdown_percentage]]/100</f>
        <v>4.4859600000000004</v>
      </c>
      <c r="Q158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589" s="25">
        <f>Table1[[#This Row],[current_price]]*Table1[[#This Row],[stock_quantity]]</f>
        <v>2520.6799999999998</v>
      </c>
    </row>
    <row r="1590" spans="1:18" x14ac:dyDescent="0.25">
      <c r="A1590" s="2" t="s">
        <v>1643</v>
      </c>
      <c r="B1590" s="2" t="s">
        <v>21</v>
      </c>
      <c r="C1590" s="2" t="s">
        <v>48</v>
      </c>
      <c r="D1590" s="2" t="s">
        <v>17</v>
      </c>
      <c r="E1590" s="2" t="s">
        <v>24</v>
      </c>
      <c r="F1590" s="2" t="s">
        <v>46</v>
      </c>
      <c r="G1590" s="8">
        <v>47.25</v>
      </c>
      <c r="H1590" s="11">
        <v>29</v>
      </c>
      <c r="I1590" s="8">
        <v>33.549999999999997</v>
      </c>
      <c r="J1590" s="3">
        <v>45828</v>
      </c>
      <c r="K1590" s="14">
        <v>38</v>
      </c>
      <c r="L1590" s="17">
        <v>5</v>
      </c>
      <c r="M1590" s="2" t="b">
        <v>0</v>
      </c>
      <c r="N1590" s="2"/>
      <c r="O1590" s="2" t="str">
        <f>IF(Table1[[#This Row],[is_returned]]=TRUE,IF(Table1[[#This Row],[return_reason]]="","Error","OK"),"OK")</f>
        <v>OK</v>
      </c>
      <c r="P1590" s="8">
        <f>Table1[[#This Row],[original_price]]*Table1[[#This Row],[markdown_percentage]]/100</f>
        <v>13.702500000000001</v>
      </c>
      <c r="Q159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590" s="25">
        <f>Table1[[#This Row],[current_price]]*Table1[[#This Row],[stock_quantity]]</f>
        <v>1274.8999999999999</v>
      </c>
    </row>
    <row r="1591" spans="1:18" x14ac:dyDescent="0.25">
      <c r="A1591" s="2" t="s">
        <v>1644</v>
      </c>
      <c r="B1591" s="2" t="s">
        <v>21</v>
      </c>
      <c r="C1591" s="2" t="s">
        <v>75</v>
      </c>
      <c r="D1591" s="2" t="s">
        <v>17</v>
      </c>
      <c r="E1591" s="2" t="s">
        <v>55</v>
      </c>
      <c r="F1591" s="2" t="s">
        <v>46</v>
      </c>
      <c r="G1591" s="8">
        <v>93.74</v>
      </c>
      <c r="H1591" s="11">
        <v>0</v>
      </c>
      <c r="I1591" s="8">
        <v>93.74</v>
      </c>
      <c r="J1591" s="3">
        <v>45653</v>
      </c>
      <c r="K1591" s="14">
        <v>39</v>
      </c>
      <c r="L1591" s="17">
        <v>4</v>
      </c>
      <c r="M1591" s="2" t="b">
        <v>0</v>
      </c>
      <c r="N1591" s="2"/>
      <c r="O1591" s="2" t="str">
        <f>IF(Table1[[#This Row],[is_returned]]=TRUE,IF(Table1[[#This Row],[return_reason]]="","Error","OK"),"OK")</f>
        <v>OK</v>
      </c>
      <c r="P1591" s="8">
        <f>Table1[[#This Row],[original_price]]*Table1[[#This Row],[markdown_percentage]]/100</f>
        <v>0</v>
      </c>
      <c r="Q159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591" s="25">
        <f>Table1[[#This Row],[current_price]]*Table1[[#This Row],[stock_quantity]]</f>
        <v>3655.8599999999997</v>
      </c>
    </row>
    <row r="1592" spans="1:18" x14ac:dyDescent="0.25">
      <c r="A1592" s="2" t="s">
        <v>1645</v>
      </c>
      <c r="B1592" s="2" t="s">
        <v>38</v>
      </c>
      <c r="C1592" s="2" t="s">
        <v>75</v>
      </c>
      <c r="D1592" s="2" t="s">
        <v>62</v>
      </c>
      <c r="E1592" s="2" t="s">
        <v>49</v>
      </c>
      <c r="F1592" s="2" t="s">
        <v>35</v>
      </c>
      <c r="G1592" s="8">
        <v>31.57</v>
      </c>
      <c r="H1592" s="11">
        <v>0</v>
      </c>
      <c r="I1592" s="8">
        <v>31.57</v>
      </c>
      <c r="J1592" s="3">
        <v>45875</v>
      </c>
      <c r="K1592" s="14">
        <v>2</v>
      </c>
      <c r="L1592" s="17"/>
      <c r="M1592" s="2" t="b">
        <v>0</v>
      </c>
      <c r="N1592" s="2"/>
      <c r="O1592" s="2" t="str">
        <f>IF(Table1[[#This Row],[is_returned]]=TRUE,IF(Table1[[#This Row],[return_reason]]="","Error","OK"),"OK")</f>
        <v>OK</v>
      </c>
      <c r="P1592" s="8">
        <f>Table1[[#This Row],[original_price]]*Table1[[#This Row],[markdown_percentage]]/100</f>
        <v>0</v>
      </c>
      <c r="Q159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592" s="25">
        <f>Table1[[#This Row],[current_price]]*Table1[[#This Row],[stock_quantity]]</f>
        <v>63.14</v>
      </c>
    </row>
    <row r="1593" spans="1:18" x14ac:dyDescent="0.25">
      <c r="A1593" s="2" t="s">
        <v>1646</v>
      </c>
      <c r="B1593" s="2" t="s">
        <v>38</v>
      </c>
      <c r="C1593" s="2" t="s">
        <v>32</v>
      </c>
      <c r="D1593" s="2" t="s">
        <v>23</v>
      </c>
      <c r="E1593" s="2" t="s">
        <v>49</v>
      </c>
      <c r="F1593" s="2" t="s">
        <v>70</v>
      </c>
      <c r="G1593" s="8">
        <v>64.209999999999994</v>
      </c>
      <c r="H1593" s="11">
        <v>0</v>
      </c>
      <c r="I1593" s="8">
        <v>64.209999999999994</v>
      </c>
      <c r="J1593" s="3">
        <v>45875</v>
      </c>
      <c r="K1593" s="14">
        <v>3</v>
      </c>
      <c r="L1593" s="17">
        <v>2.8</v>
      </c>
      <c r="M1593" s="2" t="b">
        <v>0</v>
      </c>
      <c r="N1593" s="2"/>
      <c r="O1593" s="2" t="str">
        <f>IF(Table1[[#This Row],[is_returned]]=TRUE,IF(Table1[[#This Row],[return_reason]]="","Error","OK"),"OK")</f>
        <v>OK</v>
      </c>
      <c r="P1593" s="8">
        <f>Table1[[#This Row],[original_price]]*Table1[[#This Row],[markdown_percentage]]/100</f>
        <v>0</v>
      </c>
      <c r="Q159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593" s="25">
        <f>Table1[[#This Row],[current_price]]*Table1[[#This Row],[stock_quantity]]</f>
        <v>192.63</v>
      </c>
    </row>
    <row r="1594" spans="1:18" x14ac:dyDescent="0.25">
      <c r="A1594" s="2" t="s">
        <v>1647</v>
      </c>
      <c r="B1594" s="2" t="s">
        <v>27</v>
      </c>
      <c r="C1594" s="2" t="s">
        <v>32</v>
      </c>
      <c r="D1594" s="2" t="s">
        <v>23</v>
      </c>
      <c r="E1594" s="2"/>
      <c r="F1594" s="2" t="s">
        <v>46</v>
      </c>
      <c r="G1594" s="8">
        <v>56.13</v>
      </c>
      <c r="H1594" s="11">
        <v>8.1</v>
      </c>
      <c r="I1594" s="8">
        <v>51.58</v>
      </c>
      <c r="J1594" s="3">
        <v>45875</v>
      </c>
      <c r="K1594" s="14">
        <v>12</v>
      </c>
      <c r="L1594" s="17">
        <v>3.8</v>
      </c>
      <c r="M1594" s="2" t="b">
        <v>0</v>
      </c>
      <c r="N1594" s="2"/>
      <c r="O1594" s="2" t="str">
        <f>IF(Table1[[#This Row],[is_returned]]=TRUE,IF(Table1[[#This Row],[return_reason]]="","Error","OK"),"OK")</f>
        <v>OK</v>
      </c>
      <c r="P1594" s="8">
        <f>Table1[[#This Row],[original_price]]*Table1[[#This Row],[markdown_percentage]]/100</f>
        <v>4.5465300000000006</v>
      </c>
      <c r="Q159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594" s="25">
        <f>Table1[[#This Row],[current_price]]*Table1[[#This Row],[stock_quantity]]</f>
        <v>618.96</v>
      </c>
    </row>
    <row r="1595" spans="1:18" x14ac:dyDescent="0.25">
      <c r="A1595" s="2" t="s">
        <v>1648</v>
      </c>
      <c r="B1595" s="2" t="s">
        <v>21</v>
      </c>
      <c r="C1595" s="2" t="s">
        <v>22</v>
      </c>
      <c r="D1595" s="2" t="s">
        <v>62</v>
      </c>
      <c r="E1595" s="2" t="s">
        <v>49</v>
      </c>
      <c r="F1595" s="2" t="s">
        <v>56</v>
      </c>
      <c r="G1595" s="8">
        <v>70.89</v>
      </c>
      <c r="H1595" s="11">
        <v>0</v>
      </c>
      <c r="I1595" s="8">
        <v>70.89</v>
      </c>
      <c r="J1595" s="3">
        <v>45875</v>
      </c>
      <c r="K1595" s="14">
        <v>14</v>
      </c>
      <c r="L1595" s="17">
        <v>4.7</v>
      </c>
      <c r="M1595" s="2" t="b">
        <v>1</v>
      </c>
      <c r="N1595" s="2" t="s">
        <v>73</v>
      </c>
      <c r="O1595" s="2" t="str">
        <f>IF(Table1[[#This Row],[is_returned]]=TRUE,IF(Table1[[#This Row],[return_reason]]="","Error","OK"),"OK")</f>
        <v>OK</v>
      </c>
      <c r="P1595" s="8">
        <f>Table1[[#This Row],[original_price]]*Table1[[#This Row],[markdown_percentage]]/100</f>
        <v>0</v>
      </c>
      <c r="Q159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595" s="25">
        <f>Table1[[#This Row],[current_price]]*Table1[[#This Row],[stock_quantity]]</f>
        <v>992.46</v>
      </c>
    </row>
    <row r="1596" spans="1:18" x14ac:dyDescent="0.25">
      <c r="A1596" s="2" t="s">
        <v>1649</v>
      </c>
      <c r="B1596" s="2" t="s">
        <v>30</v>
      </c>
      <c r="C1596" s="2" t="s">
        <v>32</v>
      </c>
      <c r="D1596" s="2" t="s">
        <v>23</v>
      </c>
      <c r="E1596" s="2" t="s">
        <v>58</v>
      </c>
      <c r="F1596" s="2" t="s">
        <v>66</v>
      </c>
      <c r="G1596" s="8">
        <v>149.65</v>
      </c>
      <c r="H1596" s="11">
        <v>0</v>
      </c>
      <c r="I1596" s="8">
        <v>149.65</v>
      </c>
      <c r="J1596" s="3">
        <v>45875</v>
      </c>
      <c r="K1596" s="14">
        <v>26</v>
      </c>
      <c r="L1596" s="17">
        <v>3.8</v>
      </c>
      <c r="M1596" s="2" t="b">
        <v>0</v>
      </c>
      <c r="N1596" s="2"/>
      <c r="O1596" s="2" t="str">
        <f>IF(Table1[[#This Row],[is_returned]]=TRUE,IF(Table1[[#This Row],[return_reason]]="","Error","OK"),"OK")</f>
        <v>OK</v>
      </c>
      <c r="P1596" s="8">
        <f>Table1[[#This Row],[original_price]]*Table1[[#This Row],[markdown_percentage]]/100</f>
        <v>0</v>
      </c>
      <c r="Q159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596" s="25">
        <f>Table1[[#This Row],[current_price]]*Table1[[#This Row],[stock_quantity]]</f>
        <v>3890.9</v>
      </c>
    </row>
    <row r="1597" spans="1:18" x14ac:dyDescent="0.25">
      <c r="A1597" s="2" t="s">
        <v>1650</v>
      </c>
      <c r="B1597" s="2" t="s">
        <v>30</v>
      </c>
      <c r="C1597" s="2" t="s">
        <v>16</v>
      </c>
      <c r="D1597" s="2" t="s">
        <v>17</v>
      </c>
      <c r="E1597" s="2" t="s">
        <v>39</v>
      </c>
      <c r="F1597" s="2" t="s">
        <v>35</v>
      </c>
      <c r="G1597" s="8">
        <v>83.17</v>
      </c>
      <c r="H1597" s="11">
        <v>0</v>
      </c>
      <c r="I1597" s="8">
        <v>83.17</v>
      </c>
      <c r="J1597" s="3">
        <v>45538</v>
      </c>
      <c r="K1597" s="14">
        <v>48</v>
      </c>
      <c r="L1597" s="17">
        <v>3.2</v>
      </c>
      <c r="M1597" s="2" t="b">
        <v>0</v>
      </c>
      <c r="N1597" s="2"/>
      <c r="O1597" s="2" t="str">
        <f>IF(Table1[[#This Row],[is_returned]]=TRUE,IF(Table1[[#This Row],[return_reason]]="","Error","OK"),"OK")</f>
        <v>OK</v>
      </c>
      <c r="P1597" s="8">
        <f>Table1[[#This Row],[original_price]]*Table1[[#This Row],[markdown_percentage]]/100</f>
        <v>0</v>
      </c>
      <c r="Q159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597" s="25">
        <f>Table1[[#This Row],[current_price]]*Table1[[#This Row],[stock_quantity]]</f>
        <v>3992.16</v>
      </c>
    </row>
    <row r="1598" spans="1:18" x14ac:dyDescent="0.25">
      <c r="A1598" s="2" t="s">
        <v>1651</v>
      </c>
      <c r="B1598" s="2" t="s">
        <v>15</v>
      </c>
      <c r="C1598" s="2" t="s">
        <v>48</v>
      </c>
      <c r="D1598" s="2" t="s">
        <v>34</v>
      </c>
      <c r="E1598" s="2" t="s">
        <v>18</v>
      </c>
      <c r="F1598" s="2" t="s">
        <v>44</v>
      </c>
      <c r="G1598" s="8">
        <v>121.56</v>
      </c>
      <c r="H1598" s="11">
        <v>0</v>
      </c>
      <c r="I1598" s="8">
        <v>121.56</v>
      </c>
      <c r="J1598" s="3">
        <v>45875</v>
      </c>
      <c r="K1598" s="14">
        <v>18</v>
      </c>
      <c r="L1598" s="17">
        <v>3.3</v>
      </c>
      <c r="M1598" s="2" t="b">
        <v>0</v>
      </c>
      <c r="N1598" s="2"/>
      <c r="O1598" s="2" t="str">
        <f>IF(Table1[[#This Row],[is_returned]]=TRUE,IF(Table1[[#This Row],[return_reason]]="","Error","OK"),"OK")</f>
        <v>OK</v>
      </c>
      <c r="P1598" s="8">
        <f>Table1[[#This Row],[original_price]]*Table1[[#This Row],[markdown_percentage]]/100</f>
        <v>0</v>
      </c>
      <c r="Q159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598" s="25">
        <f>Table1[[#This Row],[current_price]]*Table1[[#This Row],[stock_quantity]]</f>
        <v>2188.08</v>
      </c>
    </row>
    <row r="1599" spans="1:18" x14ac:dyDescent="0.25">
      <c r="A1599" s="2" t="s">
        <v>1652</v>
      </c>
      <c r="B1599" s="2" t="s">
        <v>38</v>
      </c>
      <c r="C1599" s="2" t="s">
        <v>16</v>
      </c>
      <c r="D1599" s="2" t="s">
        <v>23</v>
      </c>
      <c r="E1599" s="2" t="s">
        <v>58</v>
      </c>
      <c r="F1599" s="2" t="s">
        <v>66</v>
      </c>
      <c r="G1599" s="8">
        <v>48.62</v>
      </c>
      <c r="H1599" s="11">
        <v>0</v>
      </c>
      <c r="I1599" s="8">
        <v>48.62</v>
      </c>
      <c r="J1599" s="3">
        <v>45875</v>
      </c>
      <c r="K1599" s="14">
        <v>3</v>
      </c>
      <c r="L1599" s="17"/>
      <c r="M1599" s="2" t="b">
        <v>1</v>
      </c>
      <c r="N1599" s="2" t="s">
        <v>78</v>
      </c>
      <c r="O1599" s="2" t="str">
        <f>IF(Table1[[#This Row],[is_returned]]=TRUE,IF(Table1[[#This Row],[return_reason]]="","Error","OK"),"OK")</f>
        <v>OK</v>
      </c>
      <c r="P1599" s="8">
        <f>Table1[[#This Row],[original_price]]*Table1[[#This Row],[markdown_percentage]]/100</f>
        <v>0</v>
      </c>
      <c r="Q159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599" s="25">
        <f>Table1[[#This Row],[current_price]]*Table1[[#This Row],[stock_quantity]]</f>
        <v>145.85999999999999</v>
      </c>
    </row>
    <row r="1600" spans="1:18" x14ac:dyDescent="0.25">
      <c r="A1600" s="2" t="s">
        <v>1653</v>
      </c>
      <c r="B1600" s="2" t="s">
        <v>42</v>
      </c>
      <c r="C1600" s="2" t="s">
        <v>53</v>
      </c>
      <c r="D1600" s="2" t="s">
        <v>23</v>
      </c>
      <c r="E1600" s="2" t="s">
        <v>58</v>
      </c>
      <c r="F1600" s="2" t="s">
        <v>44</v>
      </c>
      <c r="G1600" s="8">
        <v>79.040000000000006</v>
      </c>
      <c r="H1600" s="11">
        <v>0</v>
      </c>
      <c r="I1600" s="8">
        <v>79.040000000000006</v>
      </c>
      <c r="J1600" s="3">
        <v>45875</v>
      </c>
      <c r="K1600" s="14">
        <v>4</v>
      </c>
      <c r="L1600" s="17">
        <v>4.0999999999999996</v>
      </c>
      <c r="M1600" s="2" t="b">
        <v>0</v>
      </c>
      <c r="N1600" s="2"/>
      <c r="O1600" s="2" t="str">
        <f>IF(Table1[[#This Row],[is_returned]]=TRUE,IF(Table1[[#This Row],[return_reason]]="","Error","OK"),"OK")</f>
        <v>OK</v>
      </c>
      <c r="P1600" s="8">
        <f>Table1[[#This Row],[original_price]]*Table1[[#This Row],[markdown_percentage]]/100</f>
        <v>0</v>
      </c>
      <c r="Q160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600" s="25">
        <f>Table1[[#This Row],[current_price]]*Table1[[#This Row],[stock_quantity]]</f>
        <v>316.16000000000003</v>
      </c>
    </row>
    <row r="1601" spans="1:18" x14ac:dyDescent="0.25">
      <c r="A1601" s="2" t="s">
        <v>1654</v>
      </c>
      <c r="B1601" s="2" t="s">
        <v>15</v>
      </c>
      <c r="C1601" s="2" t="s">
        <v>43</v>
      </c>
      <c r="D1601" s="2" t="s">
        <v>17</v>
      </c>
      <c r="E1601" s="2" t="s">
        <v>55</v>
      </c>
      <c r="F1601" s="2" t="s">
        <v>40</v>
      </c>
      <c r="G1601" s="8">
        <v>198.58</v>
      </c>
      <c r="H1601" s="11">
        <v>0</v>
      </c>
      <c r="I1601" s="8">
        <v>198.58</v>
      </c>
      <c r="J1601" s="3">
        <v>45681</v>
      </c>
      <c r="K1601" s="14">
        <v>46</v>
      </c>
      <c r="L1601" s="17"/>
      <c r="M1601" s="2" t="b">
        <v>0</v>
      </c>
      <c r="N1601" s="2"/>
      <c r="O1601" s="2" t="str">
        <f>IF(Table1[[#This Row],[is_returned]]=TRUE,IF(Table1[[#This Row],[return_reason]]="","Error","OK"),"OK")</f>
        <v>OK</v>
      </c>
      <c r="P1601" s="8">
        <f>Table1[[#This Row],[original_price]]*Table1[[#This Row],[markdown_percentage]]/100</f>
        <v>0</v>
      </c>
      <c r="Q160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601" s="25">
        <f>Table1[[#This Row],[current_price]]*Table1[[#This Row],[stock_quantity]]</f>
        <v>9134.68</v>
      </c>
    </row>
    <row r="1602" spans="1:18" x14ac:dyDescent="0.25">
      <c r="A1602" s="2" t="s">
        <v>1655</v>
      </c>
      <c r="B1602" s="2" t="s">
        <v>15</v>
      </c>
      <c r="C1602" s="2" t="s">
        <v>32</v>
      </c>
      <c r="D1602" s="2" t="s">
        <v>62</v>
      </c>
      <c r="E1602" s="2" t="s">
        <v>58</v>
      </c>
      <c r="F1602" s="2" t="s">
        <v>46</v>
      </c>
      <c r="G1602" s="8">
        <v>109.82</v>
      </c>
      <c r="H1602" s="11">
        <v>0</v>
      </c>
      <c r="I1602" s="8">
        <v>109.82</v>
      </c>
      <c r="J1602" s="3">
        <v>45875</v>
      </c>
      <c r="K1602" s="14">
        <v>32</v>
      </c>
      <c r="L1602" s="17">
        <v>2.2999999999999998</v>
      </c>
      <c r="M1602" s="2" t="b">
        <v>0</v>
      </c>
      <c r="N1602" s="2"/>
      <c r="O1602" s="2" t="str">
        <f>IF(Table1[[#This Row],[is_returned]]=TRUE,IF(Table1[[#This Row],[return_reason]]="","Error","OK"),"OK")</f>
        <v>OK</v>
      </c>
      <c r="P1602" s="8">
        <f>Table1[[#This Row],[original_price]]*Table1[[#This Row],[markdown_percentage]]/100</f>
        <v>0</v>
      </c>
      <c r="Q160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602" s="25">
        <f>Table1[[#This Row],[current_price]]*Table1[[#This Row],[stock_quantity]]</f>
        <v>3514.24</v>
      </c>
    </row>
    <row r="1603" spans="1:18" x14ac:dyDescent="0.25">
      <c r="A1603" s="2" t="s">
        <v>1656</v>
      </c>
      <c r="B1603" s="2" t="s">
        <v>27</v>
      </c>
      <c r="C1603" s="2" t="s">
        <v>32</v>
      </c>
      <c r="D1603" s="2" t="s">
        <v>62</v>
      </c>
      <c r="E1603" s="2"/>
      <c r="F1603" s="2" t="s">
        <v>19</v>
      </c>
      <c r="G1603" s="8">
        <v>34.42</v>
      </c>
      <c r="H1603" s="11">
        <v>49.5</v>
      </c>
      <c r="I1603" s="8">
        <v>17.38</v>
      </c>
      <c r="J1603" s="3">
        <v>45875</v>
      </c>
      <c r="K1603" s="14">
        <v>26</v>
      </c>
      <c r="L1603" s="17">
        <v>2.2000000000000002</v>
      </c>
      <c r="M1603" s="2" t="b">
        <v>0</v>
      </c>
      <c r="N1603" s="2"/>
      <c r="O1603" s="2" t="str">
        <f>IF(Table1[[#This Row],[is_returned]]=TRUE,IF(Table1[[#This Row],[return_reason]]="","Error","OK"),"OK")</f>
        <v>OK</v>
      </c>
      <c r="P1603" s="8">
        <f>Table1[[#This Row],[original_price]]*Table1[[#This Row],[markdown_percentage]]/100</f>
        <v>17.0379</v>
      </c>
      <c r="Q160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603" s="25">
        <f>Table1[[#This Row],[current_price]]*Table1[[#This Row],[stock_quantity]]</f>
        <v>451.88</v>
      </c>
    </row>
    <row r="1604" spans="1:18" x14ac:dyDescent="0.25">
      <c r="A1604" s="2" t="s">
        <v>1657</v>
      </c>
      <c r="B1604" s="2" t="s">
        <v>30</v>
      </c>
      <c r="C1604" s="2" t="s">
        <v>16</v>
      </c>
      <c r="D1604" s="2" t="s">
        <v>23</v>
      </c>
      <c r="E1604" s="2"/>
      <c r="F1604" s="2" t="s">
        <v>40</v>
      </c>
      <c r="G1604" s="8">
        <v>112.1</v>
      </c>
      <c r="H1604" s="11">
        <v>0</v>
      </c>
      <c r="I1604" s="8">
        <v>112.1</v>
      </c>
      <c r="J1604" s="3">
        <v>45875</v>
      </c>
      <c r="K1604" s="14">
        <v>5</v>
      </c>
      <c r="L1604" s="17">
        <v>2</v>
      </c>
      <c r="M1604" s="2" t="b">
        <v>1</v>
      </c>
      <c r="N1604" s="2" t="s">
        <v>36</v>
      </c>
      <c r="O1604" s="2" t="str">
        <f>IF(Table1[[#This Row],[is_returned]]=TRUE,IF(Table1[[#This Row],[return_reason]]="","Error","OK"),"OK")</f>
        <v>OK</v>
      </c>
      <c r="P1604" s="8">
        <f>Table1[[#This Row],[original_price]]*Table1[[#This Row],[markdown_percentage]]/100</f>
        <v>0</v>
      </c>
      <c r="Q160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604" s="25">
        <f>Table1[[#This Row],[current_price]]*Table1[[#This Row],[stock_quantity]]</f>
        <v>560.5</v>
      </c>
    </row>
    <row r="1605" spans="1:18" x14ac:dyDescent="0.25">
      <c r="A1605" s="2" t="s">
        <v>1658</v>
      </c>
      <c r="B1605" s="2" t="s">
        <v>38</v>
      </c>
      <c r="C1605" s="2" t="s">
        <v>61</v>
      </c>
      <c r="D1605" s="2" t="s">
        <v>34</v>
      </c>
      <c r="E1605" s="2" t="s">
        <v>55</v>
      </c>
      <c r="F1605" s="2" t="s">
        <v>35</v>
      </c>
      <c r="G1605" s="8">
        <v>25.07</v>
      </c>
      <c r="H1605" s="11">
        <v>0</v>
      </c>
      <c r="I1605" s="8">
        <v>25.07</v>
      </c>
      <c r="J1605" s="3">
        <v>45875</v>
      </c>
      <c r="K1605" s="14">
        <v>9</v>
      </c>
      <c r="L1605" s="17">
        <v>2.5</v>
      </c>
      <c r="M1605" s="2" t="b">
        <v>0</v>
      </c>
      <c r="N1605" s="2"/>
      <c r="O1605" s="2" t="str">
        <f>IF(Table1[[#This Row],[is_returned]]=TRUE,IF(Table1[[#This Row],[return_reason]]="","Error","OK"),"OK")</f>
        <v>OK</v>
      </c>
      <c r="P1605" s="8">
        <f>Table1[[#This Row],[original_price]]*Table1[[#This Row],[markdown_percentage]]/100</f>
        <v>0</v>
      </c>
      <c r="Q160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605" s="25">
        <f>Table1[[#This Row],[current_price]]*Table1[[#This Row],[stock_quantity]]</f>
        <v>225.63</v>
      </c>
    </row>
    <row r="1606" spans="1:18" x14ac:dyDescent="0.25">
      <c r="A1606" s="2" t="s">
        <v>1659</v>
      </c>
      <c r="B1606" s="2" t="s">
        <v>42</v>
      </c>
      <c r="C1606" s="2" t="s">
        <v>22</v>
      </c>
      <c r="D1606" s="2" t="s">
        <v>17</v>
      </c>
      <c r="E1606" s="2" t="s">
        <v>18</v>
      </c>
      <c r="F1606" s="2" t="s">
        <v>46</v>
      </c>
      <c r="G1606" s="8">
        <v>170.38</v>
      </c>
      <c r="H1606" s="11">
        <v>0</v>
      </c>
      <c r="I1606" s="8">
        <v>170.38</v>
      </c>
      <c r="J1606" s="3">
        <v>45540</v>
      </c>
      <c r="K1606" s="14">
        <v>23</v>
      </c>
      <c r="L1606" s="17">
        <v>4.3</v>
      </c>
      <c r="M1606" s="2" t="b">
        <v>0</v>
      </c>
      <c r="N1606" s="2"/>
      <c r="O1606" s="2" t="str">
        <f>IF(Table1[[#This Row],[is_returned]]=TRUE,IF(Table1[[#This Row],[return_reason]]="","Error","OK"),"OK")</f>
        <v>OK</v>
      </c>
      <c r="P1606" s="8">
        <f>Table1[[#This Row],[original_price]]*Table1[[#This Row],[markdown_percentage]]/100</f>
        <v>0</v>
      </c>
      <c r="Q160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606" s="25">
        <f>Table1[[#This Row],[current_price]]*Table1[[#This Row],[stock_quantity]]</f>
        <v>3918.74</v>
      </c>
    </row>
    <row r="1607" spans="1:18" x14ac:dyDescent="0.25">
      <c r="A1607" s="2" t="s">
        <v>1660</v>
      </c>
      <c r="B1607" s="2" t="s">
        <v>42</v>
      </c>
      <c r="C1607" s="2" t="s">
        <v>43</v>
      </c>
      <c r="D1607" s="2" t="s">
        <v>23</v>
      </c>
      <c r="E1607" s="2" t="s">
        <v>49</v>
      </c>
      <c r="F1607" s="2" t="s">
        <v>46</v>
      </c>
      <c r="G1607" s="8">
        <v>77.319999999999993</v>
      </c>
      <c r="H1607" s="11">
        <v>0</v>
      </c>
      <c r="I1607" s="8">
        <v>77.319999999999993</v>
      </c>
      <c r="J1607" s="3">
        <v>45875</v>
      </c>
      <c r="K1607" s="14">
        <v>30</v>
      </c>
      <c r="L1607" s="17">
        <v>2.2000000000000002</v>
      </c>
      <c r="M1607" s="2" t="b">
        <v>1</v>
      </c>
      <c r="N1607" s="2" t="s">
        <v>36</v>
      </c>
      <c r="O1607" s="2" t="str">
        <f>IF(Table1[[#This Row],[is_returned]]=TRUE,IF(Table1[[#This Row],[return_reason]]="","Error","OK"),"OK")</f>
        <v>OK</v>
      </c>
      <c r="P1607" s="8">
        <f>Table1[[#This Row],[original_price]]*Table1[[#This Row],[markdown_percentage]]/100</f>
        <v>0</v>
      </c>
      <c r="Q160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607" s="25">
        <f>Table1[[#This Row],[current_price]]*Table1[[#This Row],[stock_quantity]]</f>
        <v>2319.6</v>
      </c>
    </row>
    <row r="1608" spans="1:18" x14ac:dyDescent="0.25">
      <c r="A1608" s="2" t="s">
        <v>1661</v>
      </c>
      <c r="B1608" s="2" t="s">
        <v>30</v>
      </c>
      <c r="C1608" s="2" t="s">
        <v>43</v>
      </c>
      <c r="D1608" s="2" t="s">
        <v>23</v>
      </c>
      <c r="E1608" s="2" t="s">
        <v>55</v>
      </c>
      <c r="F1608" s="2" t="s">
        <v>28</v>
      </c>
      <c r="G1608" s="8">
        <v>111.88</v>
      </c>
      <c r="H1608" s="11">
        <v>0</v>
      </c>
      <c r="I1608" s="8">
        <v>111.88</v>
      </c>
      <c r="J1608" s="3">
        <v>45875</v>
      </c>
      <c r="K1608" s="14">
        <v>17</v>
      </c>
      <c r="L1608" s="17">
        <v>4.5999999999999996</v>
      </c>
      <c r="M1608" s="2" t="b">
        <v>0</v>
      </c>
      <c r="N1608" s="2"/>
      <c r="O1608" s="2" t="str">
        <f>IF(Table1[[#This Row],[is_returned]]=TRUE,IF(Table1[[#This Row],[return_reason]]="","Error","OK"),"OK")</f>
        <v>OK</v>
      </c>
      <c r="P1608" s="8">
        <f>Table1[[#This Row],[original_price]]*Table1[[#This Row],[markdown_percentage]]/100</f>
        <v>0</v>
      </c>
      <c r="Q160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608" s="25">
        <f>Table1[[#This Row],[current_price]]*Table1[[#This Row],[stock_quantity]]</f>
        <v>1901.96</v>
      </c>
    </row>
    <row r="1609" spans="1:18" x14ac:dyDescent="0.25">
      <c r="A1609" s="2" t="s">
        <v>1662</v>
      </c>
      <c r="B1609" s="2" t="s">
        <v>27</v>
      </c>
      <c r="C1609" s="2" t="s">
        <v>75</v>
      </c>
      <c r="D1609" s="2" t="s">
        <v>34</v>
      </c>
      <c r="E1609" s="2"/>
      <c r="F1609" s="2" t="s">
        <v>28</v>
      </c>
      <c r="G1609" s="8">
        <v>24.71</v>
      </c>
      <c r="H1609" s="11">
        <v>0</v>
      </c>
      <c r="I1609" s="8">
        <v>24.71</v>
      </c>
      <c r="J1609" s="3">
        <v>45875</v>
      </c>
      <c r="K1609" s="14">
        <v>37</v>
      </c>
      <c r="L1609" s="17"/>
      <c r="M1609" s="2" t="b">
        <v>0</v>
      </c>
      <c r="N1609" s="2"/>
      <c r="O1609" s="2" t="str">
        <f>IF(Table1[[#This Row],[is_returned]]=TRUE,IF(Table1[[#This Row],[return_reason]]="","Error","OK"),"OK")</f>
        <v>OK</v>
      </c>
      <c r="P1609" s="8">
        <f>Table1[[#This Row],[original_price]]*Table1[[#This Row],[markdown_percentage]]/100</f>
        <v>0</v>
      </c>
      <c r="Q160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609" s="25">
        <f>Table1[[#This Row],[current_price]]*Table1[[#This Row],[stock_quantity]]</f>
        <v>914.27</v>
      </c>
    </row>
    <row r="1610" spans="1:18" x14ac:dyDescent="0.25">
      <c r="A1610" s="2" t="s">
        <v>1663</v>
      </c>
      <c r="B1610" s="2" t="s">
        <v>21</v>
      </c>
      <c r="C1610" s="2" t="s">
        <v>22</v>
      </c>
      <c r="D1610" s="2" t="s">
        <v>17</v>
      </c>
      <c r="E1610" s="2" t="s">
        <v>18</v>
      </c>
      <c r="F1610" s="2" t="s">
        <v>19</v>
      </c>
      <c r="G1610" s="8">
        <v>61.42</v>
      </c>
      <c r="H1610" s="11">
        <v>0</v>
      </c>
      <c r="I1610" s="8">
        <v>61.42</v>
      </c>
      <c r="J1610" s="3">
        <v>45526</v>
      </c>
      <c r="K1610" s="14">
        <v>41</v>
      </c>
      <c r="L1610" s="17">
        <v>3.5</v>
      </c>
      <c r="M1610" s="2" t="b">
        <v>0</v>
      </c>
      <c r="N1610" s="2"/>
      <c r="O1610" s="2" t="str">
        <f>IF(Table1[[#This Row],[is_returned]]=TRUE,IF(Table1[[#This Row],[return_reason]]="","Error","OK"),"OK")</f>
        <v>OK</v>
      </c>
      <c r="P1610" s="8">
        <f>Table1[[#This Row],[original_price]]*Table1[[#This Row],[markdown_percentage]]/100</f>
        <v>0</v>
      </c>
      <c r="Q161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610" s="25">
        <f>Table1[[#This Row],[current_price]]*Table1[[#This Row],[stock_quantity]]</f>
        <v>2518.2200000000003</v>
      </c>
    </row>
    <row r="1611" spans="1:18" x14ac:dyDescent="0.25">
      <c r="A1611" s="2" t="s">
        <v>1664</v>
      </c>
      <c r="B1611" s="2" t="s">
        <v>27</v>
      </c>
      <c r="C1611" s="2" t="s">
        <v>61</v>
      </c>
      <c r="D1611" s="2" t="s">
        <v>34</v>
      </c>
      <c r="E1611" s="2"/>
      <c r="F1611" s="2" t="s">
        <v>44</v>
      </c>
      <c r="G1611" s="8">
        <v>60.48</v>
      </c>
      <c r="H1611" s="11">
        <v>7.3</v>
      </c>
      <c r="I1611" s="8">
        <v>56.06</v>
      </c>
      <c r="J1611" s="3">
        <v>45875</v>
      </c>
      <c r="K1611" s="14">
        <v>46</v>
      </c>
      <c r="L1611" s="17">
        <v>3.6</v>
      </c>
      <c r="M1611" s="2" t="b">
        <v>0</v>
      </c>
      <c r="N1611" s="2"/>
      <c r="O1611" s="2" t="str">
        <f>IF(Table1[[#This Row],[is_returned]]=TRUE,IF(Table1[[#This Row],[return_reason]]="","Error","OK"),"OK")</f>
        <v>OK</v>
      </c>
      <c r="P1611" s="8">
        <f>Table1[[#This Row],[original_price]]*Table1[[#This Row],[markdown_percentage]]/100</f>
        <v>4.4150399999999994</v>
      </c>
      <c r="Q161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611" s="25">
        <f>Table1[[#This Row],[current_price]]*Table1[[#This Row],[stock_quantity]]</f>
        <v>2578.7600000000002</v>
      </c>
    </row>
    <row r="1612" spans="1:18" x14ac:dyDescent="0.25">
      <c r="A1612" s="2" t="s">
        <v>1665</v>
      </c>
      <c r="B1612" s="2" t="s">
        <v>27</v>
      </c>
      <c r="C1612" s="2" t="s">
        <v>43</v>
      </c>
      <c r="D1612" s="2" t="s">
        <v>34</v>
      </c>
      <c r="E1612" s="2"/>
      <c r="F1612" s="2" t="s">
        <v>66</v>
      </c>
      <c r="G1612" s="8">
        <v>34.94</v>
      </c>
      <c r="H1612" s="11">
        <v>5.2</v>
      </c>
      <c r="I1612" s="8">
        <v>33.119999999999997</v>
      </c>
      <c r="J1612" s="3">
        <v>45875</v>
      </c>
      <c r="K1612" s="14">
        <v>18</v>
      </c>
      <c r="L1612" s="17"/>
      <c r="M1612" s="2" t="b">
        <v>0</v>
      </c>
      <c r="N1612" s="2"/>
      <c r="O1612" s="2" t="str">
        <f>IF(Table1[[#This Row],[is_returned]]=TRUE,IF(Table1[[#This Row],[return_reason]]="","Error","OK"),"OK")</f>
        <v>OK</v>
      </c>
      <c r="P1612" s="8">
        <f>Table1[[#This Row],[original_price]]*Table1[[#This Row],[markdown_percentage]]/100</f>
        <v>1.8168799999999998</v>
      </c>
      <c r="Q161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612" s="25">
        <f>Table1[[#This Row],[current_price]]*Table1[[#This Row],[stock_quantity]]</f>
        <v>596.16</v>
      </c>
    </row>
    <row r="1613" spans="1:18" x14ac:dyDescent="0.25">
      <c r="A1613" s="2" t="s">
        <v>1666</v>
      </c>
      <c r="B1613" s="2" t="s">
        <v>38</v>
      </c>
      <c r="C1613" s="2" t="s">
        <v>32</v>
      </c>
      <c r="D1613" s="2" t="s">
        <v>17</v>
      </c>
      <c r="E1613" s="2" t="s">
        <v>18</v>
      </c>
      <c r="F1613" s="2" t="s">
        <v>19</v>
      </c>
      <c r="G1613" s="8">
        <v>30.51</v>
      </c>
      <c r="H1613" s="11">
        <v>0</v>
      </c>
      <c r="I1613" s="8">
        <v>30.51</v>
      </c>
      <c r="J1613" s="3">
        <v>45671</v>
      </c>
      <c r="K1613" s="14">
        <v>17</v>
      </c>
      <c r="L1613" s="17">
        <v>1.2</v>
      </c>
      <c r="M1613" s="2" t="b">
        <v>0</v>
      </c>
      <c r="N1613" s="2"/>
      <c r="O1613" s="2" t="str">
        <f>IF(Table1[[#This Row],[is_returned]]=TRUE,IF(Table1[[#This Row],[return_reason]]="","Error","OK"),"OK")</f>
        <v>OK</v>
      </c>
      <c r="P1613" s="8">
        <f>Table1[[#This Row],[original_price]]*Table1[[#This Row],[markdown_percentage]]/100</f>
        <v>0</v>
      </c>
      <c r="Q161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613" s="25">
        <f>Table1[[#This Row],[current_price]]*Table1[[#This Row],[stock_quantity]]</f>
        <v>518.67000000000007</v>
      </c>
    </row>
    <row r="1614" spans="1:18" x14ac:dyDescent="0.25">
      <c r="A1614" s="2" t="s">
        <v>1667</v>
      </c>
      <c r="B1614" s="2" t="s">
        <v>42</v>
      </c>
      <c r="C1614" s="2" t="s">
        <v>32</v>
      </c>
      <c r="D1614" s="2" t="s">
        <v>23</v>
      </c>
      <c r="E1614" s="2" t="s">
        <v>49</v>
      </c>
      <c r="F1614" s="2" t="s">
        <v>64</v>
      </c>
      <c r="G1614" s="8">
        <v>65.540000000000006</v>
      </c>
      <c r="H1614" s="11">
        <v>40.299999999999997</v>
      </c>
      <c r="I1614" s="8">
        <v>39.130000000000003</v>
      </c>
      <c r="J1614" s="3">
        <v>45875</v>
      </c>
      <c r="K1614" s="14">
        <v>27</v>
      </c>
      <c r="L1614" s="17">
        <v>1.2</v>
      </c>
      <c r="M1614" s="2" t="b">
        <v>0</v>
      </c>
      <c r="N1614" s="2"/>
      <c r="O1614" s="2" t="str">
        <f>IF(Table1[[#This Row],[is_returned]]=TRUE,IF(Table1[[#This Row],[return_reason]]="","Error","OK"),"OK")</f>
        <v>OK</v>
      </c>
      <c r="P1614" s="8">
        <f>Table1[[#This Row],[original_price]]*Table1[[#This Row],[markdown_percentage]]/100</f>
        <v>26.41262</v>
      </c>
      <c r="Q161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614" s="25">
        <f>Table1[[#This Row],[current_price]]*Table1[[#This Row],[stock_quantity]]</f>
        <v>1056.51</v>
      </c>
    </row>
    <row r="1615" spans="1:18" x14ac:dyDescent="0.25">
      <c r="A1615" s="2" t="s">
        <v>1668</v>
      </c>
      <c r="B1615" s="2" t="s">
        <v>30</v>
      </c>
      <c r="C1615" s="2" t="s">
        <v>75</v>
      </c>
      <c r="D1615" s="2" t="s">
        <v>62</v>
      </c>
      <c r="E1615" s="2" t="s">
        <v>39</v>
      </c>
      <c r="F1615" s="2" t="s">
        <v>56</v>
      </c>
      <c r="G1615" s="8">
        <v>114.37</v>
      </c>
      <c r="H1615" s="11">
        <v>43.2</v>
      </c>
      <c r="I1615" s="8">
        <v>64.959999999999994</v>
      </c>
      <c r="J1615" s="3">
        <v>45875</v>
      </c>
      <c r="K1615" s="14">
        <v>16</v>
      </c>
      <c r="L1615" s="17">
        <v>1.4</v>
      </c>
      <c r="M1615" s="2" t="b">
        <v>0</v>
      </c>
      <c r="N1615" s="2"/>
      <c r="O1615" s="2" t="str">
        <f>IF(Table1[[#This Row],[is_returned]]=TRUE,IF(Table1[[#This Row],[return_reason]]="","Error","OK"),"OK")</f>
        <v>OK</v>
      </c>
      <c r="P1615" s="8">
        <f>Table1[[#This Row],[original_price]]*Table1[[#This Row],[markdown_percentage]]/100</f>
        <v>49.407840000000007</v>
      </c>
      <c r="Q161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615" s="25">
        <f>Table1[[#This Row],[current_price]]*Table1[[#This Row],[stock_quantity]]</f>
        <v>1039.3599999999999</v>
      </c>
    </row>
    <row r="1616" spans="1:18" x14ac:dyDescent="0.25">
      <c r="A1616" s="2" t="s">
        <v>1669</v>
      </c>
      <c r="B1616" s="2" t="s">
        <v>42</v>
      </c>
      <c r="C1616" s="2" t="s">
        <v>43</v>
      </c>
      <c r="D1616" s="2" t="s">
        <v>17</v>
      </c>
      <c r="E1616" s="2" t="s">
        <v>39</v>
      </c>
      <c r="F1616" s="2" t="s">
        <v>35</v>
      </c>
      <c r="G1616" s="8">
        <v>145.80000000000001</v>
      </c>
      <c r="H1616" s="11">
        <v>0</v>
      </c>
      <c r="I1616" s="8">
        <v>145.80000000000001</v>
      </c>
      <c r="J1616" s="3">
        <v>45562</v>
      </c>
      <c r="K1616" s="14">
        <v>13</v>
      </c>
      <c r="L1616" s="17">
        <v>4</v>
      </c>
      <c r="M1616" s="2" t="b">
        <v>0</v>
      </c>
      <c r="N1616" s="2"/>
      <c r="O1616" s="2" t="str">
        <f>IF(Table1[[#This Row],[is_returned]]=TRUE,IF(Table1[[#This Row],[return_reason]]="","Error","OK"),"OK")</f>
        <v>OK</v>
      </c>
      <c r="P1616" s="8">
        <f>Table1[[#This Row],[original_price]]*Table1[[#This Row],[markdown_percentage]]/100</f>
        <v>0</v>
      </c>
      <c r="Q161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616" s="25">
        <f>Table1[[#This Row],[current_price]]*Table1[[#This Row],[stock_quantity]]</f>
        <v>1895.4</v>
      </c>
    </row>
    <row r="1617" spans="1:18" x14ac:dyDescent="0.25">
      <c r="A1617" s="2" t="s">
        <v>1670</v>
      </c>
      <c r="B1617" s="2" t="s">
        <v>30</v>
      </c>
      <c r="C1617" s="2" t="s">
        <v>16</v>
      </c>
      <c r="D1617" s="2" t="s">
        <v>62</v>
      </c>
      <c r="E1617" s="2" t="s">
        <v>39</v>
      </c>
      <c r="F1617" s="2" t="s">
        <v>19</v>
      </c>
      <c r="G1617" s="8">
        <v>121.43</v>
      </c>
      <c r="H1617" s="11">
        <v>44.1</v>
      </c>
      <c r="I1617" s="8">
        <v>67.88</v>
      </c>
      <c r="J1617" s="3">
        <v>45875</v>
      </c>
      <c r="K1617" s="14">
        <v>2</v>
      </c>
      <c r="L1617" s="17">
        <v>4.4000000000000004</v>
      </c>
      <c r="M1617" s="2" t="b">
        <v>0</v>
      </c>
      <c r="N1617" s="2"/>
      <c r="O1617" s="2" t="str">
        <f>IF(Table1[[#This Row],[is_returned]]=TRUE,IF(Table1[[#This Row],[return_reason]]="","Error","OK"),"OK")</f>
        <v>OK</v>
      </c>
      <c r="P1617" s="8">
        <f>Table1[[#This Row],[original_price]]*Table1[[#This Row],[markdown_percentage]]/100</f>
        <v>53.550629999999998</v>
      </c>
      <c r="Q161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617" s="25">
        <f>Table1[[#This Row],[current_price]]*Table1[[#This Row],[stock_quantity]]</f>
        <v>135.76</v>
      </c>
    </row>
    <row r="1618" spans="1:18" x14ac:dyDescent="0.25">
      <c r="A1618" s="2" t="s">
        <v>1671</v>
      </c>
      <c r="B1618" s="2" t="s">
        <v>30</v>
      </c>
      <c r="C1618" s="2" t="s">
        <v>75</v>
      </c>
      <c r="D1618" s="2" t="s">
        <v>62</v>
      </c>
      <c r="E1618" s="2" t="s">
        <v>49</v>
      </c>
      <c r="F1618" s="2" t="s">
        <v>46</v>
      </c>
      <c r="G1618" s="8">
        <v>94.49</v>
      </c>
      <c r="H1618" s="11">
        <v>0</v>
      </c>
      <c r="I1618" s="8">
        <v>94.49</v>
      </c>
      <c r="J1618" s="3">
        <v>45875</v>
      </c>
      <c r="K1618" s="14">
        <v>30</v>
      </c>
      <c r="L1618" s="17">
        <v>1.5</v>
      </c>
      <c r="M1618" s="2" t="b">
        <v>0</v>
      </c>
      <c r="N1618" s="2"/>
      <c r="O1618" s="2" t="str">
        <f>IF(Table1[[#This Row],[is_returned]]=TRUE,IF(Table1[[#This Row],[return_reason]]="","Error","OK"),"OK")</f>
        <v>OK</v>
      </c>
      <c r="P1618" s="8">
        <f>Table1[[#This Row],[original_price]]*Table1[[#This Row],[markdown_percentage]]/100</f>
        <v>0</v>
      </c>
      <c r="Q161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618" s="25">
        <f>Table1[[#This Row],[current_price]]*Table1[[#This Row],[stock_quantity]]</f>
        <v>2834.7</v>
      </c>
    </row>
    <row r="1619" spans="1:18" x14ac:dyDescent="0.25">
      <c r="A1619" s="2" t="s">
        <v>1672</v>
      </c>
      <c r="B1619" s="2" t="s">
        <v>15</v>
      </c>
      <c r="C1619" s="2" t="s">
        <v>75</v>
      </c>
      <c r="D1619" s="2" t="s">
        <v>34</v>
      </c>
      <c r="E1619" s="2" t="s">
        <v>58</v>
      </c>
      <c r="F1619" s="2" t="s">
        <v>66</v>
      </c>
      <c r="G1619" s="8">
        <v>218.64</v>
      </c>
      <c r="H1619" s="11">
        <v>0</v>
      </c>
      <c r="I1619" s="8">
        <v>218.64</v>
      </c>
      <c r="J1619" s="3">
        <v>45875</v>
      </c>
      <c r="K1619" s="14">
        <v>5</v>
      </c>
      <c r="L1619" s="17"/>
      <c r="M1619" s="2" t="b">
        <v>0</v>
      </c>
      <c r="N1619" s="2"/>
      <c r="O1619" s="2" t="str">
        <f>IF(Table1[[#This Row],[is_returned]]=TRUE,IF(Table1[[#This Row],[return_reason]]="","Error","OK"),"OK")</f>
        <v>OK</v>
      </c>
      <c r="P1619" s="8">
        <f>Table1[[#This Row],[original_price]]*Table1[[#This Row],[markdown_percentage]]/100</f>
        <v>0</v>
      </c>
      <c r="Q161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619" s="25">
        <f>Table1[[#This Row],[current_price]]*Table1[[#This Row],[stock_quantity]]</f>
        <v>1093.1999999999998</v>
      </c>
    </row>
    <row r="1620" spans="1:18" x14ac:dyDescent="0.25">
      <c r="A1620" s="2" t="s">
        <v>1673</v>
      </c>
      <c r="B1620" s="2" t="s">
        <v>15</v>
      </c>
      <c r="C1620" s="2" t="s">
        <v>22</v>
      </c>
      <c r="D1620" s="2" t="s">
        <v>34</v>
      </c>
      <c r="E1620" s="2" t="s">
        <v>39</v>
      </c>
      <c r="F1620" s="2" t="s">
        <v>28</v>
      </c>
      <c r="G1620" s="8">
        <v>80.41</v>
      </c>
      <c r="H1620" s="11">
        <v>11.9</v>
      </c>
      <c r="I1620" s="8">
        <v>70.84</v>
      </c>
      <c r="J1620" s="3">
        <v>45875</v>
      </c>
      <c r="K1620" s="14">
        <v>35</v>
      </c>
      <c r="L1620" s="17">
        <v>1.5</v>
      </c>
      <c r="M1620" s="2" t="b">
        <v>0</v>
      </c>
      <c r="N1620" s="2"/>
      <c r="O1620" s="2" t="str">
        <f>IF(Table1[[#This Row],[is_returned]]=TRUE,IF(Table1[[#This Row],[return_reason]]="","Error","OK"),"OK")</f>
        <v>OK</v>
      </c>
      <c r="P1620" s="8">
        <f>Table1[[#This Row],[original_price]]*Table1[[#This Row],[markdown_percentage]]/100</f>
        <v>9.5687899999999999</v>
      </c>
      <c r="Q162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620" s="25">
        <f>Table1[[#This Row],[current_price]]*Table1[[#This Row],[stock_quantity]]</f>
        <v>2479.4</v>
      </c>
    </row>
    <row r="1621" spans="1:18" x14ac:dyDescent="0.25">
      <c r="A1621" s="2" t="s">
        <v>1674</v>
      </c>
      <c r="B1621" s="2" t="s">
        <v>30</v>
      </c>
      <c r="C1621" s="2" t="s">
        <v>61</v>
      </c>
      <c r="D1621" s="2" t="s">
        <v>23</v>
      </c>
      <c r="E1621" s="2" t="s">
        <v>18</v>
      </c>
      <c r="F1621" s="2" t="s">
        <v>56</v>
      </c>
      <c r="G1621" s="8">
        <v>183.3</v>
      </c>
      <c r="H1621" s="11">
        <v>0</v>
      </c>
      <c r="I1621" s="8">
        <v>183.3</v>
      </c>
      <c r="J1621" s="3">
        <v>45875</v>
      </c>
      <c r="K1621" s="14">
        <v>7</v>
      </c>
      <c r="L1621" s="17">
        <v>2</v>
      </c>
      <c r="M1621" s="2" t="b">
        <v>0</v>
      </c>
      <c r="N1621" s="2"/>
      <c r="O1621" s="2" t="str">
        <f>IF(Table1[[#This Row],[is_returned]]=TRUE,IF(Table1[[#This Row],[return_reason]]="","Error","OK"),"OK")</f>
        <v>OK</v>
      </c>
      <c r="P1621" s="8">
        <f>Table1[[#This Row],[original_price]]*Table1[[#This Row],[markdown_percentage]]/100</f>
        <v>0</v>
      </c>
      <c r="Q162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621" s="25">
        <f>Table1[[#This Row],[current_price]]*Table1[[#This Row],[stock_quantity]]</f>
        <v>1283.1000000000001</v>
      </c>
    </row>
    <row r="1622" spans="1:18" x14ac:dyDescent="0.25">
      <c r="A1622" s="2" t="s">
        <v>1675</v>
      </c>
      <c r="B1622" s="2" t="s">
        <v>15</v>
      </c>
      <c r="C1622" s="2" t="s">
        <v>22</v>
      </c>
      <c r="D1622" s="2" t="s">
        <v>34</v>
      </c>
      <c r="E1622" s="2" t="s">
        <v>55</v>
      </c>
      <c r="F1622" s="2" t="s">
        <v>35</v>
      </c>
      <c r="G1622" s="8">
        <v>241.81</v>
      </c>
      <c r="H1622" s="11">
        <v>0</v>
      </c>
      <c r="I1622" s="8">
        <v>241.81</v>
      </c>
      <c r="J1622" s="3">
        <v>45875</v>
      </c>
      <c r="K1622" s="14">
        <v>38</v>
      </c>
      <c r="L1622" s="17">
        <v>3.5</v>
      </c>
      <c r="M1622" s="2" t="b">
        <v>0</v>
      </c>
      <c r="N1622" s="2"/>
      <c r="O1622" s="2" t="str">
        <f>IF(Table1[[#This Row],[is_returned]]=TRUE,IF(Table1[[#This Row],[return_reason]]="","Error","OK"),"OK")</f>
        <v>OK</v>
      </c>
      <c r="P1622" s="8">
        <f>Table1[[#This Row],[original_price]]*Table1[[#This Row],[markdown_percentage]]/100</f>
        <v>0</v>
      </c>
      <c r="Q162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622" s="25">
        <f>Table1[[#This Row],[current_price]]*Table1[[#This Row],[stock_quantity]]</f>
        <v>9188.7800000000007</v>
      </c>
    </row>
    <row r="1623" spans="1:18" x14ac:dyDescent="0.25">
      <c r="A1623" s="2" t="s">
        <v>1676</v>
      </c>
      <c r="B1623" s="2" t="s">
        <v>15</v>
      </c>
      <c r="C1623" s="2" t="s">
        <v>43</v>
      </c>
      <c r="D1623" s="2" t="s">
        <v>17</v>
      </c>
      <c r="E1623" s="2" t="s">
        <v>55</v>
      </c>
      <c r="F1623" s="2" t="s">
        <v>35</v>
      </c>
      <c r="G1623" s="8">
        <v>216.46</v>
      </c>
      <c r="H1623" s="11">
        <v>28.8</v>
      </c>
      <c r="I1623" s="8">
        <v>154.12</v>
      </c>
      <c r="J1623" s="3">
        <v>45516</v>
      </c>
      <c r="K1623" s="14">
        <v>43</v>
      </c>
      <c r="L1623" s="17">
        <v>1.3</v>
      </c>
      <c r="M1623" s="2" t="b">
        <v>0</v>
      </c>
      <c r="N1623" s="2"/>
      <c r="O1623" s="2" t="str">
        <f>IF(Table1[[#This Row],[is_returned]]=TRUE,IF(Table1[[#This Row],[return_reason]]="","Error","OK"),"OK")</f>
        <v>OK</v>
      </c>
      <c r="P1623" s="8">
        <f>Table1[[#This Row],[original_price]]*Table1[[#This Row],[markdown_percentage]]/100</f>
        <v>62.340480000000007</v>
      </c>
      <c r="Q162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623" s="25">
        <f>Table1[[#This Row],[current_price]]*Table1[[#This Row],[stock_quantity]]</f>
        <v>6627.16</v>
      </c>
    </row>
    <row r="1624" spans="1:18" x14ac:dyDescent="0.25">
      <c r="A1624" s="2" t="s">
        <v>1677</v>
      </c>
      <c r="B1624" s="2" t="s">
        <v>42</v>
      </c>
      <c r="C1624" s="2" t="s">
        <v>22</v>
      </c>
      <c r="D1624" s="2" t="s">
        <v>17</v>
      </c>
      <c r="E1624" s="2" t="s">
        <v>39</v>
      </c>
      <c r="F1624" s="2" t="s">
        <v>25</v>
      </c>
      <c r="G1624" s="8">
        <v>63.07</v>
      </c>
      <c r="H1624" s="11">
        <v>53.6</v>
      </c>
      <c r="I1624" s="8">
        <v>29.26</v>
      </c>
      <c r="J1624" s="3">
        <v>45797</v>
      </c>
      <c r="K1624" s="14">
        <v>4</v>
      </c>
      <c r="L1624" s="17">
        <v>1.5</v>
      </c>
      <c r="M1624" s="2" t="b">
        <v>1</v>
      </c>
      <c r="N1624" s="2" t="s">
        <v>36</v>
      </c>
      <c r="O1624" s="2" t="str">
        <f>IF(Table1[[#This Row],[is_returned]]=TRUE,IF(Table1[[#This Row],[return_reason]]="","Error","OK"),"OK")</f>
        <v>OK</v>
      </c>
      <c r="P1624" s="8">
        <f>Table1[[#This Row],[original_price]]*Table1[[#This Row],[markdown_percentage]]/100</f>
        <v>33.805520000000001</v>
      </c>
      <c r="Q162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624" s="25">
        <f>Table1[[#This Row],[current_price]]*Table1[[#This Row],[stock_quantity]]</f>
        <v>117.04</v>
      </c>
    </row>
    <row r="1625" spans="1:18" x14ac:dyDescent="0.25">
      <c r="A1625" s="2" t="s">
        <v>1678</v>
      </c>
      <c r="B1625" s="2" t="s">
        <v>27</v>
      </c>
      <c r="C1625" s="2" t="s">
        <v>32</v>
      </c>
      <c r="D1625" s="2" t="s">
        <v>17</v>
      </c>
      <c r="E1625" s="2"/>
      <c r="F1625" s="2" t="s">
        <v>46</v>
      </c>
      <c r="G1625" s="8">
        <v>44.7</v>
      </c>
      <c r="H1625" s="11">
        <v>0</v>
      </c>
      <c r="I1625" s="8">
        <v>44.7</v>
      </c>
      <c r="J1625" s="3">
        <v>45733</v>
      </c>
      <c r="K1625" s="14">
        <v>29</v>
      </c>
      <c r="L1625" s="17">
        <v>3.2</v>
      </c>
      <c r="M1625" s="2" t="b">
        <v>0</v>
      </c>
      <c r="N1625" s="2"/>
      <c r="O1625" s="2" t="str">
        <f>IF(Table1[[#This Row],[is_returned]]=TRUE,IF(Table1[[#This Row],[return_reason]]="","Error","OK"),"OK")</f>
        <v>OK</v>
      </c>
      <c r="P1625" s="8">
        <f>Table1[[#This Row],[original_price]]*Table1[[#This Row],[markdown_percentage]]/100</f>
        <v>0</v>
      </c>
      <c r="Q162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625" s="25">
        <f>Table1[[#This Row],[current_price]]*Table1[[#This Row],[stock_quantity]]</f>
        <v>1296.3000000000002</v>
      </c>
    </row>
    <row r="1626" spans="1:18" x14ac:dyDescent="0.25">
      <c r="A1626" s="2" t="s">
        <v>1679</v>
      </c>
      <c r="B1626" s="2" t="s">
        <v>21</v>
      </c>
      <c r="C1626" s="2" t="s">
        <v>16</v>
      </c>
      <c r="D1626" s="2" t="s">
        <v>34</v>
      </c>
      <c r="E1626" s="2" t="s">
        <v>49</v>
      </c>
      <c r="F1626" s="2" t="s">
        <v>35</v>
      </c>
      <c r="G1626" s="8">
        <v>28.23</v>
      </c>
      <c r="H1626" s="11">
        <v>40.299999999999997</v>
      </c>
      <c r="I1626" s="8">
        <v>16.850000000000001</v>
      </c>
      <c r="J1626" s="3">
        <v>45875</v>
      </c>
      <c r="K1626" s="14">
        <v>21</v>
      </c>
      <c r="L1626" s="17">
        <v>2.7</v>
      </c>
      <c r="M1626" s="2" t="b">
        <v>0</v>
      </c>
      <c r="N1626" s="2"/>
      <c r="O1626" s="2" t="str">
        <f>IF(Table1[[#This Row],[is_returned]]=TRUE,IF(Table1[[#This Row],[return_reason]]="","Error","OK"),"OK")</f>
        <v>OK</v>
      </c>
      <c r="P1626" s="8">
        <f>Table1[[#This Row],[original_price]]*Table1[[#This Row],[markdown_percentage]]/100</f>
        <v>11.376689999999998</v>
      </c>
      <c r="Q162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626" s="25">
        <f>Table1[[#This Row],[current_price]]*Table1[[#This Row],[stock_quantity]]</f>
        <v>353.85</v>
      </c>
    </row>
    <row r="1627" spans="1:18" x14ac:dyDescent="0.25">
      <c r="A1627" s="2" t="s">
        <v>1680</v>
      </c>
      <c r="B1627" s="2" t="s">
        <v>30</v>
      </c>
      <c r="C1627" s="2" t="s">
        <v>53</v>
      </c>
      <c r="D1627" s="2" t="s">
        <v>34</v>
      </c>
      <c r="E1627" s="2" t="s">
        <v>49</v>
      </c>
      <c r="F1627" s="2" t="s">
        <v>46</v>
      </c>
      <c r="G1627" s="8">
        <v>131.94</v>
      </c>
      <c r="H1627" s="11">
        <v>27.3</v>
      </c>
      <c r="I1627" s="8">
        <v>95.92</v>
      </c>
      <c r="J1627" s="3">
        <v>45875</v>
      </c>
      <c r="K1627" s="14">
        <v>6</v>
      </c>
      <c r="L1627" s="17">
        <v>2.8</v>
      </c>
      <c r="M1627" s="2" t="b">
        <v>1</v>
      </c>
      <c r="N1627" s="2" t="s">
        <v>78</v>
      </c>
      <c r="O1627" s="2" t="str">
        <f>IF(Table1[[#This Row],[is_returned]]=TRUE,IF(Table1[[#This Row],[return_reason]]="","Error","OK"),"OK")</f>
        <v>OK</v>
      </c>
      <c r="P1627" s="8">
        <f>Table1[[#This Row],[original_price]]*Table1[[#This Row],[markdown_percentage]]/100</f>
        <v>36.019620000000003</v>
      </c>
      <c r="Q162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627" s="25">
        <f>Table1[[#This Row],[current_price]]*Table1[[#This Row],[stock_quantity]]</f>
        <v>575.52</v>
      </c>
    </row>
    <row r="1628" spans="1:18" x14ac:dyDescent="0.25">
      <c r="A1628" s="2" t="s">
        <v>1681</v>
      </c>
      <c r="B1628" s="2" t="s">
        <v>15</v>
      </c>
      <c r="C1628" s="2" t="s">
        <v>75</v>
      </c>
      <c r="D1628" s="2" t="s">
        <v>34</v>
      </c>
      <c r="E1628" s="2" t="s">
        <v>58</v>
      </c>
      <c r="F1628" s="2" t="s">
        <v>44</v>
      </c>
      <c r="G1628" s="8">
        <v>166.85</v>
      </c>
      <c r="H1628" s="11">
        <v>30.9</v>
      </c>
      <c r="I1628" s="8">
        <v>115.29</v>
      </c>
      <c r="J1628" s="3">
        <v>45875</v>
      </c>
      <c r="K1628" s="14">
        <v>14</v>
      </c>
      <c r="L1628" s="17">
        <v>4.2</v>
      </c>
      <c r="M1628" s="2" t="b">
        <v>1</v>
      </c>
      <c r="N1628" s="2" t="s">
        <v>115</v>
      </c>
      <c r="O1628" s="2" t="str">
        <f>IF(Table1[[#This Row],[is_returned]]=TRUE,IF(Table1[[#This Row],[return_reason]]="","Error","OK"),"OK")</f>
        <v>OK</v>
      </c>
      <c r="P1628" s="8">
        <f>Table1[[#This Row],[original_price]]*Table1[[#This Row],[markdown_percentage]]/100</f>
        <v>51.556649999999998</v>
      </c>
      <c r="Q162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628" s="25">
        <f>Table1[[#This Row],[current_price]]*Table1[[#This Row],[stock_quantity]]</f>
        <v>1614.0600000000002</v>
      </c>
    </row>
    <row r="1629" spans="1:18" x14ac:dyDescent="0.25">
      <c r="A1629" s="2" t="s">
        <v>1682</v>
      </c>
      <c r="B1629" s="2" t="s">
        <v>21</v>
      </c>
      <c r="C1629" s="2" t="s">
        <v>32</v>
      </c>
      <c r="D1629" s="2" t="s">
        <v>23</v>
      </c>
      <c r="E1629" s="2" t="s">
        <v>39</v>
      </c>
      <c r="F1629" s="2" t="s">
        <v>64</v>
      </c>
      <c r="G1629" s="8">
        <v>39.58</v>
      </c>
      <c r="H1629" s="11">
        <v>30.9</v>
      </c>
      <c r="I1629" s="8">
        <v>27.35</v>
      </c>
      <c r="J1629" s="3">
        <v>45875</v>
      </c>
      <c r="K1629" s="14">
        <v>17</v>
      </c>
      <c r="L1629" s="17">
        <v>2.5</v>
      </c>
      <c r="M1629" s="2" t="b">
        <v>0</v>
      </c>
      <c r="N1629" s="2"/>
      <c r="O1629" s="2" t="str">
        <f>IF(Table1[[#This Row],[is_returned]]=TRUE,IF(Table1[[#This Row],[return_reason]]="","Error","OK"),"OK")</f>
        <v>OK</v>
      </c>
      <c r="P1629" s="8">
        <f>Table1[[#This Row],[original_price]]*Table1[[#This Row],[markdown_percentage]]/100</f>
        <v>12.230219999999999</v>
      </c>
      <c r="Q162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629" s="25">
        <f>Table1[[#This Row],[current_price]]*Table1[[#This Row],[stock_quantity]]</f>
        <v>464.95000000000005</v>
      </c>
    </row>
    <row r="1630" spans="1:18" x14ac:dyDescent="0.25">
      <c r="A1630" s="2" t="s">
        <v>1683</v>
      </c>
      <c r="B1630" s="2" t="s">
        <v>15</v>
      </c>
      <c r="C1630" s="2" t="s">
        <v>22</v>
      </c>
      <c r="D1630" s="2" t="s">
        <v>62</v>
      </c>
      <c r="E1630" s="2" t="s">
        <v>58</v>
      </c>
      <c r="F1630" s="2" t="s">
        <v>44</v>
      </c>
      <c r="G1630" s="8">
        <v>89.55</v>
      </c>
      <c r="H1630" s="11">
        <v>58</v>
      </c>
      <c r="I1630" s="8">
        <v>37.61</v>
      </c>
      <c r="J1630" s="3">
        <v>45875</v>
      </c>
      <c r="K1630" s="14">
        <v>21</v>
      </c>
      <c r="L1630" s="17">
        <v>2.6</v>
      </c>
      <c r="M1630" s="2" t="b">
        <v>0</v>
      </c>
      <c r="N1630" s="2"/>
      <c r="O1630" s="2" t="str">
        <f>IF(Table1[[#This Row],[is_returned]]=TRUE,IF(Table1[[#This Row],[return_reason]]="","Error","OK"),"OK")</f>
        <v>OK</v>
      </c>
      <c r="P1630" s="8">
        <f>Table1[[#This Row],[original_price]]*Table1[[#This Row],[markdown_percentage]]/100</f>
        <v>51.938999999999993</v>
      </c>
      <c r="Q163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630" s="25">
        <f>Table1[[#This Row],[current_price]]*Table1[[#This Row],[stock_quantity]]</f>
        <v>789.81</v>
      </c>
    </row>
    <row r="1631" spans="1:18" x14ac:dyDescent="0.25">
      <c r="A1631" s="2" t="s">
        <v>1684</v>
      </c>
      <c r="B1631" s="2" t="s">
        <v>15</v>
      </c>
      <c r="C1631" s="2" t="s">
        <v>43</v>
      </c>
      <c r="D1631" s="2" t="s">
        <v>34</v>
      </c>
      <c r="E1631" s="2" t="s">
        <v>58</v>
      </c>
      <c r="F1631" s="2" t="s">
        <v>66</v>
      </c>
      <c r="G1631" s="8">
        <v>138.55000000000001</v>
      </c>
      <c r="H1631" s="11">
        <v>0</v>
      </c>
      <c r="I1631" s="8">
        <v>138.55000000000001</v>
      </c>
      <c r="J1631" s="3">
        <v>45875</v>
      </c>
      <c r="K1631" s="14">
        <v>25</v>
      </c>
      <c r="L1631" s="17">
        <v>2</v>
      </c>
      <c r="M1631" s="2" t="b">
        <v>0</v>
      </c>
      <c r="N1631" s="2"/>
      <c r="O1631" s="2" t="str">
        <f>IF(Table1[[#This Row],[is_returned]]=TRUE,IF(Table1[[#This Row],[return_reason]]="","Error","OK"),"OK")</f>
        <v>OK</v>
      </c>
      <c r="P1631" s="8">
        <f>Table1[[#This Row],[original_price]]*Table1[[#This Row],[markdown_percentage]]/100</f>
        <v>0</v>
      </c>
      <c r="Q163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631" s="25">
        <f>Table1[[#This Row],[current_price]]*Table1[[#This Row],[stock_quantity]]</f>
        <v>3463.7500000000005</v>
      </c>
    </row>
    <row r="1632" spans="1:18" x14ac:dyDescent="0.25">
      <c r="A1632" s="2" t="s">
        <v>1685</v>
      </c>
      <c r="B1632" s="2" t="s">
        <v>27</v>
      </c>
      <c r="C1632" s="2" t="s">
        <v>22</v>
      </c>
      <c r="D1632" s="2" t="s">
        <v>34</v>
      </c>
      <c r="E1632" s="2"/>
      <c r="F1632" s="2" t="s">
        <v>56</v>
      </c>
      <c r="G1632" s="8">
        <v>43.84</v>
      </c>
      <c r="H1632" s="11">
        <v>0</v>
      </c>
      <c r="I1632" s="8">
        <v>43.84</v>
      </c>
      <c r="J1632" s="3">
        <v>45875</v>
      </c>
      <c r="K1632" s="14">
        <v>28</v>
      </c>
      <c r="L1632" s="17">
        <v>2.8</v>
      </c>
      <c r="M1632" s="2" t="b">
        <v>0</v>
      </c>
      <c r="N1632" s="2"/>
      <c r="O1632" s="2" t="str">
        <f>IF(Table1[[#This Row],[is_returned]]=TRUE,IF(Table1[[#This Row],[return_reason]]="","Error","OK"),"OK")</f>
        <v>OK</v>
      </c>
      <c r="P1632" s="8">
        <f>Table1[[#This Row],[original_price]]*Table1[[#This Row],[markdown_percentage]]/100</f>
        <v>0</v>
      </c>
      <c r="Q163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632" s="25">
        <f>Table1[[#This Row],[current_price]]*Table1[[#This Row],[stock_quantity]]</f>
        <v>1227.52</v>
      </c>
    </row>
    <row r="1633" spans="1:18" x14ac:dyDescent="0.25">
      <c r="A1633" s="2" t="s">
        <v>1686</v>
      </c>
      <c r="B1633" s="2" t="s">
        <v>21</v>
      </c>
      <c r="C1633" s="2" t="s">
        <v>75</v>
      </c>
      <c r="D1633" s="2" t="s">
        <v>34</v>
      </c>
      <c r="E1633" s="2" t="s">
        <v>18</v>
      </c>
      <c r="F1633" s="2" t="s">
        <v>70</v>
      </c>
      <c r="G1633" s="8">
        <v>63.72</v>
      </c>
      <c r="H1633" s="11">
        <v>17.8</v>
      </c>
      <c r="I1633" s="8">
        <v>52.38</v>
      </c>
      <c r="J1633" s="3">
        <v>45875</v>
      </c>
      <c r="K1633" s="14">
        <v>45</v>
      </c>
      <c r="L1633" s="17">
        <v>2.4</v>
      </c>
      <c r="M1633" s="2" t="b">
        <v>0</v>
      </c>
      <c r="N1633" s="2"/>
      <c r="O1633" s="2" t="str">
        <f>IF(Table1[[#This Row],[is_returned]]=TRUE,IF(Table1[[#This Row],[return_reason]]="","Error","OK"),"OK")</f>
        <v>OK</v>
      </c>
      <c r="P1633" s="8">
        <f>Table1[[#This Row],[original_price]]*Table1[[#This Row],[markdown_percentage]]/100</f>
        <v>11.342160000000002</v>
      </c>
      <c r="Q163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633" s="25">
        <f>Table1[[#This Row],[current_price]]*Table1[[#This Row],[stock_quantity]]</f>
        <v>2357.1</v>
      </c>
    </row>
    <row r="1634" spans="1:18" x14ac:dyDescent="0.25">
      <c r="A1634" s="2" t="s">
        <v>1687</v>
      </c>
      <c r="B1634" s="2" t="s">
        <v>27</v>
      </c>
      <c r="C1634" s="2" t="s">
        <v>16</v>
      </c>
      <c r="D1634" s="2" t="s">
        <v>17</v>
      </c>
      <c r="E1634" s="2"/>
      <c r="F1634" s="2" t="s">
        <v>19</v>
      </c>
      <c r="G1634" s="8">
        <v>74.61</v>
      </c>
      <c r="H1634" s="11">
        <v>0</v>
      </c>
      <c r="I1634" s="8">
        <v>74.61</v>
      </c>
      <c r="J1634" s="3">
        <v>45775</v>
      </c>
      <c r="K1634" s="14">
        <v>38</v>
      </c>
      <c r="L1634" s="17">
        <v>2.8</v>
      </c>
      <c r="M1634" s="2" t="b">
        <v>0</v>
      </c>
      <c r="N1634" s="2"/>
      <c r="O1634" s="2" t="str">
        <f>IF(Table1[[#This Row],[is_returned]]=TRUE,IF(Table1[[#This Row],[return_reason]]="","Error","OK"),"OK")</f>
        <v>OK</v>
      </c>
      <c r="P1634" s="8">
        <f>Table1[[#This Row],[original_price]]*Table1[[#This Row],[markdown_percentage]]/100</f>
        <v>0</v>
      </c>
      <c r="Q163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634" s="25">
        <f>Table1[[#This Row],[current_price]]*Table1[[#This Row],[stock_quantity]]</f>
        <v>2835.18</v>
      </c>
    </row>
    <row r="1635" spans="1:18" x14ac:dyDescent="0.25">
      <c r="A1635" s="2" t="s">
        <v>1688</v>
      </c>
      <c r="B1635" s="2" t="s">
        <v>30</v>
      </c>
      <c r="C1635" s="2" t="s">
        <v>22</v>
      </c>
      <c r="D1635" s="2" t="s">
        <v>17</v>
      </c>
      <c r="E1635" s="2" t="s">
        <v>39</v>
      </c>
      <c r="F1635" s="2" t="s">
        <v>40</v>
      </c>
      <c r="G1635" s="8">
        <v>148.24</v>
      </c>
      <c r="H1635" s="11">
        <v>10.9</v>
      </c>
      <c r="I1635" s="8">
        <v>132.08000000000001</v>
      </c>
      <c r="J1635" s="3">
        <v>45531</v>
      </c>
      <c r="K1635" s="14">
        <v>44</v>
      </c>
      <c r="L1635" s="17">
        <v>1.3</v>
      </c>
      <c r="M1635" s="2" t="b">
        <v>0</v>
      </c>
      <c r="N1635" s="2"/>
      <c r="O1635" s="2" t="str">
        <f>IF(Table1[[#This Row],[is_returned]]=TRUE,IF(Table1[[#This Row],[return_reason]]="","Error","OK"),"OK")</f>
        <v>OK</v>
      </c>
      <c r="P1635" s="8">
        <f>Table1[[#This Row],[original_price]]*Table1[[#This Row],[markdown_percentage]]/100</f>
        <v>16.158160000000002</v>
      </c>
      <c r="Q163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635" s="25">
        <f>Table1[[#This Row],[current_price]]*Table1[[#This Row],[stock_quantity]]</f>
        <v>5811.52</v>
      </c>
    </row>
    <row r="1636" spans="1:18" x14ac:dyDescent="0.25">
      <c r="A1636" s="2" t="s">
        <v>1689</v>
      </c>
      <c r="B1636" s="2" t="s">
        <v>21</v>
      </c>
      <c r="C1636" s="2" t="s">
        <v>61</v>
      </c>
      <c r="D1636" s="2" t="s">
        <v>17</v>
      </c>
      <c r="E1636" s="2" t="s">
        <v>18</v>
      </c>
      <c r="F1636" s="2" t="s">
        <v>40</v>
      </c>
      <c r="G1636" s="8">
        <v>93.46</v>
      </c>
      <c r="H1636" s="11">
        <v>0</v>
      </c>
      <c r="I1636" s="8">
        <v>93.46</v>
      </c>
      <c r="J1636" s="3">
        <v>45700</v>
      </c>
      <c r="K1636" s="14">
        <v>20</v>
      </c>
      <c r="L1636" s="17">
        <v>2.2000000000000002</v>
      </c>
      <c r="M1636" s="2" t="b">
        <v>0</v>
      </c>
      <c r="N1636" s="2"/>
      <c r="O1636" s="2" t="str">
        <f>IF(Table1[[#This Row],[is_returned]]=TRUE,IF(Table1[[#This Row],[return_reason]]="","Error","OK"),"OK")</f>
        <v>OK</v>
      </c>
      <c r="P1636" s="8">
        <f>Table1[[#This Row],[original_price]]*Table1[[#This Row],[markdown_percentage]]/100</f>
        <v>0</v>
      </c>
      <c r="Q163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636" s="25">
        <f>Table1[[#This Row],[current_price]]*Table1[[#This Row],[stock_quantity]]</f>
        <v>1869.1999999999998</v>
      </c>
    </row>
    <row r="1637" spans="1:18" x14ac:dyDescent="0.25">
      <c r="A1637" s="2" t="s">
        <v>1690</v>
      </c>
      <c r="B1637" s="2" t="s">
        <v>15</v>
      </c>
      <c r="C1637" s="2" t="s">
        <v>22</v>
      </c>
      <c r="D1637" s="2" t="s">
        <v>62</v>
      </c>
      <c r="E1637" s="2" t="s">
        <v>49</v>
      </c>
      <c r="F1637" s="2" t="s">
        <v>19</v>
      </c>
      <c r="G1637" s="8">
        <v>245.31</v>
      </c>
      <c r="H1637" s="11">
        <v>44.1</v>
      </c>
      <c r="I1637" s="8">
        <v>137.13</v>
      </c>
      <c r="J1637" s="3">
        <v>45875</v>
      </c>
      <c r="K1637" s="14">
        <v>44</v>
      </c>
      <c r="L1637" s="17"/>
      <c r="M1637" s="2" t="b">
        <v>0</v>
      </c>
      <c r="N1637" s="2"/>
      <c r="O1637" s="2" t="str">
        <f>IF(Table1[[#This Row],[is_returned]]=TRUE,IF(Table1[[#This Row],[return_reason]]="","Error","OK"),"OK")</f>
        <v>OK</v>
      </c>
      <c r="P1637" s="8">
        <f>Table1[[#This Row],[original_price]]*Table1[[#This Row],[markdown_percentage]]/100</f>
        <v>108.18171000000001</v>
      </c>
      <c r="Q163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637" s="25">
        <f>Table1[[#This Row],[current_price]]*Table1[[#This Row],[stock_quantity]]</f>
        <v>6033.7199999999993</v>
      </c>
    </row>
    <row r="1638" spans="1:18" x14ac:dyDescent="0.25">
      <c r="A1638" s="2" t="s">
        <v>1691</v>
      </c>
      <c r="B1638" s="2" t="s">
        <v>21</v>
      </c>
      <c r="C1638" s="2" t="s">
        <v>32</v>
      </c>
      <c r="D1638" s="2" t="s">
        <v>17</v>
      </c>
      <c r="E1638" s="2" t="s">
        <v>49</v>
      </c>
      <c r="F1638" s="2" t="s">
        <v>19</v>
      </c>
      <c r="G1638" s="8">
        <v>43.38</v>
      </c>
      <c r="H1638" s="11">
        <v>45.9</v>
      </c>
      <c r="I1638" s="8">
        <v>23.47</v>
      </c>
      <c r="J1638" s="3">
        <v>45629</v>
      </c>
      <c r="K1638" s="14">
        <v>47</v>
      </c>
      <c r="L1638" s="17">
        <v>3.7</v>
      </c>
      <c r="M1638" s="2" t="b">
        <v>1</v>
      </c>
      <c r="N1638" s="2" t="s">
        <v>115</v>
      </c>
      <c r="O1638" s="2" t="str">
        <f>IF(Table1[[#This Row],[is_returned]]=TRUE,IF(Table1[[#This Row],[return_reason]]="","Error","OK"),"OK")</f>
        <v>OK</v>
      </c>
      <c r="P1638" s="8">
        <f>Table1[[#This Row],[original_price]]*Table1[[#This Row],[markdown_percentage]]/100</f>
        <v>19.91142</v>
      </c>
      <c r="Q163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638" s="25">
        <f>Table1[[#This Row],[current_price]]*Table1[[#This Row],[stock_quantity]]</f>
        <v>1103.0899999999999</v>
      </c>
    </row>
    <row r="1639" spans="1:18" x14ac:dyDescent="0.25">
      <c r="A1639" s="2" t="s">
        <v>1692</v>
      </c>
      <c r="B1639" s="2" t="s">
        <v>27</v>
      </c>
      <c r="C1639" s="2" t="s">
        <v>53</v>
      </c>
      <c r="D1639" s="2" t="s">
        <v>34</v>
      </c>
      <c r="E1639" s="2"/>
      <c r="F1639" s="2" t="s">
        <v>28</v>
      </c>
      <c r="G1639" s="8">
        <v>40.04</v>
      </c>
      <c r="H1639" s="11">
        <v>45.5</v>
      </c>
      <c r="I1639" s="8">
        <v>21.82</v>
      </c>
      <c r="J1639" s="3">
        <v>45875</v>
      </c>
      <c r="K1639" s="14">
        <v>50</v>
      </c>
      <c r="L1639" s="17">
        <v>2.2000000000000002</v>
      </c>
      <c r="M1639" s="2" t="b">
        <v>0</v>
      </c>
      <c r="N1639" s="2"/>
      <c r="O1639" s="2" t="str">
        <f>IF(Table1[[#This Row],[is_returned]]=TRUE,IF(Table1[[#This Row],[return_reason]]="","Error","OK"),"OK")</f>
        <v>OK</v>
      </c>
      <c r="P1639" s="8">
        <f>Table1[[#This Row],[original_price]]*Table1[[#This Row],[markdown_percentage]]/100</f>
        <v>18.2182</v>
      </c>
      <c r="Q163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639" s="25">
        <f>Table1[[#This Row],[current_price]]*Table1[[#This Row],[stock_quantity]]</f>
        <v>1091</v>
      </c>
    </row>
    <row r="1640" spans="1:18" x14ac:dyDescent="0.25">
      <c r="A1640" s="2" t="s">
        <v>1693</v>
      </c>
      <c r="B1640" s="2" t="s">
        <v>15</v>
      </c>
      <c r="C1640" s="2" t="s">
        <v>48</v>
      </c>
      <c r="D1640" s="2" t="s">
        <v>34</v>
      </c>
      <c r="E1640" s="2" t="s">
        <v>58</v>
      </c>
      <c r="F1640" s="2" t="s">
        <v>56</v>
      </c>
      <c r="G1640" s="8">
        <v>209.68</v>
      </c>
      <c r="H1640" s="11">
        <v>3.6</v>
      </c>
      <c r="I1640" s="8">
        <v>202.13</v>
      </c>
      <c r="J1640" s="3">
        <v>45875</v>
      </c>
      <c r="K1640" s="14">
        <v>18</v>
      </c>
      <c r="L1640" s="17">
        <v>4.0999999999999996</v>
      </c>
      <c r="M1640" s="2" t="b">
        <v>0</v>
      </c>
      <c r="N1640" s="2"/>
      <c r="O1640" s="2" t="str">
        <f>IF(Table1[[#This Row],[is_returned]]=TRUE,IF(Table1[[#This Row],[return_reason]]="","Error","OK"),"OK")</f>
        <v>OK</v>
      </c>
      <c r="P1640" s="8">
        <f>Table1[[#This Row],[original_price]]*Table1[[#This Row],[markdown_percentage]]/100</f>
        <v>7.5484800000000005</v>
      </c>
      <c r="Q164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640" s="25">
        <f>Table1[[#This Row],[current_price]]*Table1[[#This Row],[stock_quantity]]</f>
        <v>3638.34</v>
      </c>
    </row>
    <row r="1641" spans="1:18" x14ac:dyDescent="0.25">
      <c r="A1641" s="2" t="s">
        <v>1694</v>
      </c>
      <c r="B1641" s="2" t="s">
        <v>27</v>
      </c>
      <c r="C1641" s="2" t="s">
        <v>43</v>
      </c>
      <c r="D1641" s="2" t="s">
        <v>23</v>
      </c>
      <c r="E1641" s="2"/>
      <c r="F1641" s="2" t="s">
        <v>70</v>
      </c>
      <c r="G1641" s="8">
        <v>38.08</v>
      </c>
      <c r="H1641" s="11">
        <v>0</v>
      </c>
      <c r="I1641" s="8">
        <v>38.08</v>
      </c>
      <c r="J1641" s="3">
        <v>45875</v>
      </c>
      <c r="K1641" s="14">
        <v>0</v>
      </c>
      <c r="L1641" s="17">
        <v>1.6</v>
      </c>
      <c r="M1641" s="2" t="b">
        <v>0</v>
      </c>
      <c r="N1641" s="2"/>
      <c r="O1641" s="2" t="str">
        <f>IF(Table1[[#This Row],[is_returned]]=TRUE,IF(Table1[[#This Row],[return_reason]]="","Error","OK"),"OK")</f>
        <v>OK</v>
      </c>
      <c r="P1641" s="8">
        <f>Table1[[#This Row],[original_price]]*Table1[[#This Row],[markdown_percentage]]/100</f>
        <v>0</v>
      </c>
      <c r="Q164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641" s="25">
        <f>Table1[[#This Row],[current_price]]*Table1[[#This Row],[stock_quantity]]</f>
        <v>0</v>
      </c>
    </row>
    <row r="1642" spans="1:18" x14ac:dyDescent="0.25">
      <c r="A1642" s="2" t="s">
        <v>1695</v>
      </c>
      <c r="B1642" s="2" t="s">
        <v>15</v>
      </c>
      <c r="C1642" s="2" t="s">
        <v>53</v>
      </c>
      <c r="D1642" s="2" t="s">
        <v>17</v>
      </c>
      <c r="E1642" s="2" t="s">
        <v>49</v>
      </c>
      <c r="F1642" s="2" t="s">
        <v>56</v>
      </c>
      <c r="G1642" s="8">
        <v>123.04</v>
      </c>
      <c r="H1642" s="11">
        <v>0</v>
      </c>
      <c r="I1642" s="8">
        <v>123.04</v>
      </c>
      <c r="J1642" s="3">
        <v>45752</v>
      </c>
      <c r="K1642" s="14">
        <v>13</v>
      </c>
      <c r="L1642" s="17">
        <v>1.2</v>
      </c>
      <c r="M1642" s="2" t="b">
        <v>0</v>
      </c>
      <c r="N1642" s="2"/>
      <c r="O1642" s="2" t="str">
        <f>IF(Table1[[#This Row],[is_returned]]=TRUE,IF(Table1[[#This Row],[return_reason]]="","Error","OK"),"OK")</f>
        <v>OK</v>
      </c>
      <c r="P1642" s="8">
        <f>Table1[[#This Row],[original_price]]*Table1[[#This Row],[markdown_percentage]]/100</f>
        <v>0</v>
      </c>
      <c r="Q164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642" s="25">
        <f>Table1[[#This Row],[current_price]]*Table1[[#This Row],[stock_quantity]]</f>
        <v>1599.52</v>
      </c>
    </row>
    <row r="1643" spans="1:18" x14ac:dyDescent="0.25">
      <c r="A1643" s="2" t="s">
        <v>1696</v>
      </c>
      <c r="B1643" s="2" t="s">
        <v>27</v>
      </c>
      <c r="C1643" s="2" t="s">
        <v>22</v>
      </c>
      <c r="D1643" s="2" t="s">
        <v>62</v>
      </c>
      <c r="E1643" s="2"/>
      <c r="F1643" s="2" t="s">
        <v>25</v>
      </c>
      <c r="G1643" s="8">
        <v>39.94</v>
      </c>
      <c r="H1643" s="11">
        <v>0</v>
      </c>
      <c r="I1643" s="8">
        <v>39.94</v>
      </c>
      <c r="J1643" s="3">
        <v>45875</v>
      </c>
      <c r="K1643" s="14">
        <v>32</v>
      </c>
      <c r="L1643" s="17">
        <v>3.1</v>
      </c>
      <c r="M1643" s="2" t="b">
        <v>0</v>
      </c>
      <c r="N1643" s="2"/>
      <c r="O1643" s="2" t="str">
        <f>IF(Table1[[#This Row],[is_returned]]=TRUE,IF(Table1[[#This Row],[return_reason]]="","Error","OK"),"OK")</f>
        <v>OK</v>
      </c>
      <c r="P1643" s="8">
        <f>Table1[[#This Row],[original_price]]*Table1[[#This Row],[markdown_percentage]]/100</f>
        <v>0</v>
      </c>
      <c r="Q164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643" s="25">
        <f>Table1[[#This Row],[current_price]]*Table1[[#This Row],[stock_quantity]]</f>
        <v>1278.08</v>
      </c>
    </row>
    <row r="1644" spans="1:18" x14ac:dyDescent="0.25">
      <c r="A1644" s="2" t="s">
        <v>1697</v>
      </c>
      <c r="B1644" s="2" t="s">
        <v>42</v>
      </c>
      <c r="C1644" s="2" t="s">
        <v>48</v>
      </c>
      <c r="D1644" s="2" t="s">
        <v>62</v>
      </c>
      <c r="E1644" s="2" t="s">
        <v>58</v>
      </c>
      <c r="F1644" s="2" t="s">
        <v>40</v>
      </c>
      <c r="G1644" s="8">
        <v>80.19</v>
      </c>
      <c r="H1644" s="11">
        <v>0</v>
      </c>
      <c r="I1644" s="8">
        <v>80.19</v>
      </c>
      <c r="J1644" s="3">
        <v>45875</v>
      </c>
      <c r="K1644" s="14">
        <v>43</v>
      </c>
      <c r="L1644" s="17">
        <v>3.8</v>
      </c>
      <c r="M1644" s="2" t="b">
        <v>0</v>
      </c>
      <c r="N1644" s="2"/>
      <c r="O1644" s="2" t="str">
        <f>IF(Table1[[#This Row],[is_returned]]=TRUE,IF(Table1[[#This Row],[return_reason]]="","Error","OK"),"OK")</f>
        <v>OK</v>
      </c>
      <c r="P1644" s="8">
        <f>Table1[[#This Row],[original_price]]*Table1[[#This Row],[markdown_percentage]]/100</f>
        <v>0</v>
      </c>
      <c r="Q164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644" s="25">
        <f>Table1[[#This Row],[current_price]]*Table1[[#This Row],[stock_quantity]]</f>
        <v>3448.17</v>
      </c>
    </row>
    <row r="1645" spans="1:18" x14ac:dyDescent="0.25">
      <c r="A1645" s="2" t="s">
        <v>1698</v>
      </c>
      <c r="B1645" s="2" t="s">
        <v>21</v>
      </c>
      <c r="C1645" s="2" t="s">
        <v>22</v>
      </c>
      <c r="D1645" s="2" t="s">
        <v>17</v>
      </c>
      <c r="E1645" s="2" t="s">
        <v>49</v>
      </c>
      <c r="F1645" s="2" t="s">
        <v>66</v>
      </c>
      <c r="G1645" s="8">
        <v>35.03</v>
      </c>
      <c r="H1645" s="11">
        <v>10.1</v>
      </c>
      <c r="I1645" s="8">
        <v>31.49</v>
      </c>
      <c r="J1645" s="3">
        <v>45807</v>
      </c>
      <c r="K1645" s="14">
        <v>5</v>
      </c>
      <c r="L1645" s="17">
        <v>3.8</v>
      </c>
      <c r="M1645" s="2" t="b">
        <v>0</v>
      </c>
      <c r="N1645" s="2"/>
      <c r="O1645" s="2" t="str">
        <f>IF(Table1[[#This Row],[is_returned]]=TRUE,IF(Table1[[#This Row],[return_reason]]="","Error","OK"),"OK")</f>
        <v>OK</v>
      </c>
      <c r="P1645" s="8">
        <f>Table1[[#This Row],[original_price]]*Table1[[#This Row],[markdown_percentage]]/100</f>
        <v>3.53803</v>
      </c>
      <c r="Q164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645" s="25">
        <f>Table1[[#This Row],[current_price]]*Table1[[#This Row],[stock_quantity]]</f>
        <v>157.44999999999999</v>
      </c>
    </row>
    <row r="1646" spans="1:18" x14ac:dyDescent="0.25">
      <c r="A1646" s="2" t="s">
        <v>1699</v>
      </c>
      <c r="B1646" s="2" t="s">
        <v>21</v>
      </c>
      <c r="C1646" s="2" t="s">
        <v>48</v>
      </c>
      <c r="D1646" s="2" t="s">
        <v>62</v>
      </c>
      <c r="E1646" s="2" t="s">
        <v>58</v>
      </c>
      <c r="F1646" s="2" t="s">
        <v>28</v>
      </c>
      <c r="G1646" s="8">
        <v>27.64</v>
      </c>
      <c r="H1646" s="11">
        <v>29</v>
      </c>
      <c r="I1646" s="8">
        <v>19.62</v>
      </c>
      <c r="J1646" s="3">
        <v>45875</v>
      </c>
      <c r="K1646" s="14">
        <v>19</v>
      </c>
      <c r="L1646" s="17">
        <v>1</v>
      </c>
      <c r="M1646" s="2" t="b">
        <v>0</v>
      </c>
      <c r="N1646" s="2"/>
      <c r="O1646" s="2" t="str">
        <f>IF(Table1[[#This Row],[is_returned]]=TRUE,IF(Table1[[#This Row],[return_reason]]="","Error","OK"),"OK")</f>
        <v>OK</v>
      </c>
      <c r="P1646" s="8">
        <f>Table1[[#This Row],[original_price]]*Table1[[#This Row],[markdown_percentage]]/100</f>
        <v>8.0156000000000009</v>
      </c>
      <c r="Q164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646" s="25">
        <f>Table1[[#This Row],[current_price]]*Table1[[#This Row],[stock_quantity]]</f>
        <v>372.78000000000003</v>
      </c>
    </row>
    <row r="1647" spans="1:18" x14ac:dyDescent="0.25">
      <c r="A1647" s="2" t="s">
        <v>1700</v>
      </c>
      <c r="B1647" s="2" t="s">
        <v>15</v>
      </c>
      <c r="C1647" s="2" t="s">
        <v>43</v>
      </c>
      <c r="D1647" s="2" t="s">
        <v>17</v>
      </c>
      <c r="E1647" s="2" t="s">
        <v>58</v>
      </c>
      <c r="F1647" s="2" t="s">
        <v>64</v>
      </c>
      <c r="G1647" s="8">
        <v>187.63</v>
      </c>
      <c r="H1647" s="11">
        <v>0</v>
      </c>
      <c r="I1647" s="8">
        <v>187.63</v>
      </c>
      <c r="J1647" s="3">
        <v>45772</v>
      </c>
      <c r="K1647" s="14">
        <v>25</v>
      </c>
      <c r="L1647" s="17">
        <v>1.8</v>
      </c>
      <c r="M1647" s="2" t="b">
        <v>0</v>
      </c>
      <c r="N1647" s="2"/>
      <c r="O1647" s="2" t="str">
        <f>IF(Table1[[#This Row],[is_returned]]=TRUE,IF(Table1[[#This Row],[return_reason]]="","Error","OK"),"OK")</f>
        <v>OK</v>
      </c>
      <c r="P1647" s="8">
        <f>Table1[[#This Row],[original_price]]*Table1[[#This Row],[markdown_percentage]]/100</f>
        <v>0</v>
      </c>
      <c r="Q164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647" s="25">
        <f>Table1[[#This Row],[current_price]]*Table1[[#This Row],[stock_quantity]]</f>
        <v>4690.75</v>
      </c>
    </row>
    <row r="1648" spans="1:18" x14ac:dyDescent="0.25">
      <c r="A1648" s="2" t="s">
        <v>1701</v>
      </c>
      <c r="B1648" s="2" t="s">
        <v>15</v>
      </c>
      <c r="C1648" s="2" t="s">
        <v>48</v>
      </c>
      <c r="D1648" s="2" t="s">
        <v>23</v>
      </c>
      <c r="E1648" s="2" t="s">
        <v>49</v>
      </c>
      <c r="F1648" s="2" t="s">
        <v>28</v>
      </c>
      <c r="G1648" s="8">
        <v>193.17</v>
      </c>
      <c r="H1648" s="11">
        <v>34.6</v>
      </c>
      <c r="I1648" s="8">
        <v>126.33</v>
      </c>
      <c r="J1648" s="3">
        <v>45875</v>
      </c>
      <c r="K1648" s="14">
        <v>26</v>
      </c>
      <c r="L1648" s="17"/>
      <c r="M1648" s="2" t="b">
        <v>0</v>
      </c>
      <c r="N1648" s="2"/>
      <c r="O1648" s="2" t="str">
        <f>IF(Table1[[#This Row],[is_returned]]=TRUE,IF(Table1[[#This Row],[return_reason]]="","Error","OK"),"OK")</f>
        <v>OK</v>
      </c>
      <c r="P1648" s="8">
        <f>Table1[[#This Row],[original_price]]*Table1[[#This Row],[markdown_percentage]]/100</f>
        <v>66.836820000000003</v>
      </c>
      <c r="Q164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648" s="25">
        <f>Table1[[#This Row],[current_price]]*Table1[[#This Row],[stock_quantity]]</f>
        <v>3284.58</v>
      </c>
    </row>
    <row r="1649" spans="1:18" x14ac:dyDescent="0.25">
      <c r="A1649" s="2" t="s">
        <v>1702</v>
      </c>
      <c r="B1649" s="2" t="s">
        <v>30</v>
      </c>
      <c r="C1649" s="2" t="s">
        <v>32</v>
      </c>
      <c r="D1649" s="2" t="s">
        <v>17</v>
      </c>
      <c r="E1649" s="2" t="s">
        <v>58</v>
      </c>
      <c r="F1649" s="2" t="s">
        <v>28</v>
      </c>
      <c r="G1649" s="8">
        <v>157.78</v>
      </c>
      <c r="H1649" s="11">
        <v>40.200000000000003</v>
      </c>
      <c r="I1649" s="8">
        <v>94.35</v>
      </c>
      <c r="J1649" s="3">
        <v>45871</v>
      </c>
      <c r="K1649" s="14">
        <v>23</v>
      </c>
      <c r="L1649" s="17">
        <v>3.1</v>
      </c>
      <c r="M1649" s="2" t="b">
        <v>0</v>
      </c>
      <c r="N1649" s="2"/>
      <c r="O1649" s="2" t="str">
        <f>IF(Table1[[#This Row],[is_returned]]=TRUE,IF(Table1[[#This Row],[return_reason]]="","Error","OK"),"OK")</f>
        <v>OK</v>
      </c>
      <c r="P1649" s="8">
        <f>Table1[[#This Row],[original_price]]*Table1[[#This Row],[markdown_percentage]]/100</f>
        <v>63.42756</v>
      </c>
      <c r="Q164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649" s="25">
        <f>Table1[[#This Row],[current_price]]*Table1[[#This Row],[stock_quantity]]</f>
        <v>2170.0499999999997</v>
      </c>
    </row>
    <row r="1650" spans="1:18" x14ac:dyDescent="0.25">
      <c r="A1650" s="2" t="s">
        <v>1703</v>
      </c>
      <c r="B1650" s="2" t="s">
        <v>30</v>
      </c>
      <c r="C1650" s="2" t="s">
        <v>16</v>
      </c>
      <c r="D1650" s="2" t="s">
        <v>23</v>
      </c>
      <c r="E1650" s="2" t="s">
        <v>24</v>
      </c>
      <c r="F1650" s="2" t="s">
        <v>28</v>
      </c>
      <c r="G1650" s="8">
        <v>119.14</v>
      </c>
      <c r="H1650" s="11">
        <v>7.8</v>
      </c>
      <c r="I1650" s="8">
        <v>109.85</v>
      </c>
      <c r="J1650" s="3">
        <v>45875</v>
      </c>
      <c r="K1650" s="14">
        <v>20</v>
      </c>
      <c r="L1650" s="17">
        <v>3.1</v>
      </c>
      <c r="M1650" s="2" t="b">
        <v>0</v>
      </c>
      <c r="N1650" s="2"/>
      <c r="O1650" s="2" t="str">
        <f>IF(Table1[[#This Row],[is_returned]]=TRUE,IF(Table1[[#This Row],[return_reason]]="","Error","OK"),"OK")</f>
        <v>OK</v>
      </c>
      <c r="P1650" s="8">
        <f>Table1[[#This Row],[original_price]]*Table1[[#This Row],[markdown_percentage]]/100</f>
        <v>9.2929200000000005</v>
      </c>
      <c r="Q165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650" s="25">
        <f>Table1[[#This Row],[current_price]]*Table1[[#This Row],[stock_quantity]]</f>
        <v>2197</v>
      </c>
    </row>
    <row r="1651" spans="1:18" x14ac:dyDescent="0.25">
      <c r="A1651" s="2" t="s">
        <v>1704</v>
      </c>
      <c r="B1651" s="2" t="s">
        <v>42</v>
      </c>
      <c r="C1651" s="2" t="s">
        <v>75</v>
      </c>
      <c r="D1651" s="2" t="s">
        <v>23</v>
      </c>
      <c r="E1651" s="2" t="s">
        <v>58</v>
      </c>
      <c r="F1651" s="2" t="s">
        <v>35</v>
      </c>
      <c r="G1651" s="8">
        <v>150.08000000000001</v>
      </c>
      <c r="H1651" s="11">
        <v>4.8</v>
      </c>
      <c r="I1651" s="8">
        <v>142.88</v>
      </c>
      <c r="J1651" s="3">
        <v>45875</v>
      </c>
      <c r="K1651" s="14">
        <v>24</v>
      </c>
      <c r="L1651" s="17">
        <v>1.7</v>
      </c>
      <c r="M1651" s="2" t="b">
        <v>0</v>
      </c>
      <c r="N1651" s="2"/>
      <c r="O1651" s="2" t="str">
        <f>IF(Table1[[#This Row],[is_returned]]=TRUE,IF(Table1[[#This Row],[return_reason]]="","Error","OK"),"OK")</f>
        <v>OK</v>
      </c>
      <c r="P1651" s="8">
        <f>Table1[[#This Row],[original_price]]*Table1[[#This Row],[markdown_percentage]]/100</f>
        <v>7.2038400000000005</v>
      </c>
      <c r="Q165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651" s="25">
        <f>Table1[[#This Row],[current_price]]*Table1[[#This Row],[stock_quantity]]</f>
        <v>3429.12</v>
      </c>
    </row>
    <row r="1652" spans="1:18" x14ac:dyDescent="0.25">
      <c r="A1652" s="2" t="s">
        <v>1705</v>
      </c>
      <c r="B1652" s="2" t="s">
        <v>42</v>
      </c>
      <c r="C1652" s="2" t="s">
        <v>22</v>
      </c>
      <c r="D1652" s="2" t="s">
        <v>62</v>
      </c>
      <c r="E1652" s="2" t="s">
        <v>24</v>
      </c>
      <c r="F1652" s="2" t="s">
        <v>44</v>
      </c>
      <c r="G1652" s="8">
        <v>153.18</v>
      </c>
      <c r="H1652" s="11">
        <v>0</v>
      </c>
      <c r="I1652" s="8">
        <v>153.18</v>
      </c>
      <c r="J1652" s="3">
        <v>45875</v>
      </c>
      <c r="K1652" s="14">
        <v>26</v>
      </c>
      <c r="L1652" s="17">
        <v>1.1000000000000001</v>
      </c>
      <c r="M1652" s="2" t="b">
        <v>0</v>
      </c>
      <c r="N1652" s="2"/>
      <c r="O1652" s="2" t="str">
        <f>IF(Table1[[#This Row],[is_returned]]=TRUE,IF(Table1[[#This Row],[return_reason]]="","Error","OK"),"OK")</f>
        <v>OK</v>
      </c>
      <c r="P1652" s="8">
        <f>Table1[[#This Row],[original_price]]*Table1[[#This Row],[markdown_percentage]]/100</f>
        <v>0</v>
      </c>
      <c r="Q165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652" s="25">
        <f>Table1[[#This Row],[current_price]]*Table1[[#This Row],[stock_quantity]]</f>
        <v>3982.6800000000003</v>
      </c>
    </row>
    <row r="1653" spans="1:18" x14ac:dyDescent="0.25">
      <c r="A1653" s="2" t="s">
        <v>1706</v>
      </c>
      <c r="B1653" s="2" t="s">
        <v>21</v>
      </c>
      <c r="C1653" s="2" t="s">
        <v>32</v>
      </c>
      <c r="D1653" s="2" t="s">
        <v>23</v>
      </c>
      <c r="E1653" s="2" t="s">
        <v>39</v>
      </c>
      <c r="F1653" s="2" t="s">
        <v>25</v>
      </c>
      <c r="G1653" s="8">
        <v>118.69</v>
      </c>
      <c r="H1653" s="11">
        <v>47.7</v>
      </c>
      <c r="I1653" s="8">
        <v>62.07</v>
      </c>
      <c r="J1653" s="3">
        <v>45875</v>
      </c>
      <c r="K1653" s="14">
        <v>11</v>
      </c>
      <c r="L1653" s="17">
        <v>2.8</v>
      </c>
      <c r="M1653" s="2" t="b">
        <v>0</v>
      </c>
      <c r="N1653" s="2"/>
      <c r="O1653" s="2" t="str">
        <f>IF(Table1[[#This Row],[is_returned]]=TRUE,IF(Table1[[#This Row],[return_reason]]="","Error","OK"),"OK")</f>
        <v>OK</v>
      </c>
      <c r="P1653" s="8">
        <f>Table1[[#This Row],[original_price]]*Table1[[#This Row],[markdown_percentage]]/100</f>
        <v>56.615130000000001</v>
      </c>
      <c r="Q165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653" s="25">
        <f>Table1[[#This Row],[current_price]]*Table1[[#This Row],[stock_quantity]]</f>
        <v>682.77</v>
      </c>
    </row>
    <row r="1654" spans="1:18" x14ac:dyDescent="0.25">
      <c r="A1654" s="2" t="s">
        <v>1707</v>
      </c>
      <c r="B1654" s="2" t="s">
        <v>27</v>
      </c>
      <c r="C1654" s="2" t="s">
        <v>48</v>
      </c>
      <c r="D1654" s="2" t="s">
        <v>17</v>
      </c>
      <c r="E1654" s="2"/>
      <c r="F1654" s="2" t="s">
        <v>64</v>
      </c>
      <c r="G1654" s="8">
        <v>50.12</v>
      </c>
      <c r="H1654" s="11">
        <v>0</v>
      </c>
      <c r="I1654" s="8">
        <v>50.12</v>
      </c>
      <c r="J1654" s="3">
        <v>45725</v>
      </c>
      <c r="K1654" s="14">
        <v>27</v>
      </c>
      <c r="L1654" s="17">
        <v>2.4</v>
      </c>
      <c r="M1654" s="2" t="b">
        <v>0</v>
      </c>
      <c r="N1654" s="2"/>
      <c r="O1654" s="2" t="str">
        <f>IF(Table1[[#This Row],[is_returned]]=TRUE,IF(Table1[[#This Row],[return_reason]]="","Error","OK"),"OK")</f>
        <v>OK</v>
      </c>
      <c r="P1654" s="8">
        <f>Table1[[#This Row],[original_price]]*Table1[[#This Row],[markdown_percentage]]/100</f>
        <v>0</v>
      </c>
      <c r="Q165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654" s="25">
        <f>Table1[[#This Row],[current_price]]*Table1[[#This Row],[stock_quantity]]</f>
        <v>1353.24</v>
      </c>
    </row>
    <row r="1655" spans="1:18" x14ac:dyDescent="0.25">
      <c r="A1655" s="2" t="s">
        <v>1708</v>
      </c>
      <c r="B1655" s="2" t="s">
        <v>42</v>
      </c>
      <c r="C1655" s="2" t="s">
        <v>61</v>
      </c>
      <c r="D1655" s="2" t="s">
        <v>17</v>
      </c>
      <c r="E1655" s="2" t="s">
        <v>55</v>
      </c>
      <c r="F1655" s="2" t="s">
        <v>44</v>
      </c>
      <c r="G1655" s="8">
        <v>93.68</v>
      </c>
      <c r="H1655" s="11">
        <v>59.5</v>
      </c>
      <c r="I1655" s="8">
        <v>37.94</v>
      </c>
      <c r="J1655" s="3">
        <v>45771</v>
      </c>
      <c r="K1655" s="14">
        <v>21</v>
      </c>
      <c r="L1655" s="17"/>
      <c r="M1655" s="2" t="b">
        <v>0</v>
      </c>
      <c r="N1655" s="2"/>
      <c r="O1655" s="2" t="str">
        <f>IF(Table1[[#This Row],[is_returned]]=TRUE,IF(Table1[[#This Row],[return_reason]]="","Error","OK"),"OK")</f>
        <v>OK</v>
      </c>
      <c r="P1655" s="8">
        <f>Table1[[#This Row],[original_price]]*Table1[[#This Row],[markdown_percentage]]/100</f>
        <v>55.739600000000003</v>
      </c>
      <c r="Q165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655" s="25">
        <f>Table1[[#This Row],[current_price]]*Table1[[#This Row],[stock_quantity]]</f>
        <v>796.74</v>
      </c>
    </row>
    <row r="1656" spans="1:18" x14ac:dyDescent="0.25">
      <c r="A1656" s="2" t="s">
        <v>1709</v>
      </c>
      <c r="B1656" s="2" t="s">
        <v>21</v>
      </c>
      <c r="C1656" s="2" t="s">
        <v>22</v>
      </c>
      <c r="D1656" s="2" t="s">
        <v>62</v>
      </c>
      <c r="E1656" s="2" t="s">
        <v>39</v>
      </c>
      <c r="F1656" s="2" t="s">
        <v>19</v>
      </c>
      <c r="G1656" s="8">
        <v>50.49</v>
      </c>
      <c r="H1656" s="11">
        <v>0</v>
      </c>
      <c r="I1656" s="8">
        <v>50.49</v>
      </c>
      <c r="J1656" s="3">
        <v>45875</v>
      </c>
      <c r="K1656" s="14">
        <v>30</v>
      </c>
      <c r="L1656" s="17">
        <v>4.0999999999999996</v>
      </c>
      <c r="M1656" s="2" t="b">
        <v>0</v>
      </c>
      <c r="N1656" s="2"/>
      <c r="O1656" s="2" t="str">
        <f>IF(Table1[[#This Row],[is_returned]]=TRUE,IF(Table1[[#This Row],[return_reason]]="","Error","OK"),"OK")</f>
        <v>OK</v>
      </c>
      <c r="P1656" s="8">
        <f>Table1[[#This Row],[original_price]]*Table1[[#This Row],[markdown_percentage]]/100</f>
        <v>0</v>
      </c>
      <c r="Q165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656" s="25">
        <f>Table1[[#This Row],[current_price]]*Table1[[#This Row],[stock_quantity]]</f>
        <v>1514.7</v>
      </c>
    </row>
    <row r="1657" spans="1:18" x14ac:dyDescent="0.25">
      <c r="A1657" s="2" t="s">
        <v>1710</v>
      </c>
      <c r="B1657" s="2" t="s">
        <v>30</v>
      </c>
      <c r="C1657" s="2" t="s">
        <v>43</v>
      </c>
      <c r="D1657" s="2" t="s">
        <v>62</v>
      </c>
      <c r="E1657" s="2" t="s">
        <v>55</v>
      </c>
      <c r="F1657" s="2" t="s">
        <v>35</v>
      </c>
      <c r="G1657" s="8">
        <v>97.9</v>
      </c>
      <c r="H1657" s="11">
        <v>0</v>
      </c>
      <c r="I1657" s="8">
        <v>97.9</v>
      </c>
      <c r="J1657" s="3">
        <v>45875</v>
      </c>
      <c r="K1657" s="14">
        <v>29</v>
      </c>
      <c r="L1657" s="17">
        <v>1.3</v>
      </c>
      <c r="M1657" s="2" t="b">
        <v>0</v>
      </c>
      <c r="N1657" s="2"/>
      <c r="O1657" s="2" t="str">
        <f>IF(Table1[[#This Row],[is_returned]]=TRUE,IF(Table1[[#This Row],[return_reason]]="","Error","OK"),"OK")</f>
        <v>OK</v>
      </c>
      <c r="P1657" s="8">
        <f>Table1[[#This Row],[original_price]]*Table1[[#This Row],[markdown_percentage]]/100</f>
        <v>0</v>
      </c>
      <c r="Q165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657" s="25">
        <f>Table1[[#This Row],[current_price]]*Table1[[#This Row],[stock_quantity]]</f>
        <v>2839.1000000000004</v>
      </c>
    </row>
    <row r="1658" spans="1:18" x14ac:dyDescent="0.25">
      <c r="A1658" s="2" t="s">
        <v>1711</v>
      </c>
      <c r="B1658" s="2" t="s">
        <v>21</v>
      </c>
      <c r="C1658" s="2" t="s">
        <v>22</v>
      </c>
      <c r="D1658" s="2" t="s">
        <v>62</v>
      </c>
      <c r="E1658" s="2" t="s">
        <v>39</v>
      </c>
      <c r="F1658" s="2" t="s">
        <v>40</v>
      </c>
      <c r="G1658" s="8">
        <v>69</v>
      </c>
      <c r="H1658" s="11">
        <v>0</v>
      </c>
      <c r="I1658" s="8">
        <v>69</v>
      </c>
      <c r="J1658" s="3">
        <v>45875</v>
      </c>
      <c r="K1658" s="14">
        <v>32</v>
      </c>
      <c r="L1658" s="17">
        <v>4.5</v>
      </c>
      <c r="M1658" s="2" t="b">
        <v>0</v>
      </c>
      <c r="N1658" s="2"/>
      <c r="O1658" s="2" t="str">
        <f>IF(Table1[[#This Row],[is_returned]]=TRUE,IF(Table1[[#This Row],[return_reason]]="","Error","OK"),"OK")</f>
        <v>OK</v>
      </c>
      <c r="P1658" s="8">
        <f>Table1[[#This Row],[original_price]]*Table1[[#This Row],[markdown_percentage]]/100</f>
        <v>0</v>
      </c>
      <c r="Q165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658" s="25">
        <f>Table1[[#This Row],[current_price]]*Table1[[#This Row],[stock_quantity]]</f>
        <v>2208</v>
      </c>
    </row>
    <row r="1659" spans="1:18" x14ac:dyDescent="0.25">
      <c r="A1659" s="2" t="s">
        <v>1712</v>
      </c>
      <c r="B1659" s="2" t="s">
        <v>27</v>
      </c>
      <c r="C1659" s="2" t="s">
        <v>43</v>
      </c>
      <c r="D1659" s="2" t="s">
        <v>34</v>
      </c>
      <c r="E1659" s="2"/>
      <c r="F1659" s="2" t="s">
        <v>66</v>
      </c>
      <c r="G1659" s="8">
        <v>30.2</v>
      </c>
      <c r="H1659" s="11">
        <v>27.1</v>
      </c>
      <c r="I1659" s="8">
        <v>22.02</v>
      </c>
      <c r="J1659" s="3">
        <v>45875</v>
      </c>
      <c r="K1659" s="14">
        <v>15</v>
      </c>
      <c r="L1659" s="17"/>
      <c r="M1659" s="2" t="b">
        <v>0</v>
      </c>
      <c r="N1659" s="2"/>
      <c r="O1659" s="2" t="str">
        <f>IF(Table1[[#This Row],[is_returned]]=TRUE,IF(Table1[[#This Row],[return_reason]]="","Error","OK"),"OK")</f>
        <v>OK</v>
      </c>
      <c r="P1659" s="8">
        <f>Table1[[#This Row],[original_price]]*Table1[[#This Row],[markdown_percentage]]/100</f>
        <v>8.1842000000000006</v>
      </c>
      <c r="Q165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659" s="25">
        <f>Table1[[#This Row],[current_price]]*Table1[[#This Row],[stock_quantity]]</f>
        <v>330.3</v>
      </c>
    </row>
    <row r="1660" spans="1:18" x14ac:dyDescent="0.25">
      <c r="A1660" s="2" t="s">
        <v>1713</v>
      </c>
      <c r="B1660" s="2" t="s">
        <v>21</v>
      </c>
      <c r="C1660" s="2" t="s">
        <v>32</v>
      </c>
      <c r="D1660" s="2" t="s">
        <v>23</v>
      </c>
      <c r="E1660" s="2" t="s">
        <v>24</v>
      </c>
      <c r="F1660" s="2" t="s">
        <v>56</v>
      </c>
      <c r="G1660" s="8">
        <v>84.92</v>
      </c>
      <c r="H1660" s="11">
        <v>59.1</v>
      </c>
      <c r="I1660" s="8">
        <v>34.729999999999997</v>
      </c>
      <c r="J1660" s="3">
        <v>45875</v>
      </c>
      <c r="K1660" s="14">
        <v>42</v>
      </c>
      <c r="L1660" s="17"/>
      <c r="M1660" s="2" t="b">
        <v>0</v>
      </c>
      <c r="N1660" s="2"/>
      <c r="O1660" s="2" t="str">
        <f>IF(Table1[[#This Row],[is_returned]]=TRUE,IF(Table1[[#This Row],[return_reason]]="","Error","OK"),"OK")</f>
        <v>OK</v>
      </c>
      <c r="P1660" s="8">
        <f>Table1[[#This Row],[original_price]]*Table1[[#This Row],[markdown_percentage]]/100</f>
        <v>50.187719999999999</v>
      </c>
      <c r="Q166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660" s="25">
        <f>Table1[[#This Row],[current_price]]*Table1[[#This Row],[stock_quantity]]</f>
        <v>1458.6599999999999</v>
      </c>
    </row>
    <row r="1661" spans="1:18" x14ac:dyDescent="0.25">
      <c r="A1661" s="2" t="s">
        <v>1714</v>
      </c>
      <c r="B1661" s="2" t="s">
        <v>21</v>
      </c>
      <c r="C1661" s="2" t="s">
        <v>75</v>
      </c>
      <c r="D1661" s="2" t="s">
        <v>34</v>
      </c>
      <c r="E1661" s="2" t="s">
        <v>55</v>
      </c>
      <c r="F1661" s="2" t="s">
        <v>35</v>
      </c>
      <c r="G1661" s="8">
        <v>116.48</v>
      </c>
      <c r="H1661" s="11">
        <v>0</v>
      </c>
      <c r="I1661" s="8">
        <v>116.48</v>
      </c>
      <c r="J1661" s="3">
        <v>45875</v>
      </c>
      <c r="K1661" s="14">
        <v>3</v>
      </c>
      <c r="L1661" s="17">
        <v>1.5</v>
      </c>
      <c r="M1661" s="2" t="b">
        <v>0</v>
      </c>
      <c r="N1661" s="2"/>
      <c r="O1661" s="2" t="str">
        <f>IF(Table1[[#This Row],[is_returned]]=TRUE,IF(Table1[[#This Row],[return_reason]]="","Error","OK"),"OK")</f>
        <v>OK</v>
      </c>
      <c r="P1661" s="8">
        <f>Table1[[#This Row],[original_price]]*Table1[[#This Row],[markdown_percentage]]/100</f>
        <v>0</v>
      </c>
      <c r="Q166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661" s="25">
        <f>Table1[[#This Row],[current_price]]*Table1[[#This Row],[stock_quantity]]</f>
        <v>349.44</v>
      </c>
    </row>
    <row r="1662" spans="1:18" x14ac:dyDescent="0.25">
      <c r="A1662" s="2" t="s">
        <v>1715</v>
      </c>
      <c r="B1662" s="2" t="s">
        <v>21</v>
      </c>
      <c r="C1662" s="2" t="s">
        <v>48</v>
      </c>
      <c r="D1662" s="2" t="s">
        <v>62</v>
      </c>
      <c r="E1662" s="2" t="s">
        <v>18</v>
      </c>
      <c r="F1662" s="2" t="s">
        <v>64</v>
      </c>
      <c r="G1662" s="8">
        <v>40.68</v>
      </c>
      <c r="H1662" s="11">
        <v>0</v>
      </c>
      <c r="I1662" s="8">
        <v>40.68</v>
      </c>
      <c r="J1662" s="3">
        <v>45875</v>
      </c>
      <c r="K1662" s="14">
        <v>41</v>
      </c>
      <c r="L1662" s="17">
        <v>1.1000000000000001</v>
      </c>
      <c r="M1662" s="2" t="b">
        <v>1</v>
      </c>
      <c r="N1662" s="2" t="s">
        <v>115</v>
      </c>
      <c r="O1662" s="2" t="str">
        <f>IF(Table1[[#This Row],[is_returned]]=TRUE,IF(Table1[[#This Row],[return_reason]]="","Error","OK"),"OK")</f>
        <v>OK</v>
      </c>
      <c r="P1662" s="8">
        <f>Table1[[#This Row],[original_price]]*Table1[[#This Row],[markdown_percentage]]/100</f>
        <v>0</v>
      </c>
      <c r="Q166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662" s="25">
        <f>Table1[[#This Row],[current_price]]*Table1[[#This Row],[stock_quantity]]</f>
        <v>1667.8799999999999</v>
      </c>
    </row>
    <row r="1663" spans="1:18" x14ac:dyDescent="0.25">
      <c r="A1663" s="2" t="s">
        <v>1716</v>
      </c>
      <c r="B1663" s="2" t="s">
        <v>15</v>
      </c>
      <c r="C1663" s="2" t="s">
        <v>53</v>
      </c>
      <c r="D1663" s="2" t="s">
        <v>62</v>
      </c>
      <c r="E1663" s="2" t="s">
        <v>18</v>
      </c>
      <c r="F1663" s="2" t="s">
        <v>28</v>
      </c>
      <c r="G1663" s="8">
        <v>118.92</v>
      </c>
      <c r="H1663" s="11">
        <v>0</v>
      </c>
      <c r="I1663" s="8">
        <v>118.92</v>
      </c>
      <c r="J1663" s="3">
        <v>45875</v>
      </c>
      <c r="K1663" s="14">
        <v>36</v>
      </c>
      <c r="L1663" s="17">
        <v>1.8</v>
      </c>
      <c r="M1663" s="2" t="b">
        <v>1</v>
      </c>
      <c r="N1663" s="2" t="s">
        <v>125</v>
      </c>
      <c r="O1663" s="2" t="str">
        <f>IF(Table1[[#This Row],[is_returned]]=TRUE,IF(Table1[[#This Row],[return_reason]]="","Error","OK"),"OK")</f>
        <v>OK</v>
      </c>
      <c r="P1663" s="8">
        <f>Table1[[#This Row],[original_price]]*Table1[[#This Row],[markdown_percentage]]/100</f>
        <v>0</v>
      </c>
      <c r="Q166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663" s="25">
        <f>Table1[[#This Row],[current_price]]*Table1[[#This Row],[stock_quantity]]</f>
        <v>4281.12</v>
      </c>
    </row>
    <row r="1664" spans="1:18" x14ac:dyDescent="0.25">
      <c r="A1664" s="2" t="s">
        <v>1717</v>
      </c>
      <c r="B1664" s="2" t="s">
        <v>38</v>
      </c>
      <c r="C1664" s="2" t="s">
        <v>53</v>
      </c>
      <c r="D1664" s="2" t="s">
        <v>62</v>
      </c>
      <c r="E1664" s="2" t="s">
        <v>49</v>
      </c>
      <c r="F1664" s="2" t="s">
        <v>28</v>
      </c>
      <c r="G1664" s="8">
        <v>26.86</v>
      </c>
      <c r="H1664" s="11">
        <v>0</v>
      </c>
      <c r="I1664" s="8">
        <v>26.86</v>
      </c>
      <c r="J1664" s="3">
        <v>45875</v>
      </c>
      <c r="K1664" s="14">
        <v>18</v>
      </c>
      <c r="L1664" s="17">
        <v>3.2</v>
      </c>
      <c r="M1664" s="2" t="b">
        <v>0</v>
      </c>
      <c r="N1664" s="2"/>
      <c r="O1664" s="2" t="str">
        <f>IF(Table1[[#This Row],[is_returned]]=TRUE,IF(Table1[[#This Row],[return_reason]]="","Error","OK"),"OK")</f>
        <v>OK</v>
      </c>
      <c r="P1664" s="8">
        <f>Table1[[#This Row],[original_price]]*Table1[[#This Row],[markdown_percentage]]/100</f>
        <v>0</v>
      </c>
      <c r="Q166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664" s="25">
        <f>Table1[[#This Row],[current_price]]*Table1[[#This Row],[stock_quantity]]</f>
        <v>483.48</v>
      </c>
    </row>
    <row r="1665" spans="1:18" x14ac:dyDescent="0.25">
      <c r="A1665" s="2" t="s">
        <v>1718</v>
      </c>
      <c r="B1665" s="2" t="s">
        <v>42</v>
      </c>
      <c r="C1665" s="2" t="s">
        <v>32</v>
      </c>
      <c r="D1665" s="2" t="s">
        <v>34</v>
      </c>
      <c r="E1665" s="2" t="s">
        <v>39</v>
      </c>
      <c r="F1665" s="2" t="s">
        <v>46</v>
      </c>
      <c r="G1665" s="8">
        <v>113.34</v>
      </c>
      <c r="H1665" s="11">
        <v>0</v>
      </c>
      <c r="I1665" s="8">
        <v>113.34</v>
      </c>
      <c r="J1665" s="3">
        <v>45875</v>
      </c>
      <c r="K1665" s="14">
        <v>13</v>
      </c>
      <c r="L1665" s="17"/>
      <c r="M1665" s="2" t="b">
        <v>0</v>
      </c>
      <c r="N1665" s="2"/>
      <c r="O1665" s="2" t="str">
        <f>IF(Table1[[#This Row],[is_returned]]=TRUE,IF(Table1[[#This Row],[return_reason]]="","Error","OK"),"OK")</f>
        <v>OK</v>
      </c>
      <c r="P1665" s="8">
        <f>Table1[[#This Row],[original_price]]*Table1[[#This Row],[markdown_percentage]]/100</f>
        <v>0</v>
      </c>
      <c r="Q166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665" s="25">
        <f>Table1[[#This Row],[current_price]]*Table1[[#This Row],[stock_quantity]]</f>
        <v>1473.42</v>
      </c>
    </row>
    <row r="1666" spans="1:18" x14ac:dyDescent="0.25">
      <c r="A1666" s="2" t="s">
        <v>1719</v>
      </c>
      <c r="B1666" s="2" t="s">
        <v>21</v>
      </c>
      <c r="C1666" s="2" t="s">
        <v>61</v>
      </c>
      <c r="D1666" s="2" t="s">
        <v>62</v>
      </c>
      <c r="E1666" s="2" t="s">
        <v>24</v>
      </c>
      <c r="F1666" s="2" t="s">
        <v>28</v>
      </c>
      <c r="G1666" s="8">
        <v>40.520000000000003</v>
      </c>
      <c r="H1666" s="11">
        <v>8.9</v>
      </c>
      <c r="I1666" s="8">
        <v>36.909999999999997</v>
      </c>
      <c r="J1666" s="3">
        <v>45875</v>
      </c>
      <c r="K1666" s="14">
        <v>13</v>
      </c>
      <c r="L1666" s="17">
        <v>2.5</v>
      </c>
      <c r="M1666" s="2" t="b">
        <v>0</v>
      </c>
      <c r="N1666" s="2"/>
      <c r="O1666" s="2" t="str">
        <f>IF(Table1[[#This Row],[is_returned]]=TRUE,IF(Table1[[#This Row],[return_reason]]="","Error","OK"),"OK")</f>
        <v>OK</v>
      </c>
      <c r="P1666" s="8">
        <f>Table1[[#This Row],[original_price]]*Table1[[#This Row],[markdown_percentage]]/100</f>
        <v>3.6062800000000004</v>
      </c>
      <c r="Q166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666" s="25">
        <f>Table1[[#This Row],[current_price]]*Table1[[#This Row],[stock_quantity]]</f>
        <v>479.82999999999993</v>
      </c>
    </row>
    <row r="1667" spans="1:18" x14ac:dyDescent="0.25">
      <c r="A1667" s="2" t="s">
        <v>1720</v>
      </c>
      <c r="B1667" s="2" t="s">
        <v>38</v>
      </c>
      <c r="C1667" s="2" t="s">
        <v>75</v>
      </c>
      <c r="D1667" s="2" t="s">
        <v>62</v>
      </c>
      <c r="E1667" s="2" t="s">
        <v>24</v>
      </c>
      <c r="F1667" s="2" t="s">
        <v>25</v>
      </c>
      <c r="G1667" s="8">
        <v>98.41</v>
      </c>
      <c r="H1667" s="11">
        <v>0</v>
      </c>
      <c r="I1667" s="8">
        <v>98.41</v>
      </c>
      <c r="J1667" s="3">
        <v>45875</v>
      </c>
      <c r="K1667" s="14">
        <v>7</v>
      </c>
      <c r="L1667" s="17">
        <v>4.5999999999999996</v>
      </c>
      <c r="M1667" s="2" t="b">
        <v>0</v>
      </c>
      <c r="N1667" s="2"/>
      <c r="O1667" s="2" t="str">
        <f>IF(Table1[[#This Row],[is_returned]]=TRUE,IF(Table1[[#This Row],[return_reason]]="","Error","OK"),"OK")</f>
        <v>OK</v>
      </c>
      <c r="P1667" s="8">
        <f>Table1[[#This Row],[original_price]]*Table1[[#This Row],[markdown_percentage]]/100</f>
        <v>0</v>
      </c>
      <c r="Q166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667" s="25">
        <f>Table1[[#This Row],[current_price]]*Table1[[#This Row],[stock_quantity]]</f>
        <v>688.87</v>
      </c>
    </row>
    <row r="1668" spans="1:18" x14ac:dyDescent="0.25">
      <c r="A1668" s="2" t="s">
        <v>1721</v>
      </c>
      <c r="B1668" s="2" t="s">
        <v>38</v>
      </c>
      <c r="C1668" s="2" t="s">
        <v>75</v>
      </c>
      <c r="D1668" s="2" t="s">
        <v>23</v>
      </c>
      <c r="E1668" s="2" t="s">
        <v>55</v>
      </c>
      <c r="F1668" s="2" t="s">
        <v>19</v>
      </c>
      <c r="G1668" s="8">
        <v>83.18</v>
      </c>
      <c r="H1668" s="11">
        <v>0</v>
      </c>
      <c r="I1668" s="8">
        <v>83.18</v>
      </c>
      <c r="J1668" s="3">
        <v>45875</v>
      </c>
      <c r="K1668" s="14">
        <v>17</v>
      </c>
      <c r="L1668" s="17">
        <v>1.7</v>
      </c>
      <c r="M1668" s="2" t="b">
        <v>1</v>
      </c>
      <c r="N1668" s="2" t="s">
        <v>73</v>
      </c>
      <c r="O1668" s="2" t="str">
        <f>IF(Table1[[#This Row],[is_returned]]=TRUE,IF(Table1[[#This Row],[return_reason]]="","Error","OK"),"OK")</f>
        <v>OK</v>
      </c>
      <c r="P1668" s="8">
        <f>Table1[[#This Row],[original_price]]*Table1[[#This Row],[markdown_percentage]]/100</f>
        <v>0</v>
      </c>
      <c r="Q166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668" s="25">
        <f>Table1[[#This Row],[current_price]]*Table1[[#This Row],[stock_quantity]]</f>
        <v>1414.0600000000002</v>
      </c>
    </row>
    <row r="1669" spans="1:18" x14ac:dyDescent="0.25">
      <c r="A1669" s="2" t="s">
        <v>1722</v>
      </c>
      <c r="B1669" s="2" t="s">
        <v>30</v>
      </c>
      <c r="C1669" s="2" t="s">
        <v>48</v>
      </c>
      <c r="D1669" s="2" t="s">
        <v>17</v>
      </c>
      <c r="E1669" s="2" t="s">
        <v>49</v>
      </c>
      <c r="F1669" s="2" t="s">
        <v>66</v>
      </c>
      <c r="G1669" s="8">
        <v>179.31</v>
      </c>
      <c r="H1669" s="11">
        <v>24.1</v>
      </c>
      <c r="I1669" s="8">
        <v>136.1</v>
      </c>
      <c r="J1669" s="3">
        <v>45851</v>
      </c>
      <c r="K1669" s="14">
        <v>0</v>
      </c>
      <c r="L1669" s="17">
        <v>3.1</v>
      </c>
      <c r="M1669" s="2" t="b">
        <v>0</v>
      </c>
      <c r="N1669" s="2"/>
      <c r="O1669" s="2" t="str">
        <f>IF(Table1[[#This Row],[is_returned]]=TRUE,IF(Table1[[#This Row],[return_reason]]="","Error","OK"),"OK")</f>
        <v>OK</v>
      </c>
      <c r="P1669" s="8">
        <f>Table1[[#This Row],[original_price]]*Table1[[#This Row],[markdown_percentage]]/100</f>
        <v>43.213709999999999</v>
      </c>
      <c r="Q166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669" s="25">
        <f>Table1[[#This Row],[current_price]]*Table1[[#This Row],[stock_quantity]]</f>
        <v>0</v>
      </c>
    </row>
    <row r="1670" spans="1:18" x14ac:dyDescent="0.25">
      <c r="A1670" s="2" t="s">
        <v>1723</v>
      </c>
      <c r="B1670" s="2" t="s">
        <v>21</v>
      </c>
      <c r="C1670" s="2" t="s">
        <v>16</v>
      </c>
      <c r="D1670" s="2" t="s">
        <v>17</v>
      </c>
      <c r="E1670" s="2" t="s">
        <v>49</v>
      </c>
      <c r="F1670" s="2" t="s">
        <v>46</v>
      </c>
      <c r="G1670" s="8">
        <v>47.88</v>
      </c>
      <c r="H1670" s="11">
        <v>0</v>
      </c>
      <c r="I1670" s="8">
        <v>47.88</v>
      </c>
      <c r="J1670" s="3">
        <v>45647</v>
      </c>
      <c r="K1670" s="14">
        <v>44</v>
      </c>
      <c r="L1670" s="17">
        <v>1.9</v>
      </c>
      <c r="M1670" s="2" t="b">
        <v>0</v>
      </c>
      <c r="N1670" s="2"/>
      <c r="O1670" s="2" t="str">
        <f>IF(Table1[[#This Row],[is_returned]]=TRUE,IF(Table1[[#This Row],[return_reason]]="","Error","OK"),"OK")</f>
        <v>OK</v>
      </c>
      <c r="P1670" s="8">
        <f>Table1[[#This Row],[original_price]]*Table1[[#This Row],[markdown_percentage]]/100</f>
        <v>0</v>
      </c>
      <c r="Q167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670" s="25">
        <f>Table1[[#This Row],[current_price]]*Table1[[#This Row],[stock_quantity]]</f>
        <v>2106.7200000000003</v>
      </c>
    </row>
    <row r="1671" spans="1:18" x14ac:dyDescent="0.25">
      <c r="A1671" s="2" t="s">
        <v>1724</v>
      </c>
      <c r="B1671" s="2" t="s">
        <v>15</v>
      </c>
      <c r="C1671" s="2" t="s">
        <v>43</v>
      </c>
      <c r="D1671" s="2" t="s">
        <v>23</v>
      </c>
      <c r="E1671" s="2" t="s">
        <v>18</v>
      </c>
      <c r="F1671" s="2" t="s">
        <v>64</v>
      </c>
      <c r="G1671" s="8">
        <v>89.26</v>
      </c>
      <c r="H1671" s="11">
        <v>0</v>
      </c>
      <c r="I1671" s="8">
        <v>89.26</v>
      </c>
      <c r="J1671" s="3">
        <v>45875</v>
      </c>
      <c r="K1671" s="14">
        <v>43</v>
      </c>
      <c r="L1671" s="17">
        <v>3.8</v>
      </c>
      <c r="M1671" s="2" t="b">
        <v>0</v>
      </c>
      <c r="N1671" s="2"/>
      <c r="O1671" s="2" t="str">
        <f>IF(Table1[[#This Row],[is_returned]]=TRUE,IF(Table1[[#This Row],[return_reason]]="","Error","OK"),"OK")</f>
        <v>OK</v>
      </c>
      <c r="P1671" s="8">
        <f>Table1[[#This Row],[original_price]]*Table1[[#This Row],[markdown_percentage]]/100</f>
        <v>0</v>
      </c>
      <c r="Q167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671" s="25">
        <f>Table1[[#This Row],[current_price]]*Table1[[#This Row],[stock_quantity]]</f>
        <v>3838.1800000000003</v>
      </c>
    </row>
    <row r="1672" spans="1:18" x14ac:dyDescent="0.25">
      <c r="A1672" s="2" t="s">
        <v>1725</v>
      </c>
      <c r="B1672" s="2" t="s">
        <v>42</v>
      </c>
      <c r="C1672" s="2" t="s">
        <v>61</v>
      </c>
      <c r="D1672" s="2" t="s">
        <v>62</v>
      </c>
      <c r="E1672" s="2" t="s">
        <v>49</v>
      </c>
      <c r="F1672" s="2" t="s">
        <v>28</v>
      </c>
      <c r="G1672" s="8">
        <v>114.2</v>
      </c>
      <c r="H1672" s="11">
        <v>0</v>
      </c>
      <c r="I1672" s="8">
        <v>114.2</v>
      </c>
      <c r="J1672" s="3">
        <v>45875</v>
      </c>
      <c r="K1672" s="14">
        <v>15</v>
      </c>
      <c r="L1672" s="17"/>
      <c r="M1672" s="2" t="b">
        <v>0</v>
      </c>
      <c r="N1672" s="2"/>
      <c r="O1672" s="2" t="str">
        <f>IF(Table1[[#This Row],[is_returned]]=TRUE,IF(Table1[[#This Row],[return_reason]]="","Error","OK"),"OK")</f>
        <v>OK</v>
      </c>
      <c r="P1672" s="8">
        <f>Table1[[#This Row],[original_price]]*Table1[[#This Row],[markdown_percentage]]/100</f>
        <v>0</v>
      </c>
      <c r="Q167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672" s="25">
        <f>Table1[[#This Row],[current_price]]*Table1[[#This Row],[stock_quantity]]</f>
        <v>1713</v>
      </c>
    </row>
    <row r="1673" spans="1:18" x14ac:dyDescent="0.25">
      <c r="A1673" s="2" t="s">
        <v>1726</v>
      </c>
      <c r="B1673" s="2" t="s">
        <v>30</v>
      </c>
      <c r="C1673" s="2" t="s">
        <v>61</v>
      </c>
      <c r="D1673" s="2" t="s">
        <v>62</v>
      </c>
      <c r="E1673" s="2" t="s">
        <v>24</v>
      </c>
      <c r="F1673" s="2" t="s">
        <v>46</v>
      </c>
      <c r="G1673" s="8">
        <v>169.5</v>
      </c>
      <c r="H1673" s="11">
        <v>59.7</v>
      </c>
      <c r="I1673" s="8">
        <v>68.31</v>
      </c>
      <c r="J1673" s="3">
        <v>45875</v>
      </c>
      <c r="K1673" s="14">
        <v>16</v>
      </c>
      <c r="L1673" s="17">
        <v>1.8</v>
      </c>
      <c r="M1673" s="2" t="b">
        <v>0</v>
      </c>
      <c r="N1673" s="2"/>
      <c r="O1673" s="2" t="str">
        <f>IF(Table1[[#This Row],[is_returned]]=TRUE,IF(Table1[[#This Row],[return_reason]]="","Error","OK"),"OK")</f>
        <v>OK</v>
      </c>
      <c r="P1673" s="8">
        <f>Table1[[#This Row],[original_price]]*Table1[[#This Row],[markdown_percentage]]/100</f>
        <v>101.19149999999999</v>
      </c>
      <c r="Q167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673" s="25">
        <f>Table1[[#This Row],[current_price]]*Table1[[#This Row],[stock_quantity]]</f>
        <v>1092.96</v>
      </c>
    </row>
    <row r="1674" spans="1:18" x14ac:dyDescent="0.25">
      <c r="A1674" s="2" t="s">
        <v>1727</v>
      </c>
      <c r="B1674" s="2" t="s">
        <v>21</v>
      </c>
      <c r="C1674" s="2" t="s">
        <v>48</v>
      </c>
      <c r="D1674" s="2" t="s">
        <v>34</v>
      </c>
      <c r="E1674" s="2" t="s">
        <v>55</v>
      </c>
      <c r="F1674" s="2" t="s">
        <v>35</v>
      </c>
      <c r="G1674" s="8">
        <v>77.989999999999995</v>
      </c>
      <c r="H1674" s="11">
        <v>0</v>
      </c>
      <c r="I1674" s="8">
        <v>77.989999999999995</v>
      </c>
      <c r="J1674" s="3">
        <v>45875</v>
      </c>
      <c r="K1674" s="14">
        <v>42</v>
      </c>
      <c r="L1674" s="17"/>
      <c r="M1674" s="2" t="b">
        <v>0</v>
      </c>
      <c r="N1674" s="2"/>
      <c r="O1674" s="2" t="str">
        <f>IF(Table1[[#This Row],[is_returned]]=TRUE,IF(Table1[[#This Row],[return_reason]]="","Error","OK"),"OK")</f>
        <v>OK</v>
      </c>
      <c r="P1674" s="8">
        <f>Table1[[#This Row],[original_price]]*Table1[[#This Row],[markdown_percentage]]/100</f>
        <v>0</v>
      </c>
      <c r="Q167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674" s="25">
        <f>Table1[[#This Row],[current_price]]*Table1[[#This Row],[stock_quantity]]</f>
        <v>3275.58</v>
      </c>
    </row>
    <row r="1675" spans="1:18" x14ac:dyDescent="0.25">
      <c r="A1675" s="2" t="s">
        <v>1728</v>
      </c>
      <c r="B1675" s="2" t="s">
        <v>38</v>
      </c>
      <c r="C1675" s="2" t="s">
        <v>53</v>
      </c>
      <c r="D1675" s="2" t="s">
        <v>34</v>
      </c>
      <c r="E1675" s="2"/>
      <c r="F1675" s="2" t="s">
        <v>25</v>
      </c>
      <c r="G1675" s="8">
        <v>103.77</v>
      </c>
      <c r="H1675" s="11">
        <v>0</v>
      </c>
      <c r="I1675" s="8">
        <v>103.77</v>
      </c>
      <c r="J1675" s="3">
        <v>45875</v>
      </c>
      <c r="K1675" s="14">
        <v>12</v>
      </c>
      <c r="L1675" s="17">
        <v>4.4000000000000004</v>
      </c>
      <c r="M1675" s="2" t="b">
        <v>0</v>
      </c>
      <c r="N1675" s="2"/>
      <c r="O1675" s="2" t="str">
        <f>IF(Table1[[#This Row],[is_returned]]=TRUE,IF(Table1[[#This Row],[return_reason]]="","Error","OK"),"OK")</f>
        <v>OK</v>
      </c>
      <c r="P1675" s="8">
        <f>Table1[[#This Row],[original_price]]*Table1[[#This Row],[markdown_percentage]]/100</f>
        <v>0</v>
      </c>
      <c r="Q167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675" s="25">
        <f>Table1[[#This Row],[current_price]]*Table1[[#This Row],[stock_quantity]]</f>
        <v>1245.24</v>
      </c>
    </row>
    <row r="1676" spans="1:18" x14ac:dyDescent="0.25">
      <c r="A1676" s="2" t="s">
        <v>1729</v>
      </c>
      <c r="B1676" s="2" t="s">
        <v>27</v>
      </c>
      <c r="C1676" s="2" t="s">
        <v>75</v>
      </c>
      <c r="D1676" s="2" t="s">
        <v>34</v>
      </c>
      <c r="E1676" s="2"/>
      <c r="F1676" s="2" t="s">
        <v>28</v>
      </c>
      <c r="G1676" s="8">
        <v>42.96</v>
      </c>
      <c r="H1676" s="11">
        <v>0</v>
      </c>
      <c r="I1676" s="8">
        <v>42.96</v>
      </c>
      <c r="J1676" s="3">
        <v>45875</v>
      </c>
      <c r="K1676" s="14">
        <v>36</v>
      </c>
      <c r="L1676" s="17">
        <v>1.1000000000000001</v>
      </c>
      <c r="M1676" s="2" t="b">
        <v>0</v>
      </c>
      <c r="N1676" s="2"/>
      <c r="O1676" s="2" t="str">
        <f>IF(Table1[[#This Row],[is_returned]]=TRUE,IF(Table1[[#This Row],[return_reason]]="","Error","OK"),"OK")</f>
        <v>OK</v>
      </c>
      <c r="P1676" s="8">
        <f>Table1[[#This Row],[original_price]]*Table1[[#This Row],[markdown_percentage]]/100</f>
        <v>0</v>
      </c>
      <c r="Q167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676" s="25">
        <f>Table1[[#This Row],[current_price]]*Table1[[#This Row],[stock_quantity]]</f>
        <v>1546.56</v>
      </c>
    </row>
    <row r="1677" spans="1:18" x14ac:dyDescent="0.25">
      <c r="A1677" s="2" t="s">
        <v>1730</v>
      </c>
      <c r="B1677" s="2" t="s">
        <v>42</v>
      </c>
      <c r="C1677" s="2" t="s">
        <v>32</v>
      </c>
      <c r="D1677" s="2" t="s">
        <v>34</v>
      </c>
      <c r="E1677" s="2"/>
      <c r="F1677" s="2" t="s">
        <v>70</v>
      </c>
      <c r="G1677" s="8">
        <v>126.11</v>
      </c>
      <c r="H1677" s="11">
        <v>0</v>
      </c>
      <c r="I1677" s="8">
        <v>126.11</v>
      </c>
      <c r="J1677" s="3">
        <v>45875</v>
      </c>
      <c r="K1677" s="14">
        <v>16</v>
      </c>
      <c r="L1677" s="17">
        <v>3.5</v>
      </c>
      <c r="M1677" s="2" t="b">
        <v>0</v>
      </c>
      <c r="N1677" s="2"/>
      <c r="O1677" s="2" t="str">
        <f>IF(Table1[[#This Row],[is_returned]]=TRUE,IF(Table1[[#This Row],[return_reason]]="","Error","OK"),"OK")</f>
        <v>OK</v>
      </c>
      <c r="P1677" s="8">
        <f>Table1[[#This Row],[original_price]]*Table1[[#This Row],[markdown_percentage]]/100</f>
        <v>0</v>
      </c>
      <c r="Q167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677" s="25">
        <f>Table1[[#This Row],[current_price]]*Table1[[#This Row],[stock_quantity]]</f>
        <v>2017.76</v>
      </c>
    </row>
    <row r="1678" spans="1:18" x14ac:dyDescent="0.25">
      <c r="A1678" s="2" t="s">
        <v>1731</v>
      </c>
      <c r="B1678" s="2" t="s">
        <v>27</v>
      </c>
      <c r="C1678" s="2" t="s">
        <v>32</v>
      </c>
      <c r="D1678" s="2" t="s">
        <v>62</v>
      </c>
      <c r="E1678" s="2"/>
      <c r="F1678" s="2" t="s">
        <v>56</v>
      </c>
      <c r="G1678" s="8">
        <v>43.83</v>
      </c>
      <c r="H1678" s="11">
        <v>0</v>
      </c>
      <c r="I1678" s="8">
        <v>43.83</v>
      </c>
      <c r="J1678" s="3">
        <v>45875</v>
      </c>
      <c r="K1678" s="14">
        <v>31</v>
      </c>
      <c r="L1678" s="17">
        <v>2.5</v>
      </c>
      <c r="M1678" s="2" t="b">
        <v>0</v>
      </c>
      <c r="N1678" s="2"/>
      <c r="O1678" s="2" t="str">
        <f>IF(Table1[[#This Row],[is_returned]]=TRUE,IF(Table1[[#This Row],[return_reason]]="","Error","OK"),"OK")</f>
        <v>OK</v>
      </c>
      <c r="P1678" s="8">
        <f>Table1[[#This Row],[original_price]]*Table1[[#This Row],[markdown_percentage]]/100</f>
        <v>0</v>
      </c>
      <c r="Q167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678" s="25">
        <f>Table1[[#This Row],[current_price]]*Table1[[#This Row],[stock_quantity]]</f>
        <v>1358.73</v>
      </c>
    </row>
    <row r="1679" spans="1:18" x14ac:dyDescent="0.25">
      <c r="A1679" s="2" t="s">
        <v>1732</v>
      </c>
      <c r="B1679" s="2" t="s">
        <v>30</v>
      </c>
      <c r="C1679" s="2" t="s">
        <v>32</v>
      </c>
      <c r="D1679" s="2" t="s">
        <v>34</v>
      </c>
      <c r="E1679" s="2" t="s">
        <v>39</v>
      </c>
      <c r="F1679" s="2" t="s">
        <v>56</v>
      </c>
      <c r="G1679" s="8">
        <v>94.1</v>
      </c>
      <c r="H1679" s="11">
        <v>0</v>
      </c>
      <c r="I1679" s="8">
        <v>94.1</v>
      </c>
      <c r="J1679" s="3">
        <v>45875</v>
      </c>
      <c r="K1679" s="14">
        <v>24</v>
      </c>
      <c r="L1679" s="17">
        <v>1.4</v>
      </c>
      <c r="M1679" s="2" t="b">
        <v>0</v>
      </c>
      <c r="N1679" s="2"/>
      <c r="O1679" s="2" t="str">
        <f>IF(Table1[[#This Row],[is_returned]]=TRUE,IF(Table1[[#This Row],[return_reason]]="","Error","OK"),"OK")</f>
        <v>OK</v>
      </c>
      <c r="P1679" s="8">
        <f>Table1[[#This Row],[original_price]]*Table1[[#This Row],[markdown_percentage]]/100</f>
        <v>0</v>
      </c>
      <c r="Q167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679" s="25">
        <f>Table1[[#This Row],[current_price]]*Table1[[#This Row],[stock_quantity]]</f>
        <v>2258.3999999999996</v>
      </c>
    </row>
    <row r="1680" spans="1:18" x14ac:dyDescent="0.25">
      <c r="A1680" s="2" t="s">
        <v>1733</v>
      </c>
      <c r="B1680" s="2" t="s">
        <v>30</v>
      </c>
      <c r="C1680" s="2" t="s">
        <v>16</v>
      </c>
      <c r="D1680" s="2" t="s">
        <v>34</v>
      </c>
      <c r="E1680" s="2" t="s">
        <v>58</v>
      </c>
      <c r="F1680" s="2" t="s">
        <v>19</v>
      </c>
      <c r="G1680" s="8">
        <v>151.27000000000001</v>
      </c>
      <c r="H1680" s="11">
        <v>0</v>
      </c>
      <c r="I1680" s="8">
        <v>151.27000000000001</v>
      </c>
      <c r="J1680" s="3">
        <v>45875</v>
      </c>
      <c r="K1680" s="14">
        <v>39</v>
      </c>
      <c r="L1680" s="17">
        <v>4</v>
      </c>
      <c r="M1680" s="2" t="b">
        <v>1</v>
      </c>
      <c r="N1680" s="2" t="s">
        <v>78</v>
      </c>
      <c r="O1680" s="2" t="str">
        <f>IF(Table1[[#This Row],[is_returned]]=TRUE,IF(Table1[[#This Row],[return_reason]]="","Error","OK"),"OK")</f>
        <v>OK</v>
      </c>
      <c r="P1680" s="8">
        <f>Table1[[#This Row],[original_price]]*Table1[[#This Row],[markdown_percentage]]/100</f>
        <v>0</v>
      </c>
      <c r="Q168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680" s="25">
        <f>Table1[[#This Row],[current_price]]*Table1[[#This Row],[stock_quantity]]</f>
        <v>5899.5300000000007</v>
      </c>
    </row>
    <row r="1681" spans="1:18" x14ac:dyDescent="0.25">
      <c r="A1681" s="2" t="s">
        <v>1734</v>
      </c>
      <c r="B1681" s="2" t="s">
        <v>27</v>
      </c>
      <c r="C1681" s="2" t="s">
        <v>61</v>
      </c>
      <c r="D1681" s="2" t="s">
        <v>17</v>
      </c>
      <c r="E1681" s="2"/>
      <c r="F1681" s="2" t="s">
        <v>64</v>
      </c>
      <c r="G1681" s="8">
        <v>61.47</v>
      </c>
      <c r="H1681" s="11">
        <v>0</v>
      </c>
      <c r="I1681" s="8">
        <v>61.47</v>
      </c>
      <c r="J1681" s="3">
        <v>45529</v>
      </c>
      <c r="K1681" s="14">
        <v>44</v>
      </c>
      <c r="L1681" s="17"/>
      <c r="M1681" s="2" t="b">
        <v>0</v>
      </c>
      <c r="N1681" s="2"/>
      <c r="O1681" s="2" t="str">
        <f>IF(Table1[[#This Row],[is_returned]]=TRUE,IF(Table1[[#This Row],[return_reason]]="","Error","OK"),"OK")</f>
        <v>OK</v>
      </c>
      <c r="P1681" s="8">
        <f>Table1[[#This Row],[original_price]]*Table1[[#This Row],[markdown_percentage]]/100</f>
        <v>0</v>
      </c>
      <c r="Q168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681" s="25">
        <f>Table1[[#This Row],[current_price]]*Table1[[#This Row],[stock_quantity]]</f>
        <v>2704.68</v>
      </c>
    </row>
    <row r="1682" spans="1:18" x14ac:dyDescent="0.25">
      <c r="A1682" s="2" t="s">
        <v>1735</v>
      </c>
      <c r="B1682" s="2" t="s">
        <v>30</v>
      </c>
      <c r="C1682" s="2" t="s">
        <v>43</v>
      </c>
      <c r="D1682" s="2" t="s">
        <v>62</v>
      </c>
      <c r="E1682" s="2" t="s">
        <v>58</v>
      </c>
      <c r="F1682" s="2" t="s">
        <v>64</v>
      </c>
      <c r="G1682" s="8">
        <v>185.96</v>
      </c>
      <c r="H1682" s="11">
        <v>0</v>
      </c>
      <c r="I1682" s="8">
        <v>185.96</v>
      </c>
      <c r="J1682" s="3">
        <v>45875</v>
      </c>
      <c r="K1682" s="14">
        <v>35</v>
      </c>
      <c r="L1682" s="17">
        <v>1.3</v>
      </c>
      <c r="M1682" s="2" t="b">
        <v>0</v>
      </c>
      <c r="N1682" s="2"/>
      <c r="O1682" s="2" t="str">
        <f>IF(Table1[[#This Row],[is_returned]]=TRUE,IF(Table1[[#This Row],[return_reason]]="","Error","OK"),"OK")</f>
        <v>OK</v>
      </c>
      <c r="P1682" s="8">
        <f>Table1[[#This Row],[original_price]]*Table1[[#This Row],[markdown_percentage]]/100</f>
        <v>0</v>
      </c>
      <c r="Q168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682" s="25">
        <f>Table1[[#This Row],[current_price]]*Table1[[#This Row],[stock_quantity]]</f>
        <v>6508.6</v>
      </c>
    </row>
    <row r="1683" spans="1:18" x14ac:dyDescent="0.25">
      <c r="A1683" s="2" t="s">
        <v>1736</v>
      </c>
      <c r="B1683" s="2" t="s">
        <v>42</v>
      </c>
      <c r="C1683" s="2" t="s">
        <v>61</v>
      </c>
      <c r="D1683" s="2" t="s">
        <v>34</v>
      </c>
      <c r="E1683" s="2" t="s">
        <v>58</v>
      </c>
      <c r="F1683" s="2" t="s">
        <v>19</v>
      </c>
      <c r="G1683" s="8">
        <v>113.05</v>
      </c>
      <c r="H1683" s="11">
        <v>0</v>
      </c>
      <c r="I1683" s="8">
        <v>113.05</v>
      </c>
      <c r="J1683" s="3">
        <v>45875</v>
      </c>
      <c r="K1683" s="14">
        <v>47</v>
      </c>
      <c r="L1683" s="17">
        <v>2</v>
      </c>
      <c r="M1683" s="2" t="b">
        <v>0</v>
      </c>
      <c r="N1683" s="2"/>
      <c r="O1683" s="2" t="str">
        <f>IF(Table1[[#This Row],[is_returned]]=TRUE,IF(Table1[[#This Row],[return_reason]]="","Error","OK"),"OK")</f>
        <v>OK</v>
      </c>
      <c r="P1683" s="8">
        <f>Table1[[#This Row],[original_price]]*Table1[[#This Row],[markdown_percentage]]/100</f>
        <v>0</v>
      </c>
      <c r="Q168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683" s="25">
        <f>Table1[[#This Row],[current_price]]*Table1[[#This Row],[stock_quantity]]</f>
        <v>5313.3499999999995</v>
      </c>
    </row>
    <row r="1684" spans="1:18" x14ac:dyDescent="0.25">
      <c r="A1684" s="2" t="s">
        <v>1737</v>
      </c>
      <c r="B1684" s="2" t="s">
        <v>21</v>
      </c>
      <c r="C1684" s="2" t="s">
        <v>32</v>
      </c>
      <c r="D1684" s="2" t="s">
        <v>62</v>
      </c>
      <c r="E1684" s="2" t="s">
        <v>24</v>
      </c>
      <c r="F1684" s="2" t="s">
        <v>70</v>
      </c>
      <c r="G1684" s="8">
        <v>110.9</v>
      </c>
      <c r="H1684" s="11">
        <v>34.700000000000003</v>
      </c>
      <c r="I1684" s="8">
        <v>72.42</v>
      </c>
      <c r="J1684" s="3">
        <v>45875</v>
      </c>
      <c r="K1684" s="14">
        <v>2</v>
      </c>
      <c r="L1684" s="17">
        <v>2.5</v>
      </c>
      <c r="M1684" s="2" t="b">
        <v>0</v>
      </c>
      <c r="N1684" s="2"/>
      <c r="O1684" s="2" t="str">
        <f>IF(Table1[[#This Row],[is_returned]]=TRUE,IF(Table1[[#This Row],[return_reason]]="","Error","OK"),"OK")</f>
        <v>OK</v>
      </c>
      <c r="P1684" s="8">
        <f>Table1[[#This Row],[original_price]]*Table1[[#This Row],[markdown_percentage]]/100</f>
        <v>38.482300000000002</v>
      </c>
      <c r="Q168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684" s="25">
        <f>Table1[[#This Row],[current_price]]*Table1[[#This Row],[stock_quantity]]</f>
        <v>144.84</v>
      </c>
    </row>
    <row r="1685" spans="1:18" x14ac:dyDescent="0.25">
      <c r="A1685" s="2" t="s">
        <v>1738</v>
      </c>
      <c r="B1685" s="2" t="s">
        <v>21</v>
      </c>
      <c r="C1685" s="2" t="s">
        <v>22</v>
      </c>
      <c r="D1685" s="2" t="s">
        <v>62</v>
      </c>
      <c r="E1685" s="2" t="s">
        <v>49</v>
      </c>
      <c r="F1685" s="2" t="s">
        <v>35</v>
      </c>
      <c r="G1685" s="8">
        <v>29.04</v>
      </c>
      <c r="H1685" s="11">
        <v>0</v>
      </c>
      <c r="I1685" s="8">
        <v>29.04</v>
      </c>
      <c r="J1685" s="3">
        <v>45875</v>
      </c>
      <c r="K1685" s="14">
        <v>4</v>
      </c>
      <c r="L1685" s="17">
        <v>5</v>
      </c>
      <c r="M1685" s="2" t="b">
        <v>0</v>
      </c>
      <c r="N1685" s="2"/>
      <c r="O1685" s="2" t="str">
        <f>IF(Table1[[#This Row],[is_returned]]=TRUE,IF(Table1[[#This Row],[return_reason]]="","Error","OK"),"OK")</f>
        <v>OK</v>
      </c>
      <c r="P1685" s="8">
        <f>Table1[[#This Row],[original_price]]*Table1[[#This Row],[markdown_percentage]]/100</f>
        <v>0</v>
      </c>
      <c r="Q168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685" s="25">
        <f>Table1[[#This Row],[current_price]]*Table1[[#This Row],[stock_quantity]]</f>
        <v>116.16</v>
      </c>
    </row>
    <row r="1686" spans="1:18" x14ac:dyDescent="0.25">
      <c r="A1686" s="2" t="s">
        <v>1739</v>
      </c>
      <c r="B1686" s="2" t="s">
        <v>30</v>
      </c>
      <c r="C1686" s="2" t="s">
        <v>75</v>
      </c>
      <c r="D1686" s="2" t="s">
        <v>17</v>
      </c>
      <c r="E1686" s="2" t="s">
        <v>18</v>
      </c>
      <c r="F1686" s="2" t="s">
        <v>40</v>
      </c>
      <c r="G1686" s="8">
        <v>164.48</v>
      </c>
      <c r="H1686" s="11">
        <v>51.5</v>
      </c>
      <c r="I1686" s="8">
        <v>79.77</v>
      </c>
      <c r="J1686" s="3">
        <v>45542</v>
      </c>
      <c r="K1686" s="14">
        <v>27</v>
      </c>
      <c r="L1686" s="17">
        <v>3.4</v>
      </c>
      <c r="M1686" s="2" t="b">
        <v>0</v>
      </c>
      <c r="N1686" s="2"/>
      <c r="O1686" s="2" t="str">
        <f>IF(Table1[[#This Row],[is_returned]]=TRUE,IF(Table1[[#This Row],[return_reason]]="","Error","OK"),"OK")</f>
        <v>OK</v>
      </c>
      <c r="P1686" s="8">
        <f>Table1[[#This Row],[original_price]]*Table1[[#This Row],[markdown_percentage]]/100</f>
        <v>84.7072</v>
      </c>
      <c r="Q168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686" s="25">
        <f>Table1[[#This Row],[current_price]]*Table1[[#This Row],[stock_quantity]]</f>
        <v>2153.79</v>
      </c>
    </row>
    <row r="1687" spans="1:18" x14ac:dyDescent="0.25">
      <c r="A1687" s="2" t="s">
        <v>1740</v>
      </c>
      <c r="B1687" s="2" t="s">
        <v>38</v>
      </c>
      <c r="C1687" s="2" t="s">
        <v>32</v>
      </c>
      <c r="D1687" s="2" t="s">
        <v>23</v>
      </c>
      <c r="E1687" s="2" t="s">
        <v>24</v>
      </c>
      <c r="F1687" s="2" t="s">
        <v>35</v>
      </c>
      <c r="G1687" s="8">
        <v>52.51</v>
      </c>
      <c r="H1687" s="11">
        <v>49.4</v>
      </c>
      <c r="I1687" s="8">
        <v>26.57</v>
      </c>
      <c r="J1687" s="3">
        <v>45875</v>
      </c>
      <c r="K1687" s="14">
        <v>37</v>
      </c>
      <c r="L1687" s="17">
        <v>3.5</v>
      </c>
      <c r="M1687" s="2" t="b">
        <v>1</v>
      </c>
      <c r="N1687" s="2" t="s">
        <v>115</v>
      </c>
      <c r="O1687" s="2" t="str">
        <f>IF(Table1[[#This Row],[is_returned]]=TRUE,IF(Table1[[#This Row],[return_reason]]="","Error","OK"),"OK")</f>
        <v>OK</v>
      </c>
      <c r="P1687" s="8">
        <f>Table1[[#This Row],[original_price]]*Table1[[#This Row],[markdown_percentage]]/100</f>
        <v>25.939939999999996</v>
      </c>
      <c r="Q168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687" s="25">
        <f>Table1[[#This Row],[current_price]]*Table1[[#This Row],[stock_quantity]]</f>
        <v>983.09</v>
      </c>
    </row>
    <row r="1688" spans="1:18" x14ac:dyDescent="0.25">
      <c r="A1688" s="2" t="s">
        <v>1741</v>
      </c>
      <c r="B1688" s="2" t="s">
        <v>42</v>
      </c>
      <c r="C1688" s="2" t="s">
        <v>53</v>
      </c>
      <c r="D1688" s="2" t="s">
        <v>23</v>
      </c>
      <c r="E1688" s="2" t="s">
        <v>49</v>
      </c>
      <c r="F1688" s="2" t="s">
        <v>40</v>
      </c>
      <c r="G1688" s="8">
        <v>175.74</v>
      </c>
      <c r="H1688" s="11">
        <v>42.9</v>
      </c>
      <c r="I1688" s="8">
        <v>100.35</v>
      </c>
      <c r="J1688" s="3">
        <v>45875</v>
      </c>
      <c r="K1688" s="14">
        <v>48</v>
      </c>
      <c r="L1688" s="17"/>
      <c r="M1688" s="2" t="b">
        <v>1</v>
      </c>
      <c r="N1688" s="2" t="s">
        <v>115</v>
      </c>
      <c r="O1688" s="2" t="str">
        <f>IF(Table1[[#This Row],[is_returned]]=TRUE,IF(Table1[[#This Row],[return_reason]]="","Error","OK"),"OK")</f>
        <v>OK</v>
      </c>
      <c r="P1688" s="8">
        <f>Table1[[#This Row],[original_price]]*Table1[[#This Row],[markdown_percentage]]/100</f>
        <v>75.39246</v>
      </c>
      <c r="Q168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688" s="25">
        <f>Table1[[#This Row],[current_price]]*Table1[[#This Row],[stock_quantity]]</f>
        <v>4816.7999999999993</v>
      </c>
    </row>
    <row r="1689" spans="1:18" x14ac:dyDescent="0.25">
      <c r="A1689" s="2" t="s">
        <v>1742</v>
      </c>
      <c r="B1689" s="2" t="s">
        <v>21</v>
      </c>
      <c r="C1689" s="2" t="s">
        <v>53</v>
      </c>
      <c r="D1689" s="2" t="s">
        <v>17</v>
      </c>
      <c r="E1689" s="2" t="s">
        <v>55</v>
      </c>
      <c r="F1689" s="2" t="s">
        <v>56</v>
      </c>
      <c r="G1689" s="8">
        <v>57.06</v>
      </c>
      <c r="H1689" s="11">
        <v>27.5</v>
      </c>
      <c r="I1689" s="8">
        <v>41.37</v>
      </c>
      <c r="J1689" s="3">
        <v>45651</v>
      </c>
      <c r="K1689" s="14">
        <v>43</v>
      </c>
      <c r="L1689" s="17">
        <v>1.8</v>
      </c>
      <c r="M1689" s="2" t="b">
        <v>0</v>
      </c>
      <c r="N1689" s="2"/>
      <c r="O1689" s="2" t="str">
        <f>IF(Table1[[#This Row],[is_returned]]=TRUE,IF(Table1[[#This Row],[return_reason]]="","Error","OK"),"OK")</f>
        <v>OK</v>
      </c>
      <c r="P1689" s="8">
        <f>Table1[[#This Row],[original_price]]*Table1[[#This Row],[markdown_percentage]]/100</f>
        <v>15.691500000000001</v>
      </c>
      <c r="Q168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689" s="25">
        <f>Table1[[#This Row],[current_price]]*Table1[[#This Row],[stock_quantity]]</f>
        <v>1778.9099999999999</v>
      </c>
    </row>
    <row r="1690" spans="1:18" x14ac:dyDescent="0.25">
      <c r="A1690" s="2" t="s">
        <v>1743</v>
      </c>
      <c r="B1690" s="2" t="s">
        <v>42</v>
      </c>
      <c r="C1690" s="2" t="s">
        <v>53</v>
      </c>
      <c r="D1690" s="2" t="s">
        <v>23</v>
      </c>
      <c r="E1690" s="2" t="s">
        <v>24</v>
      </c>
      <c r="F1690" s="2" t="s">
        <v>28</v>
      </c>
      <c r="G1690" s="8">
        <v>158.24</v>
      </c>
      <c r="H1690" s="11">
        <v>0</v>
      </c>
      <c r="I1690" s="8">
        <v>158.24</v>
      </c>
      <c r="J1690" s="3">
        <v>45875</v>
      </c>
      <c r="K1690" s="14">
        <v>41</v>
      </c>
      <c r="L1690" s="17">
        <v>3.1</v>
      </c>
      <c r="M1690" s="2" t="b">
        <v>0</v>
      </c>
      <c r="N1690" s="2"/>
      <c r="O1690" s="2" t="str">
        <f>IF(Table1[[#This Row],[is_returned]]=TRUE,IF(Table1[[#This Row],[return_reason]]="","Error","OK"),"OK")</f>
        <v>OK</v>
      </c>
      <c r="P1690" s="8">
        <f>Table1[[#This Row],[original_price]]*Table1[[#This Row],[markdown_percentage]]/100</f>
        <v>0</v>
      </c>
      <c r="Q169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690" s="25">
        <f>Table1[[#This Row],[current_price]]*Table1[[#This Row],[stock_quantity]]</f>
        <v>6487.84</v>
      </c>
    </row>
    <row r="1691" spans="1:18" x14ac:dyDescent="0.25">
      <c r="A1691" s="2" t="s">
        <v>1744</v>
      </c>
      <c r="B1691" s="2" t="s">
        <v>15</v>
      </c>
      <c r="C1691" s="2" t="s">
        <v>43</v>
      </c>
      <c r="D1691" s="2" t="s">
        <v>34</v>
      </c>
      <c r="E1691" s="2"/>
      <c r="F1691" s="2" t="s">
        <v>25</v>
      </c>
      <c r="G1691" s="8">
        <v>153.46</v>
      </c>
      <c r="H1691" s="11">
        <v>0</v>
      </c>
      <c r="I1691" s="8">
        <v>153.46</v>
      </c>
      <c r="J1691" s="3">
        <v>45875</v>
      </c>
      <c r="K1691" s="14">
        <v>27</v>
      </c>
      <c r="L1691" s="17">
        <v>1.7</v>
      </c>
      <c r="M1691" s="2" t="b">
        <v>0</v>
      </c>
      <c r="N1691" s="2"/>
      <c r="O1691" s="2" t="str">
        <f>IF(Table1[[#This Row],[is_returned]]=TRUE,IF(Table1[[#This Row],[return_reason]]="","Error","OK"),"OK")</f>
        <v>OK</v>
      </c>
      <c r="P1691" s="8">
        <f>Table1[[#This Row],[original_price]]*Table1[[#This Row],[markdown_percentage]]/100</f>
        <v>0</v>
      </c>
      <c r="Q169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691" s="25">
        <f>Table1[[#This Row],[current_price]]*Table1[[#This Row],[stock_quantity]]</f>
        <v>4143.42</v>
      </c>
    </row>
    <row r="1692" spans="1:18" x14ac:dyDescent="0.25">
      <c r="A1692" s="2" t="s">
        <v>1745</v>
      </c>
      <c r="B1692" s="2" t="s">
        <v>27</v>
      </c>
      <c r="C1692" s="2" t="s">
        <v>16</v>
      </c>
      <c r="D1692" s="2" t="s">
        <v>17</v>
      </c>
      <c r="E1692" s="2"/>
      <c r="F1692" s="2" t="s">
        <v>70</v>
      </c>
      <c r="G1692" s="8">
        <v>54.92</v>
      </c>
      <c r="H1692" s="11">
        <v>0</v>
      </c>
      <c r="I1692" s="8">
        <v>54.92</v>
      </c>
      <c r="J1692" s="3">
        <v>45759</v>
      </c>
      <c r="K1692" s="14">
        <v>44</v>
      </c>
      <c r="L1692" s="17">
        <v>3.1</v>
      </c>
      <c r="M1692" s="2" t="b">
        <v>0</v>
      </c>
      <c r="N1692" s="2"/>
      <c r="O1692" s="2" t="str">
        <f>IF(Table1[[#This Row],[is_returned]]=TRUE,IF(Table1[[#This Row],[return_reason]]="","Error","OK"),"OK")</f>
        <v>OK</v>
      </c>
      <c r="P1692" s="8">
        <f>Table1[[#This Row],[original_price]]*Table1[[#This Row],[markdown_percentage]]/100</f>
        <v>0</v>
      </c>
      <c r="Q169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692" s="25">
        <f>Table1[[#This Row],[current_price]]*Table1[[#This Row],[stock_quantity]]</f>
        <v>2416.48</v>
      </c>
    </row>
    <row r="1693" spans="1:18" x14ac:dyDescent="0.25">
      <c r="A1693" s="2" t="s">
        <v>1746</v>
      </c>
      <c r="B1693" s="2" t="s">
        <v>27</v>
      </c>
      <c r="C1693" s="2" t="s">
        <v>22</v>
      </c>
      <c r="D1693" s="2" t="s">
        <v>17</v>
      </c>
      <c r="E1693" s="2"/>
      <c r="F1693" s="2" t="s">
        <v>66</v>
      </c>
      <c r="G1693" s="8">
        <v>32.200000000000003</v>
      </c>
      <c r="H1693" s="11">
        <v>19.2</v>
      </c>
      <c r="I1693" s="8">
        <v>26.02</v>
      </c>
      <c r="J1693" s="3">
        <v>45865</v>
      </c>
      <c r="K1693" s="14">
        <v>8</v>
      </c>
      <c r="L1693" s="17">
        <v>4.3</v>
      </c>
      <c r="M1693" s="2" t="b">
        <v>0</v>
      </c>
      <c r="N1693" s="2"/>
      <c r="O1693" s="2" t="str">
        <f>IF(Table1[[#This Row],[is_returned]]=TRUE,IF(Table1[[#This Row],[return_reason]]="","Error","OK"),"OK")</f>
        <v>OK</v>
      </c>
      <c r="P1693" s="8">
        <f>Table1[[#This Row],[original_price]]*Table1[[#This Row],[markdown_percentage]]/100</f>
        <v>6.1824000000000003</v>
      </c>
      <c r="Q169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693" s="25">
        <f>Table1[[#This Row],[current_price]]*Table1[[#This Row],[stock_quantity]]</f>
        <v>208.16</v>
      </c>
    </row>
    <row r="1694" spans="1:18" x14ac:dyDescent="0.25">
      <c r="A1694" s="2" t="s">
        <v>1747</v>
      </c>
      <c r="B1694" s="2" t="s">
        <v>27</v>
      </c>
      <c r="C1694" s="2" t="s">
        <v>43</v>
      </c>
      <c r="D1694" s="2" t="s">
        <v>34</v>
      </c>
      <c r="E1694" s="2"/>
      <c r="F1694" s="2" t="s">
        <v>70</v>
      </c>
      <c r="G1694" s="8">
        <v>66.489999999999995</v>
      </c>
      <c r="H1694" s="11">
        <v>29.1</v>
      </c>
      <c r="I1694" s="8">
        <v>47.14</v>
      </c>
      <c r="J1694" s="3">
        <v>45875</v>
      </c>
      <c r="K1694" s="14">
        <v>37</v>
      </c>
      <c r="L1694" s="17">
        <v>1.3</v>
      </c>
      <c r="M1694" s="2" t="b">
        <v>0</v>
      </c>
      <c r="N1694" s="2"/>
      <c r="O1694" s="2" t="str">
        <f>IF(Table1[[#This Row],[is_returned]]=TRUE,IF(Table1[[#This Row],[return_reason]]="","Error","OK"),"OK")</f>
        <v>OK</v>
      </c>
      <c r="P1694" s="8">
        <f>Table1[[#This Row],[original_price]]*Table1[[#This Row],[markdown_percentage]]/100</f>
        <v>19.348589999999998</v>
      </c>
      <c r="Q169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694" s="25">
        <f>Table1[[#This Row],[current_price]]*Table1[[#This Row],[stock_quantity]]</f>
        <v>1744.18</v>
      </c>
    </row>
    <row r="1695" spans="1:18" x14ac:dyDescent="0.25">
      <c r="A1695" s="2" t="s">
        <v>1748</v>
      </c>
      <c r="B1695" s="2" t="s">
        <v>27</v>
      </c>
      <c r="C1695" s="2" t="s">
        <v>43</v>
      </c>
      <c r="D1695" s="2" t="s">
        <v>23</v>
      </c>
      <c r="E1695" s="2"/>
      <c r="F1695" s="2" t="s">
        <v>44</v>
      </c>
      <c r="G1695" s="8">
        <v>32.950000000000003</v>
      </c>
      <c r="H1695" s="11">
        <v>50.2</v>
      </c>
      <c r="I1695" s="8">
        <v>16.41</v>
      </c>
      <c r="J1695" s="3">
        <v>45875</v>
      </c>
      <c r="K1695" s="14">
        <v>46</v>
      </c>
      <c r="L1695" s="17"/>
      <c r="M1695" s="2" t="b">
        <v>0</v>
      </c>
      <c r="N1695" s="2"/>
      <c r="O1695" s="2" t="str">
        <f>IF(Table1[[#This Row],[is_returned]]=TRUE,IF(Table1[[#This Row],[return_reason]]="","Error","OK"),"OK")</f>
        <v>OK</v>
      </c>
      <c r="P1695" s="8">
        <f>Table1[[#This Row],[original_price]]*Table1[[#This Row],[markdown_percentage]]/100</f>
        <v>16.540900000000001</v>
      </c>
      <c r="Q169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695" s="25">
        <f>Table1[[#This Row],[current_price]]*Table1[[#This Row],[stock_quantity]]</f>
        <v>754.86</v>
      </c>
    </row>
    <row r="1696" spans="1:18" x14ac:dyDescent="0.25">
      <c r="A1696" s="2" t="s">
        <v>1749</v>
      </c>
      <c r="B1696" s="2" t="s">
        <v>27</v>
      </c>
      <c r="C1696" s="2" t="s">
        <v>48</v>
      </c>
      <c r="D1696" s="2" t="s">
        <v>34</v>
      </c>
      <c r="E1696" s="2"/>
      <c r="F1696" s="2" t="s">
        <v>40</v>
      </c>
      <c r="G1696" s="8">
        <v>54.31</v>
      </c>
      <c r="H1696" s="11">
        <v>19.2</v>
      </c>
      <c r="I1696" s="8">
        <v>43.88</v>
      </c>
      <c r="J1696" s="3">
        <v>45875</v>
      </c>
      <c r="K1696" s="14">
        <v>19</v>
      </c>
      <c r="L1696" s="17">
        <v>1.8</v>
      </c>
      <c r="M1696" s="2" t="b">
        <v>0</v>
      </c>
      <c r="N1696" s="2"/>
      <c r="O1696" s="2" t="str">
        <f>IF(Table1[[#This Row],[is_returned]]=TRUE,IF(Table1[[#This Row],[return_reason]]="","Error","OK"),"OK")</f>
        <v>OK</v>
      </c>
      <c r="P1696" s="8">
        <f>Table1[[#This Row],[original_price]]*Table1[[#This Row],[markdown_percentage]]/100</f>
        <v>10.427519999999999</v>
      </c>
      <c r="Q169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696" s="25">
        <f>Table1[[#This Row],[current_price]]*Table1[[#This Row],[stock_quantity]]</f>
        <v>833.72</v>
      </c>
    </row>
    <row r="1697" spans="1:18" x14ac:dyDescent="0.25">
      <c r="A1697" s="2" t="s">
        <v>1750</v>
      </c>
      <c r="B1697" s="2" t="s">
        <v>27</v>
      </c>
      <c r="C1697" s="2" t="s">
        <v>32</v>
      </c>
      <c r="D1697" s="2" t="s">
        <v>62</v>
      </c>
      <c r="E1697" s="2"/>
      <c r="F1697" s="2" t="s">
        <v>64</v>
      </c>
      <c r="G1697" s="8">
        <v>19.68</v>
      </c>
      <c r="H1697" s="11">
        <v>0</v>
      </c>
      <c r="I1697" s="8">
        <v>19.68</v>
      </c>
      <c r="J1697" s="3">
        <v>45875</v>
      </c>
      <c r="K1697" s="14">
        <v>29</v>
      </c>
      <c r="L1697" s="17">
        <v>1.5</v>
      </c>
      <c r="M1697" s="2" t="b">
        <v>1</v>
      </c>
      <c r="N1697" s="2" t="s">
        <v>73</v>
      </c>
      <c r="O1697" s="2" t="str">
        <f>IF(Table1[[#This Row],[is_returned]]=TRUE,IF(Table1[[#This Row],[return_reason]]="","Error","OK"),"OK")</f>
        <v>OK</v>
      </c>
      <c r="P1697" s="8">
        <f>Table1[[#This Row],[original_price]]*Table1[[#This Row],[markdown_percentage]]/100</f>
        <v>0</v>
      </c>
      <c r="Q169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697" s="25">
        <f>Table1[[#This Row],[current_price]]*Table1[[#This Row],[stock_quantity]]</f>
        <v>570.72</v>
      </c>
    </row>
    <row r="1698" spans="1:18" x14ac:dyDescent="0.25">
      <c r="A1698" s="2" t="s">
        <v>1751</v>
      </c>
      <c r="B1698" s="2" t="s">
        <v>21</v>
      </c>
      <c r="C1698" s="2" t="s">
        <v>16</v>
      </c>
      <c r="D1698" s="2" t="s">
        <v>17</v>
      </c>
      <c r="E1698" s="2" t="s">
        <v>55</v>
      </c>
      <c r="F1698" s="2" t="s">
        <v>40</v>
      </c>
      <c r="G1698" s="8">
        <v>105.19</v>
      </c>
      <c r="H1698" s="11">
        <v>24.3</v>
      </c>
      <c r="I1698" s="8">
        <v>79.63</v>
      </c>
      <c r="J1698" s="3">
        <v>45822</v>
      </c>
      <c r="K1698" s="14">
        <v>47</v>
      </c>
      <c r="L1698" s="17">
        <v>5</v>
      </c>
      <c r="M1698" s="2" t="b">
        <v>0</v>
      </c>
      <c r="N1698" s="2"/>
      <c r="O1698" s="2" t="str">
        <f>IF(Table1[[#This Row],[is_returned]]=TRUE,IF(Table1[[#This Row],[return_reason]]="","Error","OK"),"OK")</f>
        <v>OK</v>
      </c>
      <c r="P1698" s="8">
        <f>Table1[[#This Row],[original_price]]*Table1[[#This Row],[markdown_percentage]]/100</f>
        <v>25.561170000000001</v>
      </c>
      <c r="Q169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698" s="25">
        <f>Table1[[#This Row],[current_price]]*Table1[[#This Row],[stock_quantity]]</f>
        <v>3742.6099999999997</v>
      </c>
    </row>
    <row r="1699" spans="1:18" x14ac:dyDescent="0.25">
      <c r="A1699" s="2" t="s">
        <v>1752</v>
      </c>
      <c r="B1699" s="2" t="s">
        <v>27</v>
      </c>
      <c r="C1699" s="2" t="s">
        <v>32</v>
      </c>
      <c r="D1699" s="2" t="s">
        <v>62</v>
      </c>
      <c r="E1699" s="2"/>
      <c r="F1699" s="2" t="s">
        <v>46</v>
      </c>
      <c r="G1699" s="8">
        <v>20.3</v>
      </c>
      <c r="H1699" s="11">
        <v>19.600000000000001</v>
      </c>
      <c r="I1699" s="8">
        <v>16.32</v>
      </c>
      <c r="J1699" s="3">
        <v>45875</v>
      </c>
      <c r="K1699" s="14">
        <v>47</v>
      </c>
      <c r="L1699" s="17">
        <v>2.9</v>
      </c>
      <c r="M1699" s="2" t="b">
        <v>1</v>
      </c>
      <c r="N1699" s="2" t="s">
        <v>115</v>
      </c>
      <c r="O1699" s="2" t="str">
        <f>IF(Table1[[#This Row],[is_returned]]=TRUE,IF(Table1[[#This Row],[return_reason]]="","Error","OK"),"OK")</f>
        <v>OK</v>
      </c>
      <c r="P1699" s="8">
        <f>Table1[[#This Row],[original_price]]*Table1[[#This Row],[markdown_percentage]]/100</f>
        <v>3.9788000000000006</v>
      </c>
      <c r="Q169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699" s="25">
        <f>Table1[[#This Row],[current_price]]*Table1[[#This Row],[stock_quantity]]</f>
        <v>767.04</v>
      </c>
    </row>
    <row r="1700" spans="1:18" x14ac:dyDescent="0.25">
      <c r="A1700" s="2" t="s">
        <v>1753</v>
      </c>
      <c r="B1700" s="2" t="s">
        <v>38</v>
      </c>
      <c r="C1700" s="2" t="s">
        <v>43</v>
      </c>
      <c r="D1700" s="2" t="s">
        <v>62</v>
      </c>
      <c r="E1700" s="2" t="s">
        <v>39</v>
      </c>
      <c r="F1700" s="2" t="s">
        <v>70</v>
      </c>
      <c r="G1700" s="8">
        <v>105.37</v>
      </c>
      <c r="H1700" s="11">
        <v>19.600000000000001</v>
      </c>
      <c r="I1700" s="8">
        <v>84.72</v>
      </c>
      <c r="J1700" s="3">
        <v>45875</v>
      </c>
      <c r="K1700" s="14">
        <v>39</v>
      </c>
      <c r="L1700" s="17">
        <v>4.3</v>
      </c>
      <c r="M1700" s="2" t="b">
        <v>0</v>
      </c>
      <c r="N1700" s="2"/>
      <c r="O1700" s="2" t="str">
        <f>IF(Table1[[#This Row],[is_returned]]=TRUE,IF(Table1[[#This Row],[return_reason]]="","Error","OK"),"OK")</f>
        <v>OK</v>
      </c>
      <c r="P1700" s="8">
        <f>Table1[[#This Row],[original_price]]*Table1[[#This Row],[markdown_percentage]]/100</f>
        <v>20.652520000000003</v>
      </c>
      <c r="Q170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700" s="25">
        <f>Table1[[#This Row],[current_price]]*Table1[[#This Row],[stock_quantity]]</f>
        <v>3304.08</v>
      </c>
    </row>
    <row r="1701" spans="1:18" x14ac:dyDescent="0.25">
      <c r="A1701" s="2" t="s">
        <v>1754</v>
      </c>
      <c r="B1701" s="2" t="s">
        <v>42</v>
      </c>
      <c r="C1701" s="2" t="s">
        <v>53</v>
      </c>
      <c r="D1701" s="2" t="s">
        <v>23</v>
      </c>
      <c r="E1701" s="2" t="s">
        <v>55</v>
      </c>
      <c r="F1701" s="2" t="s">
        <v>46</v>
      </c>
      <c r="G1701" s="8">
        <v>156.24</v>
      </c>
      <c r="H1701" s="11">
        <v>0</v>
      </c>
      <c r="I1701" s="8">
        <v>156.24</v>
      </c>
      <c r="J1701" s="3">
        <v>45875</v>
      </c>
      <c r="K1701" s="14">
        <v>15</v>
      </c>
      <c r="L1701" s="17">
        <v>5</v>
      </c>
      <c r="M1701" s="2" t="b">
        <v>0</v>
      </c>
      <c r="N1701" s="2"/>
      <c r="O1701" s="2" t="str">
        <f>IF(Table1[[#This Row],[is_returned]]=TRUE,IF(Table1[[#This Row],[return_reason]]="","Error","OK"),"OK")</f>
        <v>OK</v>
      </c>
      <c r="P1701" s="8">
        <f>Table1[[#This Row],[original_price]]*Table1[[#This Row],[markdown_percentage]]/100</f>
        <v>0</v>
      </c>
      <c r="Q170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701" s="25">
        <f>Table1[[#This Row],[current_price]]*Table1[[#This Row],[stock_quantity]]</f>
        <v>2343.6000000000004</v>
      </c>
    </row>
    <row r="1702" spans="1:18" x14ac:dyDescent="0.25">
      <c r="A1702" s="2" t="s">
        <v>1755</v>
      </c>
      <c r="B1702" s="2" t="s">
        <v>30</v>
      </c>
      <c r="C1702" s="2" t="s">
        <v>43</v>
      </c>
      <c r="D1702" s="2" t="s">
        <v>23</v>
      </c>
      <c r="E1702" s="2" t="s">
        <v>55</v>
      </c>
      <c r="F1702" s="2" t="s">
        <v>70</v>
      </c>
      <c r="G1702" s="8">
        <v>162.19</v>
      </c>
      <c r="H1702" s="11">
        <v>5.7</v>
      </c>
      <c r="I1702" s="8">
        <v>152.94999999999999</v>
      </c>
      <c r="J1702" s="3">
        <v>45875</v>
      </c>
      <c r="K1702" s="14">
        <v>39</v>
      </c>
      <c r="L1702" s="17">
        <v>1.4</v>
      </c>
      <c r="M1702" s="2" t="b">
        <v>0</v>
      </c>
      <c r="N1702" s="2"/>
      <c r="O1702" s="2" t="str">
        <f>IF(Table1[[#This Row],[is_returned]]=TRUE,IF(Table1[[#This Row],[return_reason]]="","Error","OK"),"OK")</f>
        <v>OK</v>
      </c>
      <c r="P1702" s="8">
        <f>Table1[[#This Row],[original_price]]*Table1[[#This Row],[markdown_percentage]]/100</f>
        <v>9.2448300000000003</v>
      </c>
      <c r="Q170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702" s="25">
        <f>Table1[[#This Row],[current_price]]*Table1[[#This Row],[stock_quantity]]</f>
        <v>5965.0499999999993</v>
      </c>
    </row>
    <row r="1703" spans="1:18" x14ac:dyDescent="0.25">
      <c r="A1703" s="2" t="s">
        <v>1756</v>
      </c>
      <c r="B1703" s="2" t="s">
        <v>21</v>
      </c>
      <c r="C1703" s="2" t="s">
        <v>48</v>
      </c>
      <c r="D1703" s="2" t="s">
        <v>17</v>
      </c>
      <c r="E1703" s="2" t="s">
        <v>58</v>
      </c>
      <c r="F1703" s="2" t="s">
        <v>56</v>
      </c>
      <c r="G1703" s="8">
        <v>75.790000000000006</v>
      </c>
      <c r="H1703" s="11">
        <v>7.1</v>
      </c>
      <c r="I1703" s="8">
        <v>70.41</v>
      </c>
      <c r="J1703" s="3">
        <v>45745</v>
      </c>
      <c r="K1703" s="14">
        <v>13</v>
      </c>
      <c r="L1703" s="17">
        <v>3.3</v>
      </c>
      <c r="M1703" s="2" t="b">
        <v>0</v>
      </c>
      <c r="N1703" s="2"/>
      <c r="O1703" s="2" t="str">
        <f>IF(Table1[[#This Row],[is_returned]]=TRUE,IF(Table1[[#This Row],[return_reason]]="","Error","OK"),"OK")</f>
        <v>OK</v>
      </c>
      <c r="P1703" s="8">
        <f>Table1[[#This Row],[original_price]]*Table1[[#This Row],[markdown_percentage]]/100</f>
        <v>5.3810900000000004</v>
      </c>
      <c r="Q170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703" s="25">
        <f>Table1[[#This Row],[current_price]]*Table1[[#This Row],[stock_quantity]]</f>
        <v>915.32999999999993</v>
      </c>
    </row>
    <row r="1704" spans="1:18" x14ac:dyDescent="0.25">
      <c r="A1704" s="2" t="s">
        <v>1757</v>
      </c>
      <c r="B1704" s="2" t="s">
        <v>27</v>
      </c>
      <c r="C1704" s="2" t="s">
        <v>75</v>
      </c>
      <c r="D1704" s="2" t="s">
        <v>62</v>
      </c>
      <c r="E1704" s="2"/>
      <c r="F1704" s="2" t="s">
        <v>25</v>
      </c>
      <c r="G1704" s="8">
        <v>32.04</v>
      </c>
      <c r="H1704" s="11">
        <v>0</v>
      </c>
      <c r="I1704" s="8">
        <v>32.04</v>
      </c>
      <c r="J1704" s="3">
        <v>45875</v>
      </c>
      <c r="K1704" s="14">
        <v>41</v>
      </c>
      <c r="L1704" s="17">
        <v>1.8</v>
      </c>
      <c r="M1704" s="2" t="b">
        <v>0</v>
      </c>
      <c r="N1704" s="2"/>
      <c r="O1704" s="2" t="str">
        <f>IF(Table1[[#This Row],[is_returned]]=TRUE,IF(Table1[[#This Row],[return_reason]]="","Error","OK"),"OK")</f>
        <v>OK</v>
      </c>
      <c r="P1704" s="8">
        <f>Table1[[#This Row],[original_price]]*Table1[[#This Row],[markdown_percentage]]/100</f>
        <v>0</v>
      </c>
      <c r="Q170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704" s="25">
        <f>Table1[[#This Row],[current_price]]*Table1[[#This Row],[stock_quantity]]</f>
        <v>1313.6399999999999</v>
      </c>
    </row>
    <row r="1705" spans="1:18" x14ac:dyDescent="0.25">
      <c r="A1705" s="2" t="s">
        <v>1758</v>
      </c>
      <c r="B1705" s="2" t="s">
        <v>21</v>
      </c>
      <c r="C1705" s="2" t="s">
        <v>61</v>
      </c>
      <c r="D1705" s="2" t="s">
        <v>34</v>
      </c>
      <c r="E1705" s="2" t="s">
        <v>58</v>
      </c>
      <c r="F1705" s="2" t="s">
        <v>28</v>
      </c>
      <c r="G1705" s="8">
        <v>27.65</v>
      </c>
      <c r="H1705" s="11">
        <v>31.8</v>
      </c>
      <c r="I1705" s="8">
        <v>18.86</v>
      </c>
      <c r="J1705" s="3">
        <v>45875</v>
      </c>
      <c r="K1705" s="14">
        <v>2</v>
      </c>
      <c r="L1705" s="17">
        <v>3.7</v>
      </c>
      <c r="M1705" s="2" t="b">
        <v>1</v>
      </c>
      <c r="N1705" s="2" t="s">
        <v>73</v>
      </c>
      <c r="O1705" s="2" t="str">
        <f>IF(Table1[[#This Row],[is_returned]]=TRUE,IF(Table1[[#This Row],[return_reason]]="","Error","OK"),"OK")</f>
        <v>OK</v>
      </c>
      <c r="P1705" s="8">
        <f>Table1[[#This Row],[original_price]]*Table1[[#This Row],[markdown_percentage]]/100</f>
        <v>8.7927</v>
      </c>
      <c r="Q170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705" s="25">
        <f>Table1[[#This Row],[current_price]]*Table1[[#This Row],[stock_quantity]]</f>
        <v>37.72</v>
      </c>
    </row>
    <row r="1706" spans="1:18" x14ac:dyDescent="0.25">
      <c r="A1706" s="2" t="s">
        <v>1759</v>
      </c>
      <c r="B1706" s="2" t="s">
        <v>38</v>
      </c>
      <c r="C1706" s="2" t="s">
        <v>32</v>
      </c>
      <c r="D1706" s="2" t="s">
        <v>17</v>
      </c>
      <c r="E1706" s="2" t="s">
        <v>58</v>
      </c>
      <c r="F1706" s="2" t="s">
        <v>66</v>
      </c>
      <c r="G1706" s="8">
        <v>31.54</v>
      </c>
      <c r="H1706" s="11">
        <v>0</v>
      </c>
      <c r="I1706" s="8">
        <v>31.54</v>
      </c>
      <c r="J1706" s="3">
        <v>45872</v>
      </c>
      <c r="K1706" s="14">
        <v>45</v>
      </c>
      <c r="L1706" s="17">
        <v>1.3</v>
      </c>
      <c r="M1706" s="2" t="b">
        <v>0</v>
      </c>
      <c r="N1706" s="2"/>
      <c r="O1706" s="2" t="str">
        <f>IF(Table1[[#This Row],[is_returned]]=TRUE,IF(Table1[[#This Row],[return_reason]]="","Error","OK"),"OK")</f>
        <v>OK</v>
      </c>
      <c r="P1706" s="8">
        <f>Table1[[#This Row],[original_price]]*Table1[[#This Row],[markdown_percentage]]/100</f>
        <v>0</v>
      </c>
      <c r="Q170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706" s="25">
        <f>Table1[[#This Row],[current_price]]*Table1[[#This Row],[stock_quantity]]</f>
        <v>1419.3</v>
      </c>
    </row>
    <row r="1707" spans="1:18" x14ac:dyDescent="0.25">
      <c r="A1707" s="2" t="s">
        <v>1760</v>
      </c>
      <c r="B1707" s="2" t="s">
        <v>38</v>
      </c>
      <c r="C1707" s="2" t="s">
        <v>16</v>
      </c>
      <c r="D1707" s="2" t="s">
        <v>62</v>
      </c>
      <c r="E1707" s="2" t="s">
        <v>49</v>
      </c>
      <c r="F1707" s="2" t="s">
        <v>56</v>
      </c>
      <c r="G1707" s="8">
        <v>77.64</v>
      </c>
      <c r="H1707" s="11">
        <v>39.1</v>
      </c>
      <c r="I1707" s="8">
        <v>47.28</v>
      </c>
      <c r="J1707" s="3">
        <v>45875</v>
      </c>
      <c r="K1707" s="14">
        <v>19</v>
      </c>
      <c r="L1707" s="17">
        <v>2.6</v>
      </c>
      <c r="M1707" s="2" t="b">
        <v>0</v>
      </c>
      <c r="N1707" s="2"/>
      <c r="O1707" s="2" t="str">
        <f>IF(Table1[[#This Row],[is_returned]]=TRUE,IF(Table1[[#This Row],[return_reason]]="","Error","OK"),"OK")</f>
        <v>OK</v>
      </c>
      <c r="P1707" s="8">
        <f>Table1[[#This Row],[original_price]]*Table1[[#This Row],[markdown_percentage]]/100</f>
        <v>30.357240000000001</v>
      </c>
      <c r="Q170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707" s="25">
        <f>Table1[[#This Row],[current_price]]*Table1[[#This Row],[stock_quantity]]</f>
        <v>898.32</v>
      </c>
    </row>
    <row r="1708" spans="1:18" x14ac:dyDescent="0.25">
      <c r="A1708" s="2" t="s">
        <v>1761</v>
      </c>
      <c r="B1708" s="2" t="s">
        <v>42</v>
      </c>
      <c r="C1708" s="2" t="s">
        <v>48</v>
      </c>
      <c r="D1708" s="2" t="s">
        <v>23</v>
      </c>
      <c r="E1708" s="2" t="s">
        <v>18</v>
      </c>
      <c r="F1708" s="2" t="s">
        <v>25</v>
      </c>
      <c r="G1708" s="8">
        <v>51.48</v>
      </c>
      <c r="H1708" s="11">
        <v>0</v>
      </c>
      <c r="I1708" s="8">
        <v>51.48</v>
      </c>
      <c r="J1708" s="3">
        <v>45875</v>
      </c>
      <c r="K1708" s="14">
        <v>10</v>
      </c>
      <c r="L1708" s="17">
        <v>1</v>
      </c>
      <c r="M1708" s="2" t="b">
        <v>0</v>
      </c>
      <c r="N1708" s="2"/>
      <c r="O1708" s="2" t="str">
        <f>IF(Table1[[#This Row],[is_returned]]=TRUE,IF(Table1[[#This Row],[return_reason]]="","Error","OK"),"OK")</f>
        <v>OK</v>
      </c>
      <c r="P1708" s="8">
        <f>Table1[[#This Row],[original_price]]*Table1[[#This Row],[markdown_percentage]]/100</f>
        <v>0</v>
      </c>
      <c r="Q170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708" s="25">
        <f>Table1[[#This Row],[current_price]]*Table1[[#This Row],[stock_quantity]]</f>
        <v>514.79999999999995</v>
      </c>
    </row>
    <row r="1709" spans="1:18" x14ac:dyDescent="0.25">
      <c r="A1709" s="2" t="s">
        <v>1762</v>
      </c>
      <c r="B1709" s="2" t="s">
        <v>15</v>
      </c>
      <c r="C1709" s="2" t="s">
        <v>16</v>
      </c>
      <c r="D1709" s="2" t="s">
        <v>34</v>
      </c>
      <c r="E1709" s="2" t="s">
        <v>58</v>
      </c>
      <c r="F1709" s="2" t="s">
        <v>25</v>
      </c>
      <c r="G1709" s="8">
        <v>108.58</v>
      </c>
      <c r="H1709" s="11">
        <v>0</v>
      </c>
      <c r="I1709" s="8">
        <v>108.58</v>
      </c>
      <c r="J1709" s="3">
        <v>45875</v>
      </c>
      <c r="K1709" s="14">
        <v>44</v>
      </c>
      <c r="L1709" s="17">
        <v>2.4</v>
      </c>
      <c r="M1709" s="2" t="b">
        <v>0</v>
      </c>
      <c r="N1709" s="2"/>
      <c r="O1709" s="2" t="str">
        <f>IF(Table1[[#This Row],[is_returned]]=TRUE,IF(Table1[[#This Row],[return_reason]]="","Error","OK"),"OK")</f>
        <v>OK</v>
      </c>
      <c r="P1709" s="8">
        <f>Table1[[#This Row],[original_price]]*Table1[[#This Row],[markdown_percentage]]/100</f>
        <v>0</v>
      </c>
      <c r="Q170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709" s="25">
        <f>Table1[[#This Row],[current_price]]*Table1[[#This Row],[stock_quantity]]</f>
        <v>4777.5199999999995</v>
      </c>
    </row>
    <row r="1710" spans="1:18" x14ac:dyDescent="0.25">
      <c r="A1710" s="2" t="s">
        <v>1763</v>
      </c>
      <c r="B1710" s="2" t="s">
        <v>21</v>
      </c>
      <c r="C1710" s="2" t="s">
        <v>75</v>
      </c>
      <c r="D1710" s="2" t="s">
        <v>23</v>
      </c>
      <c r="E1710" s="2" t="s">
        <v>49</v>
      </c>
      <c r="F1710" s="2" t="s">
        <v>28</v>
      </c>
      <c r="G1710" s="8">
        <v>84.17</v>
      </c>
      <c r="H1710" s="11">
        <v>0</v>
      </c>
      <c r="I1710" s="8">
        <v>84.17</v>
      </c>
      <c r="J1710" s="3">
        <v>45875</v>
      </c>
      <c r="K1710" s="14">
        <v>20</v>
      </c>
      <c r="L1710" s="17">
        <v>3.7</v>
      </c>
      <c r="M1710" s="2" t="b">
        <v>0</v>
      </c>
      <c r="N1710" s="2"/>
      <c r="O1710" s="2" t="str">
        <f>IF(Table1[[#This Row],[is_returned]]=TRUE,IF(Table1[[#This Row],[return_reason]]="","Error","OK"),"OK")</f>
        <v>OK</v>
      </c>
      <c r="P1710" s="8">
        <f>Table1[[#This Row],[original_price]]*Table1[[#This Row],[markdown_percentage]]/100</f>
        <v>0</v>
      </c>
      <c r="Q171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710" s="25">
        <f>Table1[[#This Row],[current_price]]*Table1[[#This Row],[stock_quantity]]</f>
        <v>1683.4</v>
      </c>
    </row>
    <row r="1711" spans="1:18" x14ac:dyDescent="0.25">
      <c r="A1711" s="2" t="s">
        <v>1764</v>
      </c>
      <c r="B1711" s="2" t="s">
        <v>38</v>
      </c>
      <c r="C1711" s="2" t="s">
        <v>43</v>
      </c>
      <c r="D1711" s="2" t="s">
        <v>17</v>
      </c>
      <c r="E1711" s="2" t="s">
        <v>24</v>
      </c>
      <c r="F1711" s="2" t="s">
        <v>25</v>
      </c>
      <c r="G1711" s="8">
        <v>76.45</v>
      </c>
      <c r="H1711" s="11">
        <v>0</v>
      </c>
      <c r="I1711" s="8">
        <v>76.45</v>
      </c>
      <c r="J1711" s="3">
        <v>45818</v>
      </c>
      <c r="K1711" s="14">
        <v>16</v>
      </c>
      <c r="L1711" s="17">
        <v>1</v>
      </c>
      <c r="M1711" s="2" t="b">
        <v>1</v>
      </c>
      <c r="N1711" s="2" t="s">
        <v>36</v>
      </c>
      <c r="O1711" s="2" t="str">
        <f>IF(Table1[[#This Row],[is_returned]]=TRUE,IF(Table1[[#This Row],[return_reason]]="","Error","OK"),"OK")</f>
        <v>OK</v>
      </c>
      <c r="P1711" s="8">
        <f>Table1[[#This Row],[original_price]]*Table1[[#This Row],[markdown_percentage]]/100</f>
        <v>0</v>
      </c>
      <c r="Q171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711" s="25">
        <f>Table1[[#This Row],[current_price]]*Table1[[#This Row],[stock_quantity]]</f>
        <v>1223.2</v>
      </c>
    </row>
    <row r="1712" spans="1:18" x14ac:dyDescent="0.25">
      <c r="A1712" s="2" t="s">
        <v>1765</v>
      </c>
      <c r="B1712" s="2" t="s">
        <v>27</v>
      </c>
      <c r="C1712" s="2" t="s">
        <v>22</v>
      </c>
      <c r="D1712" s="2" t="s">
        <v>17</v>
      </c>
      <c r="E1712" s="2"/>
      <c r="F1712" s="2" t="s">
        <v>40</v>
      </c>
      <c r="G1712" s="8">
        <v>50.31</v>
      </c>
      <c r="H1712" s="11">
        <v>0</v>
      </c>
      <c r="I1712" s="8">
        <v>50.31</v>
      </c>
      <c r="J1712" s="3">
        <v>45771</v>
      </c>
      <c r="K1712" s="14">
        <v>36</v>
      </c>
      <c r="L1712" s="17"/>
      <c r="M1712" s="2" t="b">
        <v>0</v>
      </c>
      <c r="N1712" s="2"/>
      <c r="O1712" s="2" t="str">
        <f>IF(Table1[[#This Row],[is_returned]]=TRUE,IF(Table1[[#This Row],[return_reason]]="","Error","OK"),"OK")</f>
        <v>OK</v>
      </c>
      <c r="P1712" s="8">
        <f>Table1[[#This Row],[original_price]]*Table1[[#This Row],[markdown_percentage]]/100</f>
        <v>0</v>
      </c>
      <c r="Q171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712" s="25">
        <f>Table1[[#This Row],[current_price]]*Table1[[#This Row],[stock_quantity]]</f>
        <v>1811.16</v>
      </c>
    </row>
    <row r="1713" spans="1:18" x14ac:dyDescent="0.25">
      <c r="A1713" s="2" t="s">
        <v>1766</v>
      </c>
      <c r="B1713" s="2" t="s">
        <v>21</v>
      </c>
      <c r="C1713" s="2" t="s">
        <v>61</v>
      </c>
      <c r="D1713" s="2" t="s">
        <v>17</v>
      </c>
      <c r="E1713" s="2" t="s">
        <v>39</v>
      </c>
      <c r="F1713" s="2" t="s">
        <v>25</v>
      </c>
      <c r="G1713" s="8">
        <v>43.45</v>
      </c>
      <c r="H1713" s="11">
        <v>0</v>
      </c>
      <c r="I1713" s="8">
        <v>43.45</v>
      </c>
      <c r="J1713" s="3">
        <v>45855</v>
      </c>
      <c r="K1713" s="14">
        <v>30</v>
      </c>
      <c r="L1713" s="17">
        <v>2.2999999999999998</v>
      </c>
      <c r="M1713" s="2" t="b">
        <v>0</v>
      </c>
      <c r="N1713" s="2"/>
      <c r="O1713" s="2" t="str">
        <f>IF(Table1[[#This Row],[is_returned]]=TRUE,IF(Table1[[#This Row],[return_reason]]="","Error","OK"),"OK")</f>
        <v>OK</v>
      </c>
      <c r="P1713" s="8">
        <f>Table1[[#This Row],[original_price]]*Table1[[#This Row],[markdown_percentage]]/100</f>
        <v>0</v>
      </c>
      <c r="Q171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713" s="25">
        <f>Table1[[#This Row],[current_price]]*Table1[[#This Row],[stock_quantity]]</f>
        <v>1303.5</v>
      </c>
    </row>
    <row r="1714" spans="1:18" x14ac:dyDescent="0.25">
      <c r="A1714" s="2" t="s">
        <v>1767</v>
      </c>
      <c r="B1714" s="2" t="s">
        <v>42</v>
      </c>
      <c r="C1714" s="2" t="s">
        <v>22</v>
      </c>
      <c r="D1714" s="2" t="s">
        <v>34</v>
      </c>
      <c r="E1714" s="2" t="s">
        <v>18</v>
      </c>
      <c r="F1714" s="2" t="s">
        <v>40</v>
      </c>
      <c r="G1714" s="8">
        <v>149.22</v>
      </c>
      <c r="H1714" s="11">
        <v>53.9</v>
      </c>
      <c r="I1714" s="8">
        <v>68.790000000000006</v>
      </c>
      <c r="J1714" s="3">
        <v>45875</v>
      </c>
      <c r="K1714" s="14">
        <v>41</v>
      </c>
      <c r="L1714" s="17">
        <v>2.2000000000000002</v>
      </c>
      <c r="M1714" s="2" t="b">
        <v>0</v>
      </c>
      <c r="N1714" s="2"/>
      <c r="O1714" s="2" t="str">
        <f>IF(Table1[[#This Row],[is_returned]]=TRUE,IF(Table1[[#This Row],[return_reason]]="","Error","OK"),"OK")</f>
        <v>OK</v>
      </c>
      <c r="P1714" s="8">
        <f>Table1[[#This Row],[original_price]]*Table1[[#This Row],[markdown_percentage]]/100</f>
        <v>80.429580000000001</v>
      </c>
      <c r="Q171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714" s="25">
        <f>Table1[[#This Row],[current_price]]*Table1[[#This Row],[stock_quantity]]</f>
        <v>2820.3900000000003</v>
      </c>
    </row>
    <row r="1715" spans="1:18" x14ac:dyDescent="0.25">
      <c r="A1715" s="2" t="s">
        <v>1768</v>
      </c>
      <c r="B1715" s="2" t="s">
        <v>38</v>
      </c>
      <c r="C1715" s="2" t="s">
        <v>61</v>
      </c>
      <c r="D1715" s="2" t="s">
        <v>62</v>
      </c>
      <c r="E1715" s="2" t="s">
        <v>55</v>
      </c>
      <c r="F1715" s="2" t="s">
        <v>40</v>
      </c>
      <c r="G1715" s="8">
        <v>48.24</v>
      </c>
      <c r="H1715" s="11">
        <v>31.7</v>
      </c>
      <c r="I1715" s="8">
        <v>32.950000000000003</v>
      </c>
      <c r="J1715" s="3">
        <v>45875</v>
      </c>
      <c r="K1715" s="14">
        <v>46</v>
      </c>
      <c r="L1715" s="17">
        <v>3.7</v>
      </c>
      <c r="M1715" s="2" t="b">
        <v>0</v>
      </c>
      <c r="N1715" s="2"/>
      <c r="O1715" s="2" t="str">
        <f>IF(Table1[[#This Row],[is_returned]]=TRUE,IF(Table1[[#This Row],[return_reason]]="","Error","OK"),"OK")</f>
        <v>OK</v>
      </c>
      <c r="P1715" s="8">
        <f>Table1[[#This Row],[original_price]]*Table1[[#This Row],[markdown_percentage]]/100</f>
        <v>15.29208</v>
      </c>
      <c r="Q171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715" s="25">
        <f>Table1[[#This Row],[current_price]]*Table1[[#This Row],[stock_quantity]]</f>
        <v>1515.7</v>
      </c>
    </row>
    <row r="1716" spans="1:18" x14ac:dyDescent="0.25">
      <c r="A1716" s="2" t="s">
        <v>1769</v>
      </c>
      <c r="B1716" s="2" t="s">
        <v>38</v>
      </c>
      <c r="C1716" s="2" t="s">
        <v>48</v>
      </c>
      <c r="D1716" s="2" t="s">
        <v>62</v>
      </c>
      <c r="E1716" s="2" t="s">
        <v>39</v>
      </c>
      <c r="F1716" s="2" t="s">
        <v>70</v>
      </c>
      <c r="G1716" s="8">
        <v>66.27</v>
      </c>
      <c r="H1716" s="11">
        <v>21.7</v>
      </c>
      <c r="I1716" s="8">
        <v>51.89</v>
      </c>
      <c r="J1716" s="3">
        <v>45875</v>
      </c>
      <c r="K1716" s="14">
        <v>28</v>
      </c>
      <c r="L1716" s="17">
        <v>2.5</v>
      </c>
      <c r="M1716" s="2" t="b">
        <v>1</v>
      </c>
      <c r="N1716" s="2" t="s">
        <v>115</v>
      </c>
      <c r="O1716" s="2" t="str">
        <f>IF(Table1[[#This Row],[is_returned]]=TRUE,IF(Table1[[#This Row],[return_reason]]="","Error","OK"),"OK")</f>
        <v>OK</v>
      </c>
      <c r="P1716" s="8">
        <f>Table1[[#This Row],[original_price]]*Table1[[#This Row],[markdown_percentage]]/100</f>
        <v>14.38059</v>
      </c>
      <c r="Q171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716" s="25">
        <f>Table1[[#This Row],[current_price]]*Table1[[#This Row],[stock_quantity]]</f>
        <v>1452.92</v>
      </c>
    </row>
    <row r="1717" spans="1:18" x14ac:dyDescent="0.25">
      <c r="A1717" s="2" t="s">
        <v>1770</v>
      </c>
      <c r="B1717" s="2" t="s">
        <v>30</v>
      </c>
      <c r="C1717" s="2" t="s">
        <v>48</v>
      </c>
      <c r="D1717" s="2" t="s">
        <v>34</v>
      </c>
      <c r="E1717" s="2" t="s">
        <v>49</v>
      </c>
      <c r="F1717" s="2" t="s">
        <v>64</v>
      </c>
      <c r="G1717" s="8">
        <v>82.65</v>
      </c>
      <c r="H1717" s="11">
        <v>0</v>
      </c>
      <c r="I1717" s="8">
        <v>82.65</v>
      </c>
      <c r="J1717" s="3">
        <v>45875</v>
      </c>
      <c r="K1717" s="14">
        <v>30</v>
      </c>
      <c r="L1717" s="17">
        <v>4.0999999999999996</v>
      </c>
      <c r="M1717" s="2" t="b">
        <v>0</v>
      </c>
      <c r="N1717" s="2"/>
      <c r="O1717" s="2" t="str">
        <f>IF(Table1[[#This Row],[is_returned]]=TRUE,IF(Table1[[#This Row],[return_reason]]="","Error","OK"),"OK")</f>
        <v>OK</v>
      </c>
      <c r="P1717" s="8">
        <f>Table1[[#This Row],[original_price]]*Table1[[#This Row],[markdown_percentage]]/100</f>
        <v>0</v>
      </c>
      <c r="Q171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717" s="25">
        <f>Table1[[#This Row],[current_price]]*Table1[[#This Row],[stock_quantity]]</f>
        <v>2479.5</v>
      </c>
    </row>
    <row r="1718" spans="1:18" x14ac:dyDescent="0.25">
      <c r="A1718" s="2" t="s">
        <v>1771</v>
      </c>
      <c r="B1718" s="2" t="s">
        <v>38</v>
      </c>
      <c r="C1718" s="2" t="s">
        <v>53</v>
      </c>
      <c r="D1718" s="2" t="s">
        <v>23</v>
      </c>
      <c r="E1718" s="2" t="s">
        <v>49</v>
      </c>
      <c r="F1718" s="2" t="s">
        <v>28</v>
      </c>
      <c r="G1718" s="8">
        <v>42.36</v>
      </c>
      <c r="H1718" s="11">
        <v>0</v>
      </c>
      <c r="I1718" s="8">
        <v>42.36</v>
      </c>
      <c r="J1718" s="3">
        <v>45875</v>
      </c>
      <c r="K1718" s="14">
        <v>37</v>
      </c>
      <c r="L1718" s="17">
        <v>1.4</v>
      </c>
      <c r="M1718" s="2" t="b">
        <v>0</v>
      </c>
      <c r="N1718" s="2"/>
      <c r="O1718" s="2" t="str">
        <f>IF(Table1[[#This Row],[is_returned]]=TRUE,IF(Table1[[#This Row],[return_reason]]="","Error","OK"),"OK")</f>
        <v>OK</v>
      </c>
      <c r="P1718" s="8">
        <f>Table1[[#This Row],[original_price]]*Table1[[#This Row],[markdown_percentage]]/100</f>
        <v>0</v>
      </c>
      <c r="Q171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718" s="25">
        <f>Table1[[#This Row],[current_price]]*Table1[[#This Row],[stock_quantity]]</f>
        <v>1567.32</v>
      </c>
    </row>
    <row r="1719" spans="1:18" x14ac:dyDescent="0.25">
      <c r="A1719" s="2" t="s">
        <v>1772</v>
      </c>
      <c r="B1719" s="2" t="s">
        <v>38</v>
      </c>
      <c r="C1719" s="2" t="s">
        <v>53</v>
      </c>
      <c r="D1719" s="2" t="s">
        <v>62</v>
      </c>
      <c r="E1719" s="2" t="s">
        <v>58</v>
      </c>
      <c r="F1719" s="2" t="s">
        <v>19</v>
      </c>
      <c r="G1719" s="8">
        <v>109.36</v>
      </c>
      <c r="H1719" s="11">
        <v>0</v>
      </c>
      <c r="I1719" s="8">
        <v>109.36</v>
      </c>
      <c r="J1719" s="3">
        <v>45875</v>
      </c>
      <c r="K1719" s="14">
        <v>24</v>
      </c>
      <c r="L1719" s="17">
        <v>1.7</v>
      </c>
      <c r="M1719" s="2" t="b">
        <v>0</v>
      </c>
      <c r="N1719" s="2"/>
      <c r="O1719" s="2" t="str">
        <f>IF(Table1[[#This Row],[is_returned]]=TRUE,IF(Table1[[#This Row],[return_reason]]="","Error","OK"),"OK")</f>
        <v>OK</v>
      </c>
      <c r="P1719" s="8">
        <f>Table1[[#This Row],[original_price]]*Table1[[#This Row],[markdown_percentage]]/100</f>
        <v>0</v>
      </c>
      <c r="Q171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719" s="25">
        <f>Table1[[#This Row],[current_price]]*Table1[[#This Row],[stock_quantity]]</f>
        <v>2624.64</v>
      </c>
    </row>
    <row r="1720" spans="1:18" x14ac:dyDescent="0.25">
      <c r="A1720" s="2" t="s">
        <v>1773</v>
      </c>
      <c r="B1720" s="2" t="s">
        <v>27</v>
      </c>
      <c r="C1720" s="2" t="s">
        <v>53</v>
      </c>
      <c r="D1720" s="2" t="s">
        <v>23</v>
      </c>
      <c r="E1720" s="2"/>
      <c r="F1720" s="2" t="s">
        <v>56</v>
      </c>
      <c r="G1720" s="8">
        <v>59.98</v>
      </c>
      <c r="H1720" s="11">
        <v>0</v>
      </c>
      <c r="I1720" s="8">
        <v>59.98</v>
      </c>
      <c r="J1720" s="3">
        <v>45875</v>
      </c>
      <c r="K1720" s="14">
        <v>28</v>
      </c>
      <c r="L1720" s="17">
        <v>2.2000000000000002</v>
      </c>
      <c r="M1720" s="2" t="b">
        <v>0</v>
      </c>
      <c r="N1720" s="2"/>
      <c r="O1720" s="2" t="str">
        <f>IF(Table1[[#This Row],[is_returned]]=TRUE,IF(Table1[[#This Row],[return_reason]]="","Error","OK"),"OK")</f>
        <v>OK</v>
      </c>
      <c r="P1720" s="8">
        <f>Table1[[#This Row],[original_price]]*Table1[[#This Row],[markdown_percentage]]/100</f>
        <v>0</v>
      </c>
      <c r="Q172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720" s="25">
        <f>Table1[[#This Row],[current_price]]*Table1[[#This Row],[stock_quantity]]</f>
        <v>1679.4399999999998</v>
      </c>
    </row>
    <row r="1721" spans="1:18" x14ac:dyDescent="0.25">
      <c r="A1721" s="2" t="s">
        <v>1774</v>
      </c>
      <c r="B1721" s="2" t="s">
        <v>42</v>
      </c>
      <c r="C1721" s="2" t="s">
        <v>61</v>
      </c>
      <c r="D1721" s="2" t="s">
        <v>17</v>
      </c>
      <c r="E1721" s="2"/>
      <c r="F1721" s="2" t="s">
        <v>66</v>
      </c>
      <c r="G1721" s="8">
        <v>111.81</v>
      </c>
      <c r="H1721" s="11">
        <v>0</v>
      </c>
      <c r="I1721" s="8">
        <v>111.81</v>
      </c>
      <c r="J1721" s="3">
        <v>45525</v>
      </c>
      <c r="K1721" s="14">
        <v>45</v>
      </c>
      <c r="L1721" s="17">
        <v>1.1000000000000001</v>
      </c>
      <c r="M1721" s="2" t="b">
        <v>0</v>
      </c>
      <c r="N1721" s="2"/>
      <c r="O1721" s="2" t="str">
        <f>IF(Table1[[#This Row],[is_returned]]=TRUE,IF(Table1[[#This Row],[return_reason]]="","Error","OK"),"OK")</f>
        <v>OK</v>
      </c>
      <c r="P1721" s="8">
        <f>Table1[[#This Row],[original_price]]*Table1[[#This Row],[markdown_percentage]]/100</f>
        <v>0</v>
      </c>
      <c r="Q172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721" s="25">
        <f>Table1[[#This Row],[current_price]]*Table1[[#This Row],[stock_quantity]]</f>
        <v>5031.45</v>
      </c>
    </row>
    <row r="1722" spans="1:18" x14ac:dyDescent="0.25">
      <c r="A1722" s="2" t="s">
        <v>1775</v>
      </c>
      <c r="B1722" s="2" t="s">
        <v>38</v>
      </c>
      <c r="C1722" s="2" t="s">
        <v>32</v>
      </c>
      <c r="D1722" s="2" t="s">
        <v>23</v>
      </c>
      <c r="E1722" s="2" t="s">
        <v>49</v>
      </c>
      <c r="F1722" s="2" t="s">
        <v>19</v>
      </c>
      <c r="G1722" s="8">
        <v>70.78</v>
      </c>
      <c r="H1722" s="11">
        <v>0</v>
      </c>
      <c r="I1722" s="8">
        <v>70.78</v>
      </c>
      <c r="J1722" s="3">
        <v>45875</v>
      </c>
      <c r="K1722" s="14">
        <v>39</v>
      </c>
      <c r="L1722" s="17">
        <v>3.4</v>
      </c>
      <c r="M1722" s="2" t="b">
        <v>1</v>
      </c>
      <c r="N1722" s="2" t="s">
        <v>36</v>
      </c>
      <c r="O1722" s="2" t="str">
        <f>IF(Table1[[#This Row],[is_returned]]=TRUE,IF(Table1[[#This Row],[return_reason]]="","Error","OK"),"OK")</f>
        <v>OK</v>
      </c>
      <c r="P1722" s="8">
        <f>Table1[[#This Row],[original_price]]*Table1[[#This Row],[markdown_percentage]]/100</f>
        <v>0</v>
      </c>
      <c r="Q172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722" s="25">
        <f>Table1[[#This Row],[current_price]]*Table1[[#This Row],[stock_quantity]]</f>
        <v>2760.42</v>
      </c>
    </row>
    <row r="1723" spans="1:18" x14ac:dyDescent="0.25">
      <c r="A1723" s="2" t="s">
        <v>1776</v>
      </c>
      <c r="B1723" s="2" t="s">
        <v>27</v>
      </c>
      <c r="C1723" s="2" t="s">
        <v>43</v>
      </c>
      <c r="D1723" s="2" t="s">
        <v>23</v>
      </c>
      <c r="E1723" s="2"/>
      <c r="F1723" s="2" t="s">
        <v>25</v>
      </c>
      <c r="G1723" s="8">
        <v>76.13</v>
      </c>
      <c r="H1723" s="11">
        <v>58.5</v>
      </c>
      <c r="I1723" s="8">
        <v>31.59</v>
      </c>
      <c r="J1723" s="3">
        <v>45875</v>
      </c>
      <c r="K1723" s="14">
        <v>40</v>
      </c>
      <c r="L1723" s="17">
        <v>1.6</v>
      </c>
      <c r="M1723" s="2" t="b">
        <v>0</v>
      </c>
      <c r="N1723" s="2"/>
      <c r="O1723" s="2" t="str">
        <f>IF(Table1[[#This Row],[is_returned]]=TRUE,IF(Table1[[#This Row],[return_reason]]="","Error","OK"),"OK")</f>
        <v>OK</v>
      </c>
      <c r="P1723" s="8">
        <f>Table1[[#This Row],[original_price]]*Table1[[#This Row],[markdown_percentage]]/100</f>
        <v>44.536049999999996</v>
      </c>
      <c r="Q172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723" s="25">
        <f>Table1[[#This Row],[current_price]]*Table1[[#This Row],[stock_quantity]]</f>
        <v>1263.5999999999999</v>
      </c>
    </row>
    <row r="1724" spans="1:18" x14ac:dyDescent="0.25">
      <c r="A1724" s="2" t="s">
        <v>1777</v>
      </c>
      <c r="B1724" s="2" t="s">
        <v>38</v>
      </c>
      <c r="C1724" s="2" t="s">
        <v>32</v>
      </c>
      <c r="D1724" s="2" t="s">
        <v>34</v>
      </c>
      <c r="E1724" s="2" t="s">
        <v>55</v>
      </c>
      <c r="F1724" s="2" t="s">
        <v>25</v>
      </c>
      <c r="G1724" s="8">
        <v>71.09</v>
      </c>
      <c r="H1724" s="11">
        <v>41.5</v>
      </c>
      <c r="I1724" s="8">
        <v>41.59</v>
      </c>
      <c r="J1724" s="3">
        <v>45875</v>
      </c>
      <c r="K1724" s="14">
        <v>20</v>
      </c>
      <c r="L1724" s="17">
        <v>3.1</v>
      </c>
      <c r="M1724" s="2" t="b">
        <v>0</v>
      </c>
      <c r="N1724" s="2"/>
      <c r="O1724" s="2" t="str">
        <f>IF(Table1[[#This Row],[is_returned]]=TRUE,IF(Table1[[#This Row],[return_reason]]="","Error","OK"),"OK")</f>
        <v>OK</v>
      </c>
      <c r="P1724" s="8">
        <f>Table1[[#This Row],[original_price]]*Table1[[#This Row],[markdown_percentage]]/100</f>
        <v>29.50235</v>
      </c>
      <c r="Q172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724" s="25">
        <f>Table1[[#This Row],[current_price]]*Table1[[#This Row],[stock_quantity]]</f>
        <v>831.80000000000007</v>
      </c>
    </row>
    <row r="1725" spans="1:18" x14ac:dyDescent="0.25">
      <c r="A1725" s="2" t="s">
        <v>1778</v>
      </c>
      <c r="B1725" s="2" t="s">
        <v>38</v>
      </c>
      <c r="C1725" s="2" t="s">
        <v>43</v>
      </c>
      <c r="D1725" s="2" t="s">
        <v>34</v>
      </c>
      <c r="E1725" s="2"/>
      <c r="F1725" s="2" t="s">
        <v>40</v>
      </c>
      <c r="G1725" s="8">
        <v>53.64</v>
      </c>
      <c r="H1725" s="11">
        <v>55.9</v>
      </c>
      <c r="I1725" s="8">
        <v>23.66</v>
      </c>
      <c r="J1725" s="3">
        <v>45875</v>
      </c>
      <c r="K1725" s="14">
        <v>10</v>
      </c>
      <c r="L1725" s="17">
        <v>2.5</v>
      </c>
      <c r="M1725" s="2" t="b">
        <v>0</v>
      </c>
      <c r="N1725" s="2"/>
      <c r="O1725" s="2" t="str">
        <f>IF(Table1[[#This Row],[is_returned]]=TRUE,IF(Table1[[#This Row],[return_reason]]="","Error","OK"),"OK")</f>
        <v>OK</v>
      </c>
      <c r="P1725" s="8">
        <f>Table1[[#This Row],[original_price]]*Table1[[#This Row],[markdown_percentage]]/100</f>
        <v>29.984760000000001</v>
      </c>
      <c r="Q172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725" s="25">
        <f>Table1[[#This Row],[current_price]]*Table1[[#This Row],[stock_quantity]]</f>
        <v>236.6</v>
      </c>
    </row>
    <row r="1726" spans="1:18" x14ac:dyDescent="0.25">
      <c r="A1726" s="2" t="s">
        <v>1779</v>
      </c>
      <c r="B1726" s="2" t="s">
        <v>30</v>
      </c>
      <c r="C1726" s="2" t="s">
        <v>53</v>
      </c>
      <c r="D1726" s="2" t="s">
        <v>34</v>
      </c>
      <c r="E1726" s="2"/>
      <c r="F1726" s="2" t="s">
        <v>70</v>
      </c>
      <c r="G1726" s="8">
        <v>110.2</v>
      </c>
      <c r="H1726" s="11">
        <v>59.7</v>
      </c>
      <c r="I1726" s="8">
        <v>44.41</v>
      </c>
      <c r="J1726" s="3">
        <v>45875</v>
      </c>
      <c r="K1726" s="14">
        <v>13</v>
      </c>
      <c r="L1726" s="17">
        <v>3.5</v>
      </c>
      <c r="M1726" s="2" t="b">
        <v>1</v>
      </c>
      <c r="N1726" s="2" t="s">
        <v>36</v>
      </c>
      <c r="O1726" s="2" t="str">
        <f>IF(Table1[[#This Row],[is_returned]]=TRUE,IF(Table1[[#This Row],[return_reason]]="","Error","OK"),"OK")</f>
        <v>OK</v>
      </c>
      <c r="P1726" s="8">
        <f>Table1[[#This Row],[original_price]]*Table1[[#This Row],[markdown_percentage]]/100</f>
        <v>65.789400000000001</v>
      </c>
      <c r="Q172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726" s="25">
        <f>Table1[[#This Row],[current_price]]*Table1[[#This Row],[stock_quantity]]</f>
        <v>577.32999999999993</v>
      </c>
    </row>
    <row r="1727" spans="1:18" x14ac:dyDescent="0.25">
      <c r="A1727" s="2" t="s">
        <v>1780</v>
      </c>
      <c r="B1727" s="2" t="s">
        <v>30</v>
      </c>
      <c r="C1727" s="2" t="s">
        <v>22</v>
      </c>
      <c r="D1727" s="2" t="s">
        <v>62</v>
      </c>
      <c r="E1727" s="2" t="s">
        <v>49</v>
      </c>
      <c r="F1727" s="2" t="s">
        <v>46</v>
      </c>
      <c r="G1727" s="8">
        <v>80.63</v>
      </c>
      <c r="H1727" s="11">
        <v>17.399999999999999</v>
      </c>
      <c r="I1727" s="8">
        <v>66.599999999999994</v>
      </c>
      <c r="J1727" s="3">
        <v>45875</v>
      </c>
      <c r="K1727" s="14">
        <v>6</v>
      </c>
      <c r="L1727" s="17"/>
      <c r="M1727" s="2" t="b">
        <v>1</v>
      </c>
      <c r="N1727" s="2" t="s">
        <v>78</v>
      </c>
      <c r="O1727" s="2" t="str">
        <f>IF(Table1[[#This Row],[is_returned]]=TRUE,IF(Table1[[#This Row],[return_reason]]="","Error","OK"),"OK")</f>
        <v>OK</v>
      </c>
      <c r="P1727" s="8">
        <f>Table1[[#This Row],[original_price]]*Table1[[#This Row],[markdown_percentage]]/100</f>
        <v>14.029619999999998</v>
      </c>
      <c r="Q172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727" s="25">
        <f>Table1[[#This Row],[current_price]]*Table1[[#This Row],[stock_quantity]]</f>
        <v>399.59999999999997</v>
      </c>
    </row>
    <row r="1728" spans="1:18" x14ac:dyDescent="0.25">
      <c r="A1728" s="2" t="s">
        <v>1781</v>
      </c>
      <c r="B1728" s="2" t="s">
        <v>42</v>
      </c>
      <c r="C1728" s="2" t="s">
        <v>43</v>
      </c>
      <c r="D1728" s="2" t="s">
        <v>17</v>
      </c>
      <c r="E1728" s="2" t="s">
        <v>18</v>
      </c>
      <c r="F1728" s="2" t="s">
        <v>46</v>
      </c>
      <c r="G1728" s="8">
        <v>101.09</v>
      </c>
      <c r="H1728" s="11">
        <v>24.8</v>
      </c>
      <c r="I1728" s="8">
        <v>76.02</v>
      </c>
      <c r="J1728" s="3">
        <v>45537</v>
      </c>
      <c r="K1728" s="14">
        <v>7</v>
      </c>
      <c r="L1728" s="17">
        <v>4.5</v>
      </c>
      <c r="M1728" s="2" t="b">
        <v>1</v>
      </c>
      <c r="N1728" s="2" t="s">
        <v>78</v>
      </c>
      <c r="O1728" s="2" t="str">
        <f>IF(Table1[[#This Row],[is_returned]]=TRUE,IF(Table1[[#This Row],[return_reason]]="","Error","OK"),"OK")</f>
        <v>OK</v>
      </c>
      <c r="P1728" s="8">
        <f>Table1[[#This Row],[original_price]]*Table1[[#This Row],[markdown_percentage]]/100</f>
        <v>25.070320000000002</v>
      </c>
      <c r="Q172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728" s="25">
        <f>Table1[[#This Row],[current_price]]*Table1[[#This Row],[stock_quantity]]</f>
        <v>532.14</v>
      </c>
    </row>
    <row r="1729" spans="1:18" x14ac:dyDescent="0.25">
      <c r="A1729" s="2" t="s">
        <v>1782</v>
      </c>
      <c r="B1729" s="2" t="s">
        <v>27</v>
      </c>
      <c r="C1729" s="2" t="s">
        <v>16</v>
      </c>
      <c r="D1729" s="2" t="s">
        <v>17</v>
      </c>
      <c r="E1729" s="2"/>
      <c r="F1729" s="2" t="s">
        <v>64</v>
      </c>
      <c r="G1729" s="8">
        <v>75.48</v>
      </c>
      <c r="H1729" s="11">
        <v>0</v>
      </c>
      <c r="I1729" s="8">
        <v>75.48</v>
      </c>
      <c r="J1729" s="3">
        <v>45804</v>
      </c>
      <c r="K1729" s="14">
        <v>16</v>
      </c>
      <c r="L1729" s="17">
        <v>1.4</v>
      </c>
      <c r="M1729" s="2" t="b">
        <v>0</v>
      </c>
      <c r="N1729" s="2"/>
      <c r="O1729" s="2" t="str">
        <f>IF(Table1[[#This Row],[is_returned]]=TRUE,IF(Table1[[#This Row],[return_reason]]="","Error","OK"),"OK")</f>
        <v>OK</v>
      </c>
      <c r="P1729" s="8">
        <f>Table1[[#This Row],[original_price]]*Table1[[#This Row],[markdown_percentage]]/100</f>
        <v>0</v>
      </c>
      <c r="Q172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729" s="25">
        <f>Table1[[#This Row],[current_price]]*Table1[[#This Row],[stock_quantity]]</f>
        <v>1207.68</v>
      </c>
    </row>
    <row r="1730" spans="1:18" x14ac:dyDescent="0.25">
      <c r="A1730" s="2" t="s">
        <v>1783</v>
      </c>
      <c r="B1730" s="2" t="s">
        <v>30</v>
      </c>
      <c r="C1730" s="2" t="s">
        <v>32</v>
      </c>
      <c r="D1730" s="2" t="s">
        <v>62</v>
      </c>
      <c r="E1730" s="2" t="s">
        <v>39</v>
      </c>
      <c r="F1730" s="2" t="s">
        <v>70</v>
      </c>
      <c r="G1730" s="8">
        <v>159.94999999999999</v>
      </c>
      <c r="H1730" s="11">
        <v>6.4</v>
      </c>
      <c r="I1730" s="8">
        <v>149.71</v>
      </c>
      <c r="J1730" s="3">
        <v>45875</v>
      </c>
      <c r="K1730" s="14">
        <v>39</v>
      </c>
      <c r="L1730" s="17">
        <v>3</v>
      </c>
      <c r="M1730" s="2" t="b">
        <v>0</v>
      </c>
      <c r="N1730" s="2"/>
      <c r="O1730" s="2" t="str">
        <f>IF(Table1[[#This Row],[is_returned]]=TRUE,IF(Table1[[#This Row],[return_reason]]="","Error","OK"),"OK")</f>
        <v>OK</v>
      </c>
      <c r="P1730" s="8">
        <f>Table1[[#This Row],[original_price]]*Table1[[#This Row],[markdown_percentage]]/100</f>
        <v>10.236799999999999</v>
      </c>
      <c r="Q173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730" s="25">
        <f>Table1[[#This Row],[current_price]]*Table1[[#This Row],[stock_quantity]]</f>
        <v>5838.6900000000005</v>
      </c>
    </row>
    <row r="1731" spans="1:18" x14ac:dyDescent="0.25">
      <c r="A1731" s="2" t="s">
        <v>1784</v>
      </c>
      <c r="B1731" s="2" t="s">
        <v>42</v>
      </c>
      <c r="C1731" s="2" t="s">
        <v>61</v>
      </c>
      <c r="D1731" s="2" t="s">
        <v>62</v>
      </c>
      <c r="E1731" s="2" t="s">
        <v>24</v>
      </c>
      <c r="F1731" s="2" t="s">
        <v>28</v>
      </c>
      <c r="G1731" s="8">
        <v>61.9</v>
      </c>
      <c r="H1731" s="11">
        <v>0</v>
      </c>
      <c r="I1731" s="8">
        <v>61.9</v>
      </c>
      <c r="J1731" s="3">
        <v>45875</v>
      </c>
      <c r="K1731" s="14">
        <v>29</v>
      </c>
      <c r="L1731" s="17">
        <v>4.4000000000000004</v>
      </c>
      <c r="M1731" s="2" t="b">
        <v>0</v>
      </c>
      <c r="N1731" s="2"/>
      <c r="O1731" s="2" t="str">
        <f>IF(Table1[[#This Row],[is_returned]]=TRUE,IF(Table1[[#This Row],[return_reason]]="","Error","OK"),"OK")</f>
        <v>OK</v>
      </c>
      <c r="P1731" s="8">
        <f>Table1[[#This Row],[original_price]]*Table1[[#This Row],[markdown_percentage]]/100</f>
        <v>0</v>
      </c>
      <c r="Q173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731" s="25">
        <f>Table1[[#This Row],[current_price]]*Table1[[#This Row],[stock_quantity]]</f>
        <v>1795.1</v>
      </c>
    </row>
    <row r="1732" spans="1:18" x14ac:dyDescent="0.25">
      <c r="A1732" s="2" t="s">
        <v>1785</v>
      </c>
      <c r="B1732" s="2" t="s">
        <v>21</v>
      </c>
      <c r="C1732" s="2" t="s">
        <v>32</v>
      </c>
      <c r="D1732" s="2" t="s">
        <v>34</v>
      </c>
      <c r="E1732" s="2" t="s">
        <v>18</v>
      </c>
      <c r="F1732" s="2" t="s">
        <v>66</v>
      </c>
      <c r="G1732" s="8">
        <v>63.45</v>
      </c>
      <c r="H1732" s="11">
        <v>12.3</v>
      </c>
      <c r="I1732" s="8">
        <v>55.65</v>
      </c>
      <c r="J1732" s="3">
        <v>45875</v>
      </c>
      <c r="K1732" s="14">
        <v>23</v>
      </c>
      <c r="L1732" s="17">
        <v>4.9000000000000004</v>
      </c>
      <c r="M1732" s="2" t="b">
        <v>0</v>
      </c>
      <c r="N1732" s="2"/>
      <c r="O1732" s="2" t="str">
        <f>IF(Table1[[#This Row],[is_returned]]=TRUE,IF(Table1[[#This Row],[return_reason]]="","Error","OK"),"OK")</f>
        <v>OK</v>
      </c>
      <c r="P1732" s="8">
        <f>Table1[[#This Row],[original_price]]*Table1[[#This Row],[markdown_percentage]]/100</f>
        <v>7.8043500000000003</v>
      </c>
      <c r="Q173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732" s="25">
        <f>Table1[[#This Row],[current_price]]*Table1[[#This Row],[stock_quantity]]</f>
        <v>1279.95</v>
      </c>
    </row>
    <row r="1733" spans="1:18" x14ac:dyDescent="0.25">
      <c r="A1733" s="2" t="s">
        <v>1786</v>
      </c>
      <c r="B1733" s="2" t="s">
        <v>21</v>
      </c>
      <c r="C1733" s="2" t="s">
        <v>43</v>
      </c>
      <c r="D1733" s="2" t="s">
        <v>62</v>
      </c>
      <c r="E1733" s="2" t="s">
        <v>39</v>
      </c>
      <c r="F1733" s="2" t="s">
        <v>19</v>
      </c>
      <c r="G1733" s="8">
        <v>43.22</v>
      </c>
      <c r="H1733" s="11">
        <v>46.7</v>
      </c>
      <c r="I1733" s="8">
        <v>23.04</v>
      </c>
      <c r="J1733" s="3">
        <v>45875</v>
      </c>
      <c r="K1733" s="14">
        <v>29</v>
      </c>
      <c r="L1733" s="17">
        <v>1.3</v>
      </c>
      <c r="M1733" s="2" t="b">
        <v>0</v>
      </c>
      <c r="N1733" s="2"/>
      <c r="O1733" s="2" t="str">
        <f>IF(Table1[[#This Row],[is_returned]]=TRUE,IF(Table1[[#This Row],[return_reason]]="","Error","OK"),"OK")</f>
        <v>OK</v>
      </c>
      <c r="P1733" s="8">
        <f>Table1[[#This Row],[original_price]]*Table1[[#This Row],[markdown_percentage]]/100</f>
        <v>20.18374</v>
      </c>
      <c r="Q173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733" s="25">
        <f>Table1[[#This Row],[current_price]]*Table1[[#This Row],[stock_quantity]]</f>
        <v>668.16</v>
      </c>
    </row>
    <row r="1734" spans="1:18" x14ac:dyDescent="0.25">
      <c r="A1734" s="2" t="s">
        <v>1787</v>
      </c>
      <c r="B1734" s="2" t="s">
        <v>30</v>
      </c>
      <c r="C1734" s="2" t="s">
        <v>32</v>
      </c>
      <c r="D1734" s="2" t="s">
        <v>23</v>
      </c>
      <c r="E1734" s="2" t="s">
        <v>39</v>
      </c>
      <c r="F1734" s="2" t="s">
        <v>64</v>
      </c>
      <c r="G1734" s="8">
        <v>64.650000000000006</v>
      </c>
      <c r="H1734" s="11">
        <v>26.8</v>
      </c>
      <c r="I1734" s="8">
        <v>47.32</v>
      </c>
      <c r="J1734" s="3">
        <v>45875</v>
      </c>
      <c r="K1734" s="14">
        <v>28</v>
      </c>
      <c r="L1734" s="17">
        <v>4.7</v>
      </c>
      <c r="M1734" s="2" t="b">
        <v>0</v>
      </c>
      <c r="N1734" s="2"/>
      <c r="O1734" s="2" t="str">
        <f>IF(Table1[[#This Row],[is_returned]]=TRUE,IF(Table1[[#This Row],[return_reason]]="","Error","OK"),"OK")</f>
        <v>OK</v>
      </c>
      <c r="P1734" s="8">
        <f>Table1[[#This Row],[original_price]]*Table1[[#This Row],[markdown_percentage]]/100</f>
        <v>17.3262</v>
      </c>
      <c r="Q173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734" s="25">
        <f>Table1[[#This Row],[current_price]]*Table1[[#This Row],[stock_quantity]]</f>
        <v>1324.96</v>
      </c>
    </row>
    <row r="1735" spans="1:18" x14ac:dyDescent="0.25">
      <c r="A1735" s="2" t="s">
        <v>1788</v>
      </c>
      <c r="B1735" s="2" t="s">
        <v>30</v>
      </c>
      <c r="C1735" s="2" t="s">
        <v>22</v>
      </c>
      <c r="D1735" s="2" t="s">
        <v>17</v>
      </c>
      <c r="E1735" s="2" t="s">
        <v>49</v>
      </c>
      <c r="F1735" s="2" t="s">
        <v>66</v>
      </c>
      <c r="G1735" s="8">
        <v>118.67</v>
      </c>
      <c r="H1735" s="11">
        <v>56</v>
      </c>
      <c r="I1735" s="8">
        <v>52.21</v>
      </c>
      <c r="J1735" s="3">
        <v>45773</v>
      </c>
      <c r="K1735" s="14">
        <v>27</v>
      </c>
      <c r="L1735" s="17">
        <v>3.5</v>
      </c>
      <c r="M1735" s="2" t="b">
        <v>0</v>
      </c>
      <c r="N1735" s="2"/>
      <c r="O1735" s="2" t="str">
        <f>IF(Table1[[#This Row],[is_returned]]=TRUE,IF(Table1[[#This Row],[return_reason]]="","Error","OK"),"OK")</f>
        <v>OK</v>
      </c>
      <c r="P1735" s="8">
        <f>Table1[[#This Row],[original_price]]*Table1[[#This Row],[markdown_percentage]]/100</f>
        <v>66.455200000000005</v>
      </c>
      <c r="Q173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735" s="25">
        <f>Table1[[#This Row],[current_price]]*Table1[[#This Row],[stock_quantity]]</f>
        <v>1409.67</v>
      </c>
    </row>
    <row r="1736" spans="1:18" x14ac:dyDescent="0.25">
      <c r="A1736" s="2" t="s">
        <v>1789</v>
      </c>
      <c r="B1736" s="2" t="s">
        <v>42</v>
      </c>
      <c r="C1736" s="2" t="s">
        <v>32</v>
      </c>
      <c r="D1736" s="2" t="s">
        <v>17</v>
      </c>
      <c r="E1736" s="2" t="s">
        <v>55</v>
      </c>
      <c r="F1736" s="2" t="s">
        <v>35</v>
      </c>
      <c r="G1736" s="8">
        <v>169.32</v>
      </c>
      <c r="H1736" s="11">
        <v>0</v>
      </c>
      <c r="I1736" s="8">
        <v>169.32</v>
      </c>
      <c r="J1736" s="3">
        <v>45643</v>
      </c>
      <c r="K1736" s="14">
        <v>19</v>
      </c>
      <c r="L1736" s="17">
        <v>2.2000000000000002</v>
      </c>
      <c r="M1736" s="2" t="b">
        <v>0</v>
      </c>
      <c r="N1736" s="2"/>
      <c r="O1736" s="2" t="str">
        <f>IF(Table1[[#This Row],[is_returned]]=TRUE,IF(Table1[[#This Row],[return_reason]]="","Error","OK"),"OK")</f>
        <v>OK</v>
      </c>
      <c r="P1736" s="8">
        <f>Table1[[#This Row],[original_price]]*Table1[[#This Row],[markdown_percentage]]/100</f>
        <v>0</v>
      </c>
      <c r="Q173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736" s="25">
        <f>Table1[[#This Row],[current_price]]*Table1[[#This Row],[stock_quantity]]</f>
        <v>3217.08</v>
      </c>
    </row>
    <row r="1737" spans="1:18" x14ac:dyDescent="0.25">
      <c r="A1737" s="2" t="s">
        <v>1790</v>
      </c>
      <c r="B1737" s="2" t="s">
        <v>30</v>
      </c>
      <c r="C1737" s="2" t="s">
        <v>53</v>
      </c>
      <c r="D1737" s="2" t="s">
        <v>17</v>
      </c>
      <c r="E1737" s="2" t="s">
        <v>55</v>
      </c>
      <c r="F1737" s="2" t="s">
        <v>40</v>
      </c>
      <c r="G1737" s="8">
        <v>115.77</v>
      </c>
      <c r="H1737" s="11">
        <v>0</v>
      </c>
      <c r="I1737" s="8">
        <v>115.77</v>
      </c>
      <c r="J1737" s="3">
        <v>45620</v>
      </c>
      <c r="K1737" s="14">
        <v>43</v>
      </c>
      <c r="L1737" s="17"/>
      <c r="M1737" s="2" t="b">
        <v>0</v>
      </c>
      <c r="N1737" s="2"/>
      <c r="O1737" s="2" t="str">
        <f>IF(Table1[[#This Row],[is_returned]]=TRUE,IF(Table1[[#This Row],[return_reason]]="","Error","OK"),"OK")</f>
        <v>OK</v>
      </c>
      <c r="P1737" s="8">
        <f>Table1[[#This Row],[original_price]]*Table1[[#This Row],[markdown_percentage]]/100</f>
        <v>0</v>
      </c>
      <c r="Q173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737" s="25">
        <f>Table1[[#This Row],[current_price]]*Table1[[#This Row],[stock_quantity]]</f>
        <v>4978.1099999999997</v>
      </c>
    </row>
    <row r="1738" spans="1:18" x14ac:dyDescent="0.25">
      <c r="A1738" s="2" t="s">
        <v>1791</v>
      </c>
      <c r="B1738" s="2" t="s">
        <v>30</v>
      </c>
      <c r="C1738" s="2" t="s">
        <v>43</v>
      </c>
      <c r="D1738" s="2" t="s">
        <v>34</v>
      </c>
      <c r="E1738" s="2" t="s">
        <v>55</v>
      </c>
      <c r="F1738" s="2" t="s">
        <v>56</v>
      </c>
      <c r="G1738" s="8">
        <v>139.91</v>
      </c>
      <c r="H1738" s="11">
        <v>0</v>
      </c>
      <c r="I1738" s="8">
        <v>139.91</v>
      </c>
      <c r="J1738" s="3">
        <v>45875</v>
      </c>
      <c r="K1738" s="14">
        <v>9</v>
      </c>
      <c r="L1738" s="17">
        <v>3.7</v>
      </c>
      <c r="M1738" s="2" t="b">
        <v>0</v>
      </c>
      <c r="N1738" s="2"/>
      <c r="O1738" s="2" t="str">
        <f>IF(Table1[[#This Row],[is_returned]]=TRUE,IF(Table1[[#This Row],[return_reason]]="","Error","OK"),"OK")</f>
        <v>OK</v>
      </c>
      <c r="P1738" s="8">
        <f>Table1[[#This Row],[original_price]]*Table1[[#This Row],[markdown_percentage]]/100</f>
        <v>0</v>
      </c>
      <c r="Q173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738" s="25">
        <f>Table1[[#This Row],[current_price]]*Table1[[#This Row],[stock_quantity]]</f>
        <v>1259.19</v>
      </c>
    </row>
    <row r="1739" spans="1:18" x14ac:dyDescent="0.25">
      <c r="A1739" s="2" t="s">
        <v>1792</v>
      </c>
      <c r="B1739" s="2" t="s">
        <v>38</v>
      </c>
      <c r="C1739" s="2" t="s">
        <v>32</v>
      </c>
      <c r="D1739" s="2" t="s">
        <v>62</v>
      </c>
      <c r="E1739" s="2" t="s">
        <v>49</v>
      </c>
      <c r="F1739" s="2" t="s">
        <v>66</v>
      </c>
      <c r="G1739" s="8">
        <v>101.73</v>
      </c>
      <c r="H1739" s="11">
        <v>0</v>
      </c>
      <c r="I1739" s="8">
        <v>101.73</v>
      </c>
      <c r="J1739" s="3">
        <v>45875</v>
      </c>
      <c r="K1739" s="14">
        <v>14</v>
      </c>
      <c r="L1739" s="17">
        <v>4.7</v>
      </c>
      <c r="M1739" s="2" t="b">
        <v>0</v>
      </c>
      <c r="N1739" s="2"/>
      <c r="O1739" s="2" t="str">
        <f>IF(Table1[[#This Row],[is_returned]]=TRUE,IF(Table1[[#This Row],[return_reason]]="","Error","OK"),"OK")</f>
        <v>OK</v>
      </c>
      <c r="P1739" s="8">
        <f>Table1[[#This Row],[original_price]]*Table1[[#This Row],[markdown_percentage]]/100</f>
        <v>0</v>
      </c>
      <c r="Q173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739" s="25">
        <f>Table1[[#This Row],[current_price]]*Table1[[#This Row],[stock_quantity]]</f>
        <v>1424.22</v>
      </c>
    </row>
    <row r="1740" spans="1:18" x14ac:dyDescent="0.25">
      <c r="A1740" s="2" t="s">
        <v>1793</v>
      </c>
      <c r="B1740" s="2" t="s">
        <v>21</v>
      </c>
      <c r="C1740" s="2" t="s">
        <v>75</v>
      </c>
      <c r="D1740" s="2" t="s">
        <v>62</v>
      </c>
      <c r="E1740" s="2"/>
      <c r="F1740" s="2" t="s">
        <v>25</v>
      </c>
      <c r="G1740" s="8">
        <v>105.85</v>
      </c>
      <c r="H1740" s="11">
        <v>0</v>
      </c>
      <c r="I1740" s="8">
        <v>105.85</v>
      </c>
      <c r="J1740" s="3">
        <v>45875</v>
      </c>
      <c r="K1740" s="14">
        <v>29</v>
      </c>
      <c r="L1740" s="17">
        <v>2.1</v>
      </c>
      <c r="M1740" s="2" t="b">
        <v>0</v>
      </c>
      <c r="N1740" s="2"/>
      <c r="O1740" s="2" t="str">
        <f>IF(Table1[[#This Row],[is_returned]]=TRUE,IF(Table1[[#This Row],[return_reason]]="","Error","OK"),"OK")</f>
        <v>OK</v>
      </c>
      <c r="P1740" s="8">
        <f>Table1[[#This Row],[original_price]]*Table1[[#This Row],[markdown_percentage]]/100</f>
        <v>0</v>
      </c>
      <c r="Q174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740" s="25">
        <f>Table1[[#This Row],[current_price]]*Table1[[#This Row],[stock_quantity]]</f>
        <v>3069.6499999999996</v>
      </c>
    </row>
    <row r="1741" spans="1:18" x14ac:dyDescent="0.25">
      <c r="A1741" s="2" t="s">
        <v>1794</v>
      </c>
      <c r="B1741" s="2" t="s">
        <v>21</v>
      </c>
      <c r="C1741" s="2" t="s">
        <v>61</v>
      </c>
      <c r="D1741" s="2" t="s">
        <v>17</v>
      </c>
      <c r="E1741" s="2" t="s">
        <v>18</v>
      </c>
      <c r="F1741" s="2" t="s">
        <v>40</v>
      </c>
      <c r="G1741" s="8">
        <v>105.37</v>
      </c>
      <c r="H1741" s="11">
        <v>0</v>
      </c>
      <c r="I1741" s="8">
        <v>105.37</v>
      </c>
      <c r="J1741" s="3">
        <v>45762</v>
      </c>
      <c r="K1741" s="14">
        <v>24</v>
      </c>
      <c r="L1741" s="17">
        <v>1.2</v>
      </c>
      <c r="M1741" s="2" t="b">
        <v>0</v>
      </c>
      <c r="N1741" s="2"/>
      <c r="O1741" s="2" t="str">
        <f>IF(Table1[[#This Row],[is_returned]]=TRUE,IF(Table1[[#This Row],[return_reason]]="","Error","OK"),"OK")</f>
        <v>OK</v>
      </c>
      <c r="P1741" s="8">
        <f>Table1[[#This Row],[original_price]]*Table1[[#This Row],[markdown_percentage]]/100</f>
        <v>0</v>
      </c>
      <c r="Q174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741" s="25">
        <f>Table1[[#This Row],[current_price]]*Table1[[#This Row],[stock_quantity]]</f>
        <v>2528.88</v>
      </c>
    </row>
    <row r="1742" spans="1:18" x14ac:dyDescent="0.25">
      <c r="A1742" s="2" t="s">
        <v>1795</v>
      </c>
      <c r="B1742" s="2" t="s">
        <v>21</v>
      </c>
      <c r="C1742" s="2" t="s">
        <v>48</v>
      </c>
      <c r="D1742" s="2" t="s">
        <v>62</v>
      </c>
      <c r="E1742" s="2" t="s">
        <v>39</v>
      </c>
      <c r="F1742" s="2" t="s">
        <v>70</v>
      </c>
      <c r="G1742" s="8">
        <v>44.42</v>
      </c>
      <c r="H1742" s="11">
        <v>0</v>
      </c>
      <c r="I1742" s="8">
        <v>44.42</v>
      </c>
      <c r="J1742" s="3">
        <v>45875</v>
      </c>
      <c r="K1742" s="14">
        <v>49</v>
      </c>
      <c r="L1742" s="17"/>
      <c r="M1742" s="2" t="b">
        <v>0</v>
      </c>
      <c r="N1742" s="2"/>
      <c r="O1742" s="2" t="str">
        <f>IF(Table1[[#This Row],[is_returned]]=TRUE,IF(Table1[[#This Row],[return_reason]]="","Error","OK"),"OK")</f>
        <v>OK</v>
      </c>
      <c r="P1742" s="8">
        <f>Table1[[#This Row],[original_price]]*Table1[[#This Row],[markdown_percentage]]/100</f>
        <v>0</v>
      </c>
      <c r="Q174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742" s="25">
        <f>Table1[[#This Row],[current_price]]*Table1[[#This Row],[stock_quantity]]</f>
        <v>2176.58</v>
      </c>
    </row>
    <row r="1743" spans="1:18" x14ac:dyDescent="0.25">
      <c r="A1743" s="2" t="s">
        <v>1796</v>
      </c>
      <c r="B1743" s="2" t="s">
        <v>30</v>
      </c>
      <c r="C1743" s="2" t="s">
        <v>22</v>
      </c>
      <c r="D1743" s="2" t="s">
        <v>17</v>
      </c>
      <c r="E1743" s="2" t="s">
        <v>55</v>
      </c>
      <c r="F1743" s="2" t="s">
        <v>40</v>
      </c>
      <c r="G1743" s="8">
        <v>164.86</v>
      </c>
      <c r="H1743" s="11">
        <v>14.3</v>
      </c>
      <c r="I1743" s="8">
        <v>141.29</v>
      </c>
      <c r="J1743" s="3">
        <v>45730</v>
      </c>
      <c r="K1743" s="14">
        <v>7</v>
      </c>
      <c r="L1743" s="17">
        <v>2.2999999999999998</v>
      </c>
      <c r="M1743" s="2" t="b">
        <v>0</v>
      </c>
      <c r="N1743" s="2"/>
      <c r="O1743" s="2" t="str">
        <f>IF(Table1[[#This Row],[is_returned]]=TRUE,IF(Table1[[#This Row],[return_reason]]="","Error","OK"),"OK")</f>
        <v>OK</v>
      </c>
      <c r="P1743" s="8">
        <f>Table1[[#This Row],[original_price]]*Table1[[#This Row],[markdown_percentage]]/100</f>
        <v>23.574980000000004</v>
      </c>
      <c r="Q174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743" s="25">
        <f>Table1[[#This Row],[current_price]]*Table1[[#This Row],[stock_quantity]]</f>
        <v>989.03</v>
      </c>
    </row>
    <row r="1744" spans="1:18" x14ac:dyDescent="0.25">
      <c r="A1744" s="2" t="s">
        <v>1797</v>
      </c>
      <c r="B1744" s="2" t="s">
        <v>30</v>
      </c>
      <c r="C1744" s="2" t="s">
        <v>43</v>
      </c>
      <c r="D1744" s="2" t="s">
        <v>34</v>
      </c>
      <c r="E1744" s="2" t="s">
        <v>49</v>
      </c>
      <c r="F1744" s="2" t="s">
        <v>28</v>
      </c>
      <c r="G1744" s="8">
        <v>163.88</v>
      </c>
      <c r="H1744" s="11">
        <v>5.9</v>
      </c>
      <c r="I1744" s="8">
        <v>154.21</v>
      </c>
      <c r="J1744" s="3">
        <v>45875</v>
      </c>
      <c r="K1744" s="14">
        <v>39</v>
      </c>
      <c r="L1744" s="17">
        <v>2.6</v>
      </c>
      <c r="M1744" s="2" t="b">
        <v>0</v>
      </c>
      <c r="N1744" s="2"/>
      <c r="O1744" s="2" t="str">
        <f>IF(Table1[[#This Row],[is_returned]]=TRUE,IF(Table1[[#This Row],[return_reason]]="","Error","OK"),"OK")</f>
        <v>OK</v>
      </c>
      <c r="P1744" s="8">
        <f>Table1[[#This Row],[original_price]]*Table1[[#This Row],[markdown_percentage]]/100</f>
        <v>9.66892</v>
      </c>
      <c r="Q174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744" s="25">
        <f>Table1[[#This Row],[current_price]]*Table1[[#This Row],[stock_quantity]]</f>
        <v>6014.1900000000005</v>
      </c>
    </row>
    <row r="1745" spans="1:18" x14ac:dyDescent="0.25">
      <c r="A1745" s="2" t="s">
        <v>1798</v>
      </c>
      <c r="B1745" s="2" t="s">
        <v>38</v>
      </c>
      <c r="C1745" s="2" t="s">
        <v>16</v>
      </c>
      <c r="D1745" s="2" t="s">
        <v>34</v>
      </c>
      <c r="E1745" s="2" t="s">
        <v>55</v>
      </c>
      <c r="F1745" s="2" t="s">
        <v>46</v>
      </c>
      <c r="G1745" s="8">
        <v>36.54</v>
      </c>
      <c r="H1745" s="11">
        <v>5.3</v>
      </c>
      <c r="I1745" s="8">
        <v>34.6</v>
      </c>
      <c r="J1745" s="3">
        <v>45875</v>
      </c>
      <c r="K1745" s="14">
        <v>13</v>
      </c>
      <c r="L1745" s="17">
        <v>2.5</v>
      </c>
      <c r="M1745" s="2" t="b">
        <v>0</v>
      </c>
      <c r="N1745" s="2"/>
      <c r="O1745" s="2" t="str">
        <f>IF(Table1[[#This Row],[is_returned]]=TRUE,IF(Table1[[#This Row],[return_reason]]="","Error","OK"),"OK")</f>
        <v>OK</v>
      </c>
      <c r="P1745" s="8">
        <f>Table1[[#This Row],[original_price]]*Table1[[#This Row],[markdown_percentage]]/100</f>
        <v>1.9366199999999998</v>
      </c>
      <c r="Q174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745" s="25">
        <f>Table1[[#This Row],[current_price]]*Table1[[#This Row],[stock_quantity]]</f>
        <v>449.8</v>
      </c>
    </row>
    <row r="1746" spans="1:18" x14ac:dyDescent="0.25">
      <c r="A1746" s="2" t="s">
        <v>1799</v>
      </c>
      <c r="B1746" s="2" t="s">
        <v>42</v>
      </c>
      <c r="C1746" s="2" t="s">
        <v>32</v>
      </c>
      <c r="D1746" s="2" t="s">
        <v>17</v>
      </c>
      <c r="E1746" s="2" t="s">
        <v>58</v>
      </c>
      <c r="F1746" s="2" t="s">
        <v>19</v>
      </c>
      <c r="G1746" s="8">
        <v>99.97</v>
      </c>
      <c r="H1746" s="11">
        <v>0</v>
      </c>
      <c r="I1746" s="8">
        <v>99.97</v>
      </c>
      <c r="J1746" s="3">
        <v>45581</v>
      </c>
      <c r="K1746" s="14">
        <v>38</v>
      </c>
      <c r="L1746" s="17">
        <v>1.4</v>
      </c>
      <c r="M1746" s="2" t="b">
        <v>0</v>
      </c>
      <c r="N1746" s="2"/>
      <c r="O1746" s="2" t="str">
        <f>IF(Table1[[#This Row],[is_returned]]=TRUE,IF(Table1[[#This Row],[return_reason]]="","Error","OK"),"OK")</f>
        <v>OK</v>
      </c>
      <c r="P1746" s="8">
        <f>Table1[[#This Row],[original_price]]*Table1[[#This Row],[markdown_percentage]]/100</f>
        <v>0</v>
      </c>
      <c r="Q174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746" s="25">
        <f>Table1[[#This Row],[current_price]]*Table1[[#This Row],[stock_quantity]]</f>
        <v>3798.86</v>
      </c>
    </row>
    <row r="1747" spans="1:18" x14ac:dyDescent="0.25">
      <c r="A1747" s="2" t="s">
        <v>1800</v>
      </c>
      <c r="B1747" s="2" t="s">
        <v>15</v>
      </c>
      <c r="C1747" s="2" t="s">
        <v>53</v>
      </c>
      <c r="D1747" s="2" t="s">
        <v>62</v>
      </c>
      <c r="E1747" s="2" t="s">
        <v>18</v>
      </c>
      <c r="F1747" s="2" t="s">
        <v>19</v>
      </c>
      <c r="G1747" s="8">
        <v>194.78</v>
      </c>
      <c r="H1747" s="11">
        <v>0</v>
      </c>
      <c r="I1747" s="8">
        <v>194.78</v>
      </c>
      <c r="J1747" s="3">
        <v>45875</v>
      </c>
      <c r="K1747" s="14">
        <v>31</v>
      </c>
      <c r="L1747" s="17"/>
      <c r="M1747" s="2" t="b">
        <v>0</v>
      </c>
      <c r="N1747" s="2"/>
      <c r="O1747" s="2" t="str">
        <f>IF(Table1[[#This Row],[is_returned]]=TRUE,IF(Table1[[#This Row],[return_reason]]="","Error","OK"),"OK")</f>
        <v>OK</v>
      </c>
      <c r="P1747" s="8">
        <f>Table1[[#This Row],[original_price]]*Table1[[#This Row],[markdown_percentage]]/100</f>
        <v>0</v>
      </c>
      <c r="Q174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747" s="25">
        <f>Table1[[#This Row],[current_price]]*Table1[[#This Row],[stock_quantity]]</f>
        <v>6038.18</v>
      </c>
    </row>
    <row r="1748" spans="1:18" x14ac:dyDescent="0.25">
      <c r="A1748" s="2" t="s">
        <v>1801</v>
      </c>
      <c r="B1748" s="2" t="s">
        <v>15</v>
      </c>
      <c r="C1748" s="2" t="s">
        <v>22</v>
      </c>
      <c r="D1748" s="2" t="s">
        <v>34</v>
      </c>
      <c r="E1748" s="2" t="s">
        <v>55</v>
      </c>
      <c r="F1748" s="2" t="s">
        <v>44</v>
      </c>
      <c r="G1748" s="8">
        <v>208.93</v>
      </c>
      <c r="H1748" s="11">
        <v>0</v>
      </c>
      <c r="I1748" s="8">
        <v>208.93</v>
      </c>
      <c r="J1748" s="3">
        <v>45875</v>
      </c>
      <c r="K1748" s="14">
        <v>12</v>
      </c>
      <c r="L1748" s="17">
        <v>2.2999999999999998</v>
      </c>
      <c r="M1748" s="2" t="b">
        <v>0</v>
      </c>
      <c r="N1748" s="2"/>
      <c r="O1748" s="2" t="str">
        <f>IF(Table1[[#This Row],[is_returned]]=TRUE,IF(Table1[[#This Row],[return_reason]]="","Error","OK"),"OK")</f>
        <v>OK</v>
      </c>
      <c r="P1748" s="8">
        <f>Table1[[#This Row],[original_price]]*Table1[[#This Row],[markdown_percentage]]/100</f>
        <v>0</v>
      </c>
      <c r="Q174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748" s="25">
        <f>Table1[[#This Row],[current_price]]*Table1[[#This Row],[stock_quantity]]</f>
        <v>2507.16</v>
      </c>
    </row>
    <row r="1749" spans="1:18" x14ac:dyDescent="0.25">
      <c r="A1749" s="2" t="s">
        <v>1802</v>
      </c>
      <c r="B1749" s="2" t="s">
        <v>38</v>
      </c>
      <c r="C1749" s="2" t="s">
        <v>53</v>
      </c>
      <c r="D1749" s="2" t="s">
        <v>17</v>
      </c>
      <c r="E1749" s="2" t="s">
        <v>55</v>
      </c>
      <c r="F1749" s="2" t="s">
        <v>19</v>
      </c>
      <c r="G1749" s="8">
        <v>68.459999999999994</v>
      </c>
      <c r="H1749" s="11">
        <v>50</v>
      </c>
      <c r="I1749" s="8">
        <v>34.229999999999997</v>
      </c>
      <c r="J1749" s="3">
        <v>45683</v>
      </c>
      <c r="K1749" s="14">
        <v>24</v>
      </c>
      <c r="L1749" s="17">
        <v>1.9</v>
      </c>
      <c r="M1749" s="2" t="b">
        <v>0</v>
      </c>
      <c r="N1749" s="2"/>
      <c r="O1749" s="2" t="str">
        <f>IF(Table1[[#This Row],[is_returned]]=TRUE,IF(Table1[[#This Row],[return_reason]]="","Error","OK"),"OK")</f>
        <v>OK</v>
      </c>
      <c r="P1749" s="8">
        <f>Table1[[#This Row],[original_price]]*Table1[[#This Row],[markdown_percentage]]/100</f>
        <v>34.229999999999997</v>
      </c>
      <c r="Q174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749" s="25">
        <f>Table1[[#This Row],[current_price]]*Table1[[#This Row],[stock_quantity]]</f>
        <v>821.52</v>
      </c>
    </row>
    <row r="1750" spans="1:18" x14ac:dyDescent="0.25">
      <c r="A1750" s="2" t="s">
        <v>1803</v>
      </c>
      <c r="B1750" s="2" t="s">
        <v>27</v>
      </c>
      <c r="C1750" s="2" t="s">
        <v>32</v>
      </c>
      <c r="D1750" s="2" t="s">
        <v>23</v>
      </c>
      <c r="E1750" s="2"/>
      <c r="F1750" s="2" t="s">
        <v>66</v>
      </c>
      <c r="G1750" s="8">
        <v>30.26</v>
      </c>
      <c r="H1750" s="11">
        <v>50</v>
      </c>
      <c r="I1750" s="8">
        <v>15.13</v>
      </c>
      <c r="J1750" s="3">
        <v>45875</v>
      </c>
      <c r="K1750" s="14">
        <v>23</v>
      </c>
      <c r="L1750" s="17">
        <v>1.4</v>
      </c>
      <c r="M1750" s="2" t="b">
        <v>0</v>
      </c>
      <c r="N1750" s="2"/>
      <c r="O1750" s="2" t="str">
        <f>IF(Table1[[#This Row],[is_returned]]=TRUE,IF(Table1[[#This Row],[return_reason]]="","Error","OK"),"OK")</f>
        <v>OK</v>
      </c>
      <c r="P1750" s="8">
        <f>Table1[[#This Row],[original_price]]*Table1[[#This Row],[markdown_percentage]]/100</f>
        <v>15.13</v>
      </c>
      <c r="Q175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750" s="25">
        <f>Table1[[#This Row],[current_price]]*Table1[[#This Row],[stock_quantity]]</f>
        <v>347.99</v>
      </c>
    </row>
    <row r="1751" spans="1:18" x14ac:dyDescent="0.25">
      <c r="A1751" s="2" t="s">
        <v>1804</v>
      </c>
      <c r="B1751" s="2" t="s">
        <v>15</v>
      </c>
      <c r="C1751" s="2" t="s">
        <v>43</v>
      </c>
      <c r="D1751" s="2" t="s">
        <v>62</v>
      </c>
      <c r="E1751" s="2" t="s">
        <v>55</v>
      </c>
      <c r="F1751" s="2" t="s">
        <v>46</v>
      </c>
      <c r="G1751" s="8">
        <v>186.66</v>
      </c>
      <c r="H1751" s="11">
        <v>30.9</v>
      </c>
      <c r="I1751" s="8">
        <v>128.97999999999999</v>
      </c>
      <c r="J1751" s="3">
        <v>45875</v>
      </c>
      <c r="K1751" s="14">
        <v>7</v>
      </c>
      <c r="L1751" s="17">
        <v>1</v>
      </c>
      <c r="M1751" s="2" t="b">
        <v>0</v>
      </c>
      <c r="N1751" s="2"/>
      <c r="O1751" s="2" t="str">
        <f>IF(Table1[[#This Row],[is_returned]]=TRUE,IF(Table1[[#This Row],[return_reason]]="","Error","OK"),"OK")</f>
        <v>OK</v>
      </c>
      <c r="P1751" s="8">
        <f>Table1[[#This Row],[original_price]]*Table1[[#This Row],[markdown_percentage]]/100</f>
        <v>57.67794</v>
      </c>
      <c r="Q175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751" s="25">
        <f>Table1[[#This Row],[current_price]]*Table1[[#This Row],[stock_quantity]]</f>
        <v>902.8599999999999</v>
      </c>
    </row>
    <row r="1752" spans="1:18" x14ac:dyDescent="0.25">
      <c r="A1752" s="2" t="s">
        <v>1805</v>
      </c>
      <c r="B1752" s="2" t="s">
        <v>21</v>
      </c>
      <c r="C1752" s="2" t="s">
        <v>16</v>
      </c>
      <c r="D1752" s="2" t="s">
        <v>23</v>
      </c>
      <c r="E1752" s="2" t="s">
        <v>39</v>
      </c>
      <c r="F1752" s="2" t="s">
        <v>28</v>
      </c>
      <c r="G1752" s="8">
        <v>78.05</v>
      </c>
      <c r="H1752" s="11">
        <v>48.1</v>
      </c>
      <c r="I1752" s="8">
        <v>40.51</v>
      </c>
      <c r="J1752" s="3">
        <v>45875</v>
      </c>
      <c r="K1752" s="14">
        <v>36</v>
      </c>
      <c r="L1752" s="17">
        <v>2.9</v>
      </c>
      <c r="M1752" s="2" t="b">
        <v>1</v>
      </c>
      <c r="N1752" s="2" t="s">
        <v>115</v>
      </c>
      <c r="O1752" s="2" t="str">
        <f>IF(Table1[[#This Row],[is_returned]]=TRUE,IF(Table1[[#This Row],[return_reason]]="","Error","OK"),"OK")</f>
        <v>OK</v>
      </c>
      <c r="P1752" s="8">
        <f>Table1[[#This Row],[original_price]]*Table1[[#This Row],[markdown_percentage]]/100</f>
        <v>37.542049999999996</v>
      </c>
      <c r="Q175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752" s="25">
        <f>Table1[[#This Row],[current_price]]*Table1[[#This Row],[stock_quantity]]</f>
        <v>1458.36</v>
      </c>
    </row>
    <row r="1753" spans="1:18" x14ac:dyDescent="0.25">
      <c r="A1753" s="2" t="s">
        <v>1806</v>
      </c>
      <c r="B1753" s="2" t="s">
        <v>21</v>
      </c>
      <c r="C1753" s="2" t="s">
        <v>22</v>
      </c>
      <c r="D1753" s="2" t="s">
        <v>17</v>
      </c>
      <c r="E1753" s="2" t="s">
        <v>58</v>
      </c>
      <c r="F1753" s="2" t="s">
        <v>66</v>
      </c>
      <c r="G1753" s="8">
        <v>104.75</v>
      </c>
      <c r="H1753" s="11">
        <v>0</v>
      </c>
      <c r="I1753" s="8">
        <v>104.75</v>
      </c>
      <c r="J1753" s="3">
        <v>45591</v>
      </c>
      <c r="K1753" s="14">
        <v>11</v>
      </c>
      <c r="L1753" s="17"/>
      <c r="M1753" s="2" t="b">
        <v>0</v>
      </c>
      <c r="N1753" s="2"/>
      <c r="O1753" s="2" t="str">
        <f>IF(Table1[[#This Row],[is_returned]]=TRUE,IF(Table1[[#This Row],[return_reason]]="","Error","OK"),"OK")</f>
        <v>OK</v>
      </c>
      <c r="P1753" s="8">
        <f>Table1[[#This Row],[original_price]]*Table1[[#This Row],[markdown_percentage]]/100</f>
        <v>0</v>
      </c>
      <c r="Q175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753" s="25">
        <f>Table1[[#This Row],[current_price]]*Table1[[#This Row],[stock_quantity]]</f>
        <v>1152.25</v>
      </c>
    </row>
    <row r="1754" spans="1:18" x14ac:dyDescent="0.25">
      <c r="A1754" s="2" t="s">
        <v>1807</v>
      </c>
      <c r="B1754" s="2" t="s">
        <v>30</v>
      </c>
      <c r="C1754" s="2" t="s">
        <v>22</v>
      </c>
      <c r="D1754" s="2" t="s">
        <v>62</v>
      </c>
      <c r="E1754" s="2" t="s">
        <v>58</v>
      </c>
      <c r="F1754" s="2" t="s">
        <v>70</v>
      </c>
      <c r="G1754" s="8">
        <v>121.33</v>
      </c>
      <c r="H1754" s="11">
        <v>0</v>
      </c>
      <c r="I1754" s="8">
        <v>121.33</v>
      </c>
      <c r="J1754" s="3">
        <v>45875</v>
      </c>
      <c r="K1754" s="14">
        <v>30</v>
      </c>
      <c r="L1754" s="17">
        <v>4.2</v>
      </c>
      <c r="M1754" s="2" t="b">
        <v>0</v>
      </c>
      <c r="N1754" s="2"/>
      <c r="O1754" s="2" t="str">
        <f>IF(Table1[[#This Row],[is_returned]]=TRUE,IF(Table1[[#This Row],[return_reason]]="","Error","OK"),"OK")</f>
        <v>OK</v>
      </c>
      <c r="P1754" s="8">
        <f>Table1[[#This Row],[original_price]]*Table1[[#This Row],[markdown_percentage]]/100</f>
        <v>0</v>
      </c>
      <c r="Q175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754" s="25">
        <f>Table1[[#This Row],[current_price]]*Table1[[#This Row],[stock_quantity]]</f>
        <v>3639.9</v>
      </c>
    </row>
    <row r="1755" spans="1:18" x14ac:dyDescent="0.25">
      <c r="A1755" s="2" t="s">
        <v>1808</v>
      </c>
      <c r="B1755" s="2" t="s">
        <v>42</v>
      </c>
      <c r="C1755" s="2" t="s">
        <v>43</v>
      </c>
      <c r="D1755" s="2" t="s">
        <v>34</v>
      </c>
      <c r="E1755" s="2" t="s">
        <v>49</v>
      </c>
      <c r="F1755" s="2" t="s">
        <v>46</v>
      </c>
      <c r="G1755" s="8">
        <v>78.09</v>
      </c>
      <c r="H1755" s="11">
        <v>0</v>
      </c>
      <c r="I1755" s="8">
        <v>78.09</v>
      </c>
      <c r="J1755" s="3">
        <v>45875</v>
      </c>
      <c r="K1755" s="14">
        <v>6</v>
      </c>
      <c r="L1755" s="17">
        <v>2</v>
      </c>
      <c r="M1755" s="2" t="b">
        <v>0</v>
      </c>
      <c r="N1755" s="2"/>
      <c r="O1755" s="2" t="str">
        <f>IF(Table1[[#This Row],[is_returned]]=TRUE,IF(Table1[[#This Row],[return_reason]]="","Error","OK"),"OK")</f>
        <v>OK</v>
      </c>
      <c r="P1755" s="8">
        <f>Table1[[#This Row],[original_price]]*Table1[[#This Row],[markdown_percentage]]/100</f>
        <v>0</v>
      </c>
      <c r="Q175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755" s="25">
        <f>Table1[[#This Row],[current_price]]*Table1[[#This Row],[stock_quantity]]</f>
        <v>468.54</v>
      </c>
    </row>
    <row r="1756" spans="1:18" x14ac:dyDescent="0.25">
      <c r="A1756" s="2" t="s">
        <v>1809</v>
      </c>
      <c r="B1756" s="2" t="s">
        <v>21</v>
      </c>
      <c r="C1756" s="2" t="s">
        <v>22</v>
      </c>
      <c r="D1756" s="2" t="s">
        <v>34</v>
      </c>
      <c r="E1756" s="2" t="s">
        <v>49</v>
      </c>
      <c r="F1756" s="2" t="s">
        <v>19</v>
      </c>
      <c r="G1756" s="8">
        <v>109.19</v>
      </c>
      <c r="H1756" s="11">
        <v>0</v>
      </c>
      <c r="I1756" s="8">
        <v>109.19</v>
      </c>
      <c r="J1756" s="3">
        <v>45875</v>
      </c>
      <c r="K1756" s="14">
        <v>47</v>
      </c>
      <c r="L1756" s="17">
        <v>4.5</v>
      </c>
      <c r="M1756" s="2" t="b">
        <v>0</v>
      </c>
      <c r="N1756" s="2"/>
      <c r="O1756" s="2" t="str">
        <f>IF(Table1[[#This Row],[is_returned]]=TRUE,IF(Table1[[#This Row],[return_reason]]="","Error","OK"),"OK")</f>
        <v>OK</v>
      </c>
      <c r="P1756" s="8">
        <f>Table1[[#This Row],[original_price]]*Table1[[#This Row],[markdown_percentage]]/100</f>
        <v>0</v>
      </c>
      <c r="Q175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756" s="25">
        <f>Table1[[#This Row],[current_price]]*Table1[[#This Row],[stock_quantity]]</f>
        <v>5131.93</v>
      </c>
    </row>
    <row r="1757" spans="1:18" x14ac:dyDescent="0.25">
      <c r="A1757" s="2" t="s">
        <v>1810</v>
      </c>
      <c r="B1757" s="2" t="s">
        <v>30</v>
      </c>
      <c r="C1757" s="2" t="s">
        <v>53</v>
      </c>
      <c r="D1757" s="2" t="s">
        <v>23</v>
      </c>
      <c r="E1757" s="2" t="s">
        <v>24</v>
      </c>
      <c r="F1757" s="2" t="s">
        <v>28</v>
      </c>
      <c r="G1757" s="8">
        <v>126.74</v>
      </c>
      <c r="H1757" s="11">
        <v>0</v>
      </c>
      <c r="I1757" s="8">
        <v>126.74</v>
      </c>
      <c r="J1757" s="3">
        <v>45875</v>
      </c>
      <c r="K1757" s="14">
        <v>2</v>
      </c>
      <c r="L1757" s="17">
        <v>2.9</v>
      </c>
      <c r="M1757" s="2" t="b">
        <v>0</v>
      </c>
      <c r="N1757" s="2"/>
      <c r="O1757" s="2" t="str">
        <f>IF(Table1[[#This Row],[is_returned]]=TRUE,IF(Table1[[#This Row],[return_reason]]="","Error","OK"),"OK")</f>
        <v>OK</v>
      </c>
      <c r="P1757" s="8">
        <f>Table1[[#This Row],[original_price]]*Table1[[#This Row],[markdown_percentage]]/100</f>
        <v>0</v>
      </c>
      <c r="Q175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757" s="25">
        <f>Table1[[#This Row],[current_price]]*Table1[[#This Row],[stock_quantity]]</f>
        <v>253.48</v>
      </c>
    </row>
    <row r="1758" spans="1:18" x14ac:dyDescent="0.25">
      <c r="A1758" s="2" t="s">
        <v>1811</v>
      </c>
      <c r="B1758" s="2" t="s">
        <v>30</v>
      </c>
      <c r="C1758" s="2" t="s">
        <v>48</v>
      </c>
      <c r="D1758" s="2" t="s">
        <v>17</v>
      </c>
      <c r="E1758" s="2" t="s">
        <v>18</v>
      </c>
      <c r="F1758" s="2" t="s">
        <v>28</v>
      </c>
      <c r="G1758" s="8">
        <v>95.85</v>
      </c>
      <c r="H1758" s="11">
        <v>0</v>
      </c>
      <c r="I1758" s="8">
        <v>95.85</v>
      </c>
      <c r="J1758" s="3">
        <v>45703</v>
      </c>
      <c r="K1758" s="14">
        <v>45</v>
      </c>
      <c r="L1758" s="17">
        <v>5</v>
      </c>
      <c r="M1758" s="2" t="b">
        <v>0</v>
      </c>
      <c r="N1758" s="2"/>
      <c r="O1758" s="2" t="str">
        <f>IF(Table1[[#This Row],[is_returned]]=TRUE,IF(Table1[[#This Row],[return_reason]]="","Error","OK"),"OK")</f>
        <v>OK</v>
      </c>
      <c r="P1758" s="8">
        <f>Table1[[#This Row],[original_price]]*Table1[[#This Row],[markdown_percentage]]/100</f>
        <v>0</v>
      </c>
      <c r="Q175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758" s="25">
        <f>Table1[[#This Row],[current_price]]*Table1[[#This Row],[stock_quantity]]</f>
        <v>4313.25</v>
      </c>
    </row>
    <row r="1759" spans="1:18" x14ac:dyDescent="0.25">
      <c r="A1759" s="2" t="s">
        <v>1812</v>
      </c>
      <c r="B1759" s="2" t="s">
        <v>15</v>
      </c>
      <c r="C1759" s="2" t="s">
        <v>43</v>
      </c>
      <c r="D1759" s="2" t="s">
        <v>62</v>
      </c>
      <c r="E1759" s="2" t="s">
        <v>39</v>
      </c>
      <c r="F1759" s="2" t="s">
        <v>44</v>
      </c>
      <c r="G1759" s="8">
        <v>213.98</v>
      </c>
      <c r="H1759" s="11">
        <v>0</v>
      </c>
      <c r="I1759" s="8">
        <v>213.98</v>
      </c>
      <c r="J1759" s="3">
        <v>45875</v>
      </c>
      <c r="K1759" s="14">
        <v>38</v>
      </c>
      <c r="L1759" s="17"/>
      <c r="M1759" s="2" t="b">
        <v>0</v>
      </c>
      <c r="N1759" s="2"/>
      <c r="O1759" s="2" t="str">
        <f>IF(Table1[[#This Row],[is_returned]]=TRUE,IF(Table1[[#This Row],[return_reason]]="","Error","OK"),"OK")</f>
        <v>OK</v>
      </c>
      <c r="P1759" s="8">
        <f>Table1[[#This Row],[original_price]]*Table1[[#This Row],[markdown_percentage]]/100</f>
        <v>0</v>
      </c>
      <c r="Q175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759" s="25">
        <f>Table1[[#This Row],[current_price]]*Table1[[#This Row],[stock_quantity]]</f>
        <v>8131.24</v>
      </c>
    </row>
    <row r="1760" spans="1:18" x14ac:dyDescent="0.25">
      <c r="A1760" s="2" t="s">
        <v>1813</v>
      </c>
      <c r="B1760" s="2" t="s">
        <v>30</v>
      </c>
      <c r="C1760" s="2" t="s">
        <v>75</v>
      </c>
      <c r="D1760" s="2" t="s">
        <v>17</v>
      </c>
      <c r="E1760" s="2" t="s">
        <v>49</v>
      </c>
      <c r="F1760" s="2" t="s">
        <v>56</v>
      </c>
      <c r="G1760" s="8">
        <v>146.22999999999999</v>
      </c>
      <c r="H1760" s="11">
        <v>40</v>
      </c>
      <c r="I1760" s="8">
        <v>87.74</v>
      </c>
      <c r="J1760" s="3">
        <v>45684</v>
      </c>
      <c r="K1760" s="14">
        <v>17</v>
      </c>
      <c r="L1760" s="17">
        <v>2.6</v>
      </c>
      <c r="M1760" s="2" t="b">
        <v>1</v>
      </c>
      <c r="N1760" s="2" t="s">
        <v>83</v>
      </c>
      <c r="O1760" s="2" t="str">
        <f>IF(Table1[[#This Row],[is_returned]]=TRUE,IF(Table1[[#This Row],[return_reason]]="","Error","OK"),"OK")</f>
        <v>OK</v>
      </c>
      <c r="P1760" s="8">
        <f>Table1[[#This Row],[original_price]]*Table1[[#This Row],[markdown_percentage]]/100</f>
        <v>58.491999999999997</v>
      </c>
      <c r="Q176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760" s="25">
        <f>Table1[[#This Row],[current_price]]*Table1[[#This Row],[stock_quantity]]</f>
        <v>1491.58</v>
      </c>
    </row>
    <row r="1761" spans="1:18" x14ac:dyDescent="0.25">
      <c r="A1761" s="2" t="s">
        <v>1814</v>
      </c>
      <c r="B1761" s="2" t="s">
        <v>38</v>
      </c>
      <c r="C1761" s="2" t="s">
        <v>43</v>
      </c>
      <c r="D1761" s="2" t="s">
        <v>23</v>
      </c>
      <c r="E1761" s="2" t="s">
        <v>24</v>
      </c>
      <c r="F1761" s="2" t="s">
        <v>25</v>
      </c>
      <c r="G1761" s="8">
        <v>115.57</v>
      </c>
      <c r="H1761" s="11">
        <v>16.100000000000001</v>
      </c>
      <c r="I1761" s="8">
        <v>96.96</v>
      </c>
      <c r="J1761" s="3">
        <v>45875</v>
      </c>
      <c r="K1761" s="14">
        <v>32</v>
      </c>
      <c r="L1761" s="17">
        <v>3.1</v>
      </c>
      <c r="M1761" s="2" t="b">
        <v>1</v>
      </c>
      <c r="N1761" s="2" t="s">
        <v>73</v>
      </c>
      <c r="O1761" s="2" t="str">
        <f>IF(Table1[[#This Row],[is_returned]]=TRUE,IF(Table1[[#This Row],[return_reason]]="","Error","OK"),"OK")</f>
        <v>OK</v>
      </c>
      <c r="P1761" s="8">
        <f>Table1[[#This Row],[original_price]]*Table1[[#This Row],[markdown_percentage]]/100</f>
        <v>18.606770000000001</v>
      </c>
      <c r="Q176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761" s="25">
        <f>Table1[[#This Row],[current_price]]*Table1[[#This Row],[stock_quantity]]</f>
        <v>3102.72</v>
      </c>
    </row>
    <row r="1762" spans="1:18" x14ac:dyDescent="0.25">
      <c r="A1762" s="2" t="s">
        <v>1815</v>
      </c>
      <c r="B1762" s="2" t="s">
        <v>27</v>
      </c>
      <c r="C1762" s="2" t="s">
        <v>32</v>
      </c>
      <c r="D1762" s="2" t="s">
        <v>17</v>
      </c>
      <c r="E1762" s="2"/>
      <c r="F1762" s="2" t="s">
        <v>44</v>
      </c>
      <c r="G1762" s="8">
        <v>66.62</v>
      </c>
      <c r="H1762" s="11">
        <v>0</v>
      </c>
      <c r="I1762" s="8">
        <v>66.62</v>
      </c>
      <c r="J1762" s="3">
        <v>45592</v>
      </c>
      <c r="K1762" s="14">
        <v>37</v>
      </c>
      <c r="L1762" s="17"/>
      <c r="M1762" s="2" t="b">
        <v>0</v>
      </c>
      <c r="N1762" s="2"/>
      <c r="O1762" s="2" t="str">
        <f>IF(Table1[[#This Row],[is_returned]]=TRUE,IF(Table1[[#This Row],[return_reason]]="","Error","OK"),"OK")</f>
        <v>OK</v>
      </c>
      <c r="P1762" s="8">
        <f>Table1[[#This Row],[original_price]]*Table1[[#This Row],[markdown_percentage]]/100</f>
        <v>0</v>
      </c>
      <c r="Q176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762" s="25">
        <f>Table1[[#This Row],[current_price]]*Table1[[#This Row],[stock_quantity]]</f>
        <v>2464.94</v>
      </c>
    </row>
    <row r="1763" spans="1:18" x14ac:dyDescent="0.25">
      <c r="A1763" s="2" t="s">
        <v>1816</v>
      </c>
      <c r="B1763" s="2" t="s">
        <v>42</v>
      </c>
      <c r="C1763" s="2" t="s">
        <v>32</v>
      </c>
      <c r="D1763" s="2" t="s">
        <v>17</v>
      </c>
      <c r="E1763" s="2" t="s">
        <v>55</v>
      </c>
      <c r="F1763" s="2" t="s">
        <v>66</v>
      </c>
      <c r="G1763" s="8">
        <v>60.37</v>
      </c>
      <c r="H1763" s="11">
        <v>23.1</v>
      </c>
      <c r="I1763" s="8">
        <v>46.42</v>
      </c>
      <c r="J1763" s="3">
        <v>45730</v>
      </c>
      <c r="K1763" s="14">
        <v>30</v>
      </c>
      <c r="L1763" s="17">
        <v>4.8</v>
      </c>
      <c r="M1763" s="2" t="b">
        <v>0</v>
      </c>
      <c r="N1763" s="2"/>
      <c r="O1763" s="2" t="str">
        <f>IF(Table1[[#This Row],[is_returned]]=TRUE,IF(Table1[[#This Row],[return_reason]]="","Error","OK"),"OK")</f>
        <v>OK</v>
      </c>
      <c r="P1763" s="8">
        <f>Table1[[#This Row],[original_price]]*Table1[[#This Row],[markdown_percentage]]/100</f>
        <v>13.94547</v>
      </c>
      <c r="Q176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763" s="25">
        <f>Table1[[#This Row],[current_price]]*Table1[[#This Row],[stock_quantity]]</f>
        <v>1392.6000000000001</v>
      </c>
    </row>
    <row r="1764" spans="1:18" x14ac:dyDescent="0.25">
      <c r="A1764" s="2" t="s">
        <v>1817</v>
      </c>
      <c r="B1764" s="2" t="s">
        <v>30</v>
      </c>
      <c r="C1764" s="2" t="s">
        <v>48</v>
      </c>
      <c r="D1764" s="2" t="s">
        <v>23</v>
      </c>
      <c r="E1764" s="2" t="s">
        <v>58</v>
      </c>
      <c r="F1764" s="2" t="s">
        <v>44</v>
      </c>
      <c r="G1764" s="8">
        <v>83.2</v>
      </c>
      <c r="H1764" s="11">
        <v>57.1</v>
      </c>
      <c r="I1764" s="8">
        <v>35.69</v>
      </c>
      <c r="J1764" s="3">
        <v>45875</v>
      </c>
      <c r="K1764" s="14">
        <v>10</v>
      </c>
      <c r="L1764" s="17">
        <v>3.3</v>
      </c>
      <c r="M1764" s="2" t="b">
        <v>0</v>
      </c>
      <c r="N1764" s="2"/>
      <c r="O1764" s="2" t="str">
        <f>IF(Table1[[#This Row],[is_returned]]=TRUE,IF(Table1[[#This Row],[return_reason]]="","Error","OK"),"OK")</f>
        <v>OK</v>
      </c>
      <c r="P1764" s="8">
        <f>Table1[[#This Row],[original_price]]*Table1[[#This Row],[markdown_percentage]]/100</f>
        <v>47.507200000000005</v>
      </c>
      <c r="Q176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764" s="25">
        <f>Table1[[#This Row],[current_price]]*Table1[[#This Row],[stock_quantity]]</f>
        <v>356.9</v>
      </c>
    </row>
    <row r="1765" spans="1:18" x14ac:dyDescent="0.25">
      <c r="A1765" s="2" t="s">
        <v>1818</v>
      </c>
      <c r="B1765" s="2" t="s">
        <v>15</v>
      </c>
      <c r="C1765" s="2" t="s">
        <v>22</v>
      </c>
      <c r="D1765" s="2" t="s">
        <v>62</v>
      </c>
      <c r="E1765" s="2" t="s">
        <v>39</v>
      </c>
      <c r="F1765" s="2" t="s">
        <v>64</v>
      </c>
      <c r="G1765" s="8">
        <v>204.47</v>
      </c>
      <c r="H1765" s="11">
        <v>3.6</v>
      </c>
      <c r="I1765" s="8">
        <v>197.11</v>
      </c>
      <c r="J1765" s="3">
        <v>45875</v>
      </c>
      <c r="K1765" s="14">
        <v>26</v>
      </c>
      <c r="L1765" s="17"/>
      <c r="M1765" s="2" t="b">
        <v>0</v>
      </c>
      <c r="N1765" s="2"/>
      <c r="O1765" s="2" t="str">
        <f>IF(Table1[[#This Row],[is_returned]]=TRUE,IF(Table1[[#This Row],[return_reason]]="","Error","OK"),"OK")</f>
        <v>OK</v>
      </c>
      <c r="P1765" s="8">
        <f>Table1[[#This Row],[original_price]]*Table1[[#This Row],[markdown_percentage]]/100</f>
        <v>7.3609200000000001</v>
      </c>
      <c r="Q176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765" s="25">
        <f>Table1[[#This Row],[current_price]]*Table1[[#This Row],[stock_quantity]]</f>
        <v>5124.8600000000006</v>
      </c>
    </row>
    <row r="1766" spans="1:18" x14ac:dyDescent="0.25">
      <c r="A1766" s="2" t="s">
        <v>1819</v>
      </c>
      <c r="B1766" s="2" t="s">
        <v>27</v>
      </c>
      <c r="C1766" s="2" t="s">
        <v>43</v>
      </c>
      <c r="D1766" s="2" t="s">
        <v>34</v>
      </c>
      <c r="E1766" s="2"/>
      <c r="F1766" s="2" t="s">
        <v>66</v>
      </c>
      <c r="G1766" s="8">
        <v>52.73</v>
      </c>
      <c r="H1766" s="11">
        <v>0</v>
      </c>
      <c r="I1766" s="8">
        <v>52.73</v>
      </c>
      <c r="J1766" s="3">
        <v>45875</v>
      </c>
      <c r="K1766" s="14">
        <v>42</v>
      </c>
      <c r="L1766" s="17"/>
      <c r="M1766" s="2" t="b">
        <v>0</v>
      </c>
      <c r="N1766" s="2"/>
      <c r="O1766" s="2" t="str">
        <f>IF(Table1[[#This Row],[is_returned]]=TRUE,IF(Table1[[#This Row],[return_reason]]="","Error","OK"),"OK")</f>
        <v>OK</v>
      </c>
      <c r="P1766" s="8">
        <f>Table1[[#This Row],[original_price]]*Table1[[#This Row],[markdown_percentage]]/100</f>
        <v>0</v>
      </c>
      <c r="Q176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766" s="25">
        <f>Table1[[#This Row],[current_price]]*Table1[[#This Row],[stock_quantity]]</f>
        <v>2214.66</v>
      </c>
    </row>
    <row r="1767" spans="1:18" x14ac:dyDescent="0.25">
      <c r="A1767" s="2" t="s">
        <v>1820</v>
      </c>
      <c r="B1767" s="2" t="s">
        <v>38</v>
      </c>
      <c r="C1767" s="2" t="s">
        <v>75</v>
      </c>
      <c r="D1767" s="2" t="s">
        <v>34</v>
      </c>
      <c r="E1767" s="2" t="s">
        <v>49</v>
      </c>
      <c r="F1767" s="2" t="s">
        <v>56</v>
      </c>
      <c r="G1767" s="8">
        <v>61.1</v>
      </c>
      <c r="H1767" s="11">
        <v>0</v>
      </c>
      <c r="I1767" s="8">
        <v>61.1</v>
      </c>
      <c r="J1767" s="3">
        <v>45875</v>
      </c>
      <c r="K1767" s="14">
        <v>30</v>
      </c>
      <c r="L1767" s="17">
        <v>4.5999999999999996</v>
      </c>
      <c r="M1767" s="2" t="b">
        <v>0</v>
      </c>
      <c r="N1767" s="2"/>
      <c r="O1767" s="2" t="str">
        <f>IF(Table1[[#This Row],[is_returned]]=TRUE,IF(Table1[[#This Row],[return_reason]]="","Error","OK"),"OK")</f>
        <v>OK</v>
      </c>
      <c r="P1767" s="8">
        <f>Table1[[#This Row],[original_price]]*Table1[[#This Row],[markdown_percentage]]/100</f>
        <v>0</v>
      </c>
      <c r="Q176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767" s="25">
        <f>Table1[[#This Row],[current_price]]*Table1[[#This Row],[stock_quantity]]</f>
        <v>1833</v>
      </c>
    </row>
    <row r="1768" spans="1:18" x14ac:dyDescent="0.25">
      <c r="A1768" s="2" t="s">
        <v>1821</v>
      </c>
      <c r="B1768" s="2" t="s">
        <v>15</v>
      </c>
      <c r="C1768" s="2" t="s">
        <v>16</v>
      </c>
      <c r="D1768" s="2" t="s">
        <v>62</v>
      </c>
      <c r="E1768" s="2" t="s">
        <v>39</v>
      </c>
      <c r="F1768" s="2" t="s">
        <v>40</v>
      </c>
      <c r="G1768" s="8">
        <v>227.92</v>
      </c>
      <c r="H1768" s="11">
        <v>0</v>
      </c>
      <c r="I1768" s="8">
        <v>227.92</v>
      </c>
      <c r="J1768" s="3">
        <v>45875</v>
      </c>
      <c r="K1768" s="14">
        <v>34</v>
      </c>
      <c r="L1768" s="17"/>
      <c r="M1768" s="2" t="b">
        <v>0</v>
      </c>
      <c r="N1768" s="2"/>
      <c r="O1768" s="2" t="str">
        <f>IF(Table1[[#This Row],[is_returned]]=TRUE,IF(Table1[[#This Row],[return_reason]]="","Error","OK"),"OK")</f>
        <v>OK</v>
      </c>
      <c r="P1768" s="8">
        <f>Table1[[#This Row],[original_price]]*Table1[[#This Row],[markdown_percentage]]/100</f>
        <v>0</v>
      </c>
      <c r="Q176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768" s="25">
        <f>Table1[[#This Row],[current_price]]*Table1[[#This Row],[stock_quantity]]</f>
        <v>7749.28</v>
      </c>
    </row>
    <row r="1769" spans="1:18" x14ac:dyDescent="0.25">
      <c r="A1769" s="2" t="s">
        <v>1822</v>
      </c>
      <c r="B1769" s="2" t="s">
        <v>42</v>
      </c>
      <c r="C1769" s="2" t="s">
        <v>48</v>
      </c>
      <c r="D1769" s="2" t="s">
        <v>34</v>
      </c>
      <c r="E1769" s="2" t="s">
        <v>24</v>
      </c>
      <c r="F1769" s="2" t="s">
        <v>44</v>
      </c>
      <c r="G1769" s="8">
        <v>111.55</v>
      </c>
      <c r="H1769" s="11">
        <v>0</v>
      </c>
      <c r="I1769" s="8">
        <v>111.55</v>
      </c>
      <c r="J1769" s="3">
        <v>45875</v>
      </c>
      <c r="K1769" s="14">
        <v>14</v>
      </c>
      <c r="L1769" s="17"/>
      <c r="M1769" s="2" t="b">
        <v>0</v>
      </c>
      <c r="N1769" s="2"/>
      <c r="O1769" s="2" t="str">
        <f>IF(Table1[[#This Row],[is_returned]]=TRUE,IF(Table1[[#This Row],[return_reason]]="","Error","OK"),"OK")</f>
        <v>OK</v>
      </c>
      <c r="P1769" s="8">
        <f>Table1[[#This Row],[original_price]]*Table1[[#This Row],[markdown_percentage]]/100</f>
        <v>0</v>
      </c>
      <c r="Q176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769" s="25">
        <f>Table1[[#This Row],[current_price]]*Table1[[#This Row],[stock_quantity]]</f>
        <v>1561.7</v>
      </c>
    </row>
    <row r="1770" spans="1:18" x14ac:dyDescent="0.25">
      <c r="A1770" s="2" t="s">
        <v>1823</v>
      </c>
      <c r="B1770" s="2" t="s">
        <v>38</v>
      </c>
      <c r="C1770" s="2" t="s">
        <v>75</v>
      </c>
      <c r="D1770" s="2" t="s">
        <v>34</v>
      </c>
      <c r="E1770" s="2" t="s">
        <v>55</v>
      </c>
      <c r="F1770" s="2" t="s">
        <v>25</v>
      </c>
      <c r="G1770" s="8">
        <v>29.09</v>
      </c>
      <c r="H1770" s="11">
        <v>29.6</v>
      </c>
      <c r="I1770" s="8">
        <v>20.48</v>
      </c>
      <c r="J1770" s="3">
        <v>45875</v>
      </c>
      <c r="K1770" s="14">
        <v>25</v>
      </c>
      <c r="L1770" s="17">
        <v>4.8</v>
      </c>
      <c r="M1770" s="2" t="b">
        <v>0</v>
      </c>
      <c r="N1770" s="2"/>
      <c r="O1770" s="2" t="str">
        <f>IF(Table1[[#This Row],[is_returned]]=TRUE,IF(Table1[[#This Row],[return_reason]]="","Error","OK"),"OK")</f>
        <v>OK</v>
      </c>
      <c r="P1770" s="8">
        <f>Table1[[#This Row],[original_price]]*Table1[[#This Row],[markdown_percentage]]/100</f>
        <v>8.6106400000000001</v>
      </c>
      <c r="Q177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770" s="25">
        <f>Table1[[#This Row],[current_price]]*Table1[[#This Row],[stock_quantity]]</f>
        <v>512</v>
      </c>
    </row>
    <row r="1771" spans="1:18" x14ac:dyDescent="0.25">
      <c r="A1771" s="2" t="s">
        <v>1824</v>
      </c>
      <c r="B1771" s="2" t="s">
        <v>42</v>
      </c>
      <c r="C1771" s="2" t="s">
        <v>48</v>
      </c>
      <c r="D1771" s="2" t="s">
        <v>34</v>
      </c>
      <c r="E1771" s="2" t="s">
        <v>58</v>
      </c>
      <c r="F1771" s="2" t="s">
        <v>25</v>
      </c>
      <c r="G1771" s="8">
        <v>179.71</v>
      </c>
      <c r="H1771" s="11">
        <v>0</v>
      </c>
      <c r="I1771" s="8">
        <v>179.71</v>
      </c>
      <c r="J1771" s="3">
        <v>45875</v>
      </c>
      <c r="K1771" s="14">
        <v>9</v>
      </c>
      <c r="L1771" s="17">
        <v>3.9</v>
      </c>
      <c r="M1771" s="2" t="b">
        <v>0</v>
      </c>
      <c r="N1771" s="2"/>
      <c r="O1771" s="2" t="str">
        <f>IF(Table1[[#This Row],[is_returned]]=TRUE,IF(Table1[[#This Row],[return_reason]]="","Error","OK"),"OK")</f>
        <v>OK</v>
      </c>
      <c r="P1771" s="8">
        <f>Table1[[#This Row],[original_price]]*Table1[[#This Row],[markdown_percentage]]/100</f>
        <v>0</v>
      </c>
      <c r="Q177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771" s="25">
        <f>Table1[[#This Row],[current_price]]*Table1[[#This Row],[stock_quantity]]</f>
        <v>1617.39</v>
      </c>
    </row>
    <row r="1772" spans="1:18" x14ac:dyDescent="0.25">
      <c r="A1772" s="2" t="s">
        <v>1825</v>
      </c>
      <c r="B1772" s="2" t="s">
        <v>27</v>
      </c>
      <c r="C1772" s="2" t="s">
        <v>48</v>
      </c>
      <c r="D1772" s="2" t="s">
        <v>62</v>
      </c>
      <c r="E1772" s="2"/>
      <c r="F1772" s="2" t="s">
        <v>25</v>
      </c>
      <c r="G1772" s="8">
        <v>52.76</v>
      </c>
      <c r="H1772" s="11">
        <v>39.4</v>
      </c>
      <c r="I1772" s="8">
        <v>31.97</v>
      </c>
      <c r="J1772" s="3">
        <v>45875</v>
      </c>
      <c r="K1772" s="14">
        <v>0</v>
      </c>
      <c r="L1772" s="17">
        <v>1.4</v>
      </c>
      <c r="M1772" s="2" t="b">
        <v>0</v>
      </c>
      <c r="N1772" s="2"/>
      <c r="O1772" s="2" t="str">
        <f>IF(Table1[[#This Row],[is_returned]]=TRUE,IF(Table1[[#This Row],[return_reason]]="","Error","OK"),"OK")</f>
        <v>OK</v>
      </c>
      <c r="P1772" s="8">
        <f>Table1[[#This Row],[original_price]]*Table1[[#This Row],[markdown_percentage]]/100</f>
        <v>20.787439999999997</v>
      </c>
      <c r="Q177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772" s="25">
        <f>Table1[[#This Row],[current_price]]*Table1[[#This Row],[stock_quantity]]</f>
        <v>0</v>
      </c>
    </row>
    <row r="1773" spans="1:18" x14ac:dyDescent="0.25">
      <c r="A1773" s="2" t="s">
        <v>1826</v>
      </c>
      <c r="B1773" s="2" t="s">
        <v>27</v>
      </c>
      <c r="C1773" s="2" t="s">
        <v>22</v>
      </c>
      <c r="D1773" s="2" t="s">
        <v>17</v>
      </c>
      <c r="E1773" s="2"/>
      <c r="F1773" s="2" t="s">
        <v>46</v>
      </c>
      <c r="G1773" s="8">
        <v>67.900000000000006</v>
      </c>
      <c r="H1773" s="11">
        <v>0</v>
      </c>
      <c r="I1773" s="8">
        <v>67.900000000000006</v>
      </c>
      <c r="J1773" s="3">
        <v>45657</v>
      </c>
      <c r="K1773" s="14">
        <v>1</v>
      </c>
      <c r="L1773" s="17">
        <v>1.3</v>
      </c>
      <c r="M1773" s="2" t="b">
        <v>0</v>
      </c>
      <c r="N1773" s="2"/>
      <c r="O1773" s="2" t="str">
        <f>IF(Table1[[#This Row],[is_returned]]=TRUE,IF(Table1[[#This Row],[return_reason]]="","Error","OK"),"OK")</f>
        <v>OK</v>
      </c>
      <c r="P1773" s="8">
        <f>Table1[[#This Row],[original_price]]*Table1[[#This Row],[markdown_percentage]]/100</f>
        <v>0</v>
      </c>
      <c r="Q177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773" s="25">
        <f>Table1[[#This Row],[current_price]]*Table1[[#This Row],[stock_quantity]]</f>
        <v>67.900000000000006</v>
      </c>
    </row>
    <row r="1774" spans="1:18" x14ac:dyDescent="0.25">
      <c r="A1774" s="2" t="s">
        <v>1827</v>
      </c>
      <c r="B1774" s="2" t="s">
        <v>27</v>
      </c>
      <c r="C1774" s="2" t="s">
        <v>22</v>
      </c>
      <c r="D1774" s="2" t="s">
        <v>34</v>
      </c>
      <c r="E1774" s="2"/>
      <c r="F1774" s="2" t="s">
        <v>64</v>
      </c>
      <c r="G1774" s="8">
        <v>46.77</v>
      </c>
      <c r="H1774" s="11">
        <v>40.799999999999997</v>
      </c>
      <c r="I1774" s="8">
        <v>27.69</v>
      </c>
      <c r="J1774" s="3">
        <v>45875</v>
      </c>
      <c r="K1774" s="14">
        <v>25</v>
      </c>
      <c r="L1774" s="17">
        <v>2.6</v>
      </c>
      <c r="M1774" s="2" t="b">
        <v>0</v>
      </c>
      <c r="N1774" s="2"/>
      <c r="O1774" s="2" t="str">
        <f>IF(Table1[[#This Row],[is_returned]]=TRUE,IF(Table1[[#This Row],[return_reason]]="","Error","OK"),"OK")</f>
        <v>OK</v>
      </c>
      <c r="P1774" s="8">
        <f>Table1[[#This Row],[original_price]]*Table1[[#This Row],[markdown_percentage]]/100</f>
        <v>19.082159999999998</v>
      </c>
      <c r="Q177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774" s="25">
        <f>Table1[[#This Row],[current_price]]*Table1[[#This Row],[stock_quantity]]</f>
        <v>692.25</v>
      </c>
    </row>
    <row r="1775" spans="1:18" x14ac:dyDescent="0.25">
      <c r="A1775" s="2" t="s">
        <v>1828</v>
      </c>
      <c r="B1775" s="2" t="s">
        <v>21</v>
      </c>
      <c r="C1775" s="2" t="s">
        <v>22</v>
      </c>
      <c r="D1775" s="2" t="s">
        <v>23</v>
      </c>
      <c r="E1775" s="2" t="s">
        <v>18</v>
      </c>
      <c r="F1775" s="2" t="s">
        <v>64</v>
      </c>
      <c r="G1775" s="8">
        <v>91.6</v>
      </c>
      <c r="H1775" s="11">
        <v>0</v>
      </c>
      <c r="I1775" s="8">
        <v>91.6</v>
      </c>
      <c r="J1775" s="3">
        <v>45875</v>
      </c>
      <c r="K1775" s="14">
        <v>6</v>
      </c>
      <c r="L1775" s="17">
        <v>2.7</v>
      </c>
      <c r="M1775" s="2" t="b">
        <v>0</v>
      </c>
      <c r="N1775" s="2"/>
      <c r="O1775" s="2" t="str">
        <f>IF(Table1[[#This Row],[is_returned]]=TRUE,IF(Table1[[#This Row],[return_reason]]="","Error","OK"),"OK")</f>
        <v>OK</v>
      </c>
      <c r="P1775" s="8">
        <f>Table1[[#This Row],[original_price]]*Table1[[#This Row],[markdown_percentage]]/100</f>
        <v>0</v>
      </c>
      <c r="Q177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775" s="25">
        <f>Table1[[#This Row],[current_price]]*Table1[[#This Row],[stock_quantity]]</f>
        <v>549.59999999999991</v>
      </c>
    </row>
    <row r="1776" spans="1:18" x14ac:dyDescent="0.25">
      <c r="A1776" s="2" t="s">
        <v>1829</v>
      </c>
      <c r="B1776" s="2" t="s">
        <v>15</v>
      </c>
      <c r="C1776" s="2" t="s">
        <v>22</v>
      </c>
      <c r="D1776" s="2" t="s">
        <v>17</v>
      </c>
      <c r="E1776" s="2" t="s">
        <v>55</v>
      </c>
      <c r="F1776" s="2" t="s">
        <v>25</v>
      </c>
      <c r="G1776" s="8">
        <v>230.39</v>
      </c>
      <c r="H1776" s="11">
        <v>4.2</v>
      </c>
      <c r="I1776" s="8">
        <v>220.71</v>
      </c>
      <c r="J1776" s="3">
        <v>45580</v>
      </c>
      <c r="K1776" s="14">
        <v>34</v>
      </c>
      <c r="L1776" s="17">
        <v>3.5</v>
      </c>
      <c r="M1776" s="2" t="b">
        <v>0</v>
      </c>
      <c r="N1776" s="2"/>
      <c r="O1776" s="2" t="str">
        <f>IF(Table1[[#This Row],[is_returned]]=TRUE,IF(Table1[[#This Row],[return_reason]]="","Error","OK"),"OK")</f>
        <v>OK</v>
      </c>
      <c r="P1776" s="8">
        <f>Table1[[#This Row],[original_price]]*Table1[[#This Row],[markdown_percentage]]/100</f>
        <v>9.67638</v>
      </c>
      <c r="Q177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776" s="25">
        <f>Table1[[#This Row],[current_price]]*Table1[[#This Row],[stock_quantity]]</f>
        <v>7504.14</v>
      </c>
    </row>
    <row r="1777" spans="1:18" x14ac:dyDescent="0.25">
      <c r="A1777" s="2" t="s">
        <v>1830</v>
      </c>
      <c r="B1777" s="2" t="s">
        <v>15</v>
      </c>
      <c r="C1777" s="2" t="s">
        <v>53</v>
      </c>
      <c r="D1777" s="2" t="s">
        <v>34</v>
      </c>
      <c r="E1777" s="2" t="s">
        <v>58</v>
      </c>
      <c r="F1777" s="2" t="s">
        <v>44</v>
      </c>
      <c r="G1777" s="8">
        <v>118.37</v>
      </c>
      <c r="H1777" s="11">
        <v>0</v>
      </c>
      <c r="I1777" s="8">
        <v>118.37</v>
      </c>
      <c r="J1777" s="3">
        <v>45875</v>
      </c>
      <c r="K1777" s="14">
        <v>45</v>
      </c>
      <c r="L1777" s="17"/>
      <c r="M1777" s="2" t="b">
        <v>0</v>
      </c>
      <c r="N1777" s="2"/>
      <c r="O1777" s="2" t="str">
        <f>IF(Table1[[#This Row],[is_returned]]=TRUE,IF(Table1[[#This Row],[return_reason]]="","Error","OK"),"OK")</f>
        <v>OK</v>
      </c>
      <c r="P1777" s="8">
        <f>Table1[[#This Row],[original_price]]*Table1[[#This Row],[markdown_percentage]]/100</f>
        <v>0</v>
      </c>
      <c r="Q177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777" s="25">
        <f>Table1[[#This Row],[current_price]]*Table1[[#This Row],[stock_quantity]]</f>
        <v>5326.6500000000005</v>
      </c>
    </row>
    <row r="1778" spans="1:18" x14ac:dyDescent="0.25">
      <c r="A1778" s="2" t="s">
        <v>1831</v>
      </c>
      <c r="B1778" s="2" t="s">
        <v>30</v>
      </c>
      <c r="C1778" s="2" t="s">
        <v>61</v>
      </c>
      <c r="D1778" s="2" t="s">
        <v>23</v>
      </c>
      <c r="E1778" s="2" t="s">
        <v>58</v>
      </c>
      <c r="F1778" s="2" t="s">
        <v>19</v>
      </c>
      <c r="G1778" s="8">
        <v>81.260000000000005</v>
      </c>
      <c r="H1778" s="11">
        <v>32.700000000000003</v>
      </c>
      <c r="I1778" s="8">
        <v>54.69</v>
      </c>
      <c r="J1778" s="3">
        <v>45875</v>
      </c>
      <c r="K1778" s="14">
        <v>2</v>
      </c>
      <c r="L1778" s="17">
        <v>3.3</v>
      </c>
      <c r="M1778" s="2" t="b">
        <v>0</v>
      </c>
      <c r="N1778" s="2"/>
      <c r="O1778" s="2" t="str">
        <f>IF(Table1[[#This Row],[is_returned]]=TRUE,IF(Table1[[#This Row],[return_reason]]="","Error","OK"),"OK")</f>
        <v>OK</v>
      </c>
      <c r="P1778" s="8">
        <f>Table1[[#This Row],[original_price]]*Table1[[#This Row],[markdown_percentage]]/100</f>
        <v>26.572020000000002</v>
      </c>
      <c r="Q177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778" s="25">
        <f>Table1[[#This Row],[current_price]]*Table1[[#This Row],[stock_quantity]]</f>
        <v>109.38</v>
      </c>
    </row>
    <row r="1779" spans="1:18" x14ac:dyDescent="0.25">
      <c r="A1779" s="2" t="s">
        <v>1832</v>
      </c>
      <c r="B1779" s="2" t="s">
        <v>27</v>
      </c>
      <c r="C1779" s="2" t="s">
        <v>48</v>
      </c>
      <c r="D1779" s="2" t="s">
        <v>34</v>
      </c>
      <c r="E1779" s="2"/>
      <c r="F1779" s="2" t="s">
        <v>66</v>
      </c>
      <c r="G1779" s="8">
        <v>57.21</v>
      </c>
      <c r="H1779" s="11">
        <v>18</v>
      </c>
      <c r="I1779" s="8">
        <v>46.91</v>
      </c>
      <c r="J1779" s="3">
        <v>45875</v>
      </c>
      <c r="K1779" s="14">
        <v>7</v>
      </c>
      <c r="L1779" s="17">
        <v>2.5</v>
      </c>
      <c r="M1779" s="2" t="b">
        <v>0</v>
      </c>
      <c r="N1779" s="2"/>
      <c r="O1779" s="2" t="str">
        <f>IF(Table1[[#This Row],[is_returned]]=TRUE,IF(Table1[[#This Row],[return_reason]]="","Error","OK"),"OK")</f>
        <v>OK</v>
      </c>
      <c r="P1779" s="8">
        <f>Table1[[#This Row],[original_price]]*Table1[[#This Row],[markdown_percentage]]/100</f>
        <v>10.297800000000001</v>
      </c>
      <c r="Q177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779" s="25">
        <f>Table1[[#This Row],[current_price]]*Table1[[#This Row],[stock_quantity]]</f>
        <v>328.37</v>
      </c>
    </row>
    <row r="1780" spans="1:18" x14ac:dyDescent="0.25">
      <c r="A1780" s="2" t="s">
        <v>1833</v>
      </c>
      <c r="B1780" s="2" t="s">
        <v>42</v>
      </c>
      <c r="C1780" s="2" t="s">
        <v>75</v>
      </c>
      <c r="D1780" s="2" t="s">
        <v>62</v>
      </c>
      <c r="E1780" s="2" t="s">
        <v>18</v>
      </c>
      <c r="F1780" s="2" t="s">
        <v>70</v>
      </c>
      <c r="G1780" s="8">
        <v>74.53</v>
      </c>
      <c r="H1780" s="11">
        <v>0</v>
      </c>
      <c r="I1780" s="8">
        <v>74.53</v>
      </c>
      <c r="J1780" s="3">
        <v>45875</v>
      </c>
      <c r="K1780" s="14">
        <v>9</v>
      </c>
      <c r="L1780" s="17"/>
      <c r="M1780" s="2" t="b">
        <v>0</v>
      </c>
      <c r="N1780" s="2"/>
      <c r="O1780" s="2" t="str">
        <f>IF(Table1[[#This Row],[is_returned]]=TRUE,IF(Table1[[#This Row],[return_reason]]="","Error","OK"),"OK")</f>
        <v>OK</v>
      </c>
      <c r="P1780" s="8">
        <f>Table1[[#This Row],[original_price]]*Table1[[#This Row],[markdown_percentage]]/100</f>
        <v>0</v>
      </c>
      <c r="Q178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780" s="25">
        <f>Table1[[#This Row],[current_price]]*Table1[[#This Row],[stock_quantity]]</f>
        <v>670.77</v>
      </c>
    </row>
    <row r="1781" spans="1:18" x14ac:dyDescent="0.25">
      <c r="A1781" s="2" t="s">
        <v>1834</v>
      </c>
      <c r="B1781" s="2" t="s">
        <v>42</v>
      </c>
      <c r="C1781" s="2" t="s">
        <v>32</v>
      </c>
      <c r="D1781" s="2" t="s">
        <v>62</v>
      </c>
      <c r="E1781" s="2" t="s">
        <v>58</v>
      </c>
      <c r="F1781" s="2" t="s">
        <v>19</v>
      </c>
      <c r="G1781" s="8">
        <v>69.540000000000006</v>
      </c>
      <c r="H1781" s="11">
        <v>0</v>
      </c>
      <c r="I1781" s="8">
        <v>69.540000000000006</v>
      </c>
      <c r="J1781" s="3">
        <v>45875</v>
      </c>
      <c r="K1781" s="14">
        <v>40</v>
      </c>
      <c r="L1781" s="17">
        <v>3.2</v>
      </c>
      <c r="M1781" s="2" t="b">
        <v>1</v>
      </c>
      <c r="N1781" s="2" t="s">
        <v>73</v>
      </c>
      <c r="O1781" s="2" t="str">
        <f>IF(Table1[[#This Row],[is_returned]]=TRUE,IF(Table1[[#This Row],[return_reason]]="","Error","OK"),"OK")</f>
        <v>OK</v>
      </c>
      <c r="P1781" s="8">
        <f>Table1[[#This Row],[original_price]]*Table1[[#This Row],[markdown_percentage]]/100</f>
        <v>0</v>
      </c>
      <c r="Q178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781" s="25">
        <f>Table1[[#This Row],[current_price]]*Table1[[#This Row],[stock_quantity]]</f>
        <v>2781.6000000000004</v>
      </c>
    </row>
    <row r="1782" spans="1:18" x14ac:dyDescent="0.25">
      <c r="A1782" s="2" t="s">
        <v>1835</v>
      </c>
      <c r="B1782" s="2" t="s">
        <v>42</v>
      </c>
      <c r="C1782" s="2" t="s">
        <v>53</v>
      </c>
      <c r="D1782" s="2" t="s">
        <v>62</v>
      </c>
      <c r="E1782" s="2" t="s">
        <v>18</v>
      </c>
      <c r="F1782" s="2" t="s">
        <v>70</v>
      </c>
      <c r="G1782" s="8">
        <v>102.71</v>
      </c>
      <c r="H1782" s="11">
        <v>55.9</v>
      </c>
      <c r="I1782" s="8">
        <v>45.3</v>
      </c>
      <c r="J1782" s="3">
        <v>45875</v>
      </c>
      <c r="K1782" s="14">
        <v>31</v>
      </c>
      <c r="L1782" s="17">
        <v>4.5999999999999996</v>
      </c>
      <c r="M1782" s="2" t="b">
        <v>0</v>
      </c>
      <c r="N1782" s="2"/>
      <c r="O1782" s="2" t="str">
        <f>IF(Table1[[#This Row],[is_returned]]=TRUE,IF(Table1[[#This Row],[return_reason]]="","Error","OK"),"OK")</f>
        <v>OK</v>
      </c>
      <c r="P1782" s="8">
        <f>Table1[[#This Row],[original_price]]*Table1[[#This Row],[markdown_percentage]]/100</f>
        <v>57.414889999999993</v>
      </c>
      <c r="Q178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782" s="25">
        <f>Table1[[#This Row],[current_price]]*Table1[[#This Row],[stock_quantity]]</f>
        <v>1404.3</v>
      </c>
    </row>
    <row r="1783" spans="1:18" x14ac:dyDescent="0.25">
      <c r="A1783" s="2" t="s">
        <v>1836</v>
      </c>
      <c r="B1783" s="2" t="s">
        <v>30</v>
      </c>
      <c r="C1783" s="2" t="s">
        <v>61</v>
      </c>
      <c r="D1783" s="2" t="s">
        <v>62</v>
      </c>
      <c r="E1783" s="2" t="s">
        <v>24</v>
      </c>
      <c r="F1783" s="2" t="s">
        <v>56</v>
      </c>
      <c r="G1783" s="8">
        <v>117.82</v>
      </c>
      <c r="H1783" s="11">
        <v>0</v>
      </c>
      <c r="I1783" s="8">
        <v>117.82</v>
      </c>
      <c r="J1783" s="3">
        <v>45875</v>
      </c>
      <c r="K1783" s="14">
        <v>7</v>
      </c>
      <c r="L1783" s="17">
        <v>4.9000000000000004</v>
      </c>
      <c r="M1783" s="2" t="b">
        <v>0</v>
      </c>
      <c r="N1783" s="2"/>
      <c r="O1783" s="2" t="str">
        <f>IF(Table1[[#This Row],[is_returned]]=TRUE,IF(Table1[[#This Row],[return_reason]]="","Error","OK"),"OK")</f>
        <v>OK</v>
      </c>
      <c r="P1783" s="8">
        <f>Table1[[#This Row],[original_price]]*Table1[[#This Row],[markdown_percentage]]/100</f>
        <v>0</v>
      </c>
      <c r="Q178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783" s="25">
        <f>Table1[[#This Row],[current_price]]*Table1[[#This Row],[stock_quantity]]</f>
        <v>824.74</v>
      </c>
    </row>
    <row r="1784" spans="1:18" x14ac:dyDescent="0.25">
      <c r="A1784" s="2" t="s">
        <v>1837</v>
      </c>
      <c r="B1784" s="2" t="s">
        <v>27</v>
      </c>
      <c r="C1784" s="2" t="s">
        <v>61</v>
      </c>
      <c r="D1784" s="2" t="s">
        <v>17</v>
      </c>
      <c r="E1784" s="2"/>
      <c r="F1784" s="2" t="s">
        <v>66</v>
      </c>
      <c r="G1784" s="8">
        <v>61.01</v>
      </c>
      <c r="H1784" s="11">
        <v>0</v>
      </c>
      <c r="I1784" s="8">
        <v>61.01</v>
      </c>
      <c r="J1784" s="3">
        <v>45772</v>
      </c>
      <c r="K1784" s="14">
        <v>30</v>
      </c>
      <c r="L1784" s="17">
        <v>3.4</v>
      </c>
      <c r="M1784" s="2" t="b">
        <v>0</v>
      </c>
      <c r="N1784" s="2"/>
      <c r="O1784" s="2" t="str">
        <f>IF(Table1[[#This Row],[is_returned]]=TRUE,IF(Table1[[#This Row],[return_reason]]="","Error","OK"),"OK")</f>
        <v>OK</v>
      </c>
      <c r="P1784" s="8">
        <f>Table1[[#This Row],[original_price]]*Table1[[#This Row],[markdown_percentage]]/100</f>
        <v>0</v>
      </c>
      <c r="Q178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784" s="25">
        <f>Table1[[#This Row],[current_price]]*Table1[[#This Row],[stock_quantity]]</f>
        <v>1830.3</v>
      </c>
    </row>
    <row r="1785" spans="1:18" x14ac:dyDescent="0.25">
      <c r="A1785" s="2" t="s">
        <v>1838</v>
      </c>
      <c r="B1785" s="2" t="s">
        <v>15</v>
      </c>
      <c r="C1785" s="2" t="s">
        <v>75</v>
      </c>
      <c r="D1785" s="2" t="s">
        <v>23</v>
      </c>
      <c r="E1785" s="2" t="s">
        <v>18</v>
      </c>
      <c r="F1785" s="2" t="s">
        <v>25</v>
      </c>
      <c r="G1785" s="8">
        <v>222.01</v>
      </c>
      <c r="H1785" s="11">
        <v>0</v>
      </c>
      <c r="I1785" s="8">
        <v>222.01</v>
      </c>
      <c r="J1785" s="3">
        <v>45875</v>
      </c>
      <c r="K1785" s="14">
        <v>27</v>
      </c>
      <c r="L1785" s="17">
        <v>2.1</v>
      </c>
      <c r="M1785" s="2" t="b">
        <v>0</v>
      </c>
      <c r="N1785" s="2"/>
      <c r="O1785" s="2" t="str">
        <f>IF(Table1[[#This Row],[is_returned]]=TRUE,IF(Table1[[#This Row],[return_reason]]="","Error","OK"),"OK")</f>
        <v>OK</v>
      </c>
      <c r="P1785" s="8">
        <f>Table1[[#This Row],[original_price]]*Table1[[#This Row],[markdown_percentage]]/100</f>
        <v>0</v>
      </c>
      <c r="Q178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785" s="25">
        <f>Table1[[#This Row],[current_price]]*Table1[[#This Row],[stock_quantity]]</f>
        <v>5994.2699999999995</v>
      </c>
    </row>
    <row r="1786" spans="1:18" x14ac:dyDescent="0.25">
      <c r="A1786" s="2" t="s">
        <v>1839</v>
      </c>
      <c r="B1786" s="2" t="s">
        <v>15</v>
      </c>
      <c r="C1786" s="2" t="s">
        <v>48</v>
      </c>
      <c r="D1786" s="2" t="s">
        <v>62</v>
      </c>
      <c r="E1786" s="2" t="s">
        <v>24</v>
      </c>
      <c r="F1786" s="2" t="s">
        <v>70</v>
      </c>
      <c r="G1786" s="8">
        <v>123.55</v>
      </c>
      <c r="H1786" s="11">
        <v>0</v>
      </c>
      <c r="I1786" s="8">
        <v>123.55</v>
      </c>
      <c r="J1786" s="3">
        <v>45875</v>
      </c>
      <c r="K1786" s="14">
        <v>28</v>
      </c>
      <c r="L1786" s="17">
        <v>1.2</v>
      </c>
      <c r="M1786" s="2" t="b">
        <v>0</v>
      </c>
      <c r="N1786" s="2"/>
      <c r="O1786" s="2" t="str">
        <f>IF(Table1[[#This Row],[is_returned]]=TRUE,IF(Table1[[#This Row],[return_reason]]="","Error","OK"),"OK")</f>
        <v>OK</v>
      </c>
      <c r="P1786" s="8">
        <f>Table1[[#This Row],[original_price]]*Table1[[#This Row],[markdown_percentage]]/100</f>
        <v>0</v>
      </c>
      <c r="Q178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786" s="25">
        <f>Table1[[#This Row],[current_price]]*Table1[[#This Row],[stock_quantity]]</f>
        <v>3459.4</v>
      </c>
    </row>
    <row r="1787" spans="1:18" x14ac:dyDescent="0.25">
      <c r="A1787" s="2" t="s">
        <v>1840</v>
      </c>
      <c r="B1787" s="2" t="s">
        <v>27</v>
      </c>
      <c r="C1787" s="2" t="s">
        <v>16</v>
      </c>
      <c r="D1787" s="2" t="s">
        <v>34</v>
      </c>
      <c r="E1787" s="2"/>
      <c r="F1787" s="2" t="s">
        <v>28</v>
      </c>
      <c r="G1787" s="8">
        <v>24.65</v>
      </c>
      <c r="H1787" s="11">
        <v>0</v>
      </c>
      <c r="I1787" s="8">
        <v>24.65</v>
      </c>
      <c r="J1787" s="3">
        <v>45875</v>
      </c>
      <c r="K1787" s="14">
        <v>43</v>
      </c>
      <c r="L1787" s="17">
        <v>1.1000000000000001</v>
      </c>
      <c r="M1787" s="2" t="b">
        <v>0</v>
      </c>
      <c r="N1787" s="2"/>
      <c r="O1787" s="2" t="str">
        <f>IF(Table1[[#This Row],[is_returned]]=TRUE,IF(Table1[[#This Row],[return_reason]]="","Error","OK"),"OK")</f>
        <v>OK</v>
      </c>
      <c r="P1787" s="8">
        <f>Table1[[#This Row],[original_price]]*Table1[[#This Row],[markdown_percentage]]/100</f>
        <v>0</v>
      </c>
      <c r="Q178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787" s="25">
        <f>Table1[[#This Row],[current_price]]*Table1[[#This Row],[stock_quantity]]</f>
        <v>1059.95</v>
      </c>
    </row>
    <row r="1788" spans="1:18" x14ac:dyDescent="0.25">
      <c r="A1788" s="2" t="s">
        <v>1841</v>
      </c>
      <c r="B1788" s="2" t="s">
        <v>15</v>
      </c>
      <c r="C1788" s="2" t="s">
        <v>32</v>
      </c>
      <c r="D1788" s="2" t="s">
        <v>34</v>
      </c>
      <c r="E1788" s="2" t="s">
        <v>49</v>
      </c>
      <c r="F1788" s="2" t="s">
        <v>64</v>
      </c>
      <c r="G1788" s="8">
        <v>168.8</v>
      </c>
      <c r="H1788" s="11">
        <v>0</v>
      </c>
      <c r="I1788" s="8">
        <v>168.8</v>
      </c>
      <c r="J1788" s="3">
        <v>45875</v>
      </c>
      <c r="K1788" s="14">
        <v>1</v>
      </c>
      <c r="L1788" s="17">
        <v>1</v>
      </c>
      <c r="M1788" s="2" t="b">
        <v>0</v>
      </c>
      <c r="N1788" s="2"/>
      <c r="O1788" s="2" t="str">
        <f>IF(Table1[[#This Row],[is_returned]]=TRUE,IF(Table1[[#This Row],[return_reason]]="","Error","OK"),"OK")</f>
        <v>OK</v>
      </c>
      <c r="P1788" s="8">
        <f>Table1[[#This Row],[original_price]]*Table1[[#This Row],[markdown_percentage]]/100</f>
        <v>0</v>
      </c>
      <c r="Q178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788" s="25">
        <f>Table1[[#This Row],[current_price]]*Table1[[#This Row],[stock_quantity]]</f>
        <v>168.8</v>
      </c>
    </row>
    <row r="1789" spans="1:18" x14ac:dyDescent="0.25">
      <c r="A1789" s="2" t="s">
        <v>1842</v>
      </c>
      <c r="B1789" s="2" t="s">
        <v>21</v>
      </c>
      <c r="C1789" s="2" t="s">
        <v>61</v>
      </c>
      <c r="D1789" s="2" t="s">
        <v>34</v>
      </c>
      <c r="E1789" s="2" t="s">
        <v>39</v>
      </c>
      <c r="F1789" s="2" t="s">
        <v>46</v>
      </c>
      <c r="G1789" s="8">
        <v>39.159999999999997</v>
      </c>
      <c r="H1789" s="11">
        <v>40.1</v>
      </c>
      <c r="I1789" s="8">
        <v>23.46</v>
      </c>
      <c r="J1789" s="3">
        <v>45875</v>
      </c>
      <c r="K1789" s="14">
        <v>4</v>
      </c>
      <c r="L1789" s="17">
        <v>2.8</v>
      </c>
      <c r="M1789" s="2" t="b">
        <v>0</v>
      </c>
      <c r="N1789" s="2"/>
      <c r="O1789" s="2" t="str">
        <f>IF(Table1[[#This Row],[is_returned]]=TRUE,IF(Table1[[#This Row],[return_reason]]="","Error","OK"),"OK")</f>
        <v>OK</v>
      </c>
      <c r="P1789" s="8">
        <f>Table1[[#This Row],[original_price]]*Table1[[#This Row],[markdown_percentage]]/100</f>
        <v>15.70316</v>
      </c>
      <c r="Q178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789" s="25">
        <f>Table1[[#This Row],[current_price]]*Table1[[#This Row],[stock_quantity]]</f>
        <v>93.84</v>
      </c>
    </row>
    <row r="1790" spans="1:18" x14ac:dyDescent="0.25">
      <c r="A1790" s="2" t="s">
        <v>1843</v>
      </c>
      <c r="B1790" s="2" t="s">
        <v>38</v>
      </c>
      <c r="C1790" s="2" t="s">
        <v>48</v>
      </c>
      <c r="D1790" s="2" t="s">
        <v>34</v>
      </c>
      <c r="E1790" s="2"/>
      <c r="F1790" s="2" t="s">
        <v>70</v>
      </c>
      <c r="G1790" s="8">
        <v>74.760000000000005</v>
      </c>
      <c r="H1790" s="11">
        <v>0</v>
      </c>
      <c r="I1790" s="8">
        <v>74.760000000000005</v>
      </c>
      <c r="J1790" s="3">
        <v>45875</v>
      </c>
      <c r="K1790" s="14">
        <v>50</v>
      </c>
      <c r="L1790" s="17">
        <v>4.4000000000000004</v>
      </c>
      <c r="M1790" s="2" t="b">
        <v>1</v>
      </c>
      <c r="N1790" s="2" t="s">
        <v>36</v>
      </c>
      <c r="O1790" s="2" t="str">
        <f>IF(Table1[[#This Row],[is_returned]]=TRUE,IF(Table1[[#This Row],[return_reason]]="","Error","OK"),"OK")</f>
        <v>OK</v>
      </c>
      <c r="P1790" s="8">
        <f>Table1[[#This Row],[original_price]]*Table1[[#This Row],[markdown_percentage]]/100</f>
        <v>0</v>
      </c>
      <c r="Q179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790" s="25">
        <f>Table1[[#This Row],[current_price]]*Table1[[#This Row],[stock_quantity]]</f>
        <v>3738.0000000000005</v>
      </c>
    </row>
    <row r="1791" spans="1:18" x14ac:dyDescent="0.25">
      <c r="A1791" s="2" t="s">
        <v>1844</v>
      </c>
      <c r="B1791" s="2" t="s">
        <v>27</v>
      </c>
      <c r="C1791" s="2" t="s">
        <v>61</v>
      </c>
      <c r="D1791" s="2" t="s">
        <v>23</v>
      </c>
      <c r="E1791" s="2"/>
      <c r="F1791" s="2" t="s">
        <v>64</v>
      </c>
      <c r="G1791" s="8">
        <v>37</v>
      </c>
      <c r="H1791" s="11">
        <v>0</v>
      </c>
      <c r="I1791" s="8">
        <v>37</v>
      </c>
      <c r="J1791" s="3">
        <v>45875</v>
      </c>
      <c r="K1791" s="14">
        <v>5</v>
      </c>
      <c r="L1791" s="17">
        <v>4.9000000000000004</v>
      </c>
      <c r="M1791" s="2" t="b">
        <v>0</v>
      </c>
      <c r="N1791" s="2"/>
      <c r="O1791" s="2" t="str">
        <f>IF(Table1[[#This Row],[is_returned]]=TRUE,IF(Table1[[#This Row],[return_reason]]="","Error","OK"),"OK")</f>
        <v>OK</v>
      </c>
      <c r="P1791" s="8">
        <f>Table1[[#This Row],[original_price]]*Table1[[#This Row],[markdown_percentage]]/100</f>
        <v>0</v>
      </c>
      <c r="Q179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791" s="25">
        <f>Table1[[#This Row],[current_price]]*Table1[[#This Row],[stock_quantity]]</f>
        <v>185</v>
      </c>
    </row>
    <row r="1792" spans="1:18" x14ac:dyDescent="0.25">
      <c r="A1792" s="2" t="s">
        <v>1845</v>
      </c>
      <c r="B1792" s="2" t="s">
        <v>27</v>
      </c>
      <c r="C1792" s="2" t="s">
        <v>43</v>
      </c>
      <c r="D1792" s="2" t="s">
        <v>23</v>
      </c>
      <c r="E1792" s="2"/>
      <c r="F1792" s="2" t="s">
        <v>28</v>
      </c>
      <c r="G1792" s="8">
        <v>67.38</v>
      </c>
      <c r="H1792" s="11">
        <v>0</v>
      </c>
      <c r="I1792" s="8">
        <v>67.38</v>
      </c>
      <c r="J1792" s="3">
        <v>45875</v>
      </c>
      <c r="K1792" s="14">
        <v>15</v>
      </c>
      <c r="L1792" s="17">
        <v>1.6</v>
      </c>
      <c r="M1792" s="2" t="b">
        <v>0</v>
      </c>
      <c r="N1792" s="2"/>
      <c r="O1792" s="2" t="str">
        <f>IF(Table1[[#This Row],[is_returned]]=TRUE,IF(Table1[[#This Row],[return_reason]]="","Error","OK"),"OK")</f>
        <v>OK</v>
      </c>
      <c r="P1792" s="8">
        <f>Table1[[#This Row],[original_price]]*Table1[[#This Row],[markdown_percentage]]/100</f>
        <v>0</v>
      </c>
      <c r="Q179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792" s="25">
        <f>Table1[[#This Row],[current_price]]*Table1[[#This Row],[stock_quantity]]</f>
        <v>1010.6999999999999</v>
      </c>
    </row>
    <row r="1793" spans="1:18" x14ac:dyDescent="0.25">
      <c r="A1793" s="2" t="s">
        <v>1846</v>
      </c>
      <c r="B1793" s="2" t="s">
        <v>38</v>
      </c>
      <c r="C1793" s="2" t="s">
        <v>48</v>
      </c>
      <c r="D1793" s="2" t="s">
        <v>62</v>
      </c>
      <c r="E1793" s="2" t="s">
        <v>55</v>
      </c>
      <c r="F1793" s="2" t="s">
        <v>35</v>
      </c>
      <c r="G1793" s="8">
        <v>77.44</v>
      </c>
      <c r="H1793" s="11">
        <v>1.4</v>
      </c>
      <c r="I1793" s="8">
        <v>76.36</v>
      </c>
      <c r="J1793" s="3">
        <v>45875</v>
      </c>
      <c r="K1793" s="14">
        <v>18</v>
      </c>
      <c r="L1793" s="17">
        <v>3.3</v>
      </c>
      <c r="M1793" s="2" t="b">
        <v>0</v>
      </c>
      <c r="N1793" s="2"/>
      <c r="O1793" s="2" t="str">
        <f>IF(Table1[[#This Row],[is_returned]]=TRUE,IF(Table1[[#This Row],[return_reason]]="","Error","OK"),"OK")</f>
        <v>OK</v>
      </c>
      <c r="P1793" s="8">
        <f>Table1[[#This Row],[original_price]]*Table1[[#This Row],[markdown_percentage]]/100</f>
        <v>1.08416</v>
      </c>
      <c r="Q179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793" s="25">
        <f>Table1[[#This Row],[current_price]]*Table1[[#This Row],[stock_quantity]]</f>
        <v>1374.48</v>
      </c>
    </row>
    <row r="1794" spans="1:18" x14ac:dyDescent="0.25">
      <c r="A1794" s="2" t="s">
        <v>1847</v>
      </c>
      <c r="B1794" s="2" t="s">
        <v>15</v>
      </c>
      <c r="C1794" s="2" t="s">
        <v>48</v>
      </c>
      <c r="D1794" s="2" t="s">
        <v>62</v>
      </c>
      <c r="E1794" s="2" t="s">
        <v>55</v>
      </c>
      <c r="F1794" s="2" t="s">
        <v>40</v>
      </c>
      <c r="G1794" s="8">
        <v>215.06</v>
      </c>
      <c r="H1794" s="11">
        <v>0</v>
      </c>
      <c r="I1794" s="8">
        <v>215.06</v>
      </c>
      <c r="J1794" s="3">
        <v>45875</v>
      </c>
      <c r="K1794" s="14">
        <v>50</v>
      </c>
      <c r="L1794" s="17">
        <v>1.6</v>
      </c>
      <c r="M1794" s="2" t="b">
        <v>0</v>
      </c>
      <c r="N1794" s="2"/>
      <c r="O1794" s="2" t="str">
        <f>IF(Table1[[#This Row],[is_returned]]=TRUE,IF(Table1[[#This Row],[return_reason]]="","Error","OK"),"OK")</f>
        <v>OK</v>
      </c>
      <c r="P1794" s="8">
        <f>Table1[[#This Row],[original_price]]*Table1[[#This Row],[markdown_percentage]]/100</f>
        <v>0</v>
      </c>
      <c r="Q179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794" s="25">
        <f>Table1[[#This Row],[current_price]]*Table1[[#This Row],[stock_quantity]]</f>
        <v>10753</v>
      </c>
    </row>
    <row r="1795" spans="1:18" x14ac:dyDescent="0.25">
      <c r="A1795" s="2" t="s">
        <v>1848</v>
      </c>
      <c r="B1795" s="2" t="s">
        <v>15</v>
      </c>
      <c r="C1795" s="2" t="s">
        <v>32</v>
      </c>
      <c r="D1795" s="2" t="s">
        <v>23</v>
      </c>
      <c r="E1795" s="2" t="s">
        <v>55</v>
      </c>
      <c r="F1795" s="2" t="s">
        <v>40</v>
      </c>
      <c r="G1795" s="8">
        <v>141.44</v>
      </c>
      <c r="H1795" s="11">
        <v>0</v>
      </c>
      <c r="I1795" s="8">
        <v>141.44</v>
      </c>
      <c r="J1795" s="3">
        <v>45875</v>
      </c>
      <c r="K1795" s="14">
        <v>34</v>
      </c>
      <c r="L1795" s="17">
        <v>2.4</v>
      </c>
      <c r="M1795" s="2" t="b">
        <v>0</v>
      </c>
      <c r="N1795" s="2"/>
      <c r="O1795" s="2" t="str">
        <f>IF(Table1[[#This Row],[is_returned]]=TRUE,IF(Table1[[#This Row],[return_reason]]="","Error","OK"),"OK")</f>
        <v>OK</v>
      </c>
      <c r="P1795" s="8">
        <f>Table1[[#This Row],[original_price]]*Table1[[#This Row],[markdown_percentage]]/100</f>
        <v>0</v>
      </c>
      <c r="Q179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795" s="25">
        <f>Table1[[#This Row],[current_price]]*Table1[[#This Row],[stock_quantity]]</f>
        <v>4808.96</v>
      </c>
    </row>
    <row r="1796" spans="1:18" x14ac:dyDescent="0.25">
      <c r="A1796" s="2" t="s">
        <v>1849</v>
      </c>
      <c r="B1796" s="2" t="s">
        <v>42</v>
      </c>
      <c r="C1796" s="2" t="s">
        <v>53</v>
      </c>
      <c r="D1796" s="2" t="s">
        <v>17</v>
      </c>
      <c r="E1796" s="2" t="s">
        <v>49</v>
      </c>
      <c r="F1796" s="2" t="s">
        <v>35</v>
      </c>
      <c r="G1796" s="8">
        <v>151.83000000000001</v>
      </c>
      <c r="H1796" s="11">
        <v>0</v>
      </c>
      <c r="I1796" s="8">
        <v>151.83000000000001</v>
      </c>
      <c r="J1796" s="3">
        <v>45825</v>
      </c>
      <c r="K1796" s="14">
        <v>24</v>
      </c>
      <c r="L1796" s="17">
        <v>4.3</v>
      </c>
      <c r="M1796" s="2" t="b">
        <v>1</v>
      </c>
      <c r="N1796" s="2" t="s">
        <v>125</v>
      </c>
      <c r="O1796" s="2" t="str">
        <f>IF(Table1[[#This Row],[is_returned]]=TRUE,IF(Table1[[#This Row],[return_reason]]="","Error","OK"),"OK")</f>
        <v>OK</v>
      </c>
      <c r="P1796" s="8">
        <f>Table1[[#This Row],[original_price]]*Table1[[#This Row],[markdown_percentage]]/100</f>
        <v>0</v>
      </c>
      <c r="Q179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796" s="25">
        <f>Table1[[#This Row],[current_price]]*Table1[[#This Row],[stock_quantity]]</f>
        <v>3643.92</v>
      </c>
    </row>
    <row r="1797" spans="1:18" x14ac:dyDescent="0.25">
      <c r="A1797" s="2" t="s">
        <v>1850</v>
      </c>
      <c r="B1797" s="2" t="s">
        <v>15</v>
      </c>
      <c r="C1797" s="2" t="s">
        <v>61</v>
      </c>
      <c r="D1797" s="2" t="s">
        <v>23</v>
      </c>
      <c r="E1797" s="2" t="s">
        <v>18</v>
      </c>
      <c r="F1797" s="2" t="s">
        <v>40</v>
      </c>
      <c r="G1797" s="8">
        <v>140.07</v>
      </c>
      <c r="H1797" s="11">
        <v>0</v>
      </c>
      <c r="I1797" s="8">
        <v>140.07</v>
      </c>
      <c r="J1797" s="3">
        <v>45875</v>
      </c>
      <c r="K1797" s="14">
        <v>23</v>
      </c>
      <c r="L1797" s="17">
        <v>2.7</v>
      </c>
      <c r="M1797" s="2" t="b">
        <v>0</v>
      </c>
      <c r="N1797" s="2"/>
      <c r="O1797" s="2" t="str">
        <f>IF(Table1[[#This Row],[is_returned]]=TRUE,IF(Table1[[#This Row],[return_reason]]="","Error","OK"),"OK")</f>
        <v>OK</v>
      </c>
      <c r="P1797" s="8">
        <f>Table1[[#This Row],[original_price]]*Table1[[#This Row],[markdown_percentage]]/100</f>
        <v>0</v>
      </c>
      <c r="Q179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797" s="25">
        <f>Table1[[#This Row],[current_price]]*Table1[[#This Row],[stock_quantity]]</f>
        <v>3221.6099999999997</v>
      </c>
    </row>
    <row r="1798" spans="1:18" x14ac:dyDescent="0.25">
      <c r="A1798" s="2" t="s">
        <v>1851</v>
      </c>
      <c r="B1798" s="2" t="s">
        <v>42</v>
      </c>
      <c r="C1798" s="2" t="s">
        <v>43</v>
      </c>
      <c r="D1798" s="2" t="s">
        <v>62</v>
      </c>
      <c r="E1798" s="2" t="s">
        <v>49</v>
      </c>
      <c r="F1798" s="2" t="s">
        <v>25</v>
      </c>
      <c r="G1798" s="8">
        <v>94.26</v>
      </c>
      <c r="H1798" s="11">
        <v>28.9</v>
      </c>
      <c r="I1798" s="8">
        <v>67.02</v>
      </c>
      <c r="J1798" s="3">
        <v>45875</v>
      </c>
      <c r="K1798" s="14">
        <v>44</v>
      </c>
      <c r="L1798" s="17">
        <v>3.6</v>
      </c>
      <c r="M1798" s="2" t="b">
        <v>0</v>
      </c>
      <c r="N1798" s="2"/>
      <c r="O1798" s="2" t="str">
        <f>IF(Table1[[#This Row],[is_returned]]=TRUE,IF(Table1[[#This Row],[return_reason]]="","Error","OK"),"OK")</f>
        <v>OK</v>
      </c>
      <c r="P1798" s="8">
        <f>Table1[[#This Row],[original_price]]*Table1[[#This Row],[markdown_percentage]]/100</f>
        <v>27.241140000000001</v>
      </c>
      <c r="Q179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798" s="25">
        <f>Table1[[#This Row],[current_price]]*Table1[[#This Row],[stock_quantity]]</f>
        <v>2948.8799999999997</v>
      </c>
    </row>
    <row r="1799" spans="1:18" x14ac:dyDescent="0.25">
      <c r="A1799" s="2" t="s">
        <v>1852</v>
      </c>
      <c r="B1799" s="2" t="s">
        <v>27</v>
      </c>
      <c r="C1799" s="2" t="s">
        <v>53</v>
      </c>
      <c r="D1799" s="2" t="s">
        <v>23</v>
      </c>
      <c r="E1799" s="2"/>
      <c r="F1799" s="2" t="s">
        <v>46</v>
      </c>
      <c r="G1799" s="8">
        <v>55.79</v>
      </c>
      <c r="H1799" s="11">
        <v>27.3</v>
      </c>
      <c r="I1799" s="8">
        <v>40.56</v>
      </c>
      <c r="J1799" s="3">
        <v>45875</v>
      </c>
      <c r="K1799" s="14">
        <v>39</v>
      </c>
      <c r="L1799" s="17">
        <v>4.9000000000000004</v>
      </c>
      <c r="M1799" s="2" t="b">
        <v>0</v>
      </c>
      <c r="N1799" s="2"/>
      <c r="O1799" s="2" t="str">
        <f>IF(Table1[[#This Row],[is_returned]]=TRUE,IF(Table1[[#This Row],[return_reason]]="","Error","OK"),"OK")</f>
        <v>OK</v>
      </c>
      <c r="P1799" s="8">
        <f>Table1[[#This Row],[original_price]]*Table1[[#This Row],[markdown_percentage]]/100</f>
        <v>15.23067</v>
      </c>
      <c r="Q179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799" s="25">
        <f>Table1[[#This Row],[current_price]]*Table1[[#This Row],[stock_quantity]]</f>
        <v>1581.8400000000001</v>
      </c>
    </row>
    <row r="1800" spans="1:18" x14ac:dyDescent="0.25">
      <c r="A1800" s="2" t="s">
        <v>1853</v>
      </c>
      <c r="B1800" s="2" t="s">
        <v>27</v>
      </c>
      <c r="C1800" s="2" t="s">
        <v>61</v>
      </c>
      <c r="D1800" s="2" t="s">
        <v>23</v>
      </c>
      <c r="E1800" s="2"/>
      <c r="F1800" s="2" t="s">
        <v>28</v>
      </c>
      <c r="G1800" s="8">
        <v>58.99</v>
      </c>
      <c r="H1800" s="11">
        <v>0</v>
      </c>
      <c r="I1800" s="8">
        <v>58.99</v>
      </c>
      <c r="J1800" s="3">
        <v>45875</v>
      </c>
      <c r="K1800" s="14">
        <v>50</v>
      </c>
      <c r="L1800" s="17">
        <v>2.7</v>
      </c>
      <c r="M1800" s="2" t="b">
        <v>0</v>
      </c>
      <c r="N1800" s="2"/>
      <c r="O1800" s="2" t="str">
        <f>IF(Table1[[#This Row],[is_returned]]=TRUE,IF(Table1[[#This Row],[return_reason]]="","Error","OK"),"OK")</f>
        <v>OK</v>
      </c>
      <c r="P1800" s="8">
        <f>Table1[[#This Row],[original_price]]*Table1[[#This Row],[markdown_percentage]]/100</f>
        <v>0</v>
      </c>
      <c r="Q180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800" s="25">
        <f>Table1[[#This Row],[current_price]]*Table1[[#This Row],[stock_quantity]]</f>
        <v>2949.5</v>
      </c>
    </row>
    <row r="1801" spans="1:18" x14ac:dyDescent="0.25">
      <c r="A1801" s="2" t="s">
        <v>1854</v>
      </c>
      <c r="B1801" s="2" t="s">
        <v>38</v>
      </c>
      <c r="C1801" s="2" t="s">
        <v>75</v>
      </c>
      <c r="D1801" s="2" t="s">
        <v>62</v>
      </c>
      <c r="E1801" s="2" t="s">
        <v>49</v>
      </c>
      <c r="F1801" s="2" t="s">
        <v>66</v>
      </c>
      <c r="G1801" s="8">
        <v>61.96</v>
      </c>
      <c r="H1801" s="11">
        <v>0</v>
      </c>
      <c r="I1801" s="8">
        <v>61.96</v>
      </c>
      <c r="J1801" s="3">
        <v>45875</v>
      </c>
      <c r="K1801" s="14">
        <v>13</v>
      </c>
      <c r="L1801" s="17">
        <v>3.9</v>
      </c>
      <c r="M1801" s="2" t="b">
        <v>0</v>
      </c>
      <c r="N1801" s="2"/>
      <c r="O1801" s="2" t="str">
        <f>IF(Table1[[#This Row],[is_returned]]=TRUE,IF(Table1[[#This Row],[return_reason]]="","Error","OK"),"OK")</f>
        <v>OK</v>
      </c>
      <c r="P1801" s="8">
        <f>Table1[[#This Row],[original_price]]*Table1[[#This Row],[markdown_percentage]]/100</f>
        <v>0</v>
      </c>
      <c r="Q180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801" s="25">
        <f>Table1[[#This Row],[current_price]]*Table1[[#This Row],[stock_quantity]]</f>
        <v>805.48</v>
      </c>
    </row>
    <row r="1802" spans="1:18" x14ac:dyDescent="0.25">
      <c r="A1802" s="2" t="s">
        <v>1855</v>
      </c>
      <c r="B1802" s="2" t="s">
        <v>38</v>
      </c>
      <c r="C1802" s="2" t="s">
        <v>16</v>
      </c>
      <c r="D1802" s="2" t="s">
        <v>34</v>
      </c>
      <c r="E1802" s="2" t="s">
        <v>24</v>
      </c>
      <c r="F1802" s="2" t="s">
        <v>70</v>
      </c>
      <c r="G1802" s="8">
        <v>104.25</v>
      </c>
      <c r="H1802" s="11">
        <v>0</v>
      </c>
      <c r="I1802" s="8">
        <v>104.25</v>
      </c>
      <c r="J1802" s="3">
        <v>45875</v>
      </c>
      <c r="K1802" s="14">
        <v>35</v>
      </c>
      <c r="L1802" s="17">
        <v>3.1</v>
      </c>
      <c r="M1802" s="2" t="b">
        <v>0</v>
      </c>
      <c r="N1802" s="2"/>
      <c r="O1802" s="2" t="str">
        <f>IF(Table1[[#This Row],[is_returned]]=TRUE,IF(Table1[[#This Row],[return_reason]]="","Error","OK"),"OK")</f>
        <v>OK</v>
      </c>
      <c r="P1802" s="8">
        <f>Table1[[#This Row],[original_price]]*Table1[[#This Row],[markdown_percentage]]/100</f>
        <v>0</v>
      </c>
      <c r="Q180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802" s="25">
        <f>Table1[[#This Row],[current_price]]*Table1[[#This Row],[stock_quantity]]</f>
        <v>3648.75</v>
      </c>
    </row>
    <row r="1803" spans="1:18" x14ac:dyDescent="0.25">
      <c r="A1803" s="2" t="s">
        <v>1856</v>
      </c>
      <c r="B1803" s="2" t="s">
        <v>15</v>
      </c>
      <c r="C1803" s="2" t="s">
        <v>48</v>
      </c>
      <c r="D1803" s="2" t="s">
        <v>23</v>
      </c>
      <c r="E1803" s="2" t="s">
        <v>24</v>
      </c>
      <c r="F1803" s="2" t="s">
        <v>40</v>
      </c>
      <c r="G1803" s="8">
        <v>102.68</v>
      </c>
      <c r="H1803" s="11">
        <v>0</v>
      </c>
      <c r="I1803" s="8">
        <v>102.68</v>
      </c>
      <c r="J1803" s="3">
        <v>45875</v>
      </c>
      <c r="K1803" s="14">
        <v>18</v>
      </c>
      <c r="L1803" s="17">
        <v>1.9</v>
      </c>
      <c r="M1803" s="2" t="b">
        <v>0</v>
      </c>
      <c r="N1803" s="2"/>
      <c r="O1803" s="2" t="str">
        <f>IF(Table1[[#This Row],[is_returned]]=TRUE,IF(Table1[[#This Row],[return_reason]]="","Error","OK"),"OK")</f>
        <v>OK</v>
      </c>
      <c r="P1803" s="8">
        <f>Table1[[#This Row],[original_price]]*Table1[[#This Row],[markdown_percentage]]/100</f>
        <v>0</v>
      </c>
      <c r="Q180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803" s="25">
        <f>Table1[[#This Row],[current_price]]*Table1[[#This Row],[stock_quantity]]</f>
        <v>1848.2400000000002</v>
      </c>
    </row>
    <row r="1804" spans="1:18" x14ac:dyDescent="0.25">
      <c r="A1804" s="2" t="s">
        <v>1857</v>
      </c>
      <c r="B1804" s="2" t="s">
        <v>42</v>
      </c>
      <c r="C1804" s="2" t="s">
        <v>61</v>
      </c>
      <c r="D1804" s="2" t="s">
        <v>23</v>
      </c>
      <c r="E1804" s="2" t="s">
        <v>49</v>
      </c>
      <c r="F1804" s="2" t="s">
        <v>56</v>
      </c>
      <c r="G1804" s="8">
        <v>131.05000000000001</v>
      </c>
      <c r="H1804" s="11">
        <v>32.6</v>
      </c>
      <c r="I1804" s="8">
        <v>88.33</v>
      </c>
      <c r="J1804" s="3">
        <v>45875</v>
      </c>
      <c r="K1804" s="14">
        <v>9</v>
      </c>
      <c r="L1804" s="17"/>
      <c r="M1804" s="2" t="b">
        <v>0</v>
      </c>
      <c r="N1804" s="2"/>
      <c r="O1804" s="2" t="str">
        <f>IF(Table1[[#This Row],[is_returned]]=TRUE,IF(Table1[[#This Row],[return_reason]]="","Error","OK"),"OK")</f>
        <v>OK</v>
      </c>
      <c r="P1804" s="8">
        <f>Table1[[#This Row],[original_price]]*Table1[[#This Row],[markdown_percentage]]/100</f>
        <v>42.722300000000004</v>
      </c>
      <c r="Q180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804" s="25">
        <f>Table1[[#This Row],[current_price]]*Table1[[#This Row],[stock_quantity]]</f>
        <v>794.97</v>
      </c>
    </row>
    <row r="1805" spans="1:18" x14ac:dyDescent="0.25">
      <c r="A1805" s="2" t="s">
        <v>1858</v>
      </c>
      <c r="B1805" s="2" t="s">
        <v>15</v>
      </c>
      <c r="C1805" s="2" t="s">
        <v>32</v>
      </c>
      <c r="D1805" s="2" t="s">
        <v>17</v>
      </c>
      <c r="E1805" s="2" t="s">
        <v>55</v>
      </c>
      <c r="F1805" s="2" t="s">
        <v>64</v>
      </c>
      <c r="G1805" s="8">
        <v>139.72999999999999</v>
      </c>
      <c r="H1805" s="11">
        <v>54.3</v>
      </c>
      <c r="I1805" s="8">
        <v>63.86</v>
      </c>
      <c r="J1805" s="3">
        <v>45743</v>
      </c>
      <c r="K1805" s="14">
        <v>38</v>
      </c>
      <c r="L1805" s="17"/>
      <c r="M1805" s="2" t="b">
        <v>1</v>
      </c>
      <c r="N1805" s="2" t="s">
        <v>115</v>
      </c>
      <c r="O1805" s="2" t="str">
        <f>IF(Table1[[#This Row],[is_returned]]=TRUE,IF(Table1[[#This Row],[return_reason]]="","Error","OK"),"OK")</f>
        <v>OK</v>
      </c>
      <c r="P1805" s="8">
        <f>Table1[[#This Row],[original_price]]*Table1[[#This Row],[markdown_percentage]]/100</f>
        <v>75.873389999999986</v>
      </c>
      <c r="Q180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805" s="25">
        <f>Table1[[#This Row],[current_price]]*Table1[[#This Row],[stock_quantity]]</f>
        <v>2426.6799999999998</v>
      </c>
    </row>
    <row r="1806" spans="1:18" x14ac:dyDescent="0.25">
      <c r="A1806" s="2" t="s">
        <v>1859</v>
      </c>
      <c r="B1806" s="2" t="s">
        <v>27</v>
      </c>
      <c r="C1806" s="2" t="s">
        <v>75</v>
      </c>
      <c r="D1806" s="2" t="s">
        <v>23</v>
      </c>
      <c r="E1806" s="2"/>
      <c r="F1806" s="2" t="s">
        <v>64</v>
      </c>
      <c r="G1806" s="8">
        <v>17.59</v>
      </c>
      <c r="H1806" s="11">
        <v>0</v>
      </c>
      <c r="I1806" s="8">
        <v>17.59</v>
      </c>
      <c r="J1806" s="3">
        <v>45875</v>
      </c>
      <c r="K1806" s="14">
        <v>14</v>
      </c>
      <c r="L1806" s="17"/>
      <c r="M1806" s="2" t="b">
        <v>0</v>
      </c>
      <c r="N1806" s="2"/>
      <c r="O1806" s="2" t="str">
        <f>IF(Table1[[#This Row],[is_returned]]=TRUE,IF(Table1[[#This Row],[return_reason]]="","Error","OK"),"OK")</f>
        <v>OK</v>
      </c>
      <c r="P1806" s="8">
        <f>Table1[[#This Row],[original_price]]*Table1[[#This Row],[markdown_percentage]]/100</f>
        <v>0</v>
      </c>
      <c r="Q180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806" s="25">
        <f>Table1[[#This Row],[current_price]]*Table1[[#This Row],[stock_quantity]]</f>
        <v>246.26</v>
      </c>
    </row>
    <row r="1807" spans="1:18" x14ac:dyDescent="0.25">
      <c r="A1807" s="2" t="s">
        <v>1860</v>
      </c>
      <c r="B1807" s="2" t="s">
        <v>30</v>
      </c>
      <c r="C1807" s="2" t="s">
        <v>16</v>
      </c>
      <c r="D1807" s="2" t="s">
        <v>34</v>
      </c>
      <c r="E1807" s="2" t="s">
        <v>24</v>
      </c>
      <c r="F1807" s="2" t="s">
        <v>19</v>
      </c>
      <c r="G1807" s="8">
        <v>115.09</v>
      </c>
      <c r="H1807" s="11">
        <v>0</v>
      </c>
      <c r="I1807" s="8">
        <v>115.09</v>
      </c>
      <c r="J1807" s="3">
        <v>45875</v>
      </c>
      <c r="K1807" s="14">
        <v>10</v>
      </c>
      <c r="L1807" s="17">
        <v>2.5</v>
      </c>
      <c r="M1807" s="2" t="b">
        <v>0</v>
      </c>
      <c r="N1807" s="2"/>
      <c r="O1807" s="2" t="str">
        <f>IF(Table1[[#This Row],[is_returned]]=TRUE,IF(Table1[[#This Row],[return_reason]]="","Error","OK"),"OK")</f>
        <v>OK</v>
      </c>
      <c r="P1807" s="8">
        <f>Table1[[#This Row],[original_price]]*Table1[[#This Row],[markdown_percentage]]/100</f>
        <v>0</v>
      </c>
      <c r="Q180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807" s="25">
        <f>Table1[[#This Row],[current_price]]*Table1[[#This Row],[stock_quantity]]</f>
        <v>1150.9000000000001</v>
      </c>
    </row>
    <row r="1808" spans="1:18" x14ac:dyDescent="0.25">
      <c r="A1808" s="2" t="s">
        <v>1861</v>
      </c>
      <c r="B1808" s="2" t="s">
        <v>27</v>
      </c>
      <c r="C1808" s="2" t="s">
        <v>16</v>
      </c>
      <c r="D1808" s="2" t="s">
        <v>62</v>
      </c>
      <c r="E1808" s="2"/>
      <c r="F1808" s="2" t="s">
        <v>28</v>
      </c>
      <c r="G1808" s="8">
        <v>73.75</v>
      </c>
      <c r="H1808" s="11">
        <v>0</v>
      </c>
      <c r="I1808" s="8">
        <v>73.75</v>
      </c>
      <c r="J1808" s="3">
        <v>45875</v>
      </c>
      <c r="K1808" s="14">
        <v>23</v>
      </c>
      <c r="L1808" s="17">
        <v>4.5</v>
      </c>
      <c r="M1808" s="2" t="b">
        <v>0</v>
      </c>
      <c r="N1808" s="2"/>
      <c r="O1808" s="2" t="str">
        <f>IF(Table1[[#This Row],[is_returned]]=TRUE,IF(Table1[[#This Row],[return_reason]]="","Error","OK"),"OK")</f>
        <v>OK</v>
      </c>
      <c r="P1808" s="8">
        <f>Table1[[#This Row],[original_price]]*Table1[[#This Row],[markdown_percentage]]/100</f>
        <v>0</v>
      </c>
      <c r="Q180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808" s="25">
        <f>Table1[[#This Row],[current_price]]*Table1[[#This Row],[stock_quantity]]</f>
        <v>1696.25</v>
      </c>
    </row>
    <row r="1809" spans="1:18" x14ac:dyDescent="0.25">
      <c r="A1809" s="2" t="s">
        <v>1862</v>
      </c>
      <c r="B1809" s="2" t="s">
        <v>27</v>
      </c>
      <c r="C1809" s="2" t="s">
        <v>53</v>
      </c>
      <c r="D1809" s="2" t="s">
        <v>23</v>
      </c>
      <c r="E1809" s="2"/>
      <c r="F1809" s="2" t="s">
        <v>64</v>
      </c>
      <c r="G1809" s="8">
        <v>66.77</v>
      </c>
      <c r="H1809" s="11">
        <v>0</v>
      </c>
      <c r="I1809" s="8">
        <v>66.77</v>
      </c>
      <c r="J1809" s="3">
        <v>45875</v>
      </c>
      <c r="K1809" s="14">
        <v>28</v>
      </c>
      <c r="L1809" s="17">
        <v>5</v>
      </c>
      <c r="M1809" s="2" t="b">
        <v>1</v>
      </c>
      <c r="N1809" s="2" t="s">
        <v>73</v>
      </c>
      <c r="O1809" s="2" t="str">
        <f>IF(Table1[[#This Row],[is_returned]]=TRUE,IF(Table1[[#This Row],[return_reason]]="","Error","OK"),"OK")</f>
        <v>OK</v>
      </c>
      <c r="P1809" s="8">
        <f>Table1[[#This Row],[original_price]]*Table1[[#This Row],[markdown_percentage]]/100</f>
        <v>0</v>
      </c>
      <c r="Q180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809" s="25">
        <f>Table1[[#This Row],[current_price]]*Table1[[#This Row],[stock_quantity]]</f>
        <v>1869.56</v>
      </c>
    </row>
    <row r="1810" spans="1:18" x14ac:dyDescent="0.25">
      <c r="A1810" s="2" t="s">
        <v>1863</v>
      </c>
      <c r="B1810" s="2" t="s">
        <v>21</v>
      </c>
      <c r="C1810" s="2" t="s">
        <v>48</v>
      </c>
      <c r="D1810" s="2" t="s">
        <v>34</v>
      </c>
      <c r="E1810" s="2" t="s">
        <v>24</v>
      </c>
      <c r="F1810" s="2" t="s">
        <v>35</v>
      </c>
      <c r="G1810" s="8">
        <v>63.92</v>
      </c>
      <c r="H1810" s="11">
        <v>0</v>
      </c>
      <c r="I1810" s="8">
        <v>63.92</v>
      </c>
      <c r="J1810" s="3">
        <v>45875</v>
      </c>
      <c r="K1810" s="14">
        <v>10</v>
      </c>
      <c r="L1810" s="17">
        <v>4.4000000000000004</v>
      </c>
      <c r="M1810" s="2" t="b">
        <v>0</v>
      </c>
      <c r="N1810" s="2"/>
      <c r="O1810" s="2" t="str">
        <f>IF(Table1[[#This Row],[is_returned]]=TRUE,IF(Table1[[#This Row],[return_reason]]="","Error","OK"),"OK")</f>
        <v>OK</v>
      </c>
      <c r="P1810" s="8">
        <f>Table1[[#This Row],[original_price]]*Table1[[#This Row],[markdown_percentage]]/100</f>
        <v>0</v>
      </c>
      <c r="Q181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810" s="25">
        <f>Table1[[#This Row],[current_price]]*Table1[[#This Row],[stock_quantity]]</f>
        <v>639.20000000000005</v>
      </c>
    </row>
    <row r="1811" spans="1:18" x14ac:dyDescent="0.25">
      <c r="A1811" s="2" t="s">
        <v>1864</v>
      </c>
      <c r="B1811" s="2" t="s">
        <v>27</v>
      </c>
      <c r="C1811" s="2" t="s">
        <v>48</v>
      </c>
      <c r="D1811" s="2" t="s">
        <v>34</v>
      </c>
      <c r="E1811" s="2"/>
      <c r="F1811" s="2" t="s">
        <v>46</v>
      </c>
      <c r="G1811" s="8">
        <v>26.26</v>
      </c>
      <c r="H1811" s="11">
        <v>0</v>
      </c>
      <c r="I1811" s="8">
        <v>26.26</v>
      </c>
      <c r="J1811" s="3">
        <v>45875</v>
      </c>
      <c r="K1811" s="14">
        <v>27</v>
      </c>
      <c r="L1811" s="17"/>
      <c r="M1811" s="2" t="b">
        <v>0</v>
      </c>
      <c r="N1811" s="2"/>
      <c r="O1811" s="2" t="str">
        <f>IF(Table1[[#This Row],[is_returned]]=TRUE,IF(Table1[[#This Row],[return_reason]]="","Error","OK"),"OK")</f>
        <v>OK</v>
      </c>
      <c r="P1811" s="8">
        <f>Table1[[#This Row],[original_price]]*Table1[[#This Row],[markdown_percentage]]/100</f>
        <v>0</v>
      </c>
      <c r="Q181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811" s="25">
        <f>Table1[[#This Row],[current_price]]*Table1[[#This Row],[stock_quantity]]</f>
        <v>709.0200000000001</v>
      </c>
    </row>
    <row r="1812" spans="1:18" x14ac:dyDescent="0.25">
      <c r="A1812" s="2" t="s">
        <v>1865</v>
      </c>
      <c r="B1812" s="2" t="s">
        <v>27</v>
      </c>
      <c r="C1812" s="2" t="s">
        <v>48</v>
      </c>
      <c r="D1812" s="2" t="s">
        <v>17</v>
      </c>
      <c r="E1812" s="2"/>
      <c r="F1812" s="2" t="s">
        <v>35</v>
      </c>
      <c r="G1812" s="8">
        <v>62.58</v>
      </c>
      <c r="H1812" s="11">
        <v>8.8000000000000007</v>
      </c>
      <c r="I1812" s="8">
        <v>57.07</v>
      </c>
      <c r="J1812" s="3">
        <v>45602</v>
      </c>
      <c r="K1812" s="14">
        <v>1</v>
      </c>
      <c r="L1812" s="17">
        <v>1.7</v>
      </c>
      <c r="M1812" s="2" t="b">
        <v>0</v>
      </c>
      <c r="N1812" s="2"/>
      <c r="O1812" s="2" t="str">
        <f>IF(Table1[[#This Row],[is_returned]]=TRUE,IF(Table1[[#This Row],[return_reason]]="","Error","OK"),"OK")</f>
        <v>OK</v>
      </c>
      <c r="P1812" s="8">
        <f>Table1[[#This Row],[original_price]]*Table1[[#This Row],[markdown_percentage]]/100</f>
        <v>5.5070400000000008</v>
      </c>
      <c r="Q181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812" s="25">
        <f>Table1[[#This Row],[current_price]]*Table1[[#This Row],[stock_quantity]]</f>
        <v>57.07</v>
      </c>
    </row>
    <row r="1813" spans="1:18" x14ac:dyDescent="0.25">
      <c r="A1813" s="2" t="s">
        <v>1866</v>
      </c>
      <c r="B1813" s="2" t="s">
        <v>30</v>
      </c>
      <c r="C1813" s="2" t="s">
        <v>32</v>
      </c>
      <c r="D1813" s="2" t="s">
        <v>62</v>
      </c>
      <c r="E1813" s="2" t="s">
        <v>39</v>
      </c>
      <c r="F1813" s="2" t="s">
        <v>46</v>
      </c>
      <c r="G1813" s="8">
        <v>143.88</v>
      </c>
      <c r="H1813" s="11">
        <v>0</v>
      </c>
      <c r="I1813" s="8">
        <v>143.88</v>
      </c>
      <c r="J1813" s="3">
        <v>45875</v>
      </c>
      <c r="K1813" s="14">
        <v>1</v>
      </c>
      <c r="L1813" s="17">
        <v>3.1</v>
      </c>
      <c r="M1813" s="2" t="b">
        <v>0</v>
      </c>
      <c r="N1813" s="2"/>
      <c r="O1813" s="2" t="str">
        <f>IF(Table1[[#This Row],[is_returned]]=TRUE,IF(Table1[[#This Row],[return_reason]]="","Error","OK"),"OK")</f>
        <v>OK</v>
      </c>
      <c r="P1813" s="8">
        <f>Table1[[#This Row],[original_price]]*Table1[[#This Row],[markdown_percentage]]/100</f>
        <v>0</v>
      </c>
      <c r="Q181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813" s="25">
        <f>Table1[[#This Row],[current_price]]*Table1[[#This Row],[stock_quantity]]</f>
        <v>143.88</v>
      </c>
    </row>
    <row r="1814" spans="1:18" x14ac:dyDescent="0.25">
      <c r="A1814" s="2" t="s">
        <v>1867</v>
      </c>
      <c r="B1814" s="2" t="s">
        <v>15</v>
      </c>
      <c r="C1814" s="2" t="s">
        <v>16</v>
      </c>
      <c r="D1814" s="2" t="s">
        <v>17</v>
      </c>
      <c r="E1814" s="2" t="s">
        <v>18</v>
      </c>
      <c r="F1814" s="2" t="s">
        <v>44</v>
      </c>
      <c r="G1814" s="8">
        <v>226.24</v>
      </c>
      <c r="H1814" s="11">
        <v>1.2</v>
      </c>
      <c r="I1814" s="8">
        <v>223.53</v>
      </c>
      <c r="J1814" s="3">
        <v>45708</v>
      </c>
      <c r="K1814" s="14">
        <v>24</v>
      </c>
      <c r="L1814" s="17">
        <v>4.5</v>
      </c>
      <c r="M1814" s="2" t="b">
        <v>0</v>
      </c>
      <c r="N1814" s="2"/>
      <c r="O1814" s="2" t="str">
        <f>IF(Table1[[#This Row],[is_returned]]=TRUE,IF(Table1[[#This Row],[return_reason]]="","Error","OK"),"OK")</f>
        <v>OK</v>
      </c>
      <c r="P1814" s="8">
        <f>Table1[[#This Row],[original_price]]*Table1[[#This Row],[markdown_percentage]]/100</f>
        <v>2.71488</v>
      </c>
      <c r="Q181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814" s="25">
        <f>Table1[[#This Row],[current_price]]*Table1[[#This Row],[stock_quantity]]</f>
        <v>5364.72</v>
      </c>
    </row>
    <row r="1815" spans="1:18" x14ac:dyDescent="0.25">
      <c r="A1815" s="2" t="s">
        <v>1868</v>
      </c>
      <c r="B1815" s="2" t="s">
        <v>30</v>
      </c>
      <c r="C1815" s="2" t="s">
        <v>61</v>
      </c>
      <c r="D1815" s="2" t="s">
        <v>17</v>
      </c>
      <c r="E1815" s="2" t="s">
        <v>49</v>
      </c>
      <c r="F1815" s="2" t="s">
        <v>28</v>
      </c>
      <c r="G1815" s="8">
        <v>164.75</v>
      </c>
      <c r="H1815" s="11">
        <v>0</v>
      </c>
      <c r="I1815" s="8">
        <v>164.75</v>
      </c>
      <c r="J1815" s="3">
        <v>45779</v>
      </c>
      <c r="K1815" s="14">
        <v>8</v>
      </c>
      <c r="L1815" s="17">
        <v>3.7</v>
      </c>
      <c r="M1815" s="2" t="b">
        <v>0</v>
      </c>
      <c r="N1815" s="2"/>
      <c r="O1815" s="2" t="str">
        <f>IF(Table1[[#This Row],[is_returned]]=TRUE,IF(Table1[[#This Row],[return_reason]]="","Error","OK"),"OK")</f>
        <v>OK</v>
      </c>
      <c r="P1815" s="8">
        <f>Table1[[#This Row],[original_price]]*Table1[[#This Row],[markdown_percentage]]/100</f>
        <v>0</v>
      </c>
      <c r="Q181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815" s="25">
        <f>Table1[[#This Row],[current_price]]*Table1[[#This Row],[stock_quantity]]</f>
        <v>1318</v>
      </c>
    </row>
    <row r="1816" spans="1:18" x14ac:dyDescent="0.25">
      <c r="A1816" s="2" t="s">
        <v>1869</v>
      </c>
      <c r="B1816" s="2" t="s">
        <v>38</v>
      </c>
      <c r="C1816" s="2" t="s">
        <v>16</v>
      </c>
      <c r="D1816" s="2" t="s">
        <v>62</v>
      </c>
      <c r="E1816" s="2" t="s">
        <v>24</v>
      </c>
      <c r="F1816" s="2" t="s">
        <v>64</v>
      </c>
      <c r="G1816" s="8">
        <v>56.14</v>
      </c>
      <c r="H1816" s="11">
        <v>0</v>
      </c>
      <c r="I1816" s="8">
        <v>56.14</v>
      </c>
      <c r="J1816" s="3">
        <v>45875</v>
      </c>
      <c r="K1816" s="14">
        <v>16</v>
      </c>
      <c r="L1816" s="17">
        <v>4.3</v>
      </c>
      <c r="M1816" s="2" t="b">
        <v>0</v>
      </c>
      <c r="N1816" s="2"/>
      <c r="O1816" s="2" t="str">
        <f>IF(Table1[[#This Row],[is_returned]]=TRUE,IF(Table1[[#This Row],[return_reason]]="","Error","OK"),"OK")</f>
        <v>OK</v>
      </c>
      <c r="P1816" s="8">
        <f>Table1[[#This Row],[original_price]]*Table1[[#This Row],[markdown_percentage]]/100</f>
        <v>0</v>
      </c>
      <c r="Q181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816" s="25">
        <f>Table1[[#This Row],[current_price]]*Table1[[#This Row],[stock_quantity]]</f>
        <v>898.24</v>
      </c>
    </row>
    <row r="1817" spans="1:18" x14ac:dyDescent="0.25">
      <c r="A1817" s="2" t="s">
        <v>1870</v>
      </c>
      <c r="B1817" s="2" t="s">
        <v>27</v>
      </c>
      <c r="C1817" s="2" t="s">
        <v>48</v>
      </c>
      <c r="D1817" s="2" t="s">
        <v>23</v>
      </c>
      <c r="E1817" s="2"/>
      <c r="F1817" s="2" t="s">
        <v>19</v>
      </c>
      <c r="G1817" s="8">
        <v>39.96</v>
      </c>
      <c r="H1817" s="11">
        <v>0</v>
      </c>
      <c r="I1817" s="8">
        <v>39.96</v>
      </c>
      <c r="J1817" s="3">
        <v>45875</v>
      </c>
      <c r="K1817" s="14">
        <v>49</v>
      </c>
      <c r="L1817" s="17"/>
      <c r="M1817" s="2" t="b">
        <v>0</v>
      </c>
      <c r="N1817" s="2"/>
      <c r="O1817" s="2" t="str">
        <f>IF(Table1[[#This Row],[is_returned]]=TRUE,IF(Table1[[#This Row],[return_reason]]="","Error","OK"),"OK")</f>
        <v>OK</v>
      </c>
      <c r="P1817" s="8">
        <f>Table1[[#This Row],[original_price]]*Table1[[#This Row],[markdown_percentage]]/100</f>
        <v>0</v>
      </c>
      <c r="Q181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817" s="25">
        <f>Table1[[#This Row],[current_price]]*Table1[[#This Row],[stock_quantity]]</f>
        <v>1958.04</v>
      </c>
    </row>
    <row r="1818" spans="1:18" x14ac:dyDescent="0.25">
      <c r="A1818" s="2" t="s">
        <v>1871</v>
      </c>
      <c r="B1818" s="2" t="s">
        <v>38</v>
      </c>
      <c r="C1818" s="2" t="s">
        <v>53</v>
      </c>
      <c r="D1818" s="2" t="s">
        <v>62</v>
      </c>
      <c r="E1818" s="2" t="s">
        <v>24</v>
      </c>
      <c r="F1818" s="2" t="s">
        <v>64</v>
      </c>
      <c r="G1818" s="8">
        <v>26.5</v>
      </c>
      <c r="H1818" s="11">
        <v>57.9</v>
      </c>
      <c r="I1818" s="8">
        <v>11.16</v>
      </c>
      <c r="J1818" s="3">
        <v>45875</v>
      </c>
      <c r="K1818" s="14">
        <v>8</v>
      </c>
      <c r="L1818" s="17">
        <v>1.7</v>
      </c>
      <c r="M1818" s="2" t="b">
        <v>0</v>
      </c>
      <c r="N1818" s="2"/>
      <c r="O1818" s="2" t="str">
        <f>IF(Table1[[#This Row],[is_returned]]=TRUE,IF(Table1[[#This Row],[return_reason]]="","Error","OK"),"OK")</f>
        <v>OK</v>
      </c>
      <c r="P1818" s="8">
        <f>Table1[[#This Row],[original_price]]*Table1[[#This Row],[markdown_percentage]]/100</f>
        <v>15.343499999999999</v>
      </c>
      <c r="Q181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818" s="25">
        <f>Table1[[#This Row],[current_price]]*Table1[[#This Row],[stock_quantity]]</f>
        <v>89.28</v>
      </c>
    </row>
    <row r="1819" spans="1:18" x14ac:dyDescent="0.25">
      <c r="A1819" s="2" t="s">
        <v>1872</v>
      </c>
      <c r="B1819" s="2" t="s">
        <v>30</v>
      </c>
      <c r="C1819" s="2" t="s">
        <v>48</v>
      </c>
      <c r="D1819" s="2" t="s">
        <v>17</v>
      </c>
      <c r="E1819" s="2" t="s">
        <v>49</v>
      </c>
      <c r="F1819" s="2" t="s">
        <v>70</v>
      </c>
      <c r="G1819" s="8">
        <v>118.53</v>
      </c>
      <c r="H1819" s="11">
        <v>55</v>
      </c>
      <c r="I1819" s="8">
        <v>53.34</v>
      </c>
      <c r="J1819" s="3">
        <v>45772</v>
      </c>
      <c r="K1819" s="14">
        <v>2</v>
      </c>
      <c r="L1819" s="17">
        <v>4.9000000000000004</v>
      </c>
      <c r="M1819" s="2" t="b">
        <v>0</v>
      </c>
      <c r="N1819" s="2"/>
      <c r="O1819" s="2" t="str">
        <f>IF(Table1[[#This Row],[is_returned]]=TRUE,IF(Table1[[#This Row],[return_reason]]="","Error","OK"),"OK")</f>
        <v>OK</v>
      </c>
      <c r="P1819" s="8">
        <f>Table1[[#This Row],[original_price]]*Table1[[#This Row],[markdown_percentage]]/100</f>
        <v>65.191499999999991</v>
      </c>
      <c r="Q181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819" s="25">
        <f>Table1[[#This Row],[current_price]]*Table1[[#This Row],[stock_quantity]]</f>
        <v>106.68</v>
      </c>
    </row>
    <row r="1820" spans="1:18" x14ac:dyDescent="0.25">
      <c r="A1820" s="2" t="s">
        <v>1873</v>
      </c>
      <c r="B1820" s="2" t="s">
        <v>42</v>
      </c>
      <c r="C1820" s="2" t="s">
        <v>43</v>
      </c>
      <c r="D1820" s="2" t="s">
        <v>62</v>
      </c>
      <c r="E1820" s="2" t="s">
        <v>18</v>
      </c>
      <c r="F1820" s="2" t="s">
        <v>66</v>
      </c>
      <c r="G1820" s="8">
        <v>58.08</v>
      </c>
      <c r="H1820" s="11">
        <v>0</v>
      </c>
      <c r="I1820" s="8">
        <v>58.08</v>
      </c>
      <c r="J1820" s="3">
        <v>45875</v>
      </c>
      <c r="K1820" s="14">
        <v>42</v>
      </c>
      <c r="L1820" s="17">
        <v>1.6</v>
      </c>
      <c r="M1820" s="2" t="b">
        <v>0</v>
      </c>
      <c r="N1820" s="2"/>
      <c r="O1820" s="2" t="str">
        <f>IF(Table1[[#This Row],[is_returned]]=TRUE,IF(Table1[[#This Row],[return_reason]]="","Error","OK"),"OK")</f>
        <v>OK</v>
      </c>
      <c r="P1820" s="8">
        <f>Table1[[#This Row],[original_price]]*Table1[[#This Row],[markdown_percentage]]/100</f>
        <v>0</v>
      </c>
      <c r="Q182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820" s="25">
        <f>Table1[[#This Row],[current_price]]*Table1[[#This Row],[stock_quantity]]</f>
        <v>2439.36</v>
      </c>
    </row>
    <row r="1821" spans="1:18" x14ac:dyDescent="0.25">
      <c r="A1821" s="2" t="s">
        <v>1874</v>
      </c>
      <c r="B1821" s="2" t="s">
        <v>30</v>
      </c>
      <c r="C1821" s="2" t="s">
        <v>48</v>
      </c>
      <c r="D1821" s="2" t="s">
        <v>62</v>
      </c>
      <c r="E1821" s="2" t="s">
        <v>39</v>
      </c>
      <c r="F1821" s="2" t="s">
        <v>64</v>
      </c>
      <c r="G1821" s="8">
        <v>138.85</v>
      </c>
      <c r="H1821" s="11">
        <v>15</v>
      </c>
      <c r="I1821" s="8">
        <v>118.02</v>
      </c>
      <c r="J1821" s="3">
        <v>45875</v>
      </c>
      <c r="K1821" s="14">
        <v>17</v>
      </c>
      <c r="L1821" s="17"/>
      <c r="M1821" s="2" t="b">
        <v>0</v>
      </c>
      <c r="N1821" s="2"/>
      <c r="O1821" s="2" t="str">
        <f>IF(Table1[[#This Row],[is_returned]]=TRUE,IF(Table1[[#This Row],[return_reason]]="","Error","OK"),"OK")</f>
        <v>OK</v>
      </c>
      <c r="P1821" s="8">
        <f>Table1[[#This Row],[original_price]]*Table1[[#This Row],[markdown_percentage]]/100</f>
        <v>20.827500000000001</v>
      </c>
      <c r="Q182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821" s="25">
        <f>Table1[[#This Row],[current_price]]*Table1[[#This Row],[stock_quantity]]</f>
        <v>2006.34</v>
      </c>
    </row>
    <row r="1822" spans="1:18" x14ac:dyDescent="0.25">
      <c r="A1822" s="2" t="s">
        <v>1875</v>
      </c>
      <c r="B1822" s="2" t="s">
        <v>38</v>
      </c>
      <c r="C1822" s="2" t="s">
        <v>32</v>
      </c>
      <c r="D1822" s="2" t="s">
        <v>62</v>
      </c>
      <c r="E1822" s="2" t="s">
        <v>55</v>
      </c>
      <c r="F1822" s="2" t="s">
        <v>40</v>
      </c>
      <c r="G1822" s="8">
        <v>73.33</v>
      </c>
      <c r="H1822" s="11">
        <v>0</v>
      </c>
      <c r="I1822" s="8">
        <v>73.33</v>
      </c>
      <c r="J1822" s="3">
        <v>45875</v>
      </c>
      <c r="K1822" s="14">
        <v>3</v>
      </c>
      <c r="L1822" s="17">
        <v>3.1</v>
      </c>
      <c r="M1822" s="2" t="b">
        <v>1</v>
      </c>
      <c r="N1822" s="2" t="s">
        <v>115</v>
      </c>
      <c r="O1822" s="2" t="str">
        <f>IF(Table1[[#This Row],[is_returned]]=TRUE,IF(Table1[[#This Row],[return_reason]]="","Error","OK"),"OK")</f>
        <v>OK</v>
      </c>
      <c r="P1822" s="8">
        <f>Table1[[#This Row],[original_price]]*Table1[[#This Row],[markdown_percentage]]/100</f>
        <v>0</v>
      </c>
      <c r="Q182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822" s="25">
        <f>Table1[[#This Row],[current_price]]*Table1[[#This Row],[stock_quantity]]</f>
        <v>219.99</v>
      </c>
    </row>
    <row r="1823" spans="1:18" x14ac:dyDescent="0.25">
      <c r="A1823" s="2" t="s">
        <v>1876</v>
      </c>
      <c r="B1823" s="2" t="s">
        <v>15</v>
      </c>
      <c r="C1823" s="2" t="s">
        <v>75</v>
      </c>
      <c r="D1823" s="2" t="s">
        <v>23</v>
      </c>
      <c r="E1823" s="2" t="s">
        <v>39</v>
      </c>
      <c r="F1823" s="2" t="s">
        <v>46</v>
      </c>
      <c r="G1823" s="8">
        <v>167.73</v>
      </c>
      <c r="H1823" s="11">
        <v>0</v>
      </c>
      <c r="I1823" s="8">
        <v>167.73</v>
      </c>
      <c r="J1823" s="3">
        <v>45875</v>
      </c>
      <c r="K1823" s="14">
        <v>4</v>
      </c>
      <c r="L1823" s="17">
        <v>4.9000000000000004</v>
      </c>
      <c r="M1823" s="2" t="b">
        <v>0</v>
      </c>
      <c r="N1823" s="2"/>
      <c r="O1823" s="2" t="str">
        <f>IF(Table1[[#This Row],[is_returned]]=TRUE,IF(Table1[[#This Row],[return_reason]]="","Error","OK"),"OK")</f>
        <v>OK</v>
      </c>
      <c r="P1823" s="8">
        <f>Table1[[#This Row],[original_price]]*Table1[[#This Row],[markdown_percentage]]/100</f>
        <v>0</v>
      </c>
      <c r="Q182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823" s="25">
        <f>Table1[[#This Row],[current_price]]*Table1[[#This Row],[stock_quantity]]</f>
        <v>670.92</v>
      </c>
    </row>
    <row r="1824" spans="1:18" x14ac:dyDescent="0.25">
      <c r="A1824" s="2" t="s">
        <v>1877</v>
      </c>
      <c r="B1824" s="2" t="s">
        <v>21</v>
      </c>
      <c r="C1824" s="2" t="s">
        <v>48</v>
      </c>
      <c r="D1824" s="2" t="s">
        <v>23</v>
      </c>
      <c r="E1824" s="2" t="s">
        <v>49</v>
      </c>
      <c r="F1824" s="2" t="s">
        <v>28</v>
      </c>
      <c r="G1824" s="8">
        <v>79.47</v>
      </c>
      <c r="H1824" s="11">
        <v>0</v>
      </c>
      <c r="I1824" s="8">
        <v>79.47</v>
      </c>
      <c r="J1824" s="3">
        <v>45875</v>
      </c>
      <c r="K1824" s="14">
        <v>31</v>
      </c>
      <c r="L1824" s="17">
        <v>3.7</v>
      </c>
      <c r="M1824" s="2" t="b">
        <v>0</v>
      </c>
      <c r="N1824" s="2"/>
      <c r="O1824" s="2" t="str">
        <f>IF(Table1[[#This Row],[is_returned]]=TRUE,IF(Table1[[#This Row],[return_reason]]="","Error","OK"),"OK")</f>
        <v>OK</v>
      </c>
      <c r="P1824" s="8">
        <f>Table1[[#This Row],[original_price]]*Table1[[#This Row],[markdown_percentage]]/100</f>
        <v>0</v>
      </c>
      <c r="Q182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824" s="25">
        <f>Table1[[#This Row],[current_price]]*Table1[[#This Row],[stock_quantity]]</f>
        <v>2463.5700000000002</v>
      </c>
    </row>
    <row r="1825" spans="1:18" x14ac:dyDescent="0.25">
      <c r="A1825" s="2" t="s">
        <v>1878</v>
      </c>
      <c r="B1825" s="2" t="s">
        <v>42</v>
      </c>
      <c r="C1825" s="2" t="s">
        <v>75</v>
      </c>
      <c r="D1825" s="2" t="s">
        <v>62</v>
      </c>
      <c r="E1825" s="2" t="s">
        <v>18</v>
      </c>
      <c r="F1825" s="2" t="s">
        <v>35</v>
      </c>
      <c r="G1825" s="8">
        <v>69.12</v>
      </c>
      <c r="H1825" s="11">
        <v>49.4</v>
      </c>
      <c r="I1825" s="8">
        <v>34.97</v>
      </c>
      <c r="J1825" s="3">
        <v>45875</v>
      </c>
      <c r="K1825" s="14">
        <v>45</v>
      </c>
      <c r="L1825" s="17">
        <v>2.2999999999999998</v>
      </c>
      <c r="M1825" s="2" t="b">
        <v>0</v>
      </c>
      <c r="N1825" s="2"/>
      <c r="O1825" s="2" t="str">
        <f>IF(Table1[[#This Row],[is_returned]]=TRUE,IF(Table1[[#This Row],[return_reason]]="","Error","OK"),"OK")</f>
        <v>OK</v>
      </c>
      <c r="P1825" s="8">
        <f>Table1[[#This Row],[original_price]]*Table1[[#This Row],[markdown_percentage]]/100</f>
        <v>34.14528</v>
      </c>
      <c r="Q182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825" s="25">
        <f>Table1[[#This Row],[current_price]]*Table1[[#This Row],[stock_quantity]]</f>
        <v>1573.6499999999999</v>
      </c>
    </row>
    <row r="1826" spans="1:18" x14ac:dyDescent="0.25">
      <c r="A1826" s="2" t="s">
        <v>1879</v>
      </c>
      <c r="B1826" s="2" t="s">
        <v>38</v>
      </c>
      <c r="C1826" s="2" t="s">
        <v>43</v>
      </c>
      <c r="D1826" s="2" t="s">
        <v>62</v>
      </c>
      <c r="E1826" s="2" t="s">
        <v>39</v>
      </c>
      <c r="F1826" s="2" t="s">
        <v>66</v>
      </c>
      <c r="G1826" s="8">
        <v>56.18</v>
      </c>
      <c r="H1826" s="11">
        <v>6.7</v>
      </c>
      <c r="I1826" s="8">
        <v>52.42</v>
      </c>
      <c r="J1826" s="3">
        <v>45875</v>
      </c>
      <c r="K1826" s="14">
        <v>35</v>
      </c>
      <c r="L1826" s="17">
        <v>2.6</v>
      </c>
      <c r="M1826" s="2" t="b">
        <v>1</v>
      </c>
      <c r="N1826" s="2" t="s">
        <v>115</v>
      </c>
      <c r="O1826" s="2" t="str">
        <f>IF(Table1[[#This Row],[is_returned]]=TRUE,IF(Table1[[#This Row],[return_reason]]="","Error","OK"),"OK")</f>
        <v>OK</v>
      </c>
      <c r="P1826" s="8">
        <f>Table1[[#This Row],[original_price]]*Table1[[#This Row],[markdown_percentage]]/100</f>
        <v>3.7640600000000002</v>
      </c>
      <c r="Q182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826" s="25">
        <f>Table1[[#This Row],[current_price]]*Table1[[#This Row],[stock_quantity]]</f>
        <v>1834.7</v>
      </c>
    </row>
    <row r="1827" spans="1:18" x14ac:dyDescent="0.25">
      <c r="A1827" s="2" t="s">
        <v>1880</v>
      </c>
      <c r="B1827" s="2" t="s">
        <v>21</v>
      </c>
      <c r="C1827" s="2" t="s">
        <v>61</v>
      </c>
      <c r="D1827" s="2" t="s">
        <v>23</v>
      </c>
      <c r="E1827" s="2" t="s">
        <v>55</v>
      </c>
      <c r="F1827" s="2" t="s">
        <v>40</v>
      </c>
      <c r="G1827" s="8">
        <v>51.28</v>
      </c>
      <c r="H1827" s="11">
        <v>48.3</v>
      </c>
      <c r="I1827" s="8">
        <v>26.51</v>
      </c>
      <c r="J1827" s="3">
        <v>45875</v>
      </c>
      <c r="K1827" s="14">
        <v>9</v>
      </c>
      <c r="L1827" s="17">
        <v>1.1000000000000001</v>
      </c>
      <c r="M1827" s="2" t="b">
        <v>1</v>
      </c>
      <c r="N1827" s="2" t="s">
        <v>115</v>
      </c>
      <c r="O1827" s="2" t="str">
        <f>IF(Table1[[#This Row],[is_returned]]=TRUE,IF(Table1[[#This Row],[return_reason]]="","Error","OK"),"OK")</f>
        <v>OK</v>
      </c>
      <c r="P1827" s="8">
        <f>Table1[[#This Row],[original_price]]*Table1[[#This Row],[markdown_percentage]]/100</f>
        <v>24.768240000000002</v>
      </c>
      <c r="Q182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827" s="25">
        <f>Table1[[#This Row],[current_price]]*Table1[[#This Row],[stock_quantity]]</f>
        <v>238.59</v>
      </c>
    </row>
    <row r="1828" spans="1:18" x14ac:dyDescent="0.25">
      <c r="A1828" s="2" t="s">
        <v>1881</v>
      </c>
      <c r="B1828" s="2" t="s">
        <v>15</v>
      </c>
      <c r="C1828" s="2" t="s">
        <v>61</v>
      </c>
      <c r="D1828" s="2" t="s">
        <v>17</v>
      </c>
      <c r="E1828" s="2"/>
      <c r="F1828" s="2" t="s">
        <v>46</v>
      </c>
      <c r="G1828" s="8">
        <v>111.73</v>
      </c>
      <c r="H1828" s="11">
        <v>16.8</v>
      </c>
      <c r="I1828" s="8">
        <v>92.96</v>
      </c>
      <c r="J1828" s="3">
        <v>45806</v>
      </c>
      <c r="K1828" s="14">
        <v>41</v>
      </c>
      <c r="L1828" s="17">
        <v>1.2</v>
      </c>
      <c r="M1828" s="2" t="b">
        <v>0</v>
      </c>
      <c r="N1828" s="2"/>
      <c r="O1828" s="2" t="str">
        <f>IF(Table1[[#This Row],[is_returned]]=TRUE,IF(Table1[[#This Row],[return_reason]]="","Error","OK"),"OK")</f>
        <v>OK</v>
      </c>
      <c r="P1828" s="8">
        <f>Table1[[#This Row],[original_price]]*Table1[[#This Row],[markdown_percentage]]/100</f>
        <v>18.77064</v>
      </c>
      <c r="Q182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828" s="25">
        <f>Table1[[#This Row],[current_price]]*Table1[[#This Row],[stock_quantity]]</f>
        <v>3811.3599999999997</v>
      </c>
    </row>
    <row r="1829" spans="1:18" x14ac:dyDescent="0.25">
      <c r="A1829" s="2" t="s">
        <v>1882</v>
      </c>
      <c r="B1829" s="2" t="s">
        <v>38</v>
      </c>
      <c r="C1829" s="2" t="s">
        <v>53</v>
      </c>
      <c r="D1829" s="2" t="s">
        <v>34</v>
      </c>
      <c r="E1829" s="2" t="s">
        <v>49</v>
      </c>
      <c r="F1829" s="2" t="s">
        <v>40</v>
      </c>
      <c r="G1829" s="8">
        <v>49.08</v>
      </c>
      <c r="H1829" s="11">
        <v>19.899999999999999</v>
      </c>
      <c r="I1829" s="8">
        <v>39.31</v>
      </c>
      <c r="J1829" s="3">
        <v>45875</v>
      </c>
      <c r="K1829" s="14">
        <v>46</v>
      </c>
      <c r="L1829" s="17">
        <v>1</v>
      </c>
      <c r="M1829" s="2" t="b">
        <v>1</v>
      </c>
      <c r="N1829" s="2" t="s">
        <v>115</v>
      </c>
      <c r="O1829" s="2" t="str">
        <f>IF(Table1[[#This Row],[is_returned]]=TRUE,IF(Table1[[#This Row],[return_reason]]="","Error","OK"),"OK")</f>
        <v>OK</v>
      </c>
      <c r="P1829" s="8">
        <f>Table1[[#This Row],[original_price]]*Table1[[#This Row],[markdown_percentage]]/100</f>
        <v>9.7669199999999989</v>
      </c>
      <c r="Q182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829" s="25">
        <f>Table1[[#This Row],[current_price]]*Table1[[#This Row],[stock_quantity]]</f>
        <v>1808.2600000000002</v>
      </c>
    </row>
    <row r="1830" spans="1:18" x14ac:dyDescent="0.25">
      <c r="A1830" s="2" t="s">
        <v>1883</v>
      </c>
      <c r="B1830" s="2" t="s">
        <v>30</v>
      </c>
      <c r="C1830" s="2" t="s">
        <v>75</v>
      </c>
      <c r="D1830" s="2" t="s">
        <v>23</v>
      </c>
      <c r="E1830" s="2" t="s">
        <v>58</v>
      </c>
      <c r="F1830" s="2" t="s">
        <v>25</v>
      </c>
      <c r="G1830" s="8">
        <v>182.47</v>
      </c>
      <c r="H1830" s="11">
        <v>27.1</v>
      </c>
      <c r="I1830" s="8">
        <v>133.02000000000001</v>
      </c>
      <c r="J1830" s="3">
        <v>45875</v>
      </c>
      <c r="K1830" s="14">
        <v>40</v>
      </c>
      <c r="L1830" s="17"/>
      <c r="M1830" s="2" t="b">
        <v>0</v>
      </c>
      <c r="N1830" s="2"/>
      <c r="O1830" s="2" t="str">
        <f>IF(Table1[[#This Row],[is_returned]]=TRUE,IF(Table1[[#This Row],[return_reason]]="","Error","OK"),"OK")</f>
        <v>OK</v>
      </c>
      <c r="P1830" s="8">
        <f>Table1[[#This Row],[original_price]]*Table1[[#This Row],[markdown_percentage]]/100</f>
        <v>49.449370000000002</v>
      </c>
      <c r="Q183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830" s="25">
        <f>Table1[[#This Row],[current_price]]*Table1[[#This Row],[stock_quantity]]</f>
        <v>5320.8</v>
      </c>
    </row>
    <row r="1831" spans="1:18" x14ac:dyDescent="0.25">
      <c r="A1831" s="2" t="s">
        <v>1884</v>
      </c>
      <c r="B1831" s="2" t="s">
        <v>15</v>
      </c>
      <c r="C1831" s="2" t="s">
        <v>75</v>
      </c>
      <c r="D1831" s="2" t="s">
        <v>62</v>
      </c>
      <c r="E1831" s="2" t="s">
        <v>55</v>
      </c>
      <c r="F1831" s="2" t="s">
        <v>66</v>
      </c>
      <c r="G1831" s="8">
        <v>241.22</v>
      </c>
      <c r="H1831" s="11">
        <v>5.9</v>
      </c>
      <c r="I1831" s="8">
        <v>226.99</v>
      </c>
      <c r="J1831" s="3">
        <v>45875</v>
      </c>
      <c r="K1831" s="14">
        <v>13</v>
      </c>
      <c r="L1831" s="17">
        <v>1.2</v>
      </c>
      <c r="M1831" s="2" t="b">
        <v>0</v>
      </c>
      <c r="N1831" s="2"/>
      <c r="O1831" s="2" t="str">
        <f>IF(Table1[[#This Row],[is_returned]]=TRUE,IF(Table1[[#This Row],[return_reason]]="","Error","OK"),"OK")</f>
        <v>OK</v>
      </c>
      <c r="P1831" s="8">
        <f>Table1[[#This Row],[original_price]]*Table1[[#This Row],[markdown_percentage]]/100</f>
        <v>14.23198</v>
      </c>
      <c r="Q183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831" s="25">
        <f>Table1[[#This Row],[current_price]]*Table1[[#This Row],[stock_quantity]]</f>
        <v>2950.87</v>
      </c>
    </row>
    <row r="1832" spans="1:18" x14ac:dyDescent="0.25">
      <c r="A1832" s="2" t="s">
        <v>1885</v>
      </c>
      <c r="B1832" s="2" t="s">
        <v>42</v>
      </c>
      <c r="C1832" s="2" t="s">
        <v>53</v>
      </c>
      <c r="D1832" s="2" t="s">
        <v>17</v>
      </c>
      <c r="E1832" s="2" t="s">
        <v>49</v>
      </c>
      <c r="F1832" s="2" t="s">
        <v>44</v>
      </c>
      <c r="G1832" s="8">
        <v>78.3</v>
      </c>
      <c r="H1832" s="11">
        <v>0</v>
      </c>
      <c r="I1832" s="8">
        <v>78.3</v>
      </c>
      <c r="J1832" s="3">
        <v>45730</v>
      </c>
      <c r="K1832" s="14">
        <v>19</v>
      </c>
      <c r="L1832" s="17">
        <v>3</v>
      </c>
      <c r="M1832" s="2" t="b">
        <v>0</v>
      </c>
      <c r="N1832" s="2"/>
      <c r="O1832" s="2" t="str">
        <f>IF(Table1[[#This Row],[is_returned]]=TRUE,IF(Table1[[#This Row],[return_reason]]="","Error","OK"),"OK")</f>
        <v>OK</v>
      </c>
      <c r="P1832" s="8">
        <f>Table1[[#This Row],[original_price]]*Table1[[#This Row],[markdown_percentage]]/100</f>
        <v>0</v>
      </c>
      <c r="Q183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832" s="25">
        <f>Table1[[#This Row],[current_price]]*Table1[[#This Row],[stock_quantity]]</f>
        <v>1487.7</v>
      </c>
    </row>
    <row r="1833" spans="1:18" x14ac:dyDescent="0.25">
      <c r="A1833" s="2" t="s">
        <v>1886</v>
      </c>
      <c r="B1833" s="2" t="s">
        <v>30</v>
      </c>
      <c r="C1833" s="2" t="s">
        <v>32</v>
      </c>
      <c r="D1833" s="2" t="s">
        <v>23</v>
      </c>
      <c r="E1833" s="2" t="s">
        <v>58</v>
      </c>
      <c r="F1833" s="2" t="s">
        <v>66</v>
      </c>
      <c r="G1833" s="8">
        <v>73.930000000000007</v>
      </c>
      <c r="H1833" s="11">
        <v>0</v>
      </c>
      <c r="I1833" s="8">
        <v>73.930000000000007</v>
      </c>
      <c r="J1833" s="3">
        <v>45875</v>
      </c>
      <c r="K1833" s="14">
        <v>0</v>
      </c>
      <c r="L1833" s="17"/>
      <c r="M1833" s="2" t="b">
        <v>0</v>
      </c>
      <c r="N1833" s="2"/>
      <c r="O1833" s="2" t="str">
        <f>IF(Table1[[#This Row],[is_returned]]=TRUE,IF(Table1[[#This Row],[return_reason]]="","Error","OK"),"OK")</f>
        <v>OK</v>
      </c>
      <c r="P1833" s="8">
        <f>Table1[[#This Row],[original_price]]*Table1[[#This Row],[markdown_percentage]]/100</f>
        <v>0</v>
      </c>
      <c r="Q183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833" s="25">
        <f>Table1[[#This Row],[current_price]]*Table1[[#This Row],[stock_quantity]]</f>
        <v>0</v>
      </c>
    </row>
    <row r="1834" spans="1:18" x14ac:dyDescent="0.25">
      <c r="A1834" s="2" t="s">
        <v>1887</v>
      </c>
      <c r="B1834" s="2" t="s">
        <v>38</v>
      </c>
      <c r="C1834" s="2" t="s">
        <v>48</v>
      </c>
      <c r="D1834" s="2" t="s">
        <v>62</v>
      </c>
      <c r="E1834" s="2" t="s">
        <v>49</v>
      </c>
      <c r="F1834" s="2" t="s">
        <v>46</v>
      </c>
      <c r="G1834" s="8">
        <v>97.5</v>
      </c>
      <c r="H1834" s="11">
        <v>0</v>
      </c>
      <c r="I1834" s="8">
        <v>97.5</v>
      </c>
      <c r="J1834" s="3">
        <v>45875</v>
      </c>
      <c r="K1834" s="14">
        <v>43</v>
      </c>
      <c r="L1834" s="17">
        <v>1.6</v>
      </c>
      <c r="M1834" s="2" t="b">
        <v>0</v>
      </c>
      <c r="N1834" s="2"/>
      <c r="O1834" s="2" t="str">
        <f>IF(Table1[[#This Row],[is_returned]]=TRUE,IF(Table1[[#This Row],[return_reason]]="","Error","OK"),"OK")</f>
        <v>OK</v>
      </c>
      <c r="P1834" s="8">
        <f>Table1[[#This Row],[original_price]]*Table1[[#This Row],[markdown_percentage]]/100</f>
        <v>0</v>
      </c>
      <c r="Q183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834" s="25">
        <f>Table1[[#This Row],[current_price]]*Table1[[#This Row],[stock_quantity]]</f>
        <v>4192.5</v>
      </c>
    </row>
    <row r="1835" spans="1:18" x14ac:dyDescent="0.25">
      <c r="A1835" s="2" t="s">
        <v>1888</v>
      </c>
      <c r="B1835" s="2" t="s">
        <v>21</v>
      </c>
      <c r="C1835" s="2" t="s">
        <v>53</v>
      </c>
      <c r="D1835" s="2" t="s">
        <v>62</v>
      </c>
      <c r="E1835" s="2" t="s">
        <v>55</v>
      </c>
      <c r="F1835" s="2" t="s">
        <v>46</v>
      </c>
      <c r="G1835" s="8">
        <v>38.9</v>
      </c>
      <c r="H1835" s="11">
        <v>0</v>
      </c>
      <c r="I1835" s="8">
        <v>38.9</v>
      </c>
      <c r="J1835" s="3">
        <v>45875</v>
      </c>
      <c r="K1835" s="14">
        <v>1</v>
      </c>
      <c r="L1835" s="17">
        <v>5</v>
      </c>
      <c r="M1835" s="2" t="b">
        <v>0</v>
      </c>
      <c r="N1835" s="2"/>
      <c r="O1835" s="2" t="str">
        <f>IF(Table1[[#This Row],[is_returned]]=TRUE,IF(Table1[[#This Row],[return_reason]]="","Error","OK"),"OK")</f>
        <v>OK</v>
      </c>
      <c r="P1835" s="8">
        <f>Table1[[#This Row],[original_price]]*Table1[[#This Row],[markdown_percentage]]/100</f>
        <v>0</v>
      </c>
      <c r="Q183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835" s="25">
        <f>Table1[[#This Row],[current_price]]*Table1[[#This Row],[stock_quantity]]</f>
        <v>38.9</v>
      </c>
    </row>
    <row r="1836" spans="1:18" x14ac:dyDescent="0.25">
      <c r="A1836" s="2" t="s">
        <v>1889</v>
      </c>
      <c r="B1836" s="2" t="s">
        <v>30</v>
      </c>
      <c r="C1836" s="2" t="s">
        <v>32</v>
      </c>
      <c r="D1836" s="2" t="s">
        <v>62</v>
      </c>
      <c r="E1836" s="2" t="s">
        <v>39</v>
      </c>
      <c r="F1836" s="2" t="s">
        <v>44</v>
      </c>
      <c r="G1836" s="8">
        <v>95.52</v>
      </c>
      <c r="H1836" s="11">
        <v>0</v>
      </c>
      <c r="I1836" s="8">
        <v>95.52</v>
      </c>
      <c r="J1836" s="3">
        <v>45875</v>
      </c>
      <c r="K1836" s="14">
        <v>47</v>
      </c>
      <c r="L1836" s="17">
        <v>3.9</v>
      </c>
      <c r="M1836" s="2" t="b">
        <v>0</v>
      </c>
      <c r="N1836" s="2"/>
      <c r="O1836" s="2" t="str">
        <f>IF(Table1[[#This Row],[is_returned]]=TRUE,IF(Table1[[#This Row],[return_reason]]="","Error","OK"),"OK")</f>
        <v>OK</v>
      </c>
      <c r="P1836" s="8">
        <f>Table1[[#This Row],[original_price]]*Table1[[#This Row],[markdown_percentage]]/100</f>
        <v>0</v>
      </c>
      <c r="Q183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836" s="25">
        <f>Table1[[#This Row],[current_price]]*Table1[[#This Row],[stock_quantity]]</f>
        <v>4489.4399999999996</v>
      </c>
    </row>
    <row r="1837" spans="1:18" x14ac:dyDescent="0.25">
      <c r="A1837" s="2" t="s">
        <v>1890</v>
      </c>
      <c r="B1837" s="2" t="s">
        <v>15</v>
      </c>
      <c r="C1837" s="2" t="s">
        <v>16</v>
      </c>
      <c r="D1837" s="2" t="s">
        <v>34</v>
      </c>
      <c r="E1837" s="2" t="s">
        <v>58</v>
      </c>
      <c r="F1837" s="2" t="s">
        <v>19</v>
      </c>
      <c r="G1837" s="8">
        <v>158.63999999999999</v>
      </c>
      <c r="H1837" s="11">
        <v>50.2</v>
      </c>
      <c r="I1837" s="8">
        <v>79</v>
      </c>
      <c r="J1837" s="3">
        <v>45875</v>
      </c>
      <c r="K1837" s="14">
        <v>7</v>
      </c>
      <c r="L1837" s="17">
        <v>3</v>
      </c>
      <c r="M1837" s="2" t="b">
        <v>1</v>
      </c>
      <c r="N1837" s="2" t="s">
        <v>115</v>
      </c>
      <c r="O1837" s="2" t="str">
        <f>IF(Table1[[#This Row],[is_returned]]=TRUE,IF(Table1[[#This Row],[return_reason]]="","Error","OK"),"OK")</f>
        <v>OK</v>
      </c>
      <c r="P1837" s="8">
        <f>Table1[[#This Row],[original_price]]*Table1[[#This Row],[markdown_percentage]]/100</f>
        <v>79.637280000000004</v>
      </c>
      <c r="Q183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837" s="25">
        <f>Table1[[#This Row],[current_price]]*Table1[[#This Row],[stock_quantity]]</f>
        <v>553</v>
      </c>
    </row>
    <row r="1838" spans="1:18" x14ac:dyDescent="0.25">
      <c r="A1838" s="2" t="s">
        <v>1891</v>
      </c>
      <c r="B1838" s="2" t="s">
        <v>21</v>
      </c>
      <c r="C1838" s="2" t="s">
        <v>43</v>
      </c>
      <c r="D1838" s="2" t="s">
        <v>34</v>
      </c>
      <c r="E1838" s="2" t="s">
        <v>18</v>
      </c>
      <c r="F1838" s="2" t="s">
        <v>64</v>
      </c>
      <c r="G1838" s="8">
        <v>26.11</v>
      </c>
      <c r="H1838" s="11">
        <v>0</v>
      </c>
      <c r="I1838" s="8">
        <v>26.11</v>
      </c>
      <c r="J1838" s="3">
        <v>45875</v>
      </c>
      <c r="K1838" s="14">
        <v>41</v>
      </c>
      <c r="L1838" s="17">
        <v>4.3</v>
      </c>
      <c r="M1838" s="2" t="b">
        <v>0</v>
      </c>
      <c r="N1838" s="2"/>
      <c r="O1838" s="2" t="str">
        <f>IF(Table1[[#This Row],[is_returned]]=TRUE,IF(Table1[[#This Row],[return_reason]]="","Error","OK"),"OK")</f>
        <v>OK</v>
      </c>
      <c r="P1838" s="8">
        <f>Table1[[#This Row],[original_price]]*Table1[[#This Row],[markdown_percentage]]/100</f>
        <v>0</v>
      </c>
      <c r="Q183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838" s="25">
        <f>Table1[[#This Row],[current_price]]*Table1[[#This Row],[stock_quantity]]</f>
        <v>1070.51</v>
      </c>
    </row>
    <row r="1839" spans="1:18" x14ac:dyDescent="0.25">
      <c r="A1839" s="2" t="s">
        <v>1892</v>
      </c>
      <c r="B1839" s="2" t="s">
        <v>30</v>
      </c>
      <c r="C1839" s="2" t="s">
        <v>75</v>
      </c>
      <c r="D1839" s="2" t="s">
        <v>17</v>
      </c>
      <c r="E1839" s="2"/>
      <c r="F1839" s="2" t="s">
        <v>35</v>
      </c>
      <c r="G1839" s="8">
        <v>107.09</v>
      </c>
      <c r="H1839" s="11">
        <v>43.1</v>
      </c>
      <c r="I1839" s="8">
        <v>60.93</v>
      </c>
      <c r="J1839" s="3">
        <v>45702</v>
      </c>
      <c r="K1839" s="14">
        <v>16</v>
      </c>
      <c r="L1839" s="17">
        <v>4.7</v>
      </c>
      <c r="M1839" s="2" t="b">
        <v>1</v>
      </c>
      <c r="N1839" s="2" t="s">
        <v>115</v>
      </c>
      <c r="O1839" s="2" t="str">
        <f>IF(Table1[[#This Row],[is_returned]]=TRUE,IF(Table1[[#This Row],[return_reason]]="","Error","OK"),"OK")</f>
        <v>OK</v>
      </c>
      <c r="P1839" s="8">
        <f>Table1[[#This Row],[original_price]]*Table1[[#This Row],[markdown_percentage]]/100</f>
        <v>46.155790000000003</v>
      </c>
      <c r="Q183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839" s="25">
        <f>Table1[[#This Row],[current_price]]*Table1[[#This Row],[stock_quantity]]</f>
        <v>974.88</v>
      </c>
    </row>
    <row r="1840" spans="1:18" x14ac:dyDescent="0.25">
      <c r="A1840" s="2" t="s">
        <v>1893</v>
      </c>
      <c r="B1840" s="2" t="s">
        <v>27</v>
      </c>
      <c r="C1840" s="2" t="s">
        <v>61</v>
      </c>
      <c r="D1840" s="2" t="s">
        <v>62</v>
      </c>
      <c r="E1840" s="2"/>
      <c r="F1840" s="2" t="s">
        <v>28</v>
      </c>
      <c r="G1840" s="8">
        <v>71.42</v>
      </c>
      <c r="H1840" s="11">
        <v>38</v>
      </c>
      <c r="I1840" s="8">
        <v>44.28</v>
      </c>
      <c r="J1840" s="3">
        <v>45875</v>
      </c>
      <c r="K1840" s="14">
        <v>49</v>
      </c>
      <c r="L1840" s="17">
        <v>2.8</v>
      </c>
      <c r="M1840" s="2" t="b">
        <v>0</v>
      </c>
      <c r="N1840" s="2"/>
      <c r="O1840" s="2" t="str">
        <f>IF(Table1[[#This Row],[is_returned]]=TRUE,IF(Table1[[#This Row],[return_reason]]="","Error","OK"),"OK")</f>
        <v>OK</v>
      </c>
      <c r="P1840" s="8">
        <f>Table1[[#This Row],[original_price]]*Table1[[#This Row],[markdown_percentage]]/100</f>
        <v>27.139600000000002</v>
      </c>
      <c r="Q184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840" s="25">
        <f>Table1[[#This Row],[current_price]]*Table1[[#This Row],[stock_quantity]]</f>
        <v>2169.7200000000003</v>
      </c>
    </row>
    <row r="1841" spans="1:18" x14ac:dyDescent="0.25">
      <c r="A1841" s="2" t="s">
        <v>1894</v>
      </c>
      <c r="B1841" s="2" t="s">
        <v>30</v>
      </c>
      <c r="C1841" s="2" t="s">
        <v>16</v>
      </c>
      <c r="D1841" s="2" t="s">
        <v>62</v>
      </c>
      <c r="E1841" s="2" t="s">
        <v>18</v>
      </c>
      <c r="F1841" s="2" t="s">
        <v>19</v>
      </c>
      <c r="G1841" s="8">
        <v>124.56</v>
      </c>
      <c r="H1841" s="11">
        <v>0</v>
      </c>
      <c r="I1841" s="8">
        <v>124.56</v>
      </c>
      <c r="J1841" s="3">
        <v>45875</v>
      </c>
      <c r="K1841" s="14">
        <v>18</v>
      </c>
      <c r="L1841" s="17">
        <v>3</v>
      </c>
      <c r="M1841" s="2" t="b">
        <v>0</v>
      </c>
      <c r="N1841" s="2"/>
      <c r="O1841" s="2" t="str">
        <f>IF(Table1[[#This Row],[is_returned]]=TRUE,IF(Table1[[#This Row],[return_reason]]="","Error","OK"),"OK")</f>
        <v>OK</v>
      </c>
      <c r="P1841" s="8">
        <f>Table1[[#This Row],[original_price]]*Table1[[#This Row],[markdown_percentage]]/100</f>
        <v>0</v>
      </c>
      <c r="Q184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841" s="25">
        <f>Table1[[#This Row],[current_price]]*Table1[[#This Row],[stock_quantity]]</f>
        <v>2242.08</v>
      </c>
    </row>
    <row r="1842" spans="1:18" x14ac:dyDescent="0.25">
      <c r="A1842" s="2" t="s">
        <v>1895</v>
      </c>
      <c r="B1842" s="2" t="s">
        <v>38</v>
      </c>
      <c r="C1842" s="2" t="s">
        <v>22</v>
      </c>
      <c r="D1842" s="2" t="s">
        <v>62</v>
      </c>
      <c r="E1842" s="2" t="s">
        <v>24</v>
      </c>
      <c r="F1842" s="2" t="s">
        <v>66</v>
      </c>
      <c r="G1842" s="8">
        <v>30.91</v>
      </c>
      <c r="H1842" s="11">
        <v>0</v>
      </c>
      <c r="I1842" s="8">
        <v>30.91</v>
      </c>
      <c r="J1842" s="3">
        <v>45875</v>
      </c>
      <c r="K1842" s="14">
        <v>45</v>
      </c>
      <c r="L1842" s="17">
        <v>1.8</v>
      </c>
      <c r="M1842" s="2" t="b">
        <v>0</v>
      </c>
      <c r="N1842" s="2"/>
      <c r="O1842" s="2" t="str">
        <f>IF(Table1[[#This Row],[is_returned]]=TRUE,IF(Table1[[#This Row],[return_reason]]="","Error","OK"),"OK")</f>
        <v>OK</v>
      </c>
      <c r="P1842" s="8">
        <f>Table1[[#This Row],[original_price]]*Table1[[#This Row],[markdown_percentage]]/100</f>
        <v>0</v>
      </c>
      <c r="Q184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842" s="25">
        <f>Table1[[#This Row],[current_price]]*Table1[[#This Row],[stock_quantity]]</f>
        <v>1390.95</v>
      </c>
    </row>
    <row r="1843" spans="1:18" x14ac:dyDescent="0.25">
      <c r="A1843" s="2" t="s">
        <v>1896</v>
      </c>
      <c r="B1843" s="2" t="s">
        <v>21</v>
      </c>
      <c r="C1843" s="2" t="s">
        <v>16</v>
      </c>
      <c r="D1843" s="2" t="s">
        <v>23</v>
      </c>
      <c r="E1843" s="2" t="s">
        <v>55</v>
      </c>
      <c r="F1843" s="2" t="s">
        <v>56</v>
      </c>
      <c r="G1843" s="8">
        <v>53.37</v>
      </c>
      <c r="H1843" s="11">
        <v>0</v>
      </c>
      <c r="I1843" s="8">
        <v>53.37</v>
      </c>
      <c r="J1843" s="3">
        <v>45875</v>
      </c>
      <c r="K1843" s="14">
        <v>15</v>
      </c>
      <c r="L1843" s="17">
        <v>1.1000000000000001</v>
      </c>
      <c r="M1843" s="2" t="b">
        <v>0</v>
      </c>
      <c r="N1843" s="2"/>
      <c r="O1843" s="2" t="str">
        <f>IF(Table1[[#This Row],[is_returned]]=TRUE,IF(Table1[[#This Row],[return_reason]]="","Error","OK"),"OK")</f>
        <v>OK</v>
      </c>
      <c r="P1843" s="8">
        <f>Table1[[#This Row],[original_price]]*Table1[[#This Row],[markdown_percentage]]/100</f>
        <v>0</v>
      </c>
      <c r="Q184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843" s="25">
        <f>Table1[[#This Row],[current_price]]*Table1[[#This Row],[stock_quantity]]</f>
        <v>800.55</v>
      </c>
    </row>
    <row r="1844" spans="1:18" x14ac:dyDescent="0.25">
      <c r="A1844" s="2" t="s">
        <v>1897</v>
      </c>
      <c r="B1844" s="2" t="s">
        <v>30</v>
      </c>
      <c r="C1844" s="2" t="s">
        <v>61</v>
      </c>
      <c r="D1844" s="2" t="s">
        <v>62</v>
      </c>
      <c r="E1844" s="2" t="s">
        <v>18</v>
      </c>
      <c r="F1844" s="2" t="s">
        <v>46</v>
      </c>
      <c r="G1844" s="8">
        <v>159.16</v>
      </c>
      <c r="H1844" s="11">
        <v>0</v>
      </c>
      <c r="I1844" s="8">
        <v>159.16</v>
      </c>
      <c r="J1844" s="3">
        <v>45875</v>
      </c>
      <c r="K1844" s="14">
        <v>40</v>
      </c>
      <c r="L1844" s="17"/>
      <c r="M1844" s="2" t="b">
        <v>1</v>
      </c>
      <c r="N1844" s="2" t="s">
        <v>115</v>
      </c>
      <c r="O1844" s="2" t="str">
        <f>IF(Table1[[#This Row],[is_returned]]=TRUE,IF(Table1[[#This Row],[return_reason]]="","Error","OK"),"OK")</f>
        <v>OK</v>
      </c>
      <c r="P1844" s="8">
        <f>Table1[[#This Row],[original_price]]*Table1[[#This Row],[markdown_percentage]]/100</f>
        <v>0</v>
      </c>
      <c r="Q184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844" s="25">
        <f>Table1[[#This Row],[current_price]]*Table1[[#This Row],[stock_quantity]]</f>
        <v>6366.4</v>
      </c>
    </row>
    <row r="1845" spans="1:18" x14ac:dyDescent="0.25">
      <c r="A1845" s="2" t="s">
        <v>1898</v>
      </c>
      <c r="B1845" s="2" t="s">
        <v>42</v>
      </c>
      <c r="C1845" s="2" t="s">
        <v>43</v>
      </c>
      <c r="D1845" s="2" t="s">
        <v>34</v>
      </c>
      <c r="E1845" s="2" t="s">
        <v>39</v>
      </c>
      <c r="F1845" s="2" t="s">
        <v>25</v>
      </c>
      <c r="G1845" s="8">
        <v>169.64</v>
      </c>
      <c r="H1845" s="11">
        <v>0</v>
      </c>
      <c r="I1845" s="8">
        <v>169.64</v>
      </c>
      <c r="J1845" s="3">
        <v>45875</v>
      </c>
      <c r="K1845" s="14">
        <v>5</v>
      </c>
      <c r="L1845" s="17">
        <v>1.6</v>
      </c>
      <c r="M1845" s="2" t="b">
        <v>0</v>
      </c>
      <c r="N1845" s="2"/>
      <c r="O1845" s="2" t="str">
        <f>IF(Table1[[#This Row],[is_returned]]=TRUE,IF(Table1[[#This Row],[return_reason]]="","Error","OK"),"OK")</f>
        <v>OK</v>
      </c>
      <c r="P1845" s="8">
        <f>Table1[[#This Row],[original_price]]*Table1[[#This Row],[markdown_percentage]]/100</f>
        <v>0</v>
      </c>
      <c r="Q184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845" s="25">
        <f>Table1[[#This Row],[current_price]]*Table1[[#This Row],[stock_quantity]]</f>
        <v>848.19999999999993</v>
      </c>
    </row>
    <row r="1846" spans="1:18" x14ac:dyDescent="0.25">
      <c r="A1846" s="2" t="s">
        <v>1899</v>
      </c>
      <c r="B1846" s="2" t="s">
        <v>27</v>
      </c>
      <c r="C1846" s="2" t="s">
        <v>61</v>
      </c>
      <c r="D1846" s="2" t="s">
        <v>62</v>
      </c>
      <c r="E1846" s="2"/>
      <c r="F1846" s="2" t="s">
        <v>44</v>
      </c>
      <c r="G1846" s="8">
        <v>59.94</v>
      </c>
      <c r="H1846" s="11">
        <v>0</v>
      </c>
      <c r="I1846" s="8">
        <v>59.94</v>
      </c>
      <c r="J1846" s="3">
        <v>45875</v>
      </c>
      <c r="K1846" s="14">
        <v>7</v>
      </c>
      <c r="L1846" s="17">
        <v>4</v>
      </c>
      <c r="M1846" s="2" t="b">
        <v>0</v>
      </c>
      <c r="N1846" s="2"/>
      <c r="O1846" s="2" t="str">
        <f>IF(Table1[[#This Row],[is_returned]]=TRUE,IF(Table1[[#This Row],[return_reason]]="","Error","OK"),"OK")</f>
        <v>OK</v>
      </c>
      <c r="P1846" s="8">
        <f>Table1[[#This Row],[original_price]]*Table1[[#This Row],[markdown_percentage]]/100</f>
        <v>0</v>
      </c>
      <c r="Q184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846" s="25">
        <f>Table1[[#This Row],[current_price]]*Table1[[#This Row],[stock_quantity]]</f>
        <v>419.58</v>
      </c>
    </row>
    <row r="1847" spans="1:18" x14ac:dyDescent="0.25">
      <c r="A1847" s="2" t="s">
        <v>1900</v>
      </c>
      <c r="B1847" s="2" t="s">
        <v>42</v>
      </c>
      <c r="C1847" s="2" t="s">
        <v>61</v>
      </c>
      <c r="D1847" s="2" t="s">
        <v>34</v>
      </c>
      <c r="E1847" s="2" t="s">
        <v>18</v>
      </c>
      <c r="F1847" s="2" t="s">
        <v>66</v>
      </c>
      <c r="G1847" s="8">
        <v>92.59</v>
      </c>
      <c r="H1847" s="11">
        <v>0</v>
      </c>
      <c r="I1847" s="8">
        <v>92.59</v>
      </c>
      <c r="J1847" s="3">
        <v>45875</v>
      </c>
      <c r="K1847" s="14">
        <v>29</v>
      </c>
      <c r="L1847" s="17">
        <v>3.5</v>
      </c>
      <c r="M1847" s="2" t="b">
        <v>1</v>
      </c>
      <c r="N1847" s="2" t="s">
        <v>73</v>
      </c>
      <c r="O1847" s="2" t="str">
        <f>IF(Table1[[#This Row],[is_returned]]=TRUE,IF(Table1[[#This Row],[return_reason]]="","Error","OK"),"OK")</f>
        <v>OK</v>
      </c>
      <c r="P1847" s="8">
        <f>Table1[[#This Row],[original_price]]*Table1[[#This Row],[markdown_percentage]]/100</f>
        <v>0</v>
      </c>
      <c r="Q184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847" s="25">
        <f>Table1[[#This Row],[current_price]]*Table1[[#This Row],[stock_quantity]]</f>
        <v>2685.11</v>
      </c>
    </row>
    <row r="1848" spans="1:18" x14ac:dyDescent="0.25">
      <c r="A1848" s="2" t="s">
        <v>1901</v>
      </c>
      <c r="B1848" s="2" t="s">
        <v>38</v>
      </c>
      <c r="C1848" s="2" t="s">
        <v>48</v>
      </c>
      <c r="D1848" s="2" t="s">
        <v>17</v>
      </c>
      <c r="E1848" s="2" t="s">
        <v>39</v>
      </c>
      <c r="F1848" s="2" t="s">
        <v>35</v>
      </c>
      <c r="G1848" s="8">
        <v>64.069999999999993</v>
      </c>
      <c r="H1848" s="11">
        <v>0</v>
      </c>
      <c r="I1848" s="8">
        <v>64.069999999999993</v>
      </c>
      <c r="J1848" s="3">
        <v>45734</v>
      </c>
      <c r="K1848" s="14">
        <v>10</v>
      </c>
      <c r="L1848" s="17"/>
      <c r="M1848" s="2" t="b">
        <v>0</v>
      </c>
      <c r="N1848" s="2"/>
      <c r="O1848" s="2" t="str">
        <f>IF(Table1[[#This Row],[is_returned]]=TRUE,IF(Table1[[#This Row],[return_reason]]="","Error","OK"),"OK")</f>
        <v>OK</v>
      </c>
      <c r="P1848" s="8">
        <f>Table1[[#This Row],[original_price]]*Table1[[#This Row],[markdown_percentage]]/100</f>
        <v>0</v>
      </c>
      <c r="Q184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848" s="25">
        <f>Table1[[#This Row],[current_price]]*Table1[[#This Row],[stock_quantity]]</f>
        <v>640.69999999999993</v>
      </c>
    </row>
    <row r="1849" spans="1:18" x14ac:dyDescent="0.25">
      <c r="A1849" s="2" t="s">
        <v>1902</v>
      </c>
      <c r="B1849" s="2" t="s">
        <v>42</v>
      </c>
      <c r="C1849" s="2" t="s">
        <v>75</v>
      </c>
      <c r="D1849" s="2" t="s">
        <v>34</v>
      </c>
      <c r="E1849" s="2" t="s">
        <v>55</v>
      </c>
      <c r="F1849" s="2" t="s">
        <v>44</v>
      </c>
      <c r="G1849" s="8">
        <v>127.87</v>
      </c>
      <c r="H1849" s="11">
        <v>54.6</v>
      </c>
      <c r="I1849" s="8">
        <v>58.05</v>
      </c>
      <c r="J1849" s="3">
        <v>45875</v>
      </c>
      <c r="K1849" s="14">
        <v>14</v>
      </c>
      <c r="L1849" s="17">
        <v>4.4000000000000004</v>
      </c>
      <c r="M1849" s="2" t="b">
        <v>0</v>
      </c>
      <c r="N1849" s="2"/>
      <c r="O1849" s="2" t="str">
        <f>IF(Table1[[#This Row],[is_returned]]=TRUE,IF(Table1[[#This Row],[return_reason]]="","Error","OK"),"OK")</f>
        <v>OK</v>
      </c>
      <c r="P1849" s="8">
        <f>Table1[[#This Row],[original_price]]*Table1[[#This Row],[markdown_percentage]]/100</f>
        <v>69.817019999999999</v>
      </c>
      <c r="Q184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849" s="25">
        <f>Table1[[#This Row],[current_price]]*Table1[[#This Row],[stock_quantity]]</f>
        <v>812.69999999999993</v>
      </c>
    </row>
    <row r="1850" spans="1:18" x14ac:dyDescent="0.25">
      <c r="A1850" s="2" t="s">
        <v>1903</v>
      </c>
      <c r="B1850" s="2" t="s">
        <v>38</v>
      </c>
      <c r="C1850" s="2" t="s">
        <v>32</v>
      </c>
      <c r="D1850" s="2" t="s">
        <v>34</v>
      </c>
      <c r="E1850" s="2" t="s">
        <v>58</v>
      </c>
      <c r="F1850" s="2" t="s">
        <v>44</v>
      </c>
      <c r="G1850" s="8">
        <v>32.46</v>
      </c>
      <c r="H1850" s="11">
        <v>12.9</v>
      </c>
      <c r="I1850" s="8">
        <v>28.27</v>
      </c>
      <c r="J1850" s="3">
        <v>45875</v>
      </c>
      <c r="K1850" s="14">
        <v>9</v>
      </c>
      <c r="L1850" s="17"/>
      <c r="M1850" s="2" t="b">
        <v>0</v>
      </c>
      <c r="N1850" s="2"/>
      <c r="O1850" s="2" t="str">
        <f>IF(Table1[[#This Row],[is_returned]]=TRUE,IF(Table1[[#This Row],[return_reason]]="","Error","OK"),"OK")</f>
        <v>OK</v>
      </c>
      <c r="P1850" s="8">
        <f>Table1[[#This Row],[original_price]]*Table1[[#This Row],[markdown_percentage]]/100</f>
        <v>4.1873400000000007</v>
      </c>
      <c r="Q185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850" s="25">
        <f>Table1[[#This Row],[current_price]]*Table1[[#This Row],[stock_quantity]]</f>
        <v>254.43</v>
      </c>
    </row>
    <row r="1851" spans="1:18" x14ac:dyDescent="0.25">
      <c r="A1851" s="2" t="s">
        <v>1904</v>
      </c>
      <c r="B1851" s="2" t="s">
        <v>38</v>
      </c>
      <c r="C1851" s="2" t="s">
        <v>48</v>
      </c>
      <c r="D1851" s="2" t="s">
        <v>62</v>
      </c>
      <c r="E1851" s="2" t="s">
        <v>49</v>
      </c>
      <c r="F1851" s="2" t="s">
        <v>25</v>
      </c>
      <c r="G1851" s="8">
        <v>40.31</v>
      </c>
      <c r="H1851" s="11">
        <v>43</v>
      </c>
      <c r="I1851" s="8">
        <v>22.98</v>
      </c>
      <c r="J1851" s="3">
        <v>45875</v>
      </c>
      <c r="K1851" s="14">
        <v>30</v>
      </c>
      <c r="L1851" s="17">
        <v>3.5</v>
      </c>
      <c r="M1851" s="2" t="b">
        <v>1</v>
      </c>
      <c r="N1851" s="2" t="s">
        <v>36</v>
      </c>
      <c r="O1851" s="2" t="str">
        <f>IF(Table1[[#This Row],[is_returned]]=TRUE,IF(Table1[[#This Row],[return_reason]]="","Error","OK"),"OK")</f>
        <v>OK</v>
      </c>
      <c r="P1851" s="8">
        <f>Table1[[#This Row],[original_price]]*Table1[[#This Row],[markdown_percentage]]/100</f>
        <v>17.333300000000001</v>
      </c>
      <c r="Q185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851" s="25">
        <f>Table1[[#This Row],[current_price]]*Table1[[#This Row],[stock_quantity]]</f>
        <v>689.4</v>
      </c>
    </row>
    <row r="1852" spans="1:18" x14ac:dyDescent="0.25">
      <c r="A1852" s="2" t="s">
        <v>1905</v>
      </c>
      <c r="B1852" s="2" t="s">
        <v>27</v>
      </c>
      <c r="C1852" s="2" t="s">
        <v>53</v>
      </c>
      <c r="D1852" s="2" t="s">
        <v>23</v>
      </c>
      <c r="E1852" s="2"/>
      <c r="F1852" s="2" t="s">
        <v>46</v>
      </c>
      <c r="G1852" s="8">
        <v>51.3</v>
      </c>
      <c r="H1852" s="11">
        <v>6.1</v>
      </c>
      <c r="I1852" s="8">
        <v>48.17</v>
      </c>
      <c r="J1852" s="3">
        <v>45875</v>
      </c>
      <c r="K1852" s="14">
        <v>31</v>
      </c>
      <c r="L1852" s="17"/>
      <c r="M1852" s="2" t="b">
        <v>0</v>
      </c>
      <c r="N1852" s="2"/>
      <c r="O1852" s="2" t="str">
        <f>IF(Table1[[#This Row],[is_returned]]=TRUE,IF(Table1[[#This Row],[return_reason]]="","Error","OK"),"OK")</f>
        <v>OK</v>
      </c>
      <c r="P1852" s="8">
        <f>Table1[[#This Row],[original_price]]*Table1[[#This Row],[markdown_percentage]]/100</f>
        <v>3.1292999999999993</v>
      </c>
      <c r="Q185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852" s="25">
        <f>Table1[[#This Row],[current_price]]*Table1[[#This Row],[stock_quantity]]</f>
        <v>1493.27</v>
      </c>
    </row>
    <row r="1853" spans="1:18" x14ac:dyDescent="0.25">
      <c r="A1853" s="2" t="s">
        <v>1906</v>
      </c>
      <c r="B1853" s="2" t="s">
        <v>38</v>
      </c>
      <c r="C1853" s="2" t="s">
        <v>61</v>
      </c>
      <c r="D1853" s="2" t="s">
        <v>23</v>
      </c>
      <c r="E1853" s="2" t="s">
        <v>55</v>
      </c>
      <c r="F1853" s="2" t="s">
        <v>25</v>
      </c>
      <c r="G1853" s="8">
        <v>28.62</v>
      </c>
      <c r="H1853" s="11">
        <v>0</v>
      </c>
      <c r="I1853" s="8">
        <v>28.62</v>
      </c>
      <c r="J1853" s="3">
        <v>45875</v>
      </c>
      <c r="K1853" s="14">
        <v>41</v>
      </c>
      <c r="L1853" s="17">
        <v>4</v>
      </c>
      <c r="M1853" s="2" t="b">
        <v>0</v>
      </c>
      <c r="N1853" s="2"/>
      <c r="O1853" s="2" t="str">
        <f>IF(Table1[[#This Row],[is_returned]]=TRUE,IF(Table1[[#This Row],[return_reason]]="","Error","OK"),"OK")</f>
        <v>OK</v>
      </c>
      <c r="P1853" s="8">
        <f>Table1[[#This Row],[original_price]]*Table1[[#This Row],[markdown_percentage]]/100</f>
        <v>0</v>
      </c>
      <c r="Q185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853" s="25">
        <f>Table1[[#This Row],[current_price]]*Table1[[#This Row],[stock_quantity]]</f>
        <v>1173.42</v>
      </c>
    </row>
    <row r="1854" spans="1:18" x14ac:dyDescent="0.25">
      <c r="A1854" s="2" t="s">
        <v>1907</v>
      </c>
      <c r="B1854" s="2" t="s">
        <v>27</v>
      </c>
      <c r="C1854" s="2" t="s">
        <v>61</v>
      </c>
      <c r="D1854" s="2" t="s">
        <v>34</v>
      </c>
      <c r="E1854" s="2"/>
      <c r="F1854" s="2" t="s">
        <v>46</v>
      </c>
      <c r="G1854" s="8">
        <v>59.03</v>
      </c>
      <c r="H1854" s="11">
        <v>6.4</v>
      </c>
      <c r="I1854" s="8">
        <v>55.25</v>
      </c>
      <c r="J1854" s="3">
        <v>45875</v>
      </c>
      <c r="K1854" s="14">
        <v>45</v>
      </c>
      <c r="L1854" s="17"/>
      <c r="M1854" s="2" t="b">
        <v>0</v>
      </c>
      <c r="N1854" s="2"/>
      <c r="O1854" s="2" t="str">
        <f>IF(Table1[[#This Row],[is_returned]]=TRUE,IF(Table1[[#This Row],[return_reason]]="","Error","OK"),"OK")</f>
        <v>OK</v>
      </c>
      <c r="P1854" s="8">
        <f>Table1[[#This Row],[original_price]]*Table1[[#This Row],[markdown_percentage]]/100</f>
        <v>3.7779200000000004</v>
      </c>
      <c r="Q185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854" s="25">
        <f>Table1[[#This Row],[current_price]]*Table1[[#This Row],[stock_quantity]]</f>
        <v>2486.25</v>
      </c>
    </row>
    <row r="1855" spans="1:18" x14ac:dyDescent="0.25">
      <c r="A1855" s="2" t="s">
        <v>1908</v>
      </c>
      <c r="B1855" s="2" t="s">
        <v>21</v>
      </c>
      <c r="C1855" s="2" t="s">
        <v>53</v>
      </c>
      <c r="D1855" s="2" t="s">
        <v>62</v>
      </c>
      <c r="E1855" s="2" t="s">
        <v>39</v>
      </c>
      <c r="F1855" s="2" t="s">
        <v>70</v>
      </c>
      <c r="G1855" s="8">
        <v>99.65</v>
      </c>
      <c r="H1855" s="11">
        <v>7.4</v>
      </c>
      <c r="I1855" s="8">
        <v>92.28</v>
      </c>
      <c r="J1855" s="3">
        <v>45875</v>
      </c>
      <c r="K1855" s="14">
        <v>31</v>
      </c>
      <c r="L1855" s="17">
        <v>3.8</v>
      </c>
      <c r="M1855" s="2" t="b">
        <v>0</v>
      </c>
      <c r="N1855" s="2"/>
      <c r="O1855" s="2" t="str">
        <f>IF(Table1[[#This Row],[is_returned]]=TRUE,IF(Table1[[#This Row],[return_reason]]="","Error","OK"),"OK")</f>
        <v>OK</v>
      </c>
      <c r="P1855" s="8">
        <f>Table1[[#This Row],[original_price]]*Table1[[#This Row],[markdown_percentage]]/100</f>
        <v>7.3741000000000012</v>
      </c>
      <c r="Q185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855" s="25">
        <f>Table1[[#This Row],[current_price]]*Table1[[#This Row],[stock_quantity]]</f>
        <v>2860.68</v>
      </c>
    </row>
    <row r="1856" spans="1:18" x14ac:dyDescent="0.25">
      <c r="A1856" s="2" t="s">
        <v>1909</v>
      </c>
      <c r="B1856" s="2" t="s">
        <v>42</v>
      </c>
      <c r="C1856" s="2" t="s">
        <v>75</v>
      </c>
      <c r="D1856" s="2" t="s">
        <v>23</v>
      </c>
      <c r="E1856" s="2"/>
      <c r="F1856" s="2" t="s">
        <v>44</v>
      </c>
      <c r="G1856" s="8">
        <v>128.55000000000001</v>
      </c>
      <c r="H1856" s="11">
        <v>0</v>
      </c>
      <c r="I1856" s="8">
        <v>128.55000000000001</v>
      </c>
      <c r="J1856" s="3">
        <v>45875</v>
      </c>
      <c r="K1856" s="14">
        <v>1</v>
      </c>
      <c r="L1856" s="17">
        <v>3.7</v>
      </c>
      <c r="M1856" s="2" t="b">
        <v>0</v>
      </c>
      <c r="N1856" s="2"/>
      <c r="O1856" s="2" t="str">
        <f>IF(Table1[[#This Row],[is_returned]]=TRUE,IF(Table1[[#This Row],[return_reason]]="","Error","OK"),"OK")</f>
        <v>OK</v>
      </c>
      <c r="P1856" s="8">
        <f>Table1[[#This Row],[original_price]]*Table1[[#This Row],[markdown_percentage]]/100</f>
        <v>0</v>
      </c>
      <c r="Q185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856" s="25">
        <f>Table1[[#This Row],[current_price]]*Table1[[#This Row],[stock_quantity]]</f>
        <v>128.55000000000001</v>
      </c>
    </row>
    <row r="1857" spans="1:18" x14ac:dyDescent="0.25">
      <c r="A1857" s="2" t="s">
        <v>1910</v>
      </c>
      <c r="B1857" s="2" t="s">
        <v>38</v>
      </c>
      <c r="C1857" s="2" t="s">
        <v>43</v>
      </c>
      <c r="D1857" s="2" t="s">
        <v>17</v>
      </c>
      <c r="E1857" s="2" t="s">
        <v>24</v>
      </c>
      <c r="F1857" s="2" t="s">
        <v>66</v>
      </c>
      <c r="G1857" s="8">
        <v>78.09</v>
      </c>
      <c r="H1857" s="11">
        <v>56.3</v>
      </c>
      <c r="I1857" s="8">
        <v>34.130000000000003</v>
      </c>
      <c r="J1857" s="3">
        <v>45770</v>
      </c>
      <c r="K1857" s="14">
        <v>20</v>
      </c>
      <c r="L1857" s="17">
        <v>1.3</v>
      </c>
      <c r="M1857" s="2" t="b">
        <v>0</v>
      </c>
      <c r="N1857" s="2"/>
      <c r="O1857" s="2" t="str">
        <f>IF(Table1[[#This Row],[is_returned]]=TRUE,IF(Table1[[#This Row],[return_reason]]="","Error","OK"),"OK")</f>
        <v>OK</v>
      </c>
      <c r="P1857" s="8">
        <f>Table1[[#This Row],[original_price]]*Table1[[#This Row],[markdown_percentage]]/100</f>
        <v>43.964669999999998</v>
      </c>
      <c r="Q185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857" s="25">
        <f>Table1[[#This Row],[current_price]]*Table1[[#This Row],[stock_quantity]]</f>
        <v>682.6</v>
      </c>
    </row>
    <row r="1858" spans="1:18" x14ac:dyDescent="0.25">
      <c r="A1858" s="2" t="s">
        <v>1911</v>
      </c>
      <c r="B1858" s="2" t="s">
        <v>38</v>
      </c>
      <c r="C1858" s="2" t="s">
        <v>43</v>
      </c>
      <c r="D1858" s="2" t="s">
        <v>62</v>
      </c>
      <c r="E1858" s="2" t="s">
        <v>49</v>
      </c>
      <c r="F1858" s="2" t="s">
        <v>64</v>
      </c>
      <c r="G1858" s="8">
        <v>108.89</v>
      </c>
      <c r="H1858" s="11">
        <v>0</v>
      </c>
      <c r="I1858" s="8">
        <v>108.89</v>
      </c>
      <c r="J1858" s="3">
        <v>45875</v>
      </c>
      <c r="K1858" s="14">
        <v>50</v>
      </c>
      <c r="L1858" s="17">
        <v>2.9</v>
      </c>
      <c r="M1858" s="2" t="b">
        <v>0</v>
      </c>
      <c r="N1858" s="2"/>
      <c r="O1858" s="2" t="str">
        <f>IF(Table1[[#This Row],[is_returned]]=TRUE,IF(Table1[[#This Row],[return_reason]]="","Error","OK"),"OK")</f>
        <v>OK</v>
      </c>
      <c r="P1858" s="8">
        <f>Table1[[#This Row],[original_price]]*Table1[[#This Row],[markdown_percentage]]/100</f>
        <v>0</v>
      </c>
      <c r="Q185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858" s="25">
        <f>Table1[[#This Row],[current_price]]*Table1[[#This Row],[stock_quantity]]</f>
        <v>5444.5</v>
      </c>
    </row>
    <row r="1859" spans="1:18" x14ac:dyDescent="0.25">
      <c r="A1859" s="2" t="s">
        <v>1912</v>
      </c>
      <c r="B1859" s="2" t="s">
        <v>38</v>
      </c>
      <c r="C1859" s="2" t="s">
        <v>53</v>
      </c>
      <c r="D1859" s="2" t="s">
        <v>17</v>
      </c>
      <c r="E1859" s="2"/>
      <c r="F1859" s="2" t="s">
        <v>40</v>
      </c>
      <c r="G1859" s="8">
        <v>35.21</v>
      </c>
      <c r="H1859" s="11">
        <v>14.7</v>
      </c>
      <c r="I1859" s="8">
        <v>30.03</v>
      </c>
      <c r="J1859" s="3">
        <v>45649</v>
      </c>
      <c r="K1859" s="14">
        <v>15</v>
      </c>
      <c r="L1859" s="17">
        <v>3.1</v>
      </c>
      <c r="M1859" s="2" t="b">
        <v>1</v>
      </c>
      <c r="N1859" s="2" t="s">
        <v>83</v>
      </c>
      <c r="O1859" s="2" t="str">
        <f>IF(Table1[[#This Row],[is_returned]]=TRUE,IF(Table1[[#This Row],[return_reason]]="","Error","OK"),"OK")</f>
        <v>OK</v>
      </c>
      <c r="P1859" s="8">
        <f>Table1[[#This Row],[original_price]]*Table1[[#This Row],[markdown_percentage]]/100</f>
        <v>5.1758699999999997</v>
      </c>
      <c r="Q185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859" s="25">
        <f>Table1[[#This Row],[current_price]]*Table1[[#This Row],[stock_quantity]]</f>
        <v>450.45000000000005</v>
      </c>
    </row>
    <row r="1860" spans="1:18" x14ac:dyDescent="0.25">
      <c r="A1860" s="2" t="s">
        <v>1913</v>
      </c>
      <c r="B1860" s="2" t="s">
        <v>42</v>
      </c>
      <c r="C1860" s="2" t="s">
        <v>61</v>
      </c>
      <c r="D1860" s="2" t="s">
        <v>62</v>
      </c>
      <c r="E1860" s="2" t="s">
        <v>49</v>
      </c>
      <c r="F1860" s="2" t="s">
        <v>70</v>
      </c>
      <c r="G1860" s="8">
        <v>129.16</v>
      </c>
      <c r="H1860" s="11">
        <v>34</v>
      </c>
      <c r="I1860" s="8">
        <v>85.25</v>
      </c>
      <c r="J1860" s="3">
        <v>45875</v>
      </c>
      <c r="K1860" s="14">
        <v>24</v>
      </c>
      <c r="L1860" s="17">
        <v>1.7</v>
      </c>
      <c r="M1860" s="2" t="b">
        <v>0</v>
      </c>
      <c r="N1860" s="2"/>
      <c r="O1860" s="2" t="str">
        <f>IF(Table1[[#This Row],[is_returned]]=TRUE,IF(Table1[[#This Row],[return_reason]]="","Error","OK"),"OK")</f>
        <v>OK</v>
      </c>
      <c r="P1860" s="8">
        <f>Table1[[#This Row],[original_price]]*Table1[[#This Row],[markdown_percentage]]/100</f>
        <v>43.914399999999993</v>
      </c>
      <c r="Q186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860" s="25">
        <f>Table1[[#This Row],[current_price]]*Table1[[#This Row],[stock_quantity]]</f>
        <v>2046</v>
      </c>
    </row>
    <row r="1861" spans="1:18" x14ac:dyDescent="0.25">
      <c r="A1861" s="2" t="s">
        <v>1914</v>
      </c>
      <c r="B1861" s="2" t="s">
        <v>42</v>
      </c>
      <c r="C1861" s="2" t="s">
        <v>53</v>
      </c>
      <c r="D1861" s="2" t="s">
        <v>62</v>
      </c>
      <c r="E1861" s="2" t="s">
        <v>39</v>
      </c>
      <c r="F1861" s="2" t="s">
        <v>40</v>
      </c>
      <c r="G1861" s="8">
        <v>142.43</v>
      </c>
      <c r="H1861" s="11">
        <v>0</v>
      </c>
      <c r="I1861" s="8">
        <v>142.43</v>
      </c>
      <c r="J1861" s="3">
        <v>45875</v>
      </c>
      <c r="K1861" s="14">
        <v>15</v>
      </c>
      <c r="L1861" s="17">
        <v>4.0999999999999996</v>
      </c>
      <c r="M1861" s="2" t="b">
        <v>1</v>
      </c>
      <c r="N1861" s="2" t="s">
        <v>73</v>
      </c>
      <c r="O1861" s="2" t="str">
        <f>IF(Table1[[#This Row],[is_returned]]=TRUE,IF(Table1[[#This Row],[return_reason]]="","Error","OK"),"OK")</f>
        <v>OK</v>
      </c>
      <c r="P1861" s="8">
        <f>Table1[[#This Row],[original_price]]*Table1[[#This Row],[markdown_percentage]]/100</f>
        <v>0</v>
      </c>
      <c r="Q186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861" s="25">
        <f>Table1[[#This Row],[current_price]]*Table1[[#This Row],[stock_quantity]]</f>
        <v>2136.4500000000003</v>
      </c>
    </row>
    <row r="1862" spans="1:18" x14ac:dyDescent="0.25">
      <c r="A1862" s="2" t="s">
        <v>1915</v>
      </c>
      <c r="B1862" s="2" t="s">
        <v>27</v>
      </c>
      <c r="C1862" s="2" t="s">
        <v>75</v>
      </c>
      <c r="D1862" s="2" t="s">
        <v>17</v>
      </c>
      <c r="E1862" s="2"/>
      <c r="F1862" s="2" t="s">
        <v>64</v>
      </c>
      <c r="G1862" s="8">
        <v>45.19</v>
      </c>
      <c r="H1862" s="11">
        <v>0</v>
      </c>
      <c r="I1862" s="8">
        <v>45.19</v>
      </c>
      <c r="J1862" s="3">
        <v>45716</v>
      </c>
      <c r="K1862" s="14">
        <v>38</v>
      </c>
      <c r="L1862" s="17">
        <v>1.6</v>
      </c>
      <c r="M1862" s="2" t="b">
        <v>1</v>
      </c>
      <c r="N1862" s="2" t="s">
        <v>125</v>
      </c>
      <c r="O1862" s="2" t="str">
        <f>IF(Table1[[#This Row],[is_returned]]=TRUE,IF(Table1[[#This Row],[return_reason]]="","Error","OK"),"OK")</f>
        <v>OK</v>
      </c>
      <c r="P1862" s="8">
        <f>Table1[[#This Row],[original_price]]*Table1[[#This Row],[markdown_percentage]]/100</f>
        <v>0</v>
      </c>
      <c r="Q186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862" s="25">
        <f>Table1[[#This Row],[current_price]]*Table1[[#This Row],[stock_quantity]]</f>
        <v>1717.2199999999998</v>
      </c>
    </row>
    <row r="1863" spans="1:18" x14ac:dyDescent="0.25">
      <c r="A1863" s="2" t="s">
        <v>1916</v>
      </c>
      <c r="B1863" s="2" t="s">
        <v>38</v>
      </c>
      <c r="C1863" s="2" t="s">
        <v>48</v>
      </c>
      <c r="D1863" s="2" t="s">
        <v>34</v>
      </c>
      <c r="E1863" s="2" t="s">
        <v>39</v>
      </c>
      <c r="F1863" s="2" t="s">
        <v>66</v>
      </c>
      <c r="G1863" s="8">
        <v>47.66</v>
      </c>
      <c r="H1863" s="11">
        <v>0</v>
      </c>
      <c r="I1863" s="8">
        <v>47.66</v>
      </c>
      <c r="J1863" s="3">
        <v>45875</v>
      </c>
      <c r="K1863" s="14">
        <v>0</v>
      </c>
      <c r="L1863" s="17">
        <v>4.8</v>
      </c>
      <c r="M1863" s="2" t="b">
        <v>1</v>
      </c>
      <c r="N1863" s="2" t="s">
        <v>73</v>
      </c>
      <c r="O1863" s="2" t="str">
        <f>IF(Table1[[#This Row],[is_returned]]=TRUE,IF(Table1[[#This Row],[return_reason]]="","Error","OK"),"OK")</f>
        <v>OK</v>
      </c>
      <c r="P1863" s="8">
        <f>Table1[[#This Row],[original_price]]*Table1[[#This Row],[markdown_percentage]]/100</f>
        <v>0</v>
      </c>
      <c r="Q186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863" s="25">
        <f>Table1[[#This Row],[current_price]]*Table1[[#This Row],[stock_quantity]]</f>
        <v>0</v>
      </c>
    </row>
    <row r="1864" spans="1:18" x14ac:dyDescent="0.25">
      <c r="A1864" s="2" t="s">
        <v>1917</v>
      </c>
      <c r="B1864" s="2" t="s">
        <v>38</v>
      </c>
      <c r="C1864" s="2" t="s">
        <v>22</v>
      </c>
      <c r="D1864" s="2" t="s">
        <v>62</v>
      </c>
      <c r="E1864" s="2" t="s">
        <v>55</v>
      </c>
      <c r="F1864" s="2" t="s">
        <v>56</v>
      </c>
      <c r="G1864" s="8">
        <v>115.05</v>
      </c>
      <c r="H1864" s="11">
        <v>40</v>
      </c>
      <c r="I1864" s="8">
        <v>69.03</v>
      </c>
      <c r="J1864" s="3">
        <v>45875</v>
      </c>
      <c r="K1864" s="14">
        <v>48</v>
      </c>
      <c r="L1864" s="17">
        <v>3.1</v>
      </c>
      <c r="M1864" s="2" t="b">
        <v>0</v>
      </c>
      <c r="N1864" s="2"/>
      <c r="O1864" s="2" t="str">
        <f>IF(Table1[[#This Row],[is_returned]]=TRUE,IF(Table1[[#This Row],[return_reason]]="","Error","OK"),"OK")</f>
        <v>OK</v>
      </c>
      <c r="P1864" s="8">
        <f>Table1[[#This Row],[original_price]]*Table1[[#This Row],[markdown_percentage]]/100</f>
        <v>46.02</v>
      </c>
      <c r="Q186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864" s="25">
        <f>Table1[[#This Row],[current_price]]*Table1[[#This Row],[stock_quantity]]</f>
        <v>3313.44</v>
      </c>
    </row>
    <row r="1865" spans="1:18" x14ac:dyDescent="0.25">
      <c r="A1865" s="2" t="s">
        <v>1918</v>
      </c>
      <c r="B1865" s="2" t="s">
        <v>38</v>
      </c>
      <c r="C1865" s="2" t="s">
        <v>32</v>
      </c>
      <c r="D1865" s="2" t="s">
        <v>62</v>
      </c>
      <c r="E1865" s="2" t="s">
        <v>18</v>
      </c>
      <c r="F1865" s="2" t="s">
        <v>70</v>
      </c>
      <c r="G1865" s="8">
        <v>87.84</v>
      </c>
      <c r="H1865" s="11">
        <v>0</v>
      </c>
      <c r="I1865" s="8">
        <v>87.84</v>
      </c>
      <c r="J1865" s="3">
        <v>45875</v>
      </c>
      <c r="K1865" s="14">
        <v>29</v>
      </c>
      <c r="L1865" s="17">
        <v>1.3</v>
      </c>
      <c r="M1865" s="2" t="b">
        <v>0</v>
      </c>
      <c r="N1865" s="2"/>
      <c r="O1865" s="2" t="str">
        <f>IF(Table1[[#This Row],[is_returned]]=TRUE,IF(Table1[[#This Row],[return_reason]]="","Error","OK"),"OK")</f>
        <v>OK</v>
      </c>
      <c r="P1865" s="8">
        <f>Table1[[#This Row],[original_price]]*Table1[[#This Row],[markdown_percentage]]/100</f>
        <v>0</v>
      </c>
      <c r="Q186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865" s="25">
        <f>Table1[[#This Row],[current_price]]*Table1[[#This Row],[stock_quantity]]</f>
        <v>2547.36</v>
      </c>
    </row>
    <row r="1866" spans="1:18" x14ac:dyDescent="0.25">
      <c r="A1866" s="2" t="s">
        <v>1919</v>
      </c>
      <c r="B1866" s="2" t="s">
        <v>42</v>
      </c>
      <c r="C1866" s="2" t="s">
        <v>75</v>
      </c>
      <c r="D1866" s="2" t="s">
        <v>34</v>
      </c>
      <c r="E1866" s="2" t="s">
        <v>39</v>
      </c>
      <c r="F1866" s="2" t="s">
        <v>44</v>
      </c>
      <c r="G1866" s="8">
        <v>73.42</v>
      </c>
      <c r="H1866" s="11">
        <v>35</v>
      </c>
      <c r="I1866" s="8">
        <v>47.72</v>
      </c>
      <c r="J1866" s="3">
        <v>45875</v>
      </c>
      <c r="K1866" s="14">
        <v>44</v>
      </c>
      <c r="L1866" s="17"/>
      <c r="M1866" s="2" t="b">
        <v>0</v>
      </c>
      <c r="N1866" s="2"/>
      <c r="O1866" s="2" t="str">
        <f>IF(Table1[[#This Row],[is_returned]]=TRUE,IF(Table1[[#This Row],[return_reason]]="","Error","OK"),"OK")</f>
        <v>OK</v>
      </c>
      <c r="P1866" s="8">
        <f>Table1[[#This Row],[original_price]]*Table1[[#This Row],[markdown_percentage]]/100</f>
        <v>25.697000000000003</v>
      </c>
      <c r="Q186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866" s="25">
        <f>Table1[[#This Row],[current_price]]*Table1[[#This Row],[stock_quantity]]</f>
        <v>2099.6799999999998</v>
      </c>
    </row>
    <row r="1867" spans="1:18" x14ac:dyDescent="0.25">
      <c r="A1867" s="2" t="s">
        <v>1920</v>
      </c>
      <c r="B1867" s="2" t="s">
        <v>30</v>
      </c>
      <c r="C1867" s="2" t="s">
        <v>61</v>
      </c>
      <c r="D1867" s="2" t="s">
        <v>34</v>
      </c>
      <c r="E1867" s="2" t="s">
        <v>24</v>
      </c>
      <c r="F1867" s="2" t="s">
        <v>64</v>
      </c>
      <c r="G1867" s="8">
        <v>181.58</v>
      </c>
      <c r="H1867" s="11">
        <v>21.6</v>
      </c>
      <c r="I1867" s="8">
        <v>142.36000000000001</v>
      </c>
      <c r="J1867" s="3">
        <v>45875</v>
      </c>
      <c r="K1867" s="14">
        <v>14</v>
      </c>
      <c r="L1867" s="17">
        <v>4.7</v>
      </c>
      <c r="M1867" s="2" t="b">
        <v>0</v>
      </c>
      <c r="N1867" s="2"/>
      <c r="O1867" s="2" t="str">
        <f>IF(Table1[[#This Row],[is_returned]]=TRUE,IF(Table1[[#This Row],[return_reason]]="","Error","OK"),"OK")</f>
        <v>OK</v>
      </c>
      <c r="P1867" s="8">
        <f>Table1[[#This Row],[original_price]]*Table1[[#This Row],[markdown_percentage]]/100</f>
        <v>39.221280000000007</v>
      </c>
      <c r="Q186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867" s="25">
        <f>Table1[[#This Row],[current_price]]*Table1[[#This Row],[stock_quantity]]</f>
        <v>1993.0400000000002</v>
      </c>
    </row>
    <row r="1868" spans="1:18" x14ac:dyDescent="0.25">
      <c r="A1868" s="2" t="s">
        <v>1921</v>
      </c>
      <c r="B1868" s="2" t="s">
        <v>21</v>
      </c>
      <c r="C1868" s="2" t="s">
        <v>48</v>
      </c>
      <c r="D1868" s="2" t="s">
        <v>17</v>
      </c>
      <c r="E1868" s="2" t="s">
        <v>24</v>
      </c>
      <c r="F1868" s="2" t="s">
        <v>28</v>
      </c>
      <c r="G1868" s="8">
        <v>71.680000000000007</v>
      </c>
      <c r="H1868" s="11">
        <v>0</v>
      </c>
      <c r="I1868" s="8">
        <v>71.680000000000007</v>
      </c>
      <c r="J1868" s="3">
        <v>45874</v>
      </c>
      <c r="K1868" s="14">
        <v>0</v>
      </c>
      <c r="L1868" s="17">
        <v>1.5</v>
      </c>
      <c r="M1868" s="2" t="b">
        <v>0</v>
      </c>
      <c r="N1868" s="2"/>
      <c r="O1868" s="2" t="str">
        <f>IF(Table1[[#This Row],[is_returned]]=TRUE,IF(Table1[[#This Row],[return_reason]]="","Error","OK"),"OK")</f>
        <v>OK</v>
      </c>
      <c r="P1868" s="8">
        <f>Table1[[#This Row],[original_price]]*Table1[[#This Row],[markdown_percentage]]/100</f>
        <v>0</v>
      </c>
      <c r="Q186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868" s="25">
        <f>Table1[[#This Row],[current_price]]*Table1[[#This Row],[stock_quantity]]</f>
        <v>0</v>
      </c>
    </row>
    <row r="1869" spans="1:18" x14ac:dyDescent="0.25">
      <c r="A1869" s="2" t="s">
        <v>1922</v>
      </c>
      <c r="B1869" s="2" t="s">
        <v>21</v>
      </c>
      <c r="C1869" s="2" t="s">
        <v>32</v>
      </c>
      <c r="D1869" s="2" t="s">
        <v>23</v>
      </c>
      <c r="E1869" s="2" t="s">
        <v>49</v>
      </c>
      <c r="F1869" s="2" t="s">
        <v>56</v>
      </c>
      <c r="G1869" s="8">
        <v>25.63</v>
      </c>
      <c r="H1869" s="11">
        <v>0</v>
      </c>
      <c r="I1869" s="8">
        <v>25.63</v>
      </c>
      <c r="J1869" s="3">
        <v>45875</v>
      </c>
      <c r="K1869" s="14">
        <v>27</v>
      </c>
      <c r="L1869" s="17">
        <v>1.2</v>
      </c>
      <c r="M1869" s="2" t="b">
        <v>0</v>
      </c>
      <c r="N1869" s="2"/>
      <c r="O1869" s="2" t="str">
        <f>IF(Table1[[#This Row],[is_returned]]=TRUE,IF(Table1[[#This Row],[return_reason]]="","Error","OK"),"OK")</f>
        <v>OK</v>
      </c>
      <c r="P1869" s="8">
        <f>Table1[[#This Row],[original_price]]*Table1[[#This Row],[markdown_percentage]]/100</f>
        <v>0</v>
      </c>
      <c r="Q186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869" s="25">
        <f>Table1[[#This Row],[current_price]]*Table1[[#This Row],[stock_quantity]]</f>
        <v>692.01</v>
      </c>
    </row>
    <row r="1870" spans="1:18" x14ac:dyDescent="0.25">
      <c r="A1870" s="2" t="s">
        <v>1923</v>
      </c>
      <c r="B1870" s="2" t="s">
        <v>21</v>
      </c>
      <c r="C1870" s="2" t="s">
        <v>75</v>
      </c>
      <c r="D1870" s="2" t="s">
        <v>23</v>
      </c>
      <c r="E1870" s="2"/>
      <c r="F1870" s="2" t="s">
        <v>70</v>
      </c>
      <c r="G1870" s="8">
        <v>31.34</v>
      </c>
      <c r="H1870" s="11">
        <v>48.5</v>
      </c>
      <c r="I1870" s="8">
        <v>16.14</v>
      </c>
      <c r="J1870" s="3">
        <v>45875</v>
      </c>
      <c r="K1870" s="14">
        <v>36</v>
      </c>
      <c r="L1870" s="17">
        <v>1.6</v>
      </c>
      <c r="M1870" s="2" t="b">
        <v>1</v>
      </c>
      <c r="N1870" s="2" t="s">
        <v>73</v>
      </c>
      <c r="O1870" s="2" t="str">
        <f>IF(Table1[[#This Row],[is_returned]]=TRUE,IF(Table1[[#This Row],[return_reason]]="","Error","OK"),"OK")</f>
        <v>OK</v>
      </c>
      <c r="P1870" s="8">
        <f>Table1[[#This Row],[original_price]]*Table1[[#This Row],[markdown_percentage]]/100</f>
        <v>15.1999</v>
      </c>
      <c r="Q187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870" s="25">
        <f>Table1[[#This Row],[current_price]]*Table1[[#This Row],[stock_quantity]]</f>
        <v>581.04</v>
      </c>
    </row>
    <row r="1871" spans="1:18" x14ac:dyDescent="0.25">
      <c r="A1871" s="2" t="s">
        <v>1924</v>
      </c>
      <c r="B1871" s="2" t="s">
        <v>42</v>
      </c>
      <c r="C1871" s="2" t="s">
        <v>48</v>
      </c>
      <c r="D1871" s="2" t="s">
        <v>34</v>
      </c>
      <c r="E1871" s="2" t="s">
        <v>24</v>
      </c>
      <c r="F1871" s="2" t="s">
        <v>56</v>
      </c>
      <c r="G1871" s="8">
        <v>98.91</v>
      </c>
      <c r="H1871" s="11">
        <v>33.799999999999997</v>
      </c>
      <c r="I1871" s="8">
        <v>65.48</v>
      </c>
      <c r="J1871" s="3">
        <v>45875</v>
      </c>
      <c r="K1871" s="14">
        <v>33</v>
      </c>
      <c r="L1871" s="17"/>
      <c r="M1871" s="2" t="b">
        <v>1</v>
      </c>
      <c r="N1871" s="2" t="s">
        <v>36</v>
      </c>
      <c r="O1871" s="2" t="str">
        <f>IF(Table1[[#This Row],[is_returned]]=TRUE,IF(Table1[[#This Row],[return_reason]]="","Error","OK"),"OK")</f>
        <v>OK</v>
      </c>
      <c r="P1871" s="8">
        <f>Table1[[#This Row],[original_price]]*Table1[[#This Row],[markdown_percentage]]/100</f>
        <v>33.431579999999997</v>
      </c>
      <c r="Q187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871" s="25">
        <f>Table1[[#This Row],[current_price]]*Table1[[#This Row],[stock_quantity]]</f>
        <v>2160.84</v>
      </c>
    </row>
    <row r="1872" spans="1:18" x14ac:dyDescent="0.25">
      <c r="A1872" s="2" t="s">
        <v>1925</v>
      </c>
      <c r="B1872" s="2" t="s">
        <v>27</v>
      </c>
      <c r="C1872" s="2" t="s">
        <v>16</v>
      </c>
      <c r="D1872" s="2" t="s">
        <v>23</v>
      </c>
      <c r="E1872" s="2"/>
      <c r="F1872" s="2" t="s">
        <v>19</v>
      </c>
      <c r="G1872" s="8">
        <v>43.33</v>
      </c>
      <c r="H1872" s="11">
        <v>7.8</v>
      </c>
      <c r="I1872" s="8">
        <v>39.950000000000003</v>
      </c>
      <c r="J1872" s="3">
        <v>45875</v>
      </c>
      <c r="K1872" s="14">
        <v>4</v>
      </c>
      <c r="L1872" s="17">
        <v>1.3</v>
      </c>
      <c r="M1872" s="2" t="b">
        <v>0</v>
      </c>
      <c r="N1872" s="2"/>
      <c r="O1872" s="2" t="str">
        <f>IF(Table1[[#This Row],[is_returned]]=TRUE,IF(Table1[[#This Row],[return_reason]]="","Error","OK"),"OK")</f>
        <v>OK</v>
      </c>
      <c r="P1872" s="8">
        <f>Table1[[#This Row],[original_price]]*Table1[[#This Row],[markdown_percentage]]/100</f>
        <v>3.37974</v>
      </c>
      <c r="Q187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872" s="25">
        <f>Table1[[#This Row],[current_price]]*Table1[[#This Row],[stock_quantity]]</f>
        <v>159.80000000000001</v>
      </c>
    </row>
    <row r="1873" spans="1:18" x14ac:dyDescent="0.25">
      <c r="A1873" s="2" t="s">
        <v>1926</v>
      </c>
      <c r="B1873" s="2" t="s">
        <v>30</v>
      </c>
      <c r="C1873" s="2" t="s">
        <v>61</v>
      </c>
      <c r="D1873" s="2" t="s">
        <v>62</v>
      </c>
      <c r="E1873" s="2" t="s">
        <v>58</v>
      </c>
      <c r="F1873" s="2" t="s">
        <v>28</v>
      </c>
      <c r="G1873" s="8">
        <v>70.709999999999994</v>
      </c>
      <c r="H1873" s="11">
        <v>0</v>
      </c>
      <c r="I1873" s="8">
        <v>70.709999999999994</v>
      </c>
      <c r="J1873" s="3">
        <v>45875</v>
      </c>
      <c r="K1873" s="14">
        <v>8</v>
      </c>
      <c r="L1873" s="17">
        <v>2.2999999999999998</v>
      </c>
      <c r="M1873" s="2" t="b">
        <v>0</v>
      </c>
      <c r="N1873" s="2"/>
      <c r="O1873" s="2" t="str">
        <f>IF(Table1[[#This Row],[is_returned]]=TRUE,IF(Table1[[#This Row],[return_reason]]="","Error","OK"),"OK")</f>
        <v>OK</v>
      </c>
      <c r="P1873" s="8">
        <f>Table1[[#This Row],[original_price]]*Table1[[#This Row],[markdown_percentage]]/100</f>
        <v>0</v>
      </c>
      <c r="Q187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873" s="25">
        <f>Table1[[#This Row],[current_price]]*Table1[[#This Row],[stock_quantity]]</f>
        <v>565.67999999999995</v>
      </c>
    </row>
    <row r="1874" spans="1:18" x14ac:dyDescent="0.25">
      <c r="A1874" s="2" t="s">
        <v>1927</v>
      </c>
      <c r="B1874" s="2" t="s">
        <v>15</v>
      </c>
      <c r="C1874" s="2" t="s">
        <v>48</v>
      </c>
      <c r="D1874" s="2" t="s">
        <v>23</v>
      </c>
      <c r="E1874" s="2" t="s">
        <v>39</v>
      </c>
      <c r="F1874" s="2" t="s">
        <v>66</v>
      </c>
      <c r="G1874" s="8">
        <v>215.99</v>
      </c>
      <c r="H1874" s="11">
        <v>38.1</v>
      </c>
      <c r="I1874" s="8">
        <v>133.69999999999999</v>
      </c>
      <c r="J1874" s="3">
        <v>45875</v>
      </c>
      <c r="K1874" s="14">
        <v>14</v>
      </c>
      <c r="L1874" s="17">
        <v>3.9</v>
      </c>
      <c r="M1874" s="2" t="b">
        <v>0</v>
      </c>
      <c r="N1874" s="2"/>
      <c r="O1874" s="2" t="str">
        <f>IF(Table1[[#This Row],[is_returned]]=TRUE,IF(Table1[[#This Row],[return_reason]]="","Error","OK"),"OK")</f>
        <v>OK</v>
      </c>
      <c r="P1874" s="8">
        <f>Table1[[#This Row],[original_price]]*Table1[[#This Row],[markdown_percentage]]/100</f>
        <v>82.292190000000005</v>
      </c>
      <c r="Q187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874" s="25">
        <f>Table1[[#This Row],[current_price]]*Table1[[#This Row],[stock_quantity]]</f>
        <v>1871.7999999999997</v>
      </c>
    </row>
    <row r="1875" spans="1:18" x14ac:dyDescent="0.25">
      <c r="A1875" s="2" t="s">
        <v>1928</v>
      </c>
      <c r="B1875" s="2" t="s">
        <v>42</v>
      </c>
      <c r="C1875" s="2" t="s">
        <v>32</v>
      </c>
      <c r="D1875" s="2" t="s">
        <v>23</v>
      </c>
      <c r="E1875" s="2" t="s">
        <v>18</v>
      </c>
      <c r="F1875" s="2" t="s">
        <v>46</v>
      </c>
      <c r="G1875" s="8">
        <v>145.57</v>
      </c>
      <c r="H1875" s="11">
        <v>5.0999999999999996</v>
      </c>
      <c r="I1875" s="8">
        <v>138.15</v>
      </c>
      <c r="J1875" s="3">
        <v>45875</v>
      </c>
      <c r="K1875" s="14">
        <v>8</v>
      </c>
      <c r="L1875" s="17">
        <v>4.4000000000000004</v>
      </c>
      <c r="M1875" s="2" t="b">
        <v>0</v>
      </c>
      <c r="N1875" s="2"/>
      <c r="O1875" s="2" t="str">
        <f>IF(Table1[[#This Row],[is_returned]]=TRUE,IF(Table1[[#This Row],[return_reason]]="","Error","OK"),"OK")</f>
        <v>OK</v>
      </c>
      <c r="P1875" s="8">
        <f>Table1[[#This Row],[original_price]]*Table1[[#This Row],[markdown_percentage]]/100</f>
        <v>7.4240699999999995</v>
      </c>
      <c r="Q187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875" s="25">
        <f>Table1[[#This Row],[current_price]]*Table1[[#This Row],[stock_quantity]]</f>
        <v>1105.2</v>
      </c>
    </row>
    <row r="1876" spans="1:18" x14ac:dyDescent="0.25">
      <c r="A1876" s="2" t="s">
        <v>1929</v>
      </c>
      <c r="B1876" s="2" t="s">
        <v>30</v>
      </c>
      <c r="C1876" s="2" t="s">
        <v>32</v>
      </c>
      <c r="D1876" s="2" t="s">
        <v>34</v>
      </c>
      <c r="E1876" s="2" t="s">
        <v>55</v>
      </c>
      <c r="F1876" s="2" t="s">
        <v>64</v>
      </c>
      <c r="G1876" s="8">
        <v>195.03</v>
      </c>
      <c r="H1876" s="11">
        <v>0</v>
      </c>
      <c r="I1876" s="8">
        <v>195.03</v>
      </c>
      <c r="J1876" s="3">
        <v>45875</v>
      </c>
      <c r="K1876" s="14">
        <v>44</v>
      </c>
      <c r="L1876" s="17">
        <v>4.4000000000000004</v>
      </c>
      <c r="M1876" s="2" t="b">
        <v>0</v>
      </c>
      <c r="N1876" s="2"/>
      <c r="O1876" s="2" t="str">
        <f>IF(Table1[[#This Row],[is_returned]]=TRUE,IF(Table1[[#This Row],[return_reason]]="","Error","OK"),"OK")</f>
        <v>OK</v>
      </c>
      <c r="P1876" s="8">
        <f>Table1[[#This Row],[original_price]]*Table1[[#This Row],[markdown_percentage]]/100</f>
        <v>0</v>
      </c>
      <c r="Q187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876" s="25">
        <f>Table1[[#This Row],[current_price]]*Table1[[#This Row],[stock_quantity]]</f>
        <v>8581.32</v>
      </c>
    </row>
    <row r="1877" spans="1:18" x14ac:dyDescent="0.25">
      <c r="A1877" s="2" t="s">
        <v>1930</v>
      </c>
      <c r="B1877" s="2" t="s">
        <v>38</v>
      </c>
      <c r="C1877" s="2" t="s">
        <v>53</v>
      </c>
      <c r="D1877" s="2" t="s">
        <v>23</v>
      </c>
      <c r="E1877" s="2" t="s">
        <v>55</v>
      </c>
      <c r="F1877" s="2" t="s">
        <v>28</v>
      </c>
      <c r="G1877" s="8">
        <v>74.88</v>
      </c>
      <c r="H1877" s="11">
        <v>9.6999999999999993</v>
      </c>
      <c r="I1877" s="8">
        <v>67.62</v>
      </c>
      <c r="J1877" s="3">
        <v>45875</v>
      </c>
      <c r="K1877" s="14">
        <v>23</v>
      </c>
      <c r="L1877" s="17">
        <v>2.6</v>
      </c>
      <c r="M1877" s="2" t="b">
        <v>0</v>
      </c>
      <c r="N1877" s="2"/>
      <c r="O1877" s="2" t="str">
        <f>IF(Table1[[#This Row],[is_returned]]=TRUE,IF(Table1[[#This Row],[return_reason]]="","Error","OK"),"OK")</f>
        <v>OK</v>
      </c>
      <c r="P1877" s="8">
        <f>Table1[[#This Row],[original_price]]*Table1[[#This Row],[markdown_percentage]]/100</f>
        <v>7.2633599999999987</v>
      </c>
      <c r="Q187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877" s="25">
        <f>Table1[[#This Row],[current_price]]*Table1[[#This Row],[stock_quantity]]</f>
        <v>1555.2600000000002</v>
      </c>
    </row>
    <row r="1878" spans="1:18" x14ac:dyDescent="0.25">
      <c r="A1878" s="2" t="s">
        <v>1931</v>
      </c>
      <c r="B1878" s="2" t="s">
        <v>21</v>
      </c>
      <c r="C1878" s="2" t="s">
        <v>61</v>
      </c>
      <c r="D1878" s="2" t="s">
        <v>17</v>
      </c>
      <c r="E1878" s="2" t="s">
        <v>24</v>
      </c>
      <c r="F1878" s="2" t="s">
        <v>25</v>
      </c>
      <c r="G1878" s="8">
        <v>50.3</v>
      </c>
      <c r="H1878" s="11">
        <v>0</v>
      </c>
      <c r="I1878" s="8">
        <v>50.3</v>
      </c>
      <c r="J1878" s="3">
        <v>45522</v>
      </c>
      <c r="K1878" s="14">
        <v>23</v>
      </c>
      <c r="L1878" s="17">
        <v>1.3</v>
      </c>
      <c r="M1878" s="2" t="b">
        <v>0</v>
      </c>
      <c r="N1878" s="2"/>
      <c r="O1878" s="2" t="str">
        <f>IF(Table1[[#This Row],[is_returned]]=TRUE,IF(Table1[[#This Row],[return_reason]]="","Error","OK"),"OK")</f>
        <v>OK</v>
      </c>
      <c r="P1878" s="8">
        <f>Table1[[#This Row],[original_price]]*Table1[[#This Row],[markdown_percentage]]/100</f>
        <v>0</v>
      </c>
      <c r="Q187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878" s="25">
        <f>Table1[[#This Row],[current_price]]*Table1[[#This Row],[stock_quantity]]</f>
        <v>1156.8999999999999</v>
      </c>
    </row>
    <row r="1879" spans="1:18" x14ac:dyDescent="0.25">
      <c r="A1879" s="2" t="s">
        <v>1932</v>
      </c>
      <c r="B1879" s="2" t="s">
        <v>15</v>
      </c>
      <c r="C1879" s="2" t="s">
        <v>53</v>
      </c>
      <c r="D1879" s="2" t="s">
        <v>62</v>
      </c>
      <c r="E1879" s="2" t="s">
        <v>49</v>
      </c>
      <c r="F1879" s="2" t="s">
        <v>19</v>
      </c>
      <c r="G1879" s="8">
        <v>130.65</v>
      </c>
      <c r="H1879" s="11">
        <v>0</v>
      </c>
      <c r="I1879" s="8">
        <v>130.65</v>
      </c>
      <c r="J1879" s="3">
        <v>45875</v>
      </c>
      <c r="K1879" s="14">
        <v>20</v>
      </c>
      <c r="L1879" s="17">
        <v>2.6</v>
      </c>
      <c r="M1879" s="2" t="b">
        <v>0</v>
      </c>
      <c r="N1879" s="2"/>
      <c r="O1879" s="2" t="str">
        <f>IF(Table1[[#This Row],[is_returned]]=TRUE,IF(Table1[[#This Row],[return_reason]]="","Error","OK"),"OK")</f>
        <v>OK</v>
      </c>
      <c r="P1879" s="8">
        <f>Table1[[#This Row],[original_price]]*Table1[[#This Row],[markdown_percentage]]/100</f>
        <v>0</v>
      </c>
      <c r="Q187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879" s="25">
        <f>Table1[[#This Row],[current_price]]*Table1[[#This Row],[stock_quantity]]</f>
        <v>2613</v>
      </c>
    </row>
    <row r="1880" spans="1:18" x14ac:dyDescent="0.25">
      <c r="A1880" s="2" t="s">
        <v>1933</v>
      </c>
      <c r="B1880" s="2" t="s">
        <v>42</v>
      </c>
      <c r="C1880" s="2" t="s">
        <v>75</v>
      </c>
      <c r="D1880" s="2" t="s">
        <v>17</v>
      </c>
      <c r="E1880" s="2" t="s">
        <v>49</v>
      </c>
      <c r="F1880" s="2" t="s">
        <v>46</v>
      </c>
      <c r="G1880" s="8">
        <v>94.56</v>
      </c>
      <c r="H1880" s="11">
        <v>40.299999999999997</v>
      </c>
      <c r="I1880" s="8">
        <v>56.45</v>
      </c>
      <c r="J1880" s="3">
        <v>45822</v>
      </c>
      <c r="K1880" s="14">
        <v>41</v>
      </c>
      <c r="L1880" s="17">
        <v>4.7</v>
      </c>
      <c r="M1880" s="2" t="b">
        <v>0</v>
      </c>
      <c r="N1880" s="2"/>
      <c r="O1880" s="2" t="str">
        <f>IF(Table1[[#This Row],[is_returned]]=TRUE,IF(Table1[[#This Row],[return_reason]]="","Error","OK"),"OK")</f>
        <v>OK</v>
      </c>
      <c r="P1880" s="8">
        <f>Table1[[#This Row],[original_price]]*Table1[[#This Row],[markdown_percentage]]/100</f>
        <v>38.107680000000002</v>
      </c>
      <c r="Q188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880" s="25">
        <f>Table1[[#This Row],[current_price]]*Table1[[#This Row],[stock_quantity]]</f>
        <v>2314.4500000000003</v>
      </c>
    </row>
    <row r="1881" spans="1:18" x14ac:dyDescent="0.25">
      <c r="A1881" s="2" t="s">
        <v>1934</v>
      </c>
      <c r="B1881" s="2" t="s">
        <v>15</v>
      </c>
      <c r="C1881" s="2" t="s">
        <v>22</v>
      </c>
      <c r="D1881" s="2" t="s">
        <v>17</v>
      </c>
      <c r="E1881" s="2" t="s">
        <v>39</v>
      </c>
      <c r="F1881" s="2" t="s">
        <v>70</v>
      </c>
      <c r="G1881" s="8">
        <v>138.97999999999999</v>
      </c>
      <c r="H1881" s="11">
        <v>10.199999999999999</v>
      </c>
      <c r="I1881" s="8">
        <v>124.8</v>
      </c>
      <c r="J1881" s="3">
        <v>45860</v>
      </c>
      <c r="K1881" s="14">
        <v>36</v>
      </c>
      <c r="L1881" s="17">
        <v>1.4</v>
      </c>
      <c r="M1881" s="2" t="b">
        <v>0</v>
      </c>
      <c r="N1881" s="2"/>
      <c r="O1881" s="2" t="str">
        <f>IF(Table1[[#This Row],[is_returned]]=TRUE,IF(Table1[[#This Row],[return_reason]]="","Error","OK"),"OK")</f>
        <v>OK</v>
      </c>
      <c r="P1881" s="8">
        <f>Table1[[#This Row],[original_price]]*Table1[[#This Row],[markdown_percentage]]/100</f>
        <v>14.175959999999998</v>
      </c>
      <c r="Q188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881" s="25">
        <f>Table1[[#This Row],[current_price]]*Table1[[#This Row],[stock_quantity]]</f>
        <v>4492.8</v>
      </c>
    </row>
    <row r="1882" spans="1:18" x14ac:dyDescent="0.25">
      <c r="A1882" s="2" t="s">
        <v>1935</v>
      </c>
      <c r="B1882" s="2" t="s">
        <v>27</v>
      </c>
      <c r="C1882" s="2" t="s">
        <v>48</v>
      </c>
      <c r="D1882" s="2" t="s">
        <v>23</v>
      </c>
      <c r="E1882" s="2"/>
      <c r="F1882" s="2" t="s">
        <v>46</v>
      </c>
      <c r="G1882" s="8">
        <v>52.57</v>
      </c>
      <c r="H1882" s="11">
        <v>0</v>
      </c>
      <c r="I1882" s="8">
        <v>52.57</v>
      </c>
      <c r="J1882" s="3">
        <v>45875</v>
      </c>
      <c r="K1882" s="14">
        <v>50</v>
      </c>
      <c r="L1882" s="17">
        <v>2.5</v>
      </c>
      <c r="M1882" s="2" t="b">
        <v>1</v>
      </c>
      <c r="N1882" s="2" t="s">
        <v>78</v>
      </c>
      <c r="O1882" s="2" t="str">
        <f>IF(Table1[[#This Row],[is_returned]]=TRUE,IF(Table1[[#This Row],[return_reason]]="","Error","OK"),"OK")</f>
        <v>OK</v>
      </c>
      <c r="P1882" s="8">
        <f>Table1[[#This Row],[original_price]]*Table1[[#This Row],[markdown_percentage]]/100</f>
        <v>0</v>
      </c>
      <c r="Q188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882" s="25">
        <f>Table1[[#This Row],[current_price]]*Table1[[#This Row],[stock_quantity]]</f>
        <v>2628.5</v>
      </c>
    </row>
    <row r="1883" spans="1:18" x14ac:dyDescent="0.25">
      <c r="A1883" s="2" t="s">
        <v>1936</v>
      </c>
      <c r="B1883" s="2" t="s">
        <v>15</v>
      </c>
      <c r="C1883" s="2" t="s">
        <v>48</v>
      </c>
      <c r="D1883" s="2" t="s">
        <v>17</v>
      </c>
      <c r="E1883" s="2"/>
      <c r="F1883" s="2" t="s">
        <v>35</v>
      </c>
      <c r="G1883" s="8">
        <v>151.62</v>
      </c>
      <c r="H1883" s="11">
        <v>0</v>
      </c>
      <c r="I1883" s="8">
        <v>151.62</v>
      </c>
      <c r="J1883" s="3">
        <v>45849</v>
      </c>
      <c r="K1883" s="14">
        <v>41</v>
      </c>
      <c r="L1883" s="17">
        <v>3.5</v>
      </c>
      <c r="M1883" s="2" t="b">
        <v>0</v>
      </c>
      <c r="N1883" s="2"/>
      <c r="O1883" s="2" t="str">
        <f>IF(Table1[[#This Row],[is_returned]]=TRUE,IF(Table1[[#This Row],[return_reason]]="","Error","OK"),"OK")</f>
        <v>OK</v>
      </c>
      <c r="P1883" s="8">
        <f>Table1[[#This Row],[original_price]]*Table1[[#This Row],[markdown_percentage]]/100</f>
        <v>0</v>
      </c>
      <c r="Q188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883" s="25">
        <f>Table1[[#This Row],[current_price]]*Table1[[#This Row],[stock_quantity]]</f>
        <v>6216.42</v>
      </c>
    </row>
    <row r="1884" spans="1:18" x14ac:dyDescent="0.25">
      <c r="A1884" s="2" t="s">
        <v>1937</v>
      </c>
      <c r="B1884" s="2" t="s">
        <v>27</v>
      </c>
      <c r="C1884" s="2" t="s">
        <v>22</v>
      </c>
      <c r="D1884" s="2" t="s">
        <v>17</v>
      </c>
      <c r="E1884" s="2"/>
      <c r="F1884" s="2" t="s">
        <v>44</v>
      </c>
      <c r="G1884" s="8">
        <v>26.7</v>
      </c>
      <c r="H1884" s="11">
        <v>0</v>
      </c>
      <c r="I1884" s="8">
        <v>26.7</v>
      </c>
      <c r="J1884" s="3">
        <v>45804</v>
      </c>
      <c r="K1884" s="14">
        <v>48</v>
      </c>
      <c r="L1884" s="17">
        <v>3.1</v>
      </c>
      <c r="M1884" s="2" t="b">
        <v>0</v>
      </c>
      <c r="N1884" s="2"/>
      <c r="O1884" s="2" t="str">
        <f>IF(Table1[[#This Row],[is_returned]]=TRUE,IF(Table1[[#This Row],[return_reason]]="","Error","OK"),"OK")</f>
        <v>OK</v>
      </c>
      <c r="P1884" s="8">
        <f>Table1[[#This Row],[original_price]]*Table1[[#This Row],[markdown_percentage]]/100</f>
        <v>0</v>
      </c>
      <c r="Q188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884" s="25">
        <f>Table1[[#This Row],[current_price]]*Table1[[#This Row],[stock_quantity]]</f>
        <v>1281.5999999999999</v>
      </c>
    </row>
    <row r="1885" spans="1:18" x14ac:dyDescent="0.25">
      <c r="A1885" s="2" t="s">
        <v>1938</v>
      </c>
      <c r="B1885" s="2" t="s">
        <v>15</v>
      </c>
      <c r="C1885" s="2" t="s">
        <v>53</v>
      </c>
      <c r="D1885" s="2" t="s">
        <v>62</v>
      </c>
      <c r="E1885" s="2" t="s">
        <v>39</v>
      </c>
      <c r="F1885" s="2" t="s">
        <v>70</v>
      </c>
      <c r="G1885" s="8">
        <v>147.5</v>
      </c>
      <c r="H1885" s="11">
        <v>0</v>
      </c>
      <c r="I1885" s="8">
        <v>147.5</v>
      </c>
      <c r="J1885" s="3">
        <v>45875</v>
      </c>
      <c r="K1885" s="14">
        <v>4</v>
      </c>
      <c r="L1885" s="17">
        <v>2.4</v>
      </c>
      <c r="M1885" s="2" t="b">
        <v>0</v>
      </c>
      <c r="N1885" s="2"/>
      <c r="O1885" s="2" t="str">
        <f>IF(Table1[[#This Row],[is_returned]]=TRUE,IF(Table1[[#This Row],[return_reason]]="","Error","OK"),"OK")</f>
        <v>OK</v>
      </c>
      <c r="P1885" s="8">
        <f>Table1[[#This Row],[original_price]]*Table1[[#This Row],[markdown_percentage]]/100</f>
        <v>0</v>
      </c>
      <c r="Q188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885" s="25">
        <f>Table1[[#This Row],[current_price]]*Table1[[#This Row],[stock_quantity]]</f>
        <v>590</v>
      </c>
    </row>
    <row r="1886" spans="1:18" x14ac:dyDescent="0.25">
      <c r="A1886" s="2" t="s">
        <v>1939</v>
      </c>
      <c r="B1886" s="2" t="s">
        <v>21</v>
      </c>
      <c r="C1886" s="2" t="s">
        <v>43</v>
      </c>
      <c r="D1886" s="2" t="s">
        <v>34</v>
      </c>
      <c r="E1886" s="2" t="s">
        <v>39</v>
      </c>
      <c r="F1886" s="2" t="s">
        <v>64</v>
      </c>
      <c r="G1886" s="8">
        <v>66</v>
      </c>
      <c r="H1886" s="11">
        <v>2.7</v>
      </c>
      <c r="I1886" s="8">
        <v>64.22</v>
      </c>
      <c r="J1886" s="3">
        <v>45875</v>
      </c>
      <c r="K1886" s="14">
        <v>42</v>
      </c>
      <c r="L1886" s="17">
        <v>4.4000000000000004</v>
      </c>
      <c r="M1886" s="2" t="b">
        <v>0</v>
      </c>
      <c r="N1886" s="2"/>
      <c r="O1886" s="2" t="str">
        <f>IF(Table1[[#This Row],[is_returned]]=TRUE,IF(Table1[[#This Row],[return_reason]]="","Error","OK"),"OK")</f>
        <v>OK</v>
      </c>
      <c r="P1886" s="8">
        <f>Table1[[#This Row],[original_price]]*Table1[[#This Row],[markdown_percentage]]/100</f>
        <v>1.7820000000000003</v>
      </c>
      <c r="Q188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886" s="25">
        <f>Table1[[#This Row],[current_price]]*Table1[[#This Row],[stock_quantity]]</f>
        <v>2697.24</v>
      </c>
    </row>
    <row r="1887" spans="1:18" x14ac:dyDescent="0.25">
      <c r="A1887" s="2" t="s">
        <v>1940</v>
      </c>
      <c r="B1887" s="2" t="s">
        <v>15</v>
      </c>
      <c r="C1887" s="2" t="s">
        <v>16</v>
      </c>
      <c r="D1887" s="2" t="s">
        <v>34</v>
      </c>
      <c r="E1887" s="2" t="s">
        <v>55</v>
      </c>
      <c r="F1887" s="2" t="s">
        <v>19</v>
      </c>
      <c r="G1887" s="8">
        <v>183.6</v>
      </c>
      <c r="H1887" s="11">
        <v>0</v>
      </c>
      <c r="I1887" s="8">
        <v>183.6</v>
      </c>
      <c r="J1887" s="3">
        <v>45875</v>
      </c>
      <c r="K1887" s="14">
        <v>10</v>
      </c>
      <c r="L1887" s="17"/>
      <c r="M1887" s="2" t="b">
        <v>0</v>
      </c>
      <c r="N1887" s="2"/>
      <c r="O1887" s="2" t="str">
        <f>IF(Table1[[#This Row],[is_returned]]=TRUE,IF(Table1[[#This Row],[return_reason]]="","Error","OK"),"OK")</f>
        <v>OK</v>
      </c>
      <c r="P1887" s="8">
        <f>Table1[[#This Row],[original_price]]*Table1[[#This Row],[markdown_percentage]]/100</f>
        <v>0</v>
      </c>
      <c r="Q188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887" s="25">
        <f>Table1[[#This Row],[current_price]]*Table1[[#This Row],[stock_quantity]]</f>
        <v>1836</v>
      </c>
    </row>
    <row r="1888" spans="1:18" x14ac:dyDescent="0.25">
      <c r="A1888" s="2" t="s">
        <v>1941</v>
      </c>
      <c r="B1888" s="2" t="s">
        <v>30</v>
      </c>
      <c r="C1888" s="2" t="s">
        <v>22</v>
      </c>
      <c r="D1888" s="2" t="s">
        <v>62</v>
      </c>
      <c r="E1888" s="2" t="s">
        <v>24</v>
      </c>
      <c r="F1888" s="2" t="s">
        <v>44</v>
      </c>
      <c r="G1888" s="8">
        <v>195.83</v>
      </c>
      <c r="H1888" s="11">
        <v>0</v>
      </c>
      <c r="I1888" s="8">
        <v>195.83</v>
      </c>
      <c r="J1888" s="3">
        <v>45875</v>
      </c>
      <c r="K1888" s="14">
        <v>14</v>
      </c>
      <c r="L1888" s="17">
        <v>2.1</v>
      </c>
      <c r="M1888" s="2" t="b">
        <v>0</v>
      </c>
      <c r="N1888" s="2"/>
      <c r="O1888" s="2" t="str">
        <f>IF(Table1[[#This Row],[is_returned]]=TRUE,IF(Table1[[#This Row],[return_reason]]="","Error","OK"),"OK")</f>
        <v>OK</v>
      </c>
      <c r="P1888" s="8">
        <f>Table1[[#This Row],[original_price]]*Table1[[#This Row],[markdown_percentage]]/100</f>
        <v>0</v>
      </c>
      <c r="Q188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888" s="25">
        <f>Table1[[#This Row],[current_price]]*Table1[[#This Row],[stock_quantity]]</f>
        <v>2741.6200000000003</v>
      </c>
    </row>
    <row r="1889" spans="1:18" x14ac:dyDescent="0.25">
      <c r="A1889" s="2" t="s">
        <v>1942</v>
      </c>
      <c r="B1889" s="2" t="s">
        <v>38</v>
      </c>
      <c r="C1889" s="2" t="s">
        <v>53</v>
      </c>
      <c r="D1889" s="2" t="s">
        <v>23</v>
      </c>
      <c r="E1889" s="2" t="s">
        <v>39</v>
      </c>
      <c r="F1889" s="2" t="s">
        <v>56</v>
      </c>
      <c r="G1889" s="8">
        <v>75.53</v>
      </c>
      <c r="H1889" s="11">
        <v>58.1</v>
      </c>
      <c r="I1889" s="8">
        <v>31.65</v>
      </c>
      <c r="J1889" s="3">
        <v>45875</v>
      </c>
      <c r="K1889" s="14">
        <v>33</v>
      </c>
      <c r="L1889" s="17">
        <v>4</v>
      </c>
      <c r="M1889" s="2" t="b">
        <v>0</v>
      </c>
      <c r="N1889" s="2"/>
      <c r="O1889" s="2" t="str">
        <f>IF(Table1[[#This Row],[is_returned]]=TRUE,IF(Table1[[#This Row],[return_reason]]="","Error","OK"),"OK")</f>
        <v>OK</v>
      </c>
      <c r="P1889" s="8">
        <f>Table1[[#This Row],[original_price]]*Table1[[#This Row],[markdown_percentage]]/100</f>
        <v>43.882930000000009</v>
      </c>
      <c r="Q188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889" s="25">
        <f>Table1[[#This Row],[current_price]]*Table1[[#This Row],[stock_quantity]]</f>
        <v>1044.45</v>
      </c>
    </row>
    <row r="1890" spans="1:18" x14ac:dyDescent="0.25">
      <c r="A1890" s="2" t="s">
        <v>1943</v>
      </c>
      <c r="B1890" s="2" t="s">
        <v>21</v>
      </c>
      <c r="C1890" s="2" t="s">
        <v>43</v>
      </c>
      <c r="D1890" s="2" t="s">
        <v>17</v>
      </c>
      <c r="E1890" s="2" t="s">
        <v>18</v>
      </c>
      <c r="F1890" s="2" t="s">
        <v>56</v>
      </c>
      <c r="G1890" s="8">
        <v>30.78</v>
      </c>
      <c r="H1890" s="11">
        <v>0</v>
      </c>
      <c r="I1890" s="8">
        <v>30.78</v>
      </c>
      <c r="J1890" s="3">
        <v>45821</v>
      </c>
      <c r="K1890" s="14">
        <v>28</v>
      </c>
      <c r="L1890" s="17">
        <v>3.9</v>
      </c>
      <c r="M1890" s="2" t="b">
        <v>0</v>
      </c>
      <c r="N1890" s="2"/>
      <c r="O1890" s="2" t="str">
        <f>IF(Table1[[#This Row],[is_returned]]=TRUE,IF(Table1[[#This Row],[return_reason]]="","Error","OK"),"OK")</f>
        <v>OK</v>
      </c>
      <c r="P1890" s="8">
        <f>Table1[[#This Row],[original_price]]*Table1[[#This Row],[markdown_percentage]]/100</f>
        <v>0</v>
      </c>
      <c r="Q189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890" s="25">
        <f>Table1[[#This Row],[current_price]]*Table1[[#This Row],[stock_quantity]]</f>
        <v>861.84</v>
      </c>
    </row>
    <row r="1891" spans="1:18" x14ac:dyDescent="0.25">
      <c r="A1891" s="2" t="s">
        <v>1944</v>
      </c>
      <c r="B1891" s="2" t="s">
        <v>30</v>
      </c>
      <c r="C1891" s="2" t="s">
        <v>32</v>
      </c>
      <c r="D1891" s="2" t="s">
        <v>23</v>
      </c>
      <c r="E1891" s="2" t="s">
        <v>24</v>
      </c>
      <c r="F1891" s="2" t="s">
        <v>35</v>
      </c>
      <c r="G1891" s="8">
        <v>150.96</v>
      </c>
      <c r="H1891" s="11">
        <v>0</v>
      </c>
      <c r="I1891" s="8">
        <v>150.96</v>
      </c>
      <c r="J1891" s="3">
        <v>45875</v>
      </c>
      <c r="K1891" s="14">
        <v>18</v>
      </c>
      <c r="L1891" s="17">
        <v>4.5999999999999996</v>
      </c>
      <c r="M1891" s="2" t="b">
        <v>0</v>
      </c>
      <c r="N1891" s="2"/>
      <c r="O1891" s="2" t="str">
        <f>IF(Table1[[#This Row],[is_returned]]=TRUE,IF(Table1[[#This Row],[return_reason]]="","Error","OK"),"OK")</f>
        <v>OK</v>
      </c>
      <c r="P1891" s="8">
        <f>Table1[[#This Row],[original_price]]*Table1[[#This Row],[markdown_percentage]]/100</f>
        <v>0</v>
      </c>
      <c r="Q189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891" s="25">
        <f>Table1[[#This Row],[current_price]]*Table1[[#This Row],[stock_quantity]]</f>
        <v>2717.28</v>
      </c>
    </row>
    <row r="1892" spans="1:18" x14ac:dyDescent="0.25">
      <c r="A1892" s="2" t="s">
        <v>1945</v>
      </c>
      <c r="B1892" s="2" t="s">
        <v>38</v>
      </c>
      <c r="C1892" s="2" t="s">
        <v>75</v>
      </c>
      <c r="D1892" s="2" t="s">
        <v>62</v>
      </c>
      <c r="E1892" s="2" t="s">
        <v>24</v>
      </c>
      <c r="F1892" s="2" t="s">
        <v>28</v>
      </c>
      <c r="G1892" s="8">
        <v>58.98</v>
      </c>
      <c r="H1892" s="11">
        <v>18.100000000000001</v>
      </c>
      <c r="I1892" s="8">
        <v>48.3</v>
      </c>
      <c r="J1892" s="3">
        <v>45875</v>
      </c>
      <c r="K1892" s="14">
        <v>23</v>
      </c>
      <c r="L1892" s="17">
        <v>2.8</v>
      </c>
      <c r="M1892" s="2" t="b">
        <v>0</v>
      </c>
      <c r="N1892" s="2"/>
      <c r="O1892" s="2" t="str">
        <f>IF(Table1[[#This Row],[is_returned]]=TRUE,IF(Table1[[#This Row],[return_reason]]="","Error","OK"),"OK")</f>
        <v>OK</v>
      </c>
      <c r="P1892" s="8">
        <f>Table1[[#This Row],[original_price]]*Table1[[#This Row],[markdown_percentage]]/100</f>
        <v>10.675380000000001</v>
      </c>
      <c r="Q189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892" s="25">
        <f>Table1[[#This Row],[current_price]]*Table1[[#This Row],[stock_quantity]]</f>
        <v>1110.8999999999999</v>
      </c>
    </row>
    <row r="1893" spans="1:18" x14ac:dyDescent="0.25">
      <c r="A1893" s="2" t="s">
        <v>1946</v>
      </c>
      <c r="B1893" s="2" t="s">
        <v>15</v>
      </c>
      <c r="C1893" s="2" t="s">
        <v>75</v>
      </c>
      <c r="D1893" s="2" t="s">
        <v>17</v>
      </c>
      <c r="E1893" s="2" t="s">
        <v>24</v>
      </c>
      <c r="F1893" s="2" t="s">
        <v>66</v>
      </c>
      <c r="G1893" s="8">
        <v>224.91</v>
      </c>
      <c r="H1893" s="11">
        <v>18.899999999999999</v>
      </c>
      <c r="I1893" s="8">
        <v>182.4</v>
      </c>
      <c r="J1893" s="3">
        <v>45554</v>
      </c>
      <c r="K1893" s="14">
        <v>50</v>
      </c>
      <c r="L1893" s="17"/>
      <c r="M1893" s="2" t="b">
        <v>0</v>
      </c>
      <c r="N1893" s="2"/>
      <c r="O1893" s="2" t="str">
        <f>IF(Table1[[#This Row],[is_returned]]=TRUE,IF(Table1[[#This Row],[return_reason]]="","Error","OK"),"OK")</f>
        <v>OK</v>
      </c>
      <c r="P1893" s="8">
        <f>Table1[[#This Row],[original_price]]*Table1[[#This Row],[markdown_percentage]]/100</f>
        <v>42.507989999999999</v>
      </c>
      <c r="Q189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893" s="25">
        <f>Table1[[#This Row],[current_price]]*Table1[[#This Row],[stock_quantity]]</f>
        <v>9120</v>
      </c>
    </row>
    <row r="1894" spans="1:18" x14ac:dyDescent="0.25">
      <c r="A1894" s="2" t="s">
        <v>1947</v>
      </c>
      <c r="B1894" s="2" t="s">
        <v>15</v>
      </c>
      <c r="C1894" s="2" t="s">
        <v>32</v>
      </c>
      <c r="D1894" s="2" t="s">
        <v>17</v>
      </c>
      <c r="E1894" s="2" t="s">
        <v>18</v>
      </c>
      <c r="F1894" s="2" t="s">
        <v>70</v>
      </c>
      <c r="G1894" s="8">
        <v>155.75</v>
      </c>
      <c r="H1894" s="11">
        <v>0</v>
      </c>
      <c r="I1894" s="8">
        <v>155.75</v>
      </c>
      <c r="J1894" s="3">
        <v>45741</v>
      </c>
      <c r="K1894" s="14">
        <v>0</v>
      </c>
      <c r="L1894" s="17">
        <v>2.4</v>
      </c>
      <c r="M1894" s="2" t="b">
        <v>0</v>
      </c>
      <c r="N1894" s="2"/>
      <c r="O1894" s="2" t="str">
        <f>IF(Table1[[#This Row],[is_returned]]=TRUE,IF(Table1[[#This Row],[return_reason]]="","Error","OK"),"OK")</f>
        <v>OK</v>
      </c>
      <c r="P1894" s="8">
        <f>Table1[[#This Row],[original_price]]*Table1[[#This Row],[markdown_percentage]]/100</f>
        <v>0</v>
      </c>
      <c r="Q189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894" s="25">
        <f>Table1[[#This Row],[current_price]]*Table1[[#This Row],[stock_quantity]]</f>
        <v>0</v>
      </c>
    </row>
    <row r="1895" spans="1:18" x14ac:dyDescent="0.25">
      <c r="A1895" s="2" t="s">
        <v>1948</v>
      </c>
      <c r="B1895" s="2" t="s">
        <v>30</v>
      </c>
      <c r="C1895" s="2" t="s">
        <v>48</v>
      </c>
      <c r="D1895" s="2" t="s">
        <v>23</v>
      </c>
      <c r="E1895" s="2" t="s">
        <v>18</v>
      </c>
      <c r="F1895" s="2" t="s">
        <v>44</v>
      </c>
      <c r="G1895" s="8">
        <v>194.4</v>
      </c>
      <c r="H1895" s="11">
        <v>16.2</v>
      </c>
      <c r="I1895" s="8">
        <v>162.91</v>
      </c>
      <c r="J1895" s="3">
        <v>45875</v>
      </c>
      <c r="K1895" s="14">
        <v>36</v>
      </c>
      <c r="L1895" s="17">
        <v>1.5</v>
      </c>
      <c r="M1895" s="2" t="b">
        <v>0</v>
      </c>
      <c r="N1895" s="2"/>
      <c r="O1895" s="2" t="str">
        <f>IF(Table1[[#This Row],[is_returned]]=TRUE,IF(Table1[[#This Row],[return_reason]]="","Error","OK"),"OK")</f>
        <v>OK</v>
      </c>
      <c r="P1895" s="8">
        <f>Table1[[#This Row],[original_price]]*Table1[[#This Row],[markdown_percentage]]/100</f>
        <v>31.492799999999999</v>
      </c>
      <c r="Q189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895" s="25">
        <f>Table1[[#This Row],[current_price]]*Table1[[#This Row],[stock_quantity]]</f>
        <v>5864.76</v>
      </c>
    </row>
    <row r="1896" spans="1:18" x14ac:dyDescent="0.25">
      <c r="A1896" s="2" t="s">
        <v>1949</v>
      </c>
      <c r="B1896" s="2" t="s">
        <v>30</v>
      </c>
      <c r="C1896" s="2" t="s">
        <v>32</v>
      </c>
      <c r="D1896" s="2" t="s">
        <v>34</v>
      </c>
      <c r="E1896" s="2" t="s">
        <v>24</v>
      </c>
      <c r="F1896" s="2" t="s">
        <v>19</v>
      </c>
      <c r="G1896" s="8">
        <v>169.77</v>
      </c>
      <c r="H1896" s="11">
        <v>0</v>
      </c>
      <c r="I1896" s="8">
        <v>169.77</v>
      </c>
      <c r="J1896" s="3">
        <v>45875</v>
      </c>
      <c r="K1896" s="14">
        <v>39</v>
      </c>
      <c r="L1896" s="17">
        <v>4.4000000000000004</v>
      </c>
      <c r="M1896" s="2" t="b">
        <v>0</v>
      </c>
      <c r="N1896" s="2"/>
      <c r="O1896" s="2" t="str">
        <f>IF(Table1[[#This Row],[is_returned]]=TRUE,IF(Table1[[#This Row],[return_reason]]="","Error","OK"),"OK")</f>
        <v>OK</v>
      </c>
      <c r="P1896" s="8">
        <f>Table1[[#This Row],[original_price]]*Table1[[#This Row],[markdown_percentage]]/100</f>
        <v>0</v>
      </c>
      <c r="Q189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896" s="25">
        <f>Table1[[#This Row],[current_price]]*Table1[[#This Row],[stock_quantity]]</f>
        <v>6621.0300000000007</v>
      </c>
    </row>
    <row r="1897" spans="1:18" x14ac:dyDescent="0.25">
      <c r="A1897" s="2" t="s">
        <v>1950</v>
      </c>
      <c r="B1897" s="2" t="s">
        <v>27</v>
      </c>
      <c r="C1897" s="2" t="s">
        <v>22</v>
      </c>
      <c r="D1897" s="2" t="s">
        <v>23</v>
      </c>
      <c r="E1897" s="2"/>
      <c r="F1897" s="2" t="s">
        <v>44</v>
      </c>
      <c r="G1897" s="8">
        <v>41.52</v>
      </c>
      <c r="H1897" s="11">
        <v>27.3</v>
      </c>
      <c r="I1897" s="8">
        <v>30.19</v>
      </c>
      <c r="J1897" s="3">
        <v>45875</v>
      </c>
      <c r="K1897" s="14">
        <v>48</v>
      </c>
      <c r="L1897" s="17">
        <v>3.4</v>
      </c>
      <c r="M1897" s="2" t="b">
        <v>0</v>
      </c>
      <c r="N1897" s="2"/>
      <c r="O1897" s="2" t="str">
        <f>IF(Table1[[#This Row],[is_returned]]=TRUE,IF(Table1[[#This Row],[return_reason]]="","Error","OK"),"OK")</f>
        <v>OK</v>
      </c>
      <c r="P1897" s="8">
        <f>Table1[[#This Row],[original_price]]*Table1[[#This Row],[markdown_percentage]]/100</f>
        <v>11.334960000000001</v>
      </c>
      <c r="Q189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897" s="25">
        <f>Table1[[#This Row],[current_price]]*Table1[[#This Row],[stock_quantity]]</f>
        <v>1449.1200000000001</v>
      </c>
    </row>
    <row r="1898" spans="1:18" x14ac:dyDescent="0.25">
      <c r="A1898" s="2" t="s">
        <v>1951</v>
      </c>
      <c r="B1898" s="2" t="s">
        <v>38</v>
      </c>
      <c r="C1898" s="2" t="s">
        <v>22</v>
      </c>
      <c r="D1898" s="2" t="s">
        <v>23</v>
      </c>
      <c r="E1898" s="2" t="s">
        <v>39</v>
      </c>
      <c r="F1898" s="2" t="s">
        <v>46</v>
      </c>
      <c r="G1898" s="8">
        <v>29.5</v>
      </c>
      <c r="H1898" s="11">
        <v>0</v>
      </c>
      <c r="I1898" s="8">
        <v>29.5</v>
      </c>
      <c r="J1898" s="3">
        <v>45875</v>
      </c>
      <c r="K1898" s="14">
        <v>36</v>
      </c>
      <c r="L1898" s="17">
        <v>2.6</v>
      </c>
      <c r="M1898" s="2" t="b">
        <v>0</v>
      </c>
      <c r="N1898" s="2"/>
      <c r="O1898" s="2" t="str">
        <f>IF(Table1[[#This Row],[is_returned]]=TRUE,IF(Table1[[#This Row],[return_reason]]="","Error","OK"),"OK")</f>
        <v>OK</v>
      </c>
      <c r="P1898" s="8">
        <f>Table1[[#This Row],[original_price]]*Table1[[#This Row],[markdown_percentage]]/100</f>
        <v>0</v>
      </c>
      <c r="Q189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898" s="25">
        <f>Table1[[#This Row],[current_price]]*Table1[[#This Row],[stock_quantity]]</f>
        <v>1062</v>
      </c>
    </row>
    <row r="1899" spans="1:18" x14ac:dyDescent="0.25">
      <c r="A1899" s="2" t="s">
        <v>1952</v>
      </c>
      <c r="B1899" s="2" t="s">
        <v>15</v>
      </c>
      <c r="C1899" s="2" t="s">
        <v>32</v>
      </c>
      <c r="D1899" s="2" t="s">
        <v>17</v>
      </c>
      <c r="E1899" s="2" t="s">
        <v>39</v>
      </c>
      <c r="F1899" s="2" t="s">
        <v>40</v>
      </c>
      <c r="G1899" s="8">
        <v>224.47</v>
      </c>
      <c r="H1899" s="11">
        <v>2.7</v>
      </c>
      <c r="I1899" s="8">
        <v>218.41</v>
      </c>
      <c r="J1899" s="3">
        <v>45684</v>
      </c>
      <c r="K1899" s="14">
        <v>15</v>
      </c>
      <c r="L1899" s="17">
        <v>3.5</v>
      </c>
      <c r="M1899" s="2" t="b">
        <v>0</v>
      </c>
      <c r="N1899" s="2"/>
      <c r="O1899" s="2" t="str">
        <f>IF(Table1[[#This Row],[is_returned]]=TRUE,IF(Table1[[#This Row],[return_reason]]="","Error","OK"),"OK")</f>
        <v>OK</v>
      </c>
      <c r="P1899" s="8">
        <f>Table1[[#This Row],[original_price]]*Table1[[#This Row],[markdown_percentage]]/100</f>
        <v>6.060690000000001</v>
      </c>
      <c r="Q189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899" s="25">
        <f>Table1[[#This Row],[current_price]]*Table1[[#This Row],[stock_quantity]]</f>
        <v>3276.15</v>
      </c>
    </row>
    <row r="1900" spans="1:18" x14ac:dyDescent="0.25">
      <c r="A1900" s="2" t="s">
        <v>1953</v>
      </c>
      <c r="B1900" s="2" t="s">
        <v>38</v>
      </c>
      <c r="C1900" s="2" t="s">
        <v>75</v>
      </c>
      <c r="D1900" s="2" t="s">
        <v>62</v>
      </c>
      <c r="E1900" s="2" t="s">
        <v>39</v>
      </c>
      <c r="F1900" s="2" t="s">
        <v>40</v>
      </c>
      <c r="G1900" s="8">
        <v>101.45</v>
      </c>
      <c r="H1900" s="11">
        <v>7.8</v>
      </c>
      <c r="I1900" s="8">
        <v>93.54</v>
      </c>
      <c r="J1900" s="3">
        <v>45875</v>
      </c>
      <c r="K1900" s="14">
        <v>4</v>
      </c>
      <c r="L1900" s="17">
        <v>1.1000000000000001</v>
      </c>
      <c r="M1900" s="2" t="b">
        <v>0</v>
      </c>
      <c r="N1900" s="2"/>
      <c r="O1900" s="2" t="str">
        <f>IF(Table1[[#This Row],[is_returned]]=TRUE,IF(Table1[[#This Row],[return_reason]]="","Error","OK"),"OK")</f>
        <v>OK</v>
      </c>
      <c r="P1900" s="8">
        <f>Table1[[#This Row],[original_price]]*Table1[[#This Row],[markdown_percentage]]/100</f>
        <v>7.9131000000000009</v>
      </c>
      <c r="Q190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900" s="25">
        <f>Table1[[#This Row],[current_price]]*Table1[[#This Row],[stock_quantity]]</f>
        <v>374.16</v>
      </c>
    </row>
    <row r="1901" spans="1:18" x14ac:dyDescent="0.25">
      <c r="A1901" s="2" t="s">
        <v>1954</v>
      </c>
      <c r="B1901" s="2" t="s">
        <v>30</v>
      </c>
      <c r="C1901" s="2" t="s">
        <v>32</v>
      </c>
      <c r="D1901" s="2" t="s">
        <v>17</v>
      </c>
      <c r="E1901" s="2" t="s">
        <v>49</v>
      </c>
      <c r="F1901" s="2" t="s">
        <v>19</v>
      </c>
      <c r="G1901" s="8">
        <v>84.65</v>
      </c>
      <c r="H1901" s="11">
        <v>0</v>
      </c>
      <c r="I1901" s="8">
        <v>84.65</v>
      </c>
      <c r="J1901" s="3">
        <v>45864</v>
      </c>
      <c r="K1901" s="14">
        <v>49</v>
      </c>
      <c r="L1901" s="17">
        <v>3.6</v>
      </c>
      <c r="M1901" s="2" t="b">
        <v>0</v>
      </c>
      <c r="N1901" s="2"/>
      <c r="O1901" s="2" t="str">
        <f>IF(Table1[[#This Row],[is_returned]]=TRUE,IF(Table1[[#This Row],[return_reason]]="","Error","OK"),"OK")</f>
        <v>OK</v>
      </c>
      <c r="P1901" s="8">
        <f>Table1[[#This Row],[original_price]]*Table1[[#This Row],[markdown_percentage]]/100</f>
        <v>0</v>
      </c>
      <c r="Q190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901" s="25">
        <f>Table1[[#This Row],[current_price]]*Table1[[#This Row],[stock_quantity]]</f>
        <v>4147.8500000000004</v>
      </c>
    </row>
    <row r="1902" spans="1:18" x14ac:dyDescent="0.25">
      <c r="A1902" s="2" t="s">
        <v>1955</v>
      </c>
      <c r="B1902" s="2" t="s">
        <v>15</v>
      </c>
      <c r="C1902" s="2" t="s">
        <v>53</v>
      </c>
      <c r="D1902" s="2" t="s">
        <v>62</v>
      </c>
      <c r="E1902" s="2" t="s">
        <v>39</v>
      </c>
      <c r="F1902" s="2" t="s">
        <v>56</v>
      </c>
      <c r="G1902" s="8">
        <v>155.85</v>
      </c>
      <c r="H1902" s="11">
        <v>0</v>
      </c>
      <c r="I1902" s="8">
        <v>155.85</v>
      </c>
      <c r="J1902" s="3">
        <v>45875</v>
      </c>
      <c r="K1902" s="14">
        <v>38</v>
      </c>
      <c r="L1902" s="17"/>
      <c r="M1902" s="2" t="b">
        <v>0</v>
      </c>
      <c r="N1902" s="2"/>
      <c r="O1902" s="2" t="str">
        <f>IF(Table1[[#This Row],[is_returned]]=TRUE,IF(Table1[[#This Row],[return_reason]]="","Error","OK"),"OK")</f>
        <v>OK</v>
      </c>
      <c r="P1902" s="8">
        <f>Table1[[#This Row],[original_price]]*Table1[[#This Row],[markdown_percentage]]/100</f>
        <v>0</v>
      </c>
      <c r="Q190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902" s="25">
        <f>Table1[[#This Row],[current_price]]*Table1[[#This Row],[stock_quantity]]</f>
        <v>5922.3</v>
      </c>
    </row>
    <row r="1903" spans="1:18" x14ac:dyDescent="0.25">
      <c r="A1903" s="2" t="s">
        <v>1956</v>
      </c>
      <c r="B1903" s="2" t="s">
        <v>21</v>
      </c>
      <c r="C1903" s="2" t="s">
        <v>16</v>
      </c>
      <c r="D1903" s="2" t="s">
        <v>23</v>
      </c>
      <c r="E1903" s="2" t="s">
        <v>18</v>
      </c>
      <c r="F1903" s="2" t="s">
        <v>44</v>
      </c>
      <c r="G1903" s="8">
        <v>89.62</v>
      </c>
      <c r="H1903" s="11">
        <v>0</v>
      </c>
      <c r="I1903" s="8">
        <v>89.62</v>
      </c>
      <c r="J1903" s="3">
        <v>45875</v>
      </c>
      <c r="K1903" s="14">
        <v>0</v>
      </c>
      <c r="L1903" s="17">
        <v>4.5999999999999996</v>
      </c>
      <c r="M1903" s="2" t="b">
        <v>1</v>
      </c>
      <c r="N1903" s="2" t="s">
        <v>36</v>
      </c>
      <c r="O1903" s="2" t="str">
        <f>IF(Table1[[#This Row],[is_returned]]=TRUE,IF(Table1[[#This Row],[return_reason]]="","Error","OK"),"OK")</f>
        <v>OK</v>
      </c>
      <c r="P1903" s="8">
        <f>Table1[[#This Row],[original_price]]*Table1[[#This Row],[markdown_percentage]]/100</f>
        <v>0</v>
      </c>
      <c r="Q190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903" s="25">
        <f>Table1[[#This Row],[current_price]]*Table1[[#This Row],[stock_quantity]]</f>
        <v>0</v>
      </c>
    </row>
    <row r="1904" spans="1:18" x14ac:dyDescent="0.25">
      <c r="A1904" s="2" t="s">
        <v>1957</v>
      </c>
      <c r="B1904" s="2" t="s">
        <v>21</v>
      </c>
      <c r="C1904" s="2" t="s">
        <v>61</v>
      </c>
      <c r="D1904" s="2" t="s">
        <v>62</v>
      </c>
      <c r="E1904" s="2" t="s">
        <v>24</v>
      </c>
      <c r="F1904" s="2" t="s">
        <v>46</v>
      </c>
      <c r="G1904" s="8">
        <v>62.79</v>
      </c>
      <c r="H1904" s="11">
        <v>37.700000000000003</v>
      </c>
      <c r="I1904" s="8">
        <v>39.119999999999997</v>
      </c>
      <c r="J1904" s="3">
        <v>45875</v>
      </c>
      <c r="K1904" s="14">
        <v>5</v>
      </c>
      <c r="L1904" s="17">
        <v>2.6</v>
      </c>
      <c r="M1904" s="2" t="b">
        <v>0</v>
      </c>
      <c r="N1904" s="2"/>
      <c r="O1904" s="2" t="str">
        <f>IF(Table1[[#This Row],[is_returned]]=TRUE,IF(Table1[[#This Row],[return_reason]]="","Error","OK"),"OK")</f>
        <v>OK</v>
      </c>
      <c r="P1904" s="8">
        <f>Table1[[#This Row],[original_price]]*Table1[[#This Row],[markdown_percentage]]/100</f>
        <v>23.67183</v>
      </c>
      <c r="Q190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904" s="25">
        <f>Table1[[#This Row],[current_price]]*Table1[[#This Row],[stock_quantity]]</f>
        <v>195.6</v>
      </c>
    </row>
    <row r="1905" spans="1:18" x14ac:dyDescent="0.25">
      <c r="A1905" s="2" t="s">
        <v>1958</v>
      </c>
      <c r="B1905" s="2" t="s">
        <v>38</v>
      </c>
      <c r="C1905" s="2" t="s">
        <v>61</v>
      </c>
      <c r="D1905" s="2" t="s">
        <v>62</v>
      </c>
      <c r="E1905" s="2" t="s">
        <v>18</v>
      </c>
      <c r="F1905" s="2" t="s">
        <v>56</v>
      </c>
      <c r="G1905" s="8">
        <v>84.72</v>
      </c>
      <c r="H1905" s="11">
        <v>24.2</v>
      </c>
      <c r="I1905" s="8">
        <v>64.22</v>
      </c>
      <c r="J1905" s="3">
        <v>45875</v>
      </c>
      <c r="K1905" s="14">
        <v>44</v>
      </c>
      <c r="L1905" s="17"/>
      <c r="M1905" s="2" t="b">
        <v>1</v>
      </c>
      <c r="N1905" s="2" t="s">
        <v>36</v>
      </c>
      <c r="O1905" s="2" t="str">
        <f>IF(Table1[[#This Row],[is_returned]]=TRUE,IF(Table1[[#This Row],[return_reason]]="","Error","OK"),"OK")</f>
        <v>OK</v>
      </c>
      <c r="P1905" s="8">
        <f>Table1[[#This Row],[original_price]]*Table1[[#This Row],[markdown_percentage]]/100</f>
        <v>20.502239999999997</v>
      </c>
      <c r="Q190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905" s="25">
        <f>Table1[[#This Row],[current_price]]*Table1[[#This Row],[stock_quantity]]</f>
        <v>2825.68</v>
      </c>
    </row>
    <row r="1906" spans="1:18" x14ac:dyDescent="0.25">
      <c r="A1906" s="2" t="s">
        <v>1959</v>
      </c>
      <c r="B1906" s="2" t="s">
        <v>21</v>
      </c>
      <c r="C1906" s="2" t="s">
        <v>43</v>
      </c>
      <c r="D1906" s="2" t="s">
        <v>34</v>
      </c>
      <c r="E1906" s="2" t="s">
        <v>18</v>
      </c>
      <c r="F1906" s="2" t="s">
        <v>25</v>
      </c>
      <c r="G1906" s="8">
        <v>50.9</v>
      </c>
      <c r="H1906" s="11">
        <v>0</v>
      </c>
      <c r="I1906" s="8">
        <v>50.9</v>
      </c>
      <c r="J1906" s="3">
        <v>45875</v>
      </c>
      <c r="K1906" s="14">
        <v>1</v>
      </c>
      <c r="L1906" s="17">
        <v>1.8</v>
      </c>
      <c r="M1906" s="2" t="b">
        <v>0</v>
      </c>
      <c r="N1906" s="2"/>
      <c r="O1906" s="2" t="str">
        <f>IF(Table1[[#This Row],[is_returned]]=TRUE,IF(Table1[[#This Row],[return_reason]]="","Error","OK"),"OK")</f>
        <v>OK</v>
      </c>
      <c r="P1906" s="8">
        <f>Table1[[#This Row],[original_price]]*Table1[[#This Row],[markdown_percentage]]/100</f>
        <v>0</v>
      </c>
      <c r="Q190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906" s="25">
        <f>Table1[[#This Row],[current_price]]*Table1[[#This Row],[stock_quantity]]</f>
        <v>50.9</v>
      </c>
    </row>
    <row r="1907" spans="1:18" x14ac:dyDescent="0.25">
      <c r="A1907" s="2" t="s">
        <v>1960</v>
      </c>
      <c r="B1907" s="2" t="s">
        <v>27</v>
      </c>
      <c r="C1907" s="2" t="s">
        <v>16</v>
      </c>
      <c r="D1907" s="2" t="s">
        <v>23</v>
      </c>
      <c r="E1907" s="2"/>
      <c r="F1907" s="2" t="s">
        <v>25</v>
      </c>
      <c r="G1907" s="8">
        <v>31.23</v>
      </c>
      <c r="H1907" s="11">
        <v>0</v>
      </c>
      <c r="I1907" s="8">
        <v>31.23</v>
      </c>
      <c r="J1907" s="3">
        <v>45875</v>
      </c>
      <c r="K1907" s="14">
        <v>25</v>
      </c>
      <c r="L1907" s="17">
        <v>2.8</v>
      </c>
      <c r="M1907" s="2" t="b">
        <v>0</v>
      </c>
      <c r="N1907" s="2"/>
      <c r="O1907" s="2" t="str">
        <f>IF(Table1[[#This Row],[is_returned]]=TRUE,IF(Table1[[#This Row],[return_reason]]="","Error","OK"),"OK")</f>
        <v>OK</v>
      </c>
      <c r="P1907" s="8">
        <f>Table1[[#This Row],[original_price]]*Table1[[#This Row],[markdown_percentage]]/100</f>
        <v>0</v>
      </c>
      <c r="Q190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907" s="25">
        <f>Table1[[#This Row],[current_price]]*Table1[[#This Row],[stock_quantity]]</f>
        <v>780.75</v>
      </c>
    </row>
    <row r="1908" spans="1:18" x14ac:dyDescent="0.25">
      <c r="A1908" s="2" t="s">
        <v>1961</v>
      </c>
      <c r="B1908" s="2" t="s">
        <v>21</v>
      </c>
      <c r="C1908" s="2" t="s">
        <v>16</v>
      </c>
      <c r="D1908" s="2" t="s">
        <v>17</v>
      </c>
      <c r="E1908" s="2" t="s">
        <v>49</v>
      </c>
      <c r="F1908" s="2" t="s">
        <v>19</v>
      </c>
      <c r="G1908" s="8">
        <v>105.1</v>
      </c>
      <c r="H1908" s="11">
        <v>0</v>
      </c>
      <c r="I1908" s="8">
        <v>105.1</v>
      </c>
      <c r="J1908" s="3">
        <v>45532</v>
      </c>
      <c r="K1908" s="14">
        <v>39</v>
      </c>
      <c r="L1908" s="17">
        <v>4.4000000000000004</v>
      </c>
      <c r="M1908" s="2" t="b">
        <v>0</v>
      </c>
      <c r="N1908" s="2"/>
      <c r="O1908" s="2" t="str">
        <f>IF(Table1[[#This Row],[is_returned]]=TRUE,IF(Table1[[#This Row],[return_reason]]="","Error","OK"),"OK")</f>
        <v>OK</v>
      </c>
      <c r="P1908" s="8">
        <f>Table1[[#This Row],[original_price]]*Table1[[#This Row],[markdown_percentage]]/100</f>
        <v>0</v>
      </c>
      <c r="Q190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908" s="25">
        <f>Table1[[#This Row],[current_price]]*Table1[[#This Row],[stock_quantity]]</f>
        <v>4098.8999999999996</v>
      </c>
    </row>
    <row r="1909" spans="1:18" x14ac:dyDescent="0.25">
      <c r="A1909" s="2" t="s">
        <v>1962</v>
      </c>
      <c r="B1909" s="2" t="s">
        <v>42</v>
      </c>
      <c r="C1909" s="2" t="s">
        <v>75</v>
      </c>
      <c r="D1909" s="2" t="s">
        <v>62</v>
      </c>
      <c r="E1909" s="2" t="s">
        <v>55</v>
      </c>
      <c r="F1909" s="2" t="s">
        <v>70</v>
      </c>
      <c r="G1909" s="8">
        <v>160.38</v>
      </c>
      <c r="H1909" s="11">
        <v>0</v>
      </c>
      <c r="I1909" s="8">
        <v>160.38</v>
      </c>
      <c r="J1909" s="3">
        <v>45875</v>
      </c>
      <c r="K1909" s="14">
        <v>27</v>
      </c>
      <c r="L1909" s="17">
        <v>2.7</v>
      </c>
      <c r="M1909" s="2" t="b">
        <v>1</v>
      </c>
      <c r="N1909" s="2" t="s">
        <v>125</v>
      </c>
      <c r="O1909" s="2" t="str">
        <f>IF(Table1[[#This Row],[is_returned]]=TRUE,IF(Table1[[#This Row],[return_reason]]="","Error","OK"),"OK")</f>
        <v>OK</v>
      </c>
      <c r="P1909" s="8">
        <f>Table1[[#This Row],[original_price]]*Table1[[#This Row],[markdown_percentage]]/100</f>
        <v>0</v>
      </c>
      <c r="Q190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909" s="25">
        <f>Table1[[#This Row],[current_price]]*Table1[[#This Row],[stock_quantity]]</f>
        <v>4330.26</v>
      </c>
    </row>
    <row r="1910" spans="1:18" x14ac:dyDescent="0.25">
      <c r="A1910" s="2" t="s">
        <v>1963</v>
      </c>
      <c r="B1910" s="2" t="s">
        <v>38</v>
      </c>
      <c r="C1910" s="2" t="s">
        <v>22</v>
      </c>
      <c r="D1910" s="2" t="s">
        <v>17</v>
      </c>
      <c r="E1910" s="2" t="s">
        <v>55</v>
      </c>
      <c r="F1910" s="2" t="s">
        <v>25</v>
      </c>
      <c r="G1910" s="8">
        <v>96.68</v>
      </c>
      <c r="H1910" s="11">
        <v>26</v>
      </c>
      <c r="I1910" s="8">
        <v>71.540000000000006</v>
      </c>
      <c r="J1910" s="3">
        <v>45556</v>
      </c>
      <c r="K1910" s="14">
        <v>16</v>
      </c>
      <c r="L1910" s="17"/>
      <c r="M1910" s="2" t="b">
        <v>0</v>
      </c>
      <c r="N1910" s="2"/>
      <c r="O1910" s="2" t="str">
        <f>IF(Table1[[#This Row],[is_returned]]=TRUE,IF(Table1[[#This Row],[return_reason]]="","Error","OK"),"OK")</f>
        <v>OK</v>
      </c>
      <c r="P1910" s="8">
        <f>Table1[[#This Row],[original_price]]*Table1[[#This Row],[markdown_percentage]]/100</f>
        <v>25.136800000000004</v>
      </c>
      <c r="Q191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910" s="25">
        <f>Table1[[#This Row],[current_price]]*Table1[[#This Row],[stock_quantity]]</f>
        <v>1144.6400000000001</v>
      </c>
    </row>
    <row r="1911" spans="1:18" x14ac:dyDescent="0.25">
      <c r="A1911" s="2" t="s">
        <v>1964</v>
      </c>
      <c r="B1911" s="2" t="s">
        <v>27</v>
      </c>
      <c r="C1911" s="2" t="s">
        <v>75</v>
      </c>
      <c r="D1911" s="2" t="s">
        <v>62</v>
      </c>
      <c r="E1911" s="2"/>
      <c r="F1911" s="2" t="s">
        <v>56</v>
      </c>
      <c r="G1911" s="8">
        <v>16.64</v>
      </c>
      <c r="H1911" s="11">
        <v>0</v>
      </c>
      <c r="I1911" s="8">
        <v>16.64</v>
      </c>
      <c r="J1911" s="3">
        <v>45875</v>
      </c>
      <c r="K1911" s="14">
        <v>8</v>
      </c>
      <c r="L1911" s="17">
        <v>4.8</v>
      </c>
      <c r="M1911" s="2" t="b">
        <v>0</v>
      </c>
      <c r="N1911" s="2"/>
      <c r="O1911" s="2" t="str">
        <f>IF(Table1[[#This Row],[is_returned]]=TRUE,IF(Table1[[#This Row],[return_reason]]="","Error","OK"),"OK")</f>
        <v>OK</v>
      </c>
      <c r="P1911" s="8">
        <f>Table1[[#This Row],[original_price]]*Table1[[#This Row],[markdown_percentage]]/100</f>
        <v>0</v>
      </c>
      <c r="Q191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911" s="25">
        <f>Table1[[#This Row],[current_price]]*Table1[[#This Row],[stock_quantity]]</f>
        <v>133.12</v>
      </c>
    </row>
    <row r="1912" spans="1:18" x14ac:dyDescent="0.25">
      <c r="A1912" s="2" t="s">
        <v>1965</v>
      </c>
      <c r="B1912" s="2" t="s">
        <v>15</v>
      </c>
      <c r="C1912" s="2" t="s">
        <v>53</v>
      </c>
      <c r="D1912" s="2" t="s">
        <v>34</v>
      </c>
      <c r="E1912" s="2" t="s">
        <v>39</v>
      </c>
      <c r="F1912" s="2" t="s">
        <v>56</v>
      </c>
      <c r="G1912" s="8">
        <v>160.05000000000001</v>
      </c>
      <c r="H1912" s="11">
        <v>53.7</v>
      </c>
      <c r="I1912" s="8">
        <v>74.099999999999994</v>
      </c>
      <c r="J1912" s="3">
        <v>45875</v>
      </c>
      <c r="K1912" s="14">
        <v>2</v>
      </c>
      <c r="L1912" s="17">
        <v>3.2</v>
      </c>
      <c r="M1912" s="2" t="b">
        <v>1</v>
      </c>
      <c r="N1912" s="2" t="s">
        <v>83</v>
      </c>
      <c r="O1912" s="2" t="str">
        <f>IF(Table1[[#This Row],[is_returned]]=TRUE,IF(Table1[[#This Row],[return_reason]]="","Error","OK"),"OK")</f>
        <v>OK</v>
      </c>
      <c r="P1912" s="8">
        <f>Table1[[#This Row],[original_price]]*Table1[[#This Row],[markdown_percentage]]/100</f>
        <v>85.946850000000012</v>
      </c>
      <c r="Q191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912" s="25">
        <f>Table1[[#This Row],[current_price]]*Table1[[#This Row],[stock_quantity]]</f>
        <v>148.19999999999999</v>
      </c>
    </row>
    <row r="1913" spans="1:18" x14ac:dyDescent="0.25">
      <c r="A1913" s="2" t="s">
        <v>1966</v>
      </c>
      <c r="B1913" s="2" t="s">
        <v>27</v>
      </c>
      <c r="C1913" s="2" t="s">
        <v>43</v>
      </c>
      <c r="D1913" s="2" t="s">
        <v>34</v>
      </c>
      <c r="E1913" s="2"/>
      <c r="F1913" s="2" t="s">
        <v>40</v>
      </c>
      <c r="G1913" s="8">
        <v>23.56</v>
      </c>
      <c r="H1913" s="11">
        <v>0</v>
      </c>
      <c r="I1913" s="8">
        <v>23.56</v>
      </c>
      <c r="J1913" s="3">
        <v>45875</v>
      </c>
      <c r="K1913" s="14">
        <v>16</v>
      </c>
      <c r="L1913" s="17">
        <v>4.4000000000000004</v>
      </c>
      <c r="M1913" s="2" t="b">
        <v>0</v>
      </c>
      <c r="N1913" s="2"/>
      <c r="O1913" s="2" t="str">
        <f>IF(Table1[[#This Row],[is_returned]]=TRUE,IF(Table1[[#This Row],[return_reason]]="","Error","OK"),"OK")</f>
        <v>OK</v>
      </c>
      <c r="P1913" s="8">
        <f>Table1[[#This Row],[original_price]]*Table1[[#This Row],[markdown_percentage]]/100</f>
        <v>0</v>
      </c>
      <c r="Q191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913" s="25">
        <f>Table1[[#This Row],[current_price]]*Table1[[#This Row],[stock_quantity]]</f>
        <v>376.96</v>
      </c>
    </row>
    <row r="1914" spans="1:18" x14ac:dyDescent="0.25">
      <c r="A1914" s="2" t="s">
        <v>1967</v>
      </c>
      <c r="B1914" s="2" t="s">
        <v>30</v>
      </c>
      <c r="C1914" s="2" t="s">
        <v>16</v>
      </c>
      <c r="D1914" s="2" t="s">
        <v>34</v>
      </c>
      <c r="E1914" s="2" t="s">
        <v>55</v>
      </c>
      <c r="F1914" s="2" t="s">
        <v>28</v>
      </c>
      <c r="G1914" s="8">
        <v>68.37</v>
      </c>
      <c r="H1914" s="11">
        <v>24.2</v>
      </c>
      <c r="I1914" s="8">
        <v>51.82</v>
      </c>
      <c r="J1914" s="3">
        <v>45875</v>
      </c>
      <c r="K1914" s="14">
        <v>8</v>
      </c>
      <c r="L1914" s="17">
        <v>3.7</v>
      </c>
      <c r="M1914" s="2" t="b">
        <v>0</v>
      </c>
      <c r="N1914" s="2"/>
      <c r="O1914" s="2" t="str">
        <f>IF(Table1[[#This Row],[is_returned]]=TRUE,IF(Table1[[#This Row],[return_reason]]="","Error","OK"),"OK")</f>
        <v>OK</v>
      </c>
      <c r="P1914" s="8">
        <f>Table1[[#This Row],[original_price]]*Table1[[#This Row],[markdown_percentage]]/100</f>
        <v>16.545540000000003</v>
      </c>
      <c r="Q191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914" s="25">
        <f>Table1[[#This Row],[current_price]]*Table1[[#This Row],[stock_quantity]]</f>
        <v>414.56</v>
      </c>
    </row>
    <row r="1915" spans="1:18" x14ac:dyDescent="0.25">
      <c r="A1915" s="2" t="s">
        <v>1968</v>
      </c>
      <c r="B1915" s="2" t="s">
        <v>15</v>
      </c>
      <c r="C1915" s="2" t="s">
        <v>43</v>
      </c>
      <c r="D1915" s="2" t="s">
        <v>34</v>
      </c>
      <c r="E1915" s="2" t="s">
        <v>39</v>
      </c>
      <c r="F1915" s="2" t="s">
        <v>46</v>
      </c>
      <c r="G1915" s="8">
        <v>184.24</v>
      </c>
      <c r="H1915" s="11">
        <v>0</v>
      </c>
      <c r="I1915" s="8">
        <v>184.24</v>
      </c>
      <c r="J1915" s="3">
        <v>45875</v>
      </c>
      <c r="K1915" s="14">
        <v>49</v>
      </c>
      <c r="L1915" s="17">
        <v>4</v>
      </c>
      <c r="M1915" s="2" t="b">
        <v>0</v>
      </c>
      <c r="N1915" s="2"/>
      <c r="O1915" s="2" t="str">
        <f>IF(Table1[[#This Row],[is_returned]]=TRUE,IF(Table1[[#This Row],[return_reason]]="","Error","OK"),"OK")</f>
        <v>OK</v>
      </c>
      <c r="P1915" s="8">
        <f>Table1[[#This Row],[original_price]]*Table1[[#This Row],[markdown_percentage]]/100</f>
        <v>0</v>
      </c>
      <c r="Q191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915" s="25">
        <f>Table1[[#This Row],[current_price]]*Table1[[#This Row],[stock_quantity]]</f>
        <v>9027.76</v>
      </c>
    </row>
    <row r="1916" spans="1:18" x14ac:dyDescent="0.25">
      <c r="A1916" s="2" t="s">
        <v>1969</v>
      </c>
      <c r="B1916" s="2" t="s">
        <v>30</v>
      </c>
      <c r="C1916" s="2" t="s">
        <v>32</v>
      </c>
      <c r="D1916" s="2" t="s">
        <v>17</v>
      </c>
      <c r="E1916" s="2" t="s">
        <v>55</v>
      </c>
      <c r="F1916" s="2" t="s">
        <v>46</v>
      </c>
      <c r="G1916" s="8">
        <v>94.83</v>
      </c>
      <c r="H1916" s="11">
        <v>0</v>
      </c>
      <c r="I1916" s="8">
        <v>94.83</v>
      </c>
      <c r="J1916" s="3">
        <v>45543</v>
      </c>
      <c r="K1916" s="14">
        <v>23</v>
      </c>
      <c r="L1916" s="17">
        <v>2.9</v>
      </c>
      <c r="M1916" s="2" t="b">
        <v>0</v>
      </c>
      <c r="N1916" s="2"/>
      <c r="O1916" s="2" t="str">
        <f>IF(Table1[[#This Row],[is_returned]]=TRUE,IF(Table1[[#This Row],[return_reason]]="","Error","OK"),"OK")</f>
        <v>OK</v>
      </c>
      <c r="P1916" s="8">
        <f>Table1[[#This Row],[original_price]]*Table1[[#This Row],[markdown_percentage]]/100</f>
        <v>0</v>
      </c>
      <c r="Q191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916" s="25">
        <f>Table1[[#This Row],[current_price]]*Table1[[#This Row],[stock_quantity]]</f>
        <v>2181.09</v>
      </c>
    </row>
    <row r="1917" spans="1:18" x14ac:dyDescent="0.25">
      <c r="A1917" s="2" t="s">
        <v>1970</v>
      </c>
      <c r="B1917" s="2" t="s">
        <v>21</v>
      </c>
      <c r="C1917" s="2" t="s">
        <v>53</v>
      </c>
      <c r="D1917" s="2" t="s">
        <v>62</v>
      </c>
      <c r="E1917" s="2" t="s">
        <v>58</v>
      </c>
      <c r="F1917" s="2" t="s">
        <v>25</v>
      </c>
      <c r="G1917" s="8">
        <v>115.58</v>
      </c>
      <c r="H1917" s="11">
        <v>0</v>
      </c>
      <c r="I1917" s="8">
        <v>115.58</v>
      </c>
      <c r="J1917" s="3">
        <v>45875</v>
      </c>
      <c r="K1917" s="14">
        <v>37</v>
      </c>
      <c r="L1917" s="17">
        <v>2.2000000000000002</v>
      </c>
      <c r="M1917" s="2" t="b">
        <v>0</v>
      </c>
      <c r="N1917" s="2"/>
      <c r="O1917" s="2" t="str">
        <f>IF(Table1[[#This Row],[is_returned]]=TRUE,IF(Table1[[#This Row],[return_reason]]="","Error","OK"),"OK")</f>
        <v>OK</v>
      </c>
      <c r="P1917" s="8">
        <f>Table1[[#This Row],[original_price]]*Table1[[#This Row],[markdown_percentage]]/100</f>
        <v>0</v>
      </c>
      <c r="Q191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917" s="25">
        <f>Table1[[#This Row],[current_price]]*Table1[[#This Row],[stock_quantity]]</f>
        <v>4276.46</v>
      </c>
    </row>
    <row r="1918" spans="1:18" x14ac:dyDescent="0.25">
      <c r="A1918" s="2" t="s">
        <v>1971</v>
      </c>
      <c r="B1918" s="2" t="s">
        <v>15</v>
      </c>
      <c r="C1918" s="2" t="s">
        <v>16</v>
      </c>
      <c r="D1918" s="2" t="s">
        <v>23</v>
      </c>
      <c r="E1918" s="2" t="s">
        <v>49</v>
      </c>
      <c r="F1918" s="2" t="s">
        <v>46</v>
      </c>
      <c r="G1918" s="8">
        <v>116.29</v>
      </c>
      <c r="H1918" s="11">
        <v>58.7</v>
      </c>
      <c r="I1918" s="8">
        <v>48.03</v>
      </c>
      <c r="J1918" s="3">
        <v>45875</v>
      </c>
      <c r="K1918" s="14">
        <v>34</v>
      </c>
      <c r="L1918" s="17">
        <v>3.3</v>
      </c>
      <c r="M1918" s="2" t="b">
        <v>0</v>
      </c>
      <c r="N1918" s="2"/>
      <c r="O1918" s="2" t="str">
        <f>IF(Table1[[#This Row],[is_returned]]=TRUE,IF(Table1[[#This Row],[return_reason]]="","Error","OK"),"OK")</f>
        <v>OK</v>
      </c>
      <c r="P1918" s="8">
        <f>Table1[[#This Row],[original_price]]*Table1[[#This Row],[markdown_percentage]]/100</f>
        <v>68.262230000000002</v>
      </c>
      <c r="Q191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918" s="25">
        <f>Table1[[#This Row],[current_price]]*Table1[[#This Row],[stock_quantity]]</f>
        <v>1633.02</v>
      </c>
    </row>
    <row r="1919" spans="1:18" x14ac:dyDescent="0.25">
      <c r="A1919" s="2" t="s">
        <v>1972</v>
      </c>
      <c r="B1919" s="2" t="s">
        <v>27</v>
      </c>
      <c r="C1919" s="2" t="s">
        <v>32</v>
      </c>
      <c r="D1919" s="2" t="s">
        <v>62</v>
      </c>
      <c r="E1919" s="2"/>
      <c r="F1919" s="2" t="s">
        <v>46</v>
      </c>
      <c r="G1919" s="8">
        <v>24.55</v>
      </c>
      <c r="H1919" s="11">
        <v>0</v>
      </c>
      <c r="I1919" s="8">
        <v>24.55</v>
      </c>
      <c r="J1919" s="3">
        <v>45875</v>
      </c>
      <c r="K1919" s="14">
        <v>43</v>
      </c>
      <c r="L1919" s="17">
        <v>2.2999999999999998</v>
      </c>
      <c r="M1919" s="2" t="b">
        <v>0</v>
      </c>
      <c r="N1919" s="2"/>
      <c r="O1919" s="2" t="str">
        <f>IF(Table1[[#This Row],[is_returned]]=TRUE,IF(Table1[[#This Row],[return_reason]]="","Error","OK"),"OK")</f>
        <v>OK</v>
      </c>
      <c r="P1919" s="8">
        <f>Table1[[#This Row],[original_price]]*Table1[[#This Row],[markdown_percentage]]/100</f>
        <v>0</v>
      </c>
      <c r="Q191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919" s="25">
        <f>Table1[[#This Row],[current_price]]*Table1[[#This Row],[stock_quantity]]</f>
        <v>1055.6500000000001</v>
      </c>
    </row>
    <row r="1920" spans="1:18" x14ac:dyDescent="0.25">
      <c r="A1920" s="2" t="s">
        <v>1973</v>
      </c>
      <c r="B1920" s="2" t="s">
        <v>42</v>
      </c>
      <c r="C1920" s="2" t="s">
        <v>16</v>
      </c>
      <c r="D1920" s="2" t="s">
        <v>17</v>
      </c>
      <c r="E1920" s="2"/>
      <c r="F1920" s="2" t="s">
        <v>64</v>
      </c>
      <c r="G1920" s="8">
        <v>81.56</v>
      </c>
      <c r="H1920" s="11">
        <v>0</v>
      </c>
      <c r="I1920" s="8">
        <v>81.56</v>
      </c>
      <c r="J1920" s="3">
        <v>45666</v>
      </c>
      <c r="K1920" s="14">
        <v>28</v>
      </c>
      <c r="L1920" s="17">
        <v>3</v>
      </c>
      <c r="M1920" s="2" t="b">
        <v>0</v>
      </c>
      <c r="N1920" s="2"/>
      <c r="O1920" s="2" t="str">
        <f>IF(Table1[[#This Row],[is_returned]]=TRUE,IF(Table1[[#This Row],[return_reason]]="","Error","OK"),"OK")</f>
        <v>OK</v>
      </c>
      <c r="P1920" s="8">
        <f>Table1[[#This Row],[original_price]]*Table1[[#This Row],[markdown_percentage]]/100</f>
        <v>0</v>
      </c>
      <c r="Q192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920" s="25">
        <f>Table1[[#This Row],[current_price]]*Table1[[#This Row],[stock_quantity]]</f>
        <v>2283.6800000000003</v>
      </c>
    </row>
    <row r="1921" spans="1:18" x14ac:dyDescent="0.25">
      <c r="A1921" s="2" t="s">
        <v>1974</v>
      </c>
      <c r="B1921" s="2" t="s">
        <v>15</v>
      </c>
      <c r="C1921" s="2" t="s">
        <v>32</v>
      </c>
      <c r="D1921" s="2" t="s">
        <v>17</v>
      </c>
      <c r="E1921" s="2" t="s">
        <v>58</v>
      </c>
      <c r="F1921" s="2" t="s">
        <v>35</v>
      </c>
      <c r="G1921" s="8">
        <v>234.63</v>
      </c>
      <c r="H1921" s="11">
        <v>0</v>
      </c>
      <c r="I1921" s="8">
        <v>234.63</v>
      </c>
      <c r="J1921" s="3">
        <v>45695</v>
      </c>
      <c r="K1921" s="14">
        <v>30</v>
      </c>
      <c r="L1921" s="17">
        <v>4.3</v>
      </c>
      <c r="M1921" s="2" t="b">
        <v>0</v>
      </c>
      <c r="N1921" s="2"/>
      <c r="O1921" s="2" t="str">
        <f>IF(Table1[[#This Row],[is_returned]]=TRUE,IF(Table1[[#This Row],[return_reason]]="","Error","OK"),"OK")</f>
        <v>OK</v>
      </c>
      <c r="P1921" s="8">
        <f>Table1[[#This Row],[original_price]]*Table1[[#This Row],[markdown_percentage]]/100</f>
        <v>0</v>
      </c>
      <c r="Q192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921" s="25">
        <f>Table1[[#This Row],[current_price]]*Table1[[#This Row],[stock_quantity]]</f>
        <v>7038.9</v>
      </c>
    </row>
    <row r="1922" spans="1:18" x14ac:dyDescent="0.25">
      <c r="A1922" s="2" t="s">
        <v>1975</v>
      </c>
      <c r="B1922" s="2" t="s">
        <v>27</v>
      </c>
      <c r="C1922" s="2" t="s">
        <v>16</v>
      </c>
      <c r="D1922" s="2" t="s">
        <v>34</v>
      </c>
      <c r="E1922" s="2"/>
      <c r="F1922" s="2" t="s">
        <v>35</v>
      </c>
      <c r="G1922" s="8">
        <v>27.6</v>
      </c>
      <c r="H1922" s="11">
        <v>0</v>
      </c>
      <c r="I1922" s="8">
        <v>27.6</v>
      </c>
      <c r="J1922" s="3">
        <v>45875</v>
      </c>
      <c r="K1922" s="14">
        <v>33</v>
      </c>
      <c r="L1922" s="17">
        <v>2.8</v>
      </c>
      <c r="M1922" s="2" t="b">
        <v>0</v>
      </c>
      <c r="N1922" s="2"/>
      <c r="O1922" s="2" t="str">
        <f>IF(Table1[[#This Row],[is_returned]]=TRUE,IF(Table1[[#This Row],[return_reason]]="","Error","OK"),"OK")</f>
        <v>OK</v>
      </c>
      <c r="P1922" s="8">
        <f>Table1[[#This Row],[original_price]]*Table1[[#This Row],[markdown_percentage]]/100</f>
        <v>0</v>
      </c>
      <c r="Q192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922" s="25">
        <f>Table1[[#This Row],[current_price]]*Table1[[#This Row],[stock_quantity]]</f>
        <v>910.80000000000007</v>
      </c>
    </row>
    <row r="1923" spans="1:18" x14ac:dyDescent="0.25">
      <c r="A1923" s="2" t="s">
        <v>1976</v>
      </c>
      <c r="B1923" s="2" t="s">
        <v>21</v>
      </c>
      <c r="C1923" s="2" t="s">
        <v>53</v>
      </c>
      <c r="D1923" s="2" t="s">
        <v>34</v>
      </c>
      <c r="E1923" s="2" t="s">
        <v>55</v>
      </c>
      <c r="F1923" s="2" t="s">
        <v>40</v>
      </c>
      <c r="G1923" s="8">
        <v>114.76</v>
      </c>
      <c r="H1923" s="11">
        <v>24.3</v>
      </c>
      <c r="I1923" s="8">
        <v>86.87</v>
      </c>
      <c r="J1923" s="3">
        <v>45875</v>
      </c>
      <c r="K1923" s="14">
        <v>10</v>
      </c>
      <c r="L1923" s="17">
        <v>3.4</v>
      </c>
      <c r="M1923" s="2" t="b">
        <v>0</v>
      </c>
      <c r="N1923" s="2"/>
      <c r="O1923" s="2" t="str">
        <f>IF(Table1[[#This Row],[is_returned]]=TRUE,IF(Table1[[#This Row],[return_reason]]="","Error","OK"),"OK")</f>
        <v>OK</v>
      </c>
      <c r="P1923" s="8">
        <f>Table1[[#This Row],[original_price]]*Table1[[#This Row],[markdown_percentage]]/100</f>
        <v>27.886680000000002</v>
      </c>
      <c r="Q192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923" s="25">
        <f>Table1[[#This Row],[current_price]]*Table1[[#This Row],[stock_quantity]]</f>
        <v>868.7</v>
      </c>
    </row>
    <row r="1924" spans="1:18" x14ac:dyDescent="0.25">
      <c r="A1924" s="2" t="s">
        <v>1977</v>
      </c>
      <c r="B1924" s="2" t="s">
        <v>30</v>
      </c>
      <c r="C1924" s="2" t="s">
        <v>16</v>
      </c>
      <c r="D1924" s="2" t="s">
        <v>17</v>
      </c>
      <c r="E1924" s="2" t="s">
        <v>39</v>
      </c>
      <c r="F1924" s="2" t="s">
        <v>46</v>
      </c>
      <c r="G1924" s="8">
        <v>133.52000000000001</v>
      </c>
      <c r="H1924" s="11">
        <v>0</v>
      </c>
      <c r="I1924" s="8">
        <v>133.52000000000001</v>
      </c>
      <c r="J1924" s="3">
        <v>45569</v>
      </c>
      <c r="K1924" s="14">
        <v>32</v>
      </c>
      <c r="L1924" s="17"/>
      <c r="M1924" s="2" t="b">
        <v>0</v>
      </c>
      <c r="N1924" s="2"/>
      <c r="O1924" s="2" t="str">
        <f>IF(Table1[[#This Row],[is_returned]]=TRUE,IF(Table1[[#This Row],[return_reason]]="","Error","OK"),"OK")</f>
        <v>OK</v>
      </c>
      <c r="P1924" s="8">
        <f>Table1[[#This Row],[original_price]]*Table1[[#This Row],[markdown_percentage]]/100</f>
        <v>0</v>
      </c>
      <c r="Q192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924" s="25">
        <f>Table1[[#This Row],[current_price]]*Table1[[#This Row],[stock_quantity]]</f>
        <v>4272.6400000000003</v>
      </c>
    </row>
    <row r="1925" spans="1:18" x14ac:dyDescent="0.25">
      <c r="A1925" s="2" t="s">
        <v>1978</v>
      </c>
      <c r="B1925" s="2" t="s">
        <v>21</v>
      </c>
      <c r="C1925" s="2" t="s">
        <v>32</v>
      </c>
      <c r="D1925" s="2" t="s">
        <v>23</v>
      </c>
      <c r="E1925" s="2" t="s">
        <v>55</v>
      </c>
      <c r="F1925" s="2" t="s">
        <v>44</v>
      </c>
      <c r="G1925" s="8">
        <v>64.34</v>
      </c>
      <c r="H1925" s="11">
        <v>59.3</v>
      </c>
      <c r="I1925" s="8">
        <v>26.19</v>
      </c>
      <c r="J1925" s="3">
        <v>45875</v>
      </c>
      <c r="K1925" s="14">
        <v>34</v>
      </c>
      <c r="L1925" s="17">
        <v>1.2</v>
      </c>
      <c r="M1925" s="2" t="b">
        <v>0</v>
      </c>
      <c r="N1925" s="2"/>
      <c r="O1925" s="2" t="str">
        <f>IF(Table1[[#This Row],[is_returned]]=TRUE,IF(Table1[[#This Row],[return_reason]]="","Error","OK"),"OK")</f>
        <v>OK</v>
      </c>
      <c r="P1925" s="8">
        <f>Table1[[#This Row],[original_price]]*Table1[[#This Row],[markdown_percentage]]/100</f>
        <v>38.153620000000004</v>
      </c>
      <c r="Q192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925" s="25">
        <f>Table1[[#This Row],[current_price]]*Table1[[#This Row],[stock_quantity]]</f>
        <v>890.46</v>
      </c>
    </row>
    <row r="1926" spans="1:18" x14ac:dyDescent="0.25">
      <c r="A1926" s="2" t="s">
        <v>1979</v>
      </c>
      <c r="B1926" s="2" t="s">
        <v>38</v>
      </c>
      <c r="C1926" s="2" t="s">
        <v>75</v>
      </c>
      <c r="D1926" s="2" t="s">
        <v>34</v>
      </c>
      <c r="E1926" s="2" t="s">
        <v>24</v>
      </c>
      <c r="F1926" s="2" t="s">
        <v>66</v>
      </c>
      <c r="G1926" s="8">
        <v>117.81</v>
      </c>
      <c r="H1926" s="11">
        <v>0</v>
      </c>
      <c r="I1926" s="8">
        <v>117.81</v>
      </c>
      <c r="J1926" s="3">
        <v>45875</v>
      </c>
      <c r="K1926" s="14">
        <v>22</v>
      </c>
      <c r="L1926" s="17">
        <v>4.9000000000000004</v>
      </c>
      <c r="M1926" s="2" t="b">
        <v>0</v>
      </c>
      <c r="N1926" s="2"/>
      <c r="O1926" s="2" t="str">
        <f>IF(Table1[[#This Row],[is_returned]]=TRUE,IF(Table1[[#This Row],[return_reason]]="","Error","OK"),"OK")</f>
        <v>OK</v>
      </c>
      <c r="P1926" s="8">
        <f>Table1[[#This Row],[original_price]]*Table1[[#This Row],[markdown_percentage]]/100</f>
        <v>0</v>
      </c>
      <c r="Q192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926" s="25">
        <f>Table1[[#This Row],[current_price]]*Table1[[#This Row],[stock_quantity]]</f>
        <v>2591.8200000000002</v>
      </c>
    </row>
    <row r="1927" spans="1:18" x14ac:dyDescent="0.25">
      <c r="A1927" s="2" t="s">
        <v>1980</v>
      </c>
      <c r="B1927" s="2" t="s">
        <v>27</v>
      </c>
      <c r="C1927" s="2" t="s">
        <v>53</v>
      </c>
      <c r="D1927" s="2" t="s">
        <v>17</v>
      </c>
      <c r="E1927" s="2"/>
      <c r="F1927" s="2" t="s">
        <v>44</v>
      </c>
      <c r="G1927" s="8">
        <v>29.19</v>
      </c>
      <c r="H1927" s="11">
        <v>0</v>
      </c>
      <c r="I1927" s="8">
        <v>29.19</v>
      </c>
      <c r="J1927" s="3">
        <v>45731</v>
      </c>
      <c r="K1927" s="14">
        <v>20</v>
      </c>
      <c r="L1927" s="17">
        <v>1.9</v>
      </c>
      <c r="M1927" s="2" t="b">
        <v>0</v>
      </c>
      <c r="N1927" s="2"/>
      <c r="O1927" s="2" t="str">
        <f>IF(Table1[[#This Row],[is_returned]]=TRUE,IF(Table1[[#This Row],[return_reason]]="","Error","OK"),"OK")</f>
        <v>OK</v>
      </c>
      <c r="P1927" s="8">
        <f>Table1[[#This Row],[original_price]]*Table1[[#This Row],[markdown_percentage]]/100</f>
        <v>0</v>
      </c>
      <c r="Q192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927" s="25">
        <f>Table1[[#This Row],[current_price]]*Table1[[#This Row],[stock_quantity]]</f>
        <v>583.80000000000007</v>
      </c>
    </row>
    <row r="1928" spans="1:18" x14ac:dyDescent="0.25">
      <c r="A1928" s="2" t="s">
        <v>1981</v>
      </c>
      <c r="B1928" s="2" t="s">
        <v>21</v>
      </c>
      <c r="C1928" s="2" t="s">
        <v>22</v>
      </c>
      <c r="D1928" s="2" t="s">
        <v>34</v>
      </c>
      <c r="E1928" s="2" t="s">
        <v>58</v>
      </c>
      <c r="F1928" s="2" t="s">
        <v>66</v>
      </c>
      <c r="G1928" s="8">
        <v>34.72</v>
      </c>
      <c r="H1928" s="11">
        <v>0</v>
      </c>
      <c r="I1928" s="8">
        <v>34.72</v>
      </c>
      <c r="J1928" s="3">
        <v>45875</v>
      </c>
      <c r="K1928" s="14">
        <v>7</v>
      </c>
      <c r="L1928" s="17"/>
      <c r="M1928" s="2" t="b">
        <v>0</v>
      </c>
      <c r="N1928" s="2"/>
      <c r="O1928" s="2" t="str">
        <f>IF(Table1[[#This Row],[is_returned]]=TRUE,IF(Table1[[#This Row],[return_reason]]="","Error","OK"),"OK")</f>
        <v>OK</v>
      </c>
      <c r="P1928" s="8">
        <f>Table1[[#This Row],[original_price]]*Table1[[#This Row],[markdown_percentage]]/100</f>
        <v>0</v>
      </c>
      <c r="Q192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928" s="25">
        <f>Table1[[#This Row],[current_price]]*Table1[[#This Row],[stock_quantity]]</f>
        <v>243.04</v>
      </c>
    </row>
    <row r="1929" spans="1:18" x14ac:dyDescent="0.25">
      <c r="A1929" s="2" t="s">
        <v>1982</v>
      </c>
      <c r="B1929" s="2" t="s">
        <v>42</v>
      </c>
      <c r="C1929" s="2" t="s">
        <v>61</v>
      </c>
      <c r="D1929" s="2" t="s">
        <v>34</v>
      </c>
      <c r="E1929" s="2" t="s">
        <v>18</v>
      </c>
      <c r="F1929" s="2" t="s">
        <v>40</v>
      </c>
      <c r="G1929" s="8">
        <v>107.49</v>
      </c>
      <c r="H1929" s="11">
        <v>0</v>
      </c>
      <c r="I1929" s="8">
        <v>107.49</v>
      </c>
      <c r="J1929" s="3">
        <v>45875</v>
      </c>
      <c r="K1929" s="14">
        <v>49</v>
      </c>
      <c r="L1929" s="17">
        <v>3.3</v>
      </c>
      <c r="M1929" s="2" t="b">
        <v>0</v>
      </c>
      <c r="N1929" s="2"/>
      <c r="O1929" s="2" t="str">
        <f>IF(Table1[[#This Row],[is_returned]]=TRUE,IF(Table1[[#This Row],[return_reason]]="","Error","OK"),"OK")</f>
        <v>OK</v>
      </c>
      <c r="P1929" s="8">
        <f>Table1[[#This Row],[original_price]]*Table1[[#This Row],[markdown_percentage]]/100</f>
        <v>0</v>
      </c>
      <c r="Q192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929" s="25">
        <f>Table1[[#This Row],[current_price]]*Table1[[#This Row],[stock_quantity]]</f>
        <v>5267.0099999999993</v>
      </c>
    </row>
    <row r="1930" spans="1:18" x14ac:dyDescent="0.25">
      <c r="A1930" s="2" t="s">
        <v>1983</v>
      </c>
      <c r="B1930" s="2" t="s">
        <v>38</v>
      </c>
      <c r="C1930" s="2" t="s">
        <v>22</v>
      </c>
      <c r="D1930" s="2" t="s">
        <v>23</v>
      </c>
      <c r="E1930" s="2" t="s">
        <v>49</v>
      </c>
      <c r="F1930" s="2" t="s">
        <v>44</v>
      </c>
      <c r="G1930" s="8">
        <v>38.700000000000003</v>
      </c>
      <c r="H1930" s="11">
        <v>0</v>
      </c>
      <c r="I1930" s="8">
        <v>38.700000000000003</v>
      </c>
      <c r="J1930" s="3">
        <v>45875</v>
      </c>
      <c r="K1930" s="14">
        <v>11</v>
      </c>
      <c r="L1930" s="17">
        <v>4</v>
      </c>
      <c r="M1930" s="2" t="b">
        <v>0</v>
      </c>
      <c r="N1930" s="2"/>
      <c r="O1930" s="2" t="str">
        <f>IF(Table1[[#This Row],[is_returned]]=TRUE,IF(Table1[[#This Row],[return_reason]]="","Error","OK"),"OK")</f>
        <v>OK</v>
      </c>
      <c r="P1930" s="8">
        <f>Table1[[#This Row],[original_price]]*Table1[[#This Row],[markdown_percentage]]/100</f>
        <v>0</v>
      </c>
      <c r="Q193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930" s="25">
        <f>Table1[[#This Row],[current_price]]*Table1[[#This Row],[stock_quantity]]</f>
        <v>425.70000000000005</v>
      </c>
    </row>
    <row r="1931" spans="1:18" x14ac:dyDescent="0.25">
      <c r="A1931" s="2" t="s">
        <v>1984</v>
      </c>
      <c r="B1931" s="2" t="s">
        <v>15</v>
      </c>
      <c r="C1931" s="2" t="s">
        <v>53</v>
      </c>
      <c r="D1931" s="2" t="s">
        <v>17</v>
      </c>
      <c r="E1931" s="2" t="s">
        <v>55</v>
      </c>
      <c r="F1931" s="2" t="s">
        <v>70</v>
      </c>
      <c r="G1931" s="8">
        <v>152.63999999999999</v>
      </c>
      <c r="H1931" s="11">
        <v>0</v>
      </c>
      <c r="I1931" s="8">
        <v>152.63999999999999</v>
      </c>
      <c r="J1931" s="3">
        <v>45752</v>
      </c>
      <c r="K1931" s="14">
        <v>19</v>
      </c>
      <c r="L1931" s="17">
        <v>4.0999999999999996</v>
      </c>
      <c r="M1931" s="2" t="b">
        <v>0</v>
      </c>
      <c r="N1931" s="2"/>
      <c r="O1931" s="2" t="str">
        <f>IF(Table1[[#This Row],[is_returned]]=TRUE,IF(Table1[[#This Row],[return_reason]]="","Error","OK"),"OK")</f>
        <v>OK</v>
      </c>
      <c r="P1931" s="8">
        <f>Table1[[#This Row],[original_price]]*Table1[[#This Row],[markdown_percentage]]/100</f>
        <v>0</v>
      </c>
      <c r="Q193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931" s="25">
        <f>Table1[[#This Row],[current_price]]*Table1[[#This Row],[stock_quantity]]</f>
        <v>2900.16</v>
      </c>
    </row>
    <row r="1932" spans="1:18" x14ac:dyDescent="0.25">
      <c r="A1932" s="2" t="s">
        <v>1985</v>
      </c>
      <c r="B1932" s="2" t="s">
        <v>15</v>
      </c>
      <c r="C1932" s="2" t="s">
        <v>43</v>
      </c>
      <c r="D1932" s="2" t="s">
        <v>34</v>
      </c>
      <c r="E1932" s="2" t="s">
        <v>55</v>
      </c>
      <c r="F1932" s="2" t="s">
        <v>66</v>
      </c>
      <c r="G1932" s="8">
        <v>181.66</v>
      </c>
      <c r="H1932" s="11">
        <v>56.4</v>
      </c>
      <c r="I1932" s="8">
        <v>79.2</v>
      </c>
      <c r="J1932" s="3">
        <v>45875</v>
      </c>
      <c r="K1932" s="14">
        <v>43</v>
      </c>
      <c r="L1932" s="17">
        <v>1.2</v>
      </c>
      <c r="M1932" s="2" t="b">
        <v>0</v>
      </c>
      <c r="N1932" s="2"/>
      <c r="O1932" s="2" t="str">
        <f>IF(Table1[[#This Row],[is_returned]]=TRUE,IF(Table1[[#This Row],[return_reason]]="","Error","OK"),"OK")</f>
        <v>OK</v>
      </c>
      <c r="P1932" s="8">
        <f>Table1[[#This Row],[original_price]]*Table1[[#This Row],[markdown_percentage]]/100</f>
        <v>102.45623999999999</v>
      </c>
      <c r="Q193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932" s="25">
        <f>Table1[[#This Row],[current_price]]*Table1[[#This Row],[stock_quantity]]</f>
        <v>3405.6</v>
      </c>
    </row>
    <row r="1933" spans="1:18" x14ac:dyDescent="0.25">
      <c r="A1933" s="2" t="s">
        <v>1986</v>
      </c>
      <c r="B1933" s="2" t="s">
        <v>21</v>
      </c>
      <c r="C1933" s="2" t="s">
        <v>22</v>
      </c>
      <c r="D1933" s="2" t="s">
        <v>17</v>
      </c>
      <c r="E1933" s="2" t="s">
        <v>18</v>
      </c>
      <c r="F1933" s="2" t="s">
        <v>46</v>
      </c>
      <c r="G1933" s="8">
        <v>114.8</v>
      </c>
      <c r="H1933" s="11">
        <v>17.399999999999999</v>
      </c>
      <c r="I1933" s="8">
        <v>94.82</v>
      </c>
      <c r="J1933" s="3">
        <v>45794</v>
      </c>
      <c r="K1933" s="14">
        <v>4</v>
      </c>
      <c r="L1933" s="17">
        <v>1.8</v>
      </c>
      <c r="M1933" s="2" t="b">
        <v>0</v>
      </c>
      <c r="N1933" s="2"/>
      <c r="O1933" s="2" t="str">
        <f>IF(Table1[[#This Row],[is_returned]]=TRUE,IF(Table1[[#This Row],[return_reason]]="","Error","OK"),"OK")</f>
        <v>OK</v>
      </c>
      <c r="P1933" s="8">
        <f>Table1[[#This Row],[original_price]]*Table1[[#This Row],[markdown_percentage]]/100</f>
        <v>19.975199999999997</v>
      </c>
      <c r="Q193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933" s="25">
        <f>Table1[[#This Row],[current_price]]*Table1[[#This Row],[stock_quantity]]</f>
        <v>379.28</v>
      </c>
    </row>
    <row r="1934" spans="1:18" x14ac:dyDescent="0.25">
      <c r="A1934" s="2" t="s">
        <v>1987</v>
      </c>
      <c r="B1934" s="2" t="s">
        <v>30</v>
      </c>
      <c r="C1934" s="2" t="s">
        <v>22</v>
      </c>
      <c r="D1934" s="2" t="s">
        <v>23</v>
      </c>
      <c r="E1934" s="2" t="s">
        <v>49</v>
      </c>
      <c r="F1934" s="2" t="s">
        <v>46</v>
      </c>
      <c r="G1934" s="8">
        <v>102.95</v>
      </c>
      <c r="H1934" s="11">
        <v>0</v>
      </c>
      <c r="I1934" s="8">
        <v>102.95</v>
      </c>
      <c r="J1934" s="3">
        <v>45875</v>
      </c>
      <c r="K1934" s="14">
        <v>38</v>
      </c>
      <c r="L1934" s="17">
        <v>3.8</v>
      </c>
      <c r="M1934" s="2" t="b">
        <v>0</v>
      </c>
      <c r="N1934" s="2"/>
      <c r="O1934" s="2" t="str">
        <f>IF(Table1[[#This Row],[is_returned]]=TRUE,IF(Table1[[#This Row],[return_reason]]="","Error","OK"),"OK")</f>
        <v>OK</v>
      </c>
      <c r="P1934" s="8">
        <f>Table1[[#This Row],[original_price]]*Table1[[#This Row],[markdown_percentage]]/100</f>
        <v>0</v>
      </c>
      <c r="Q193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934" s="25">
        <f>Table1[[#This Row],[current_price]]*Table1[[#This Row],[stock_quantity]]</f>
        <v>3912.1</v>
      </c>
    </row>
    <row r="1935" spans="1:18" x14ac:dyDescent="0.25">
      <c r="A1935" s="2" t="s">
        <v>1988</v>
      </c>
      <c r="B1935" s="2" t="s">
        <v>21</v>
      </c>
      <c r="C1935" s="2" t="s">
        <v>75</v>
      </c>
      <c r="D1935" s="2" t="s">
        <v>23</v>
      </c>
      <c r="E1935" s="2" t="s">
        <v>49</v>
      </c>
      <c r="F1935" s="2" t="s">
        <v>46</v>
      </c>
      <c r="G1935" s="8">
        <v>86.82</v>
      </c>
      <c r="H1935" s="11">
        <v>0</v>
      </c>
      <c r="I1935" s="8">
        <v>86.82</v>
      </c>
      <c r="J1935" s="3">
        <v>45875</v>
      </c>
      <c r="K1935" s="14">
        <v>0</v>
      </c>
      <c r="L1935" s="17">
        <v>4.8</v>
      </c>
      <c r="M1935" s="2" t="b">
        <v>0</v>
      </c>
      <c r="N1935" s="2"/>
      <c r="O1935" s="2" t="str">
        <f>IF(Table1[[#This Row],[is_returned]]=TRUE,IF(Table1[[#This Row],[return_reason]]="","Error","OK"),"OK")</f>
        <v>OK</v>
      </c>
      <c r="P1935" s="8">
        <f>Table1[[#This Row],[original_price]]*Table1[[#This Row],[markdown_percentage]]/100</f>
        <v>0</v>
      </c>
      <c r="Q193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935" s="25">
        <f>Table1[[#This Row],[current_price]]*Table1[[#This Row],[stock_quantity]]</f>
        <v>0</v>
      </c>
    </row>
    <row r="1936" spans="1:18" x14ac:dyDescent="0.25">
      <c r="A1936" s="2" t="s">
        <v>1989</v>
      </c>
      <c r="B1936" s="2" t="s">
        <v>15</v>
      </c>
      <c r="C1936" s="2" t="s">
        <v>48</v>
      </c>
      <c r="D1936" s="2" t="s">
        <v>62</v>
      </c>
      <c r="E1936" s="2" t="s">
        <v>24</v>
      </c>
      <c r="F1936" s="2" t="s">
        <v>19</v>
      </c>
      <c r="G1936" s="8">
        <v>83.68</v>
      </c>
      <c r="H1936" s="11">
        <v>28.1</v>
      </c>
      <c r="I1936" s="8">
        <v>60.17</v>
      </c>
      <c r="J1936" s="3">
        <v>45875</v>
      </c>
      <c r="K1936" s="14">
        <v>46</v>
      </c>
      <c r="L1936" s="17"/>
      <c r="M1936" s="2" t="b">
        <v>1</v>
      </c>
      <c r="N1936" s="2" t="s">
        <v>83</v>
      </c>
      <c r="O1936" s="2" t="str">
        <f>IF(Table1[[#This Row],[is_returned]]=TRUE,IF(Table1[[#This Row],[return_reason]]="","Error","OK"),"OK")</f>
        <v>OK</v>
      </c>
      <c r="P1936" s="8">
        <f>Table1[[#This Row],[original_price]]*Table1[[#This Row],[markdown_percentage]]/100</f>
        <v>23.514080000000003</v>
      </c>
      <c r="Q193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936" s="25">
        <f>Table1[[#This Row],[current_price]]*Table1[[#This Row],[stock_quantity]]</f>
        <v>2767.82</v>
      </c>
    </row>
    <row r="1937" spans="1:18" x14ac:dyDescent="0.25">
      <c r="A1937" s="2" t="s">
        <v>1990</v>
      </c>
      <c r="B1937" s="2" t="s">
        <v>15</v>
      </c>
      <c r="C1937" s="2" t="s">
        <v>32</v>
      </c>
      <c r="D1937" s="2" t="s">
        <v>34</v>
      </c>
      <c r="E1937" s="2" t="s">
        <v>39</v>
      </c>
      <c r="F1937" s="2" t="s">
        <v>25</v>
      </c>
      <c r="G1937" s="8">
        <v>167.31</v>
      </c>
      <c r="H1937" s="11">
        <v>50.7</v>
      </c>
      <c r="I1937" s="8">
        <v>82.48</v>
      </c>
      <c r="J1937" s="3">
        <v>45875</v>
      </c>
      <c r="K1937" s="14">
        <v>9</v>
      </c>
      <c r="L1937" s="17">
        <v>3.2</v>
      </c>
      <c r="M1937" s="2" t="b">
        <v>0</v>
      </c>
      <c r="N1937" s="2"/>
      <c r="O1937" s="2" t="str">
        <f>IF(Table1[[#This Row],[is_returned]]=TRUE,IF(Table1[[#This Row],[return_reason]]="","Error","OK"),"OK")</f>
        <v>OK</v>
      </c>
      <c r="P1937" s="8">
        <f>Table1[[#This Row],[original_price]]*Table1[[#This Row],[markdown_percentage]]/100</f>
        <v>84.826170000000005</v>
      </c>
      <c r="Q193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937" s="25">
        <f>Table1[[#This Row],[current_price]]*Table1[[#This Row],[stock_quantity]]</f>
        <v>742.32</v>
      </c>
    </row>
    <row r="1938" spans="1:18" x14ac:dyDescent="0.25">
      <c r="A1938" s="2" t="s">
        <v>1991</v>
      </c>
      <c r="B1938" s="2" t="s">
        <v>38</v>
      </c>
      <c r="C1938" s="2" t="s">
        <v>48</v>
      </c>
      <c r="D1938" s="2" t="s">
        <v>34</v>
      </c>
      <c r="E1938" s="2" t="s">
        <v>55</v>
      </c>
      <c r="F1938" s="2" t="s">
        <v>40</v>
      </c>
      <c r="G1938" s="8">
        <v>114.64</v>
      </c>
      <c r="H1938" s="11">
        <v>5.0999999999999996</v>
      </c>
      <c r="I1938" s="8">
        <v>108.79</v>
      </c>
      <c r="J1938" s="3">
        <v>45875</v>
      </c>
      <c r="K1938" s="14">
        <v>21</v>
      </c>
      <c r="L1938" s="17">
        <v>2</v>
      </c>
      <c r="M1938" s="2" t="b">
        <v>0</v>
      </c>
      <c r="N1938" s="2"/>
      <c r="O1938" s="2" t="str">
        <f>IF(Table1[[#This Row],[is_returned]]=TRUE,IF(Table1[[#This Row],[return_reason]]="","Error","OK"),"OK")</f>
        <v>OK</v>
      </c>
      <c r="P1938" s="8">
        <f>Table1[[#This Row],[original_price]]*Table1[[#This Row],[markdown_percentage]]/100</f>
        <v>5.8466399999999998</v>
      </c>
      <c r="Q193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938" s="25">
        <f>Table1[[#This Row],[current_price]]*Table1[[#This Row],[stock_quantity]]</f>
        <v>2284.59</v>
      </c>
    </row>
    <row r="1939" spans="1:18" x14ac:dyDescent="0.25">
      <c r="A1939" s="2" t="s">
        <v>1992</v>
      </c>
      <c r="B1939" s="2" t="s">
        <v>15</v>
      </c>
      <c r="C1939" s="2" t="s">
        <v>48</v>
      </c>
      <c r="D1939" s="2" t="s">
        <v>17</v>
      </c>
      <c r="E1939" s="2" t="s">
        <v>49</v>
      </c>
      <c r="F1939" s="2" t="s">
        <v>35</v>
      </c>
      <c r="G1939" s="8">
        <v>109.53</v>
      </c>
      <c r="H1939" s="11">
        <v>29.3</v>
      </c>
      <c r="I1939" s="8">
        <v>77.44</v>
      </c>
      <c r="J1939" s="3">
        <v>45598</v>
      </c>
      <c r="K1939" s="14">
        <v>35</v>
      </c>
      <c r="L1939" s="17">
        <v>1.3</v>
      </c>
      <c r="M1939" s="2" t="b">
        <v>0</v>
      </c>
      <c r="N1939" s="2"/>
      <c r="O1939" s="2" t="str">
        <f>IF(Table1[[#This Row],[is_returned]]=TRUE,IF(Table1[[#This Row],[return_reason]]="","Error","OK"),"OK")</f>
        <v>OK</v>
      </c>
      <c r="P1939" s="8">
        <f>Table1[[#This Row],[original_price]]*Table1[[#This Row],[markdown_percentage]]/100</f>
        <v>32.092290000000006</v>
      </c>
      <c r="Q193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939" s="25">
        <f>Table1[[#This Row],[current_price]]*Table1[[#This Row],[stock_quantity]]</f>
        <v>2710.4</v>
      </c>
    </row>
    <row r="1940" spans="1:18" x14ac:dyDescent="0.25">
      <c r="A1940" s="2" t="s">
        <v>1993</v>
      </c>
      <c r="B1940" s="2" t="s">
        <v>27</v>
      </c>
      <c r="C1940" s="2" t="s">
        <v>53</v>
      </c>
      <c r="D1940" s="2" t="s">
        <v>62</v>
      </c>
      <c r="E1940" s="2"/>
      <c r="F1940" s="2" t="s">
        <v>56</v>
      </c>
      <c r="G1940" s="8">
        <v>51.02</v>
      </c>
      <c r="H1940" s="11">
        <v>57.9</v>
      </c>
      <c r="I1940" s="8">
        <v>21.48</v>
      </c>
      <c r="J1940" s="3">
        <v>45875</v>
      </c>
      <c r="K1940" s="14">
        <v>36</v>
      </c>
      <c r="L1940" s="17"/>
      <c r="M1940" s="2" t="b">
        <v>0</v>
      </c>
      <c r="N1940" s="2"/>
      <c r="O1940" s="2" t="str">
        <f>IF(Table1[[#This Row],[is_returned]]=TRUE,IF(Table1[[#This Row],[return_reason]]="","Error","OK"),"OK")</f>
        <v>OK</v>
      </c>
      <c r="P1940" s="8">
        <f>Table1[[#This Row],[original_price]]*Table1[[#This Row],[markdown_percentage]]/100</f>
        <v>29.540579999999999</v>
      </c>
      <c r="Q194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940" s="25">
        <f>Table1[[#This Row],[current_price]]*Table1[[#This Row],[stock_quantity]]</f>
        <v>773.28</v>
      </c>
    </row>
    <row r="1941" spans="1:18" x14ac:dyDescent="0.25">
      <c r="A1941" s="2" t="s">
        <v>1994</v>
      </c>
      <c r="B1941" s="2" t="s">
        <v>30</v>
      </c>
      <c r="C1941" s="2" t="s">
        <v>48</v>
      </c>
      <c r="D1941" s="2" t="s">
        <v>34</v>
      </c>
      <c r="E1941" s="2" t="s">
        <v>58</v>
      </c>
      <c r="F1941" s="2" t="s">
        <v>46</v>
      </c>
      <c r="G1941" s="8">
        <v>77.45</v>
      </c>
      <c r="H1941" s="11">
        <v>52.8</v>
      </c>
      <c r="I1941" s="8">
        <v>36.56</v>
      </c>
      <c r="J1941" s="3">
        <v>45875</v>
      </c>
      <c r="K1941" s="14">
        <v>6</v>
      </c>
      <c r="L1941" s="17">
        <v>2.7</v>
      </c>
      <c r="M1941" s="2" t="b">
        <v>0</v>
      </c>
      <c r="N1941" s="2"/>
      <c r="O1941" s="2" t="str">
        <f>IF(Table1[[#This Row],[is_returned]]=TRUE,IF(Table1[[#This Row],[return_reason]]="","Error","OK"),"OK")</f>
        <v>OK</v>
      </c>
      <c r="P1941" s="8">
        <f>Table1[[#This Row],[original_price]]*Table1[[#This Row],[markdown_percentage]]/100</f>
        <v>40.893599999999999</v>
      </c>
      <c r="Q194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941" s="25">
        <f>Table1[[#This Row],[current_price]]*Table1[[#This Row],[stock_quantity]]</f>
        <v>219.36</v>
      </c>
    </row>
    <row r="1942" spans="1:18" x14ac:dyDescent="0.25">
      <c r="A1942" s="2" t="s">
        <v>1995</v>
      </c>
      <c r="B1942" s="2" t="s">
        <v>30</v>
      </c>
      <c r="C1942" s="2" t="s">
        <v>53</v>
      </c>
      <c r="D1942" s="2" t="s">
        <v>34</v>
      </c>
      <c r="E1942" s="2" t="s">
        <v>55</v>
      </c>
      <c r="F1942" s="2" t="s">
        <v>35</v>
      </c>
      <c r="G1942" s="8">
        <v>142.87</v>
      </c>
      <c r="H1942" s="11">
        <v>45.4</v>
      </c>
      <c r="I1942" s="8">
        <v>78.010000000000005</v>
      </c>
      <c r="J1942" s="3">
        <v>45875</v>
      </c>
      <c r="K1942" s="14">
        <v>20</v>
      </c>
      <c r="L1942" s="17">
        <v>1.7</v>
      </c>
      <c r="M1942" s="2" t="b">
        <v>0</v>
      </c>
      <c r="N1942" s="2"/>
      <c r="O1942" s="2" t="str">
        <f>IF(Table1[[#This Row],[is_returned]]=TRUE,IF(Table1[[#This Row],[return_reason]]="","Error","OK"),"OK")</f>
        <v>OK</v>
      </c>
      <c r="P1942" s="8">
        <f>Table1[[#This Row],[original_price]]*Table1[[#This Row],[markdown_percentage]]/100</f>
        <v>64.862979999999993</v>
      </c>
      <c r="Q194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942" s="25">
        <f>Table1[[#This Row],[current_price]]*Table1[[#This Row],[stock_quantity]]</f>
        <v>1560.2</v>
      </c>
    </row>
    <row r="1943" spans="1:18" x14ac:dyDescent="0.25">
      <c r="A1943" s="2" t="s">
        <v>1996</v>
      </c>
      <c r="B1943" s="2" t="s">
        <v>15</v>
      </c>
      <c r="C1943" s="2" t="s">
        <v>32</v>
      </c>
      <c r="D1943" s="2" t="s">
        <v>23</v>
      </c>
      <c r="E1943" s="2" t="s">
        <v>55</v>
      </c>
      <c r="F1943" s="2" t="s">
        <v>35</v>
      </c>
      <c r="G1943" s="8">
        <v>138.87</v>
      </c>
      <c r="H1943" s="11">
        <v>0</v>
      </c>
      <c r="I1943" s="8">
        <v>138.87</v>
      </c>
      <c r="J1943" s="3">
        <v>45875</v>
      </c>
      <c r="K1943" s="14">
        <v>37</v>
      </c>
      <c r="L1943" s="17">
        <v>3.2</v>
      </c>
      <c r="M1943" s="2" t="b">
        <v>0</v>
      </c>
      <c r="N1943" s="2"/>
      <c r="O1943" s="2" t="str">
        <f>IF(Table1[[#This Row],[is_returned]]=TRUE,IF(Table1[[#This Row],[return_reason]]="","Error","OK"),"OK")</f>
        <v>OK</v>
      </c>
      <c r="P1943" s="8">
        <f>Table1[[#This Row],[original_price]]*Table1[[#This Row],[markdown_percentage]]/100</f>
        <v>0</v>
      </c>
      <c r="Q194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943" s="25">
        <f>Table1[[#This Row],[current_price]]*Table1[[#This Row],[stock_quantity]]</f>
        <v>5138.1900000000005</v>
      </c>
    </row>
    <row r="1944" spans="1:18" x14ac:dyDescent="0.25">
      <c r="A1944" s="2" t="s">
        <v>1997</v>
      </c>
      <c r="B1944" s="2" t="s">
        <v>30</v>
      </c>
      <c r="C1944" s="2" t="s">
        <v>53</v>
      </c>
      <c r="D1944" s="2" t="s">
        <v>17</v>
      </c>
      <c r="E1944" s="2" t="s">
        <v>39</v>
      </c>
      <c r="F1944" s="2" t="s">
        <v>19</v>
      </c>
      <c r="G1944" s="8">
        <v>132.82</v>
      </c>
      <c r="H1944" s="11">
        <v>0</v>
      </c>
      <c r="I1944" s="8">
        <v>132.82</v>
      </c>
      <c r="J1944" s="3">
        <v>45733</v>
      </c>
      <c r="K1944" s="14">
        <v>40</v>
      </c>
      <c r="L1944" s="17"/>
      <c r="M1944" s="2" t="b">
        <v>1</v>
      </c>
      <c r="N1944" s="2" t="s">
        <v>115</v>
      </c>
      <c r="O1944" s="2" t="str">
        <f>IF(Table1[[#This Row],[is_returned]]=TRUE,IF(Table1[[#This Row],[return_reason]]="","Error","OK"),"OK")</f>
        <v>OK</v>
      </c>
      <c r="P1944" s="8">
        <f>Table1[[#This Row],[original_price]]*Table1[[#This Row],[markdown_percentage]]/100</f>
        <v>0</v>
      </c>
      <c r="Q194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944" s="25">
        <f>Table1[[#This Row],[current_price]]*Table1[[#This Row],[stock_quantity]]</f>
        <v>5312.7999999999993</v>
      </c>
    </row>
    <row r="1945" spans="1:18" x14ac:dyDescent="0.25">
      <c r="A1945" s="2" t="s">
        <v>1998</v>
      </c>
      <c r="B1945" s="2" t="s">
        <v>30</v>
      </c>
      <c r="C1945" s="2" t="s">
        <v>48</v>
      </c>
      <c r="D1945" s="2" t="s">
        <v>62</v>
      </c>
      <c r="E1945" s="2" t="s">
        <v>24</v>
      </c>
      <c r="F1945" s="2" t="s">
        <v>64</v>
      </c>
      <c r="G1945" s="8">
        <v>110.54</v>
      </c>
      <c r="H1945" s="11">
        <v>0</v>
      </c>
      <c r="I1945" s="8">
        <v>110.54</v>
      </c>
      <c r="J1945" s="3">
        <v>45875</v>
      </c>
      <c r="K1945" s="14">
        <v>24</v>
      </c>
      <c r="L1945" s="17"/>
      <c r="M1945" s="2" t="b">
        <v>1</v>
      </c>
      <c r="N1945" s="2" t="s">
        <v>73</v>
      </c>
      <c r="O1945" s="2" t="str">
        <f>IF(Table1[[#This Row],[is_returned]]=TRUE,IF(Table1[[#This Row],[return_reason]]="","Error","OK"),"OK")</f>
        <v>OK</v>
      </c>
      <c r="P1945" s="8">
        <f>Table1[[#This Row],[original_price]]*Table1[[#This Row],[markdown_percentage]]/100</f>
        <v>0</v>
      </c>
      <c r="Q194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945" s="25">
        <f>Table1[[#This Row],[current_price]]*Table1[[#This Row],[stock_quantity]]</f>
        <v>2652.96</v>
      </c>
    </row>
    <row r="1946" spans="1:18" x14ac:dyDescent="0.25">
      <c r="A1946" s="2" t="s">
        <v>1999</v>
      </c>
      <c r="B1946" s="2" t="s">
        <v>38</v>
      </c>
      <c r="C1946" s="2" t="s">
        <v>16</v>
      </c>
      <c r="D1946" s="2" t="s">
        <v>62</v>
      </c>
      <c r="E1946" s="2" t="s">
        <v>18</v>
      </c>
      <c r="F1946" s="2" t="s">
        <v>56</v>
      </c>
      <c r="G1946" s="8">
        <v>29.07</v>
      </c>
      <c r="H1946" s="11">
        <v>0</v>
      </c>
      <c r="I1946" s="8">
        <v>29.07</v>
      </c>
      <c r="J1946" s="3">
        <v>45875</v>
      </c>
      <c r="K1946" s="14">
        <v>41</v>
      </c>
      <c r="L1946" s="17">
        <v>2.8</v>
      </c>
      <c r="M1946" s="2" t="b">
        <v>0</v>
      </c>
      <c r="N1946" s="2"/>
      <c r="O1946" s="2" t="str">
        <f>IF(Table1[[#This Row],[is_returned]]=TRUE,IF(Table1[[#This Row],[return_reason]]="","Error","OK"),"OK")</f>
        <v>OK</v>
      </c>
      <c r="P1946" s="8">
        <f>Table1[[#This Row],[original_price]]*Table1[[#This Row],[markdown_percentage]]/100</f>
        <v>0</v>
      </c>
      <c r="Q194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946" s="25">
        <f>Table1[[#This Row],[current_price]]*Table1[[#This Row],[stock_quantity]]</f>
        <v>1191.8700000000001</v>
      </c>
    </row>
    <row r="1947" spans="1:18" x14ac:dyDescent="0.25">
      <c r="A1947" s="2" t="s">
        <v>2000</v>
      </c>
      <c r="B1947" s="2" t="s">
        <v>15</v>
      </c>
      <c r="C1947" s="2" t="s">
        <v>61</v>
      </c>
      <c r="D1947" s="2" t="s">
        <v>62</v>
      </c>
      <c r="E1947" s="2" t="s">
        <v>39</v>
      </c>
      <c r="F1947" s="2" t="s">
        <v>64</v>
      </c>
      <c r="G1947" s="8">
        <v>141.91999999999999</v>
      </c>
      <c r="H1947" s="11">
        <v>0</v>
      </c>
      <c r="I1947" s="8">
        <v>141.91999999999999</v>
      </c>
      <c r="J1947" s="3">
        <v>45875</v>
      </c>
      <c r="K1947" s="14">
        <v>37</v>
      </c>
      <c r="L1947" s="17">
        <v>1.7</v>
      </c>
      <c r="M1947" s="2" t="b">
        <v>0</v>
      </c>
      <c r="N1947" s="2"/>
      <c r="O1947" s="2" t="str">
        <f>IF(Table1[[#This Row],[is_returned]]=TRUE,IF(Table1[[#This Row],[return_reason]]="","Error","OK"),"OK")</f>
        <v>OK</v>
      </c>
      <c r="P1947" s="8">
        <f>Table1[[#This Row],[original_price]]*Table1[[#This Row],[markdown_percentage]]/100</f>
        <v>0</v>
      </c>
      <c r="Q194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947" s="25">
        <f>Table1[[#This Row],[current_price]]*Table1[[#This Row],[stock_quantity]]</f>
        <v>5251.04</v>
      </c>
    </row>
    <row r="1948" spans="1:18" x14ac:dyDescent="0.25">
      <c r="A1948" s="2" t="s">
        <v>2001</v>
      </c>
      <c r="B1948" s="2" t="s">
        <v>30</v>
      </c>
      <c r="C1948" s="2" t="s">
        <v>32</v>
      </c>
      <c r="D1948" s="2" t="s">
        <v>62</v>
      </c>
      <c r="E1948" s="2" t="s">
        <v>18</v>
      </c>
      <c r="F1948" s="2" t="s">
        <v>19</v>
      </c>
      <c r="G1948" s="8">
        <v>67.84</v>
      </c>
      <c r="H1948" s="11">
        <v>0</v>
      </c>
      <c r="I1948" s="8">
        <v>67.84</v>
      </c>
      <c r="J1948" s="3">
        <v>45875</v>
      </c>
      <c r="K1948" s="14">
        <v>24</v>
      </c>
      <c r="L1948" s="17">
        <v>1.2</v>
      </c>
      <c r="M1948" s="2" t="b">
        <v>0</v>
      </c>
      <c r="N1948" s="2"/>
      <c r="O1948" s="2" t="str">
        <f>IF(Table1[[#This Row],[is_returned]]=TRUE,IF(Table1[[#This Row],[return_reason]]="","Error","OK"),"OK")</f>
        <v>OK</v>
      </c>
      <c r="P1948" s="8">
        <f>Table1[[#This Row],[original_price]]*Table1[[#This Row],[markdown_percentage]]/100</f>
        <v>0</v>
      </c>
      <c r="Q194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948" s="25">
        <f>Table1[[#This Row],[current_price]]*Table1[[#This Row],[stock_quantity]]</f>
        <v>1628.16</v>
      </c>
    </row>
    <row r="1949" spans="1:18" x14ac:dyDescent="0.25">
      <c r="A1949" s="2" t="s">
        <v>2002</v>
      </c>
      <c r="B1949" s="2" t="s">
        <v>30</v>
      </c>
      <c r="C1949" s="2" t="s">
        <v>43</v>
      </c>
      <c r="D1949" s="2" t="s">
        <v>23</v>
      </c>
      <c r="E1949" s="2" t="s">
        <v>39</v>
      </c>
      <c r="F1949" s="2" t="s">
        <v>70</v>
      </c>
      <c r="G1949" s="8">
        <v>143.27000000000001</v>
      </c>
      <c r="H1949" s="11">
        <v>0</v>
      </c>
      <c r="I1949" s="8">
        <v>143.27000000000001</v>
      </c>
      <c r="J1949" s="3">
        <v>45875</v>
      </c>
      <c r="K1949" s="14">
        <v>0</v>
      </c>
      <c r="L1949" s="17"/>
      <c r="M1949" s="2" t="b">
        <v>0</v>
      </c>
      <c r="N1949" s="2"/>
      <c r="O1949" s="2" t="str">
        <f>IF(Table1[[#This Row],[is_returned]]=TRUE,IF(Table1[[#This Row],[return_reason]]="","Error","OK"),"OK")</f>
        <v>OK</v>
      </c>
      <c r="P1949" s="8">
        <f>Table1[[#This Row],[original_price]]*Table1[[#This Row],[markdown_percentage]]/100</f>
        <v>0</v>
      </c>
      <c r="Q194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949" s="25">
        <f>Table1[[#This Row],[current_price]]*Table1[[#This Row],[stock_quantity]]</f>
        <v>0</v>
      </c>
    </row>
    <row r="1950" spans="1:18" x14ac:dyDescent="0.25">
      <c r="A1950" s="2" t="s">
        <v>2003</v>
      </c>
      <c r="B1950" s="2" t="s">
        <v>27</v>
      </c>
      <c r="C1950" s="2" t="s">
        <v>32</v>
      </c>
      <c r="D1950" s="2" t="s">
        <v>23</v>
      </c>
      <c r="E1950" s="2"/>
      <c r="F1950" s="2" t="s">
        <v>70</v>
      </c>
      <c r="G1950" s="8">
        <v>20.97</v>
      </c>
      <c r="H1950" s="11">
        <v>0</v>
      </c>
      <c r="I1950" s="8">
        <v>20.97</v>
      </c>
      <c r="J1950" s="3">
        <v>45875</v>
      </c>
      <c r="K1950" s="14">
        <v>44</v>
      </c>
      <c r="L1950" s="17">
        <v>4.5999999999999996</v>
      </c>
      <c r="M1950" s="2" t="b">
        <v>0</v>
      </c>
      <c r="N1950" s="2"/>
      <c r="O1950" s="2" t="str">
        <f>IF(Table1[[#This Row],[is_returned]]=TRUE,IF(Table1[[#This Row],[return_reason]]="","Error","OK"),"OK")</f>
        <v>OK</v>
      </c>
      <c r="P1950" s="8">
        <f>Table1[[#This Row],[original_price]]*Table1[[#This Row],[markdown_percentage]]/100</f>
        <v>0</v>
      </c>
      <c r="Q195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950" s="25">
        <f>Table1[[#This Row],[current_price]]*Table1[[#This Row],[stock_quantity]]</f>
        <v>922.68</v>
      </c>
    </row>
    <row r="1951" spans="1:18" x14ac:dyDescent="0.25">
      <c r="A1951" s="2" t="s">
        <v>2004</v>
      </c>
      <c r="B1951" s="2" t="s">
        <v>42</v>
      </c>
      <c r="C1951" s="2" t="s">
        <v>16</v>
      </c>
      <c r="D1951" s="2" t="s">
        <v>62</v>
      </c>
      <c r="E1951" s="2" t="s">
        <v>18</v>
      </c>
      <c r="F1951" s="2" t="s">
        <v>66</v>
      </c>
      <c r="G1951" s="8">
        <v>105.5</v>
      </c>
      <c r="H1951" s="11">
        <v>59.8</v>
      </c>
      <c r="I1951" s="8">
        <v>42.41</v>
      </c>
      <c r="J1951" s="3">
        <v>45875</v>
      </c>
      <c r="K1951" s="14">
        <v>34</v>
      </c>
      <c r="L1951" s="17"/>
      <c r="M1951" s="2" t="b">
        <v>0</v>
      </c>
      <c r="N1951" s="2"/>
      <c r="O1951" s="2" t="str">
        <f>IF(Table1[[#This Row],[is_returned]]=TRUE,IF(Table1[[#This Row],[return_reason]]="","Error","OK"),"OK")</f>
        <v>OK</v>
      </c>
      <c r="P1951" s="8">
        <f>Table1[[#This Row],[original_price]]*Table1[[#This Row],[markdown_percentage]]/100</f>
        <v>63.088999999999999</v>
      </c>
      <c r="Q195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951" s="25">
        <f>Table1[[#This Row],[current_price]]*Table1[[#This Row],[stock_quantity]]</f>
        <v>1441.9399999999998</v>
      </c>
    </row>
    <row r="1952" spans="1:18" x14ac:dyDescent="0.25">
      <c r="A1952" s="2" t="s">
        <v>2005</v>
      </c>
      <c r="B1952" s="2" t="s">
        <v>30</v>
      </c>
      <c r="C1952" s="2" t="s">
        <v>32</v>
      </c>
      <c r="D1952" s="2" t="s">
        <v>17</v>
      </c>
      <c r="E1952" s="2" t="s">
        <v>49</v>
      </c>
      <c r="F1952" s="2" t="s">
        <v>46</v>
      </c>
      <c r="G1952" s="8">
        <v>184.7</v>
      </c>
      <c r="H1952" s="11">
        <v>0</v>
      </c>
      <c r="I1952" s="8">
        <v>184.7</v>
      </c>
      <c r="J1952" s="3">
        <v>45554</v>
      </c>
      <c r="K1952" s="14">
        <v>39</v>
      </c>
      <c r="L1952" s="17">
        <v>2.1</v>
      </c>
      <c r="M1952" s="2" t="b">
        <v>1</v>
      </c>
      <c r="N1952" s="2" t="s">
        <v>73</v>
      </c>
      <c r="O1952" s="2" t="str">
        <f>IF(Table1[[#This Row],[is_returned]]=TRUE,IF(Table1[[#This Row],[return_reason]]="","Error","OK"),"OK")</f>
        <v>OK</v>
      </c>
      <c r="P1952" s="8">
        <f>Table1[[#This Row],[original_price]]*Table1[[#This Row],[markdown_percentage]]/100</f>
        <v>0</v>
      </c>
      <c r="Q195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952" s="25">
        <f>Table1[[#This Row],[current_price]]*Table1[[#This Row],[stock_quantity]]</f>
        <v>7203.2999999999993</v>
      </c>
    </row>
    <row r="1953" spans="1:18" x14ac:dyDescent="0.25">
      <c r="A1953" s="2" t="s">
        <v>2006</v>
      </c>
      <c r="B1953" s="2" t="s">
        <v>30</v>
      </c>
      <c r="C1953" s="2" t="s">
        <v>48</v>
      </c>
      <c r="D1953" s="2" t="s">
        <v>17</v>
      </c>
      <c r="E1953" s="2" t="s">
        <v>55</v>
      </c>
      <c r="F1953" s="2" t="s">
        <v>44</v>
      </c>
      <c r="G1953" s="8">
        <v>81.47</v>
      </c>
      <c r="H1953" s="11">
        <v>32</v>
      </c>
      <c r="I1953" s="8">
        <v>55.4</v>
      </c>
      <c r="J1953" s="3">
        <v>45536</v>
      </c>
      <c r="K1953" s="14">
        <v>2</v>
      </c>
      <c r="L1953" s="17">
        <v>1.1000000000000001</v>
      </c>
      <c r="M1953" s="2" t="b">
        <v>0</v>
      </c>
      <c r="N1953" s="2"/>
      <c r="O1953" s="2" t="str">
        <f>IF(Table1[[#This Row],[is_returned]]=TRUE,IF(Table1[[#This Row],[return_reason]]="","Error","OK"),"OK")</f>
        <v>OK</v>
      </c>
      <c r="P1953" s="8">
        <f>Table1[[#This Row],[original_price]]*Table1[[#This Row],[markdown_percentage]]/100</f>
        <v>26.070399999999999</v>
      </c>
      <c r="Q195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953" s="25">
        <f>Table1[[#This Row],[current_price]]*Table1[[#This Row],[stock_quantity]]</f>
        <v>110.8</v>
      </c>
    </row>
    <row r="1954" spans="1:18" x14ac:dyDescent="0.25">
      <c r="A1954" s="2" t="s">
        <v>2007</v>
      </c>
      <c r="B1954" s="2" t="s">
        <v>15</v>
      </c>
      <c r="C1954" s="2" t="s">
        <v>32</v>
      </c>
      <c r="D1954" s="2" t="s">
        <v>23</v>
      </c>
      <c r="E1954" s="2" t="s">
        <v>24</v>
      </c>
      <c r="F1954" s="2" t="s">
        <v>44</v>
      </c>
      <c r="G1954" s="8">
        <v>107.67</v>
      </c>
      <c r="H1954" s="11">
        <v>20.3</v>
      </c>
      <c r="I1954" s="8">
        <v>85.81</v>
      </c>
      <c r="J1954" s="3">
        <v>45875</v>
      </c>
      <c r="K1954" s="14">
        <v>16</v>
      </c>
      <c r="L1954" s="17">
        <v>4.3</v>
      </c>
      <c r="M1954" s="2" t="b">
        <v>0</v>
      </c>
      <c r="N1954" s="2"/>
      <c r="O1954" s="2" t="str">
        <f>IF(Table1[[#This Row],[is_returned]]=TRUE,IF(Table1[[#This Row],[return_reason]]="","Error","OK"),"OK")</f>
        <v>OK</v>
      </c>
      <c r="P1954" s="8">
        <f>Table1[[#This Row],[original_price]]*Table1[[#This Row],[markdown_percentage]]/100</f>
        <v>21.857009999999999</v>
      </c>
      <c r="Q195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954" s="25">
        <f>Table1[[#This Row],[current_price]]*Table1[[#This Row],[stock_quantity]]</f>
        <v>1372.96</v>
      </c>
    </row>
    <row r="1955" spans="1:18" x14ac:dyDescent="0.25">
      <c r="A1955" s="2" t="s">
        <v>2008</v>
      </c>
      <c r="B1955" s="2" t="s">
        <v>21</v>
      </c>
      <c r="C1955" s="2" t="s">
        <v>32</v>
      </c>
      <c r="D1955" s="2" t="s">
        <v>62</v>
      </c>
      <c r="E1955" s="2" t="s">
        <v>18</v>
      </c>
      <c r="F1955" s="2" t="s">
        <v>66</v>
      </c>
      <c r="G1955" s="8">
        <v>88.64</v>
      </c>
      <c r="H1955" s="11">
        <v>0</v>
      </c>
      <c r="I1955" s="8">
        <v>88.64</v>
      </c>
      <c r="J1955" s="3">
        <v>45875</v>
      </c>
      <c r="K1955" s="14">
        <v>33</v>
      </c>
      <c r="L1955" s="17"/>
      <c r="M1955" s="2" t="b">
        <v>0</v>
      </c>
      <c r="N1955" s="2"/>
      <c r="O1955" s="2" t="str">
        <f>IF(Table1[[#This Row],[is_returned]]=TRUE,IF(Table1[[#This Row],[return_reason]]="","Error","OK"),"OK")</f>
        <v>OK</v>
      </c>
      <c r="P1955" s="8">
        <f>Table1[[#This Row],[original_price]]*Table1[[#This Row],[markdown_percentage]]/100</f>
        <v>0</v>
      </c>
      <c r="Q195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955" s="25">
        <f>Table1[[#This Row],[current_price]]*Table1[[#This Row],[stock_quantity]]</f>
        <v>2925.12</v>
      </c>
    </row>
    <row r="1956" spans="1:18" x14ac:dyDescent="0.25">
      <c r="A1956" s="2" t="s">
        <v>2009</v>
      </c>
      <c r="B1956" s="2" t="s">
        <v>27</v>
      </c>
      <c r="C1956" s="2" t="s">
        <v>16</v>
      </c>
      <c r="D1956" s="2" t="s">
        <v>23</v>
      </c>
      <c r="E1956" s="2"/>
      <c r="F1956" s="2" t="s">
        <v>19</v>
      </c>
      <c r="G1956" s="8">
        <v>17.5</v>
      </c>
      <c r="H1956" s="11">
        <v>14.4</v>
      </c>
      <c r="I1956" s="8">
        <v>14.98</v>
      </c>
      <c r="J1956" s="3">
        <v>45875</v>
      </c>
      <c r="K1956" s="14">
        <v>16</v>
      </c>
      <c r="L1956" s="17">
        <v>3.1</v>
      </c>
      <c r="M1956" s="2" t="b">
        <v>0</v>
      </c>
      <c r="N1956" s="2"/>
      <c r="O1956" s="2" t="str">
        <f>IF(Table1[[#This Row],[is_returned]]=TRUE,IF(Table1[[#This Row],[return_reason]]="","Error","OK"),"OK")</f>
        <v>OK</v>
      </c>
      <c r="P1956" s="8">
        <f>Table1[[#This Row],[original_price]]*Table1[[#This Row],[markdown_percentage]]/100</f>
        <v>2.52</v>
      </c>
      <c r="Q195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956" s="25">
        <f>Table1[[#This Row],[current_price]]*Table1[[#This Row],[stock_quantity]]</f>
        <v>239.68</v>
      </c>
    </row>
    <row r="1957" spans="1:18" x14ac:dyDescent="0.25">
      <c r="A1957" s="2" t="s">
        <v>2010</v>
      </c>
      <c r="B1957" s="2" t="s">
        <v>15</v>
      </c>
      <c r="C1957" s="2" t="s">
        <v>48</v>
      </c>
      <c r="D1957" s="2" t="s">
        <v>23</v>
      </c>
      <c r="E1957" s="2" t="s">
        <v>18</v>
      </c>
      <c r="F1957" s="2" t="s">
        <v>40</v>
      </c>
      <c r="G1957" s="8">
        <v>205.37</v>
      </c>
      <c r="H1957" s="11">
        <v>0</v>
      </c>
      <c r="I1957" s="8">
        <v>205.37</v>
      </c>
      <c r="J1957" s="3">
        <v>45875</v>
      </c>
      <c r="K1957" s="14">
        <v>25</v>
      </c>
      <c r="L1957" s="17">
        <v>2</v>
      </c>
      <c r="M1957" s="2" t="b">
        <v>1</v>
      </c>
      <c r="N1957" s="2" t="s">
        <v>78</v>
      </c>
      <c r="O1957" s="2" t="str">
        <f>IF(Table1[[#This Row],[is_returned]]=TRUE,IF(Table1[[#This Row],[return_reason]]="","Error","OK"),"OK")</f>
        <v>OK</v>
      </c>
      <c r="P1957" s="8">
        <f>Table1[[#This Row],[original_price]]*Table1[[#This Row],[markdown_percentage]]/100</f>
        <v>0</v>
      </c>
      <c r="Q195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957" s="25">
        <f>Table1[[#This Row],[current_price]]*Table1[[#This Row],[stock_quantity]]</f>
        <v>5134.25</v>
      </c>
    </row>
    <row r="1958" spans="1:18" x14ac:dyDescent="0.25">
      <c r="A1958" s="2" t="s">
        <v>2011</v>
      </c>
      <c r="B1958" s="2" t="s">
        <v>42</v>
      </c>
      <c r="C1958" s="2" t="s">
        <v>43</v>
      </c>
      <c r="D1958" s="2" t="s">
        <v>23</v>
      </c>
      <c r="E1958" s="2" t="s">
        <v>55</v>
      </c>
      <c r="F1958" s="2" t="s">
        <v>56</v>
      </c>
      <c r="G1958" s="8">
        <v>111.66</v>
      </c>
      <c r="H1958" s="11">
        <v>0</v>
      </c>
      <c r="I1958" s="8">
        <v>111.66</v>
      </c>
      <c r="J1958" s="3">
        <v>45875</v>
      </c>
      <c r="K1958" s="14">
        <v>26</v>
      </c>
      <c r="L1958" s="17">
        <v>1.4</v>
      </c>
      <c r="M1958" s="2" t="b">
        <v>0</v>
      </c>
      <c r="N1958" s="2"/>
      <c r="O1958" s="2" t="str">
        <f>IF(Table1[[#This Row],[is_returned]]=TRUE,IF(Table1[[#This Row],[return_reason]]="","Error","OK"),"OK")</f>
        <v>OK</v>
      </c>
      <c r="P1958" s="8">
        <f>Table1[[#This Row],[original_price]]*Table1[[#This Row],[markdown_percentage]]/100</f>
        <v>0</v>
      </c>
      <c r="Q195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958" s="25">
        <f>Table1[[#This Row],[current_price]]*Table1[[#This Row],[stock_quantity]]</f>
        <v>2903.16</v>
      </c>
    </row>
    <row r="1959" spans="1:18" x14ac:dyDescent="0.25">
      <c r="A1959" s="2" t="s">
        <v>2012</v>
      </c>
      <c r="B1959" s="2" t="s">
        <v>30</v>
      </c>
      <c r="C1959" s="2" t="s">
        <v>43</v>
      </c>
      <c r="D1959" s="2" t="s">
        <v>62</v>
      </c>
      <c r="E1959" s="2" t="s">
        <v>39</v>
      </c>
      <c r="F1959" s="2" t="s">
        <v>25</v>
      </c>
      <c r="G1959" s="8">
        <v>184.87</v>
      </c>
      <c r="H1959" s="11">
        <v>56.4</v>
      </c>
      <c r="I1959" s="8">
        <v>80.599999999999994</v>
      </c>
      <c r="J1959" s="3">
        <v>45875</v>
      </c>
      <c r="K1959" s="14">
        <v>10</v>
      </c>
      <c r="L1959" s="17">
        <v>3.7</v>
      </c>
      <c r="M1959" s="2" t="b">
        <v>0</v>
      </c>
      <c r="N1959" s="2"/>
      <c r="O1959" s="2" t="str">
        <f>IF(Table1[[#This Row],[is_returned]]=TRUE,IF(Table1[[#This Row],[return_reason]]="","Error","OK"),"OK")</f>
        <v>OK</v>
      </c>
      <c r="P1959" s="8">
        <f>Table1[[#This Row],[original_price]]*Table1[[#This Row],[markdown_percentage]]/100</f>
        <v>104.26667999999999</v>
      </c>
      <c r="Q195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959" s="25">
        <f>Table1[[#This Row],[current_price]]*Table1[[#This Row],[stock_quantity]]</f>
        <v>806</v>
      </c>
    </row>
    <row r="1960" spans="1:18" x14ac:dyDescent="0.25">
      <c r="A1960" s="2" t="s">
        <v>2013</v>
      </c>
      <c r="B1960" s="2" t="s">
        <v>38</v>
      </c>
      <c r="C1960" s="2" t="s">
        <v>16</v>
      </c>
      <c r="D1960" s="2" t="s">
        <v>17</v>
      </c>
      <c r="E1960" s="2" t="s">
        <v>24</v>
      </c>
      <c r="F1960" s="2" t="s">
        <v>46</v>
      </c>
      <c r="G1960" s="8">
        <v>84.58</v>
      </c>
      <c r="H1960" s="11">
        <v>0</v>
      </c>
      <c r="I1960" s="8">
        <v>84.58</v>
      </c>
      <c r="J1960" s="3">
        <v>45674</v>
      </c>
      <c r="K1960" s="14">
        <v>33</v>
      </c>
      <c r="L1960" s="17">
        <v>4.5</v>
      </c>
      <c r="M1960" s="2" t="b">
        <v>0</v>
      </c>
      <c r="N1960" s="2"/>
      <c r="O1960" s="2" t="str">
        <f>IF(Table1[[#This Row],[is_returned]]=TRUE,IF(Table1[[#This Row],[return_reason]]="","Error","OK"),"OK")</f>
        <v>OK</v>
      </c>
      <c r="P1960" s="8">
        <f>Table1[[#This Row],[original_price]]*Table1[[#This Row],[markdown_percentage]]/100</f>
        <v>0</v>
      </c>
      <c r="Q196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960" s="25">
        <f>Table1[[#This Row],[current_price]]*Table1[[#This Row],[stock_quantity]]</f>
        <v>2791.14</v>
      </c>
    </row>
    <row r="1961" spans="1:18" x14ac:dyDescent="0.25">
      <c r="A1961" s="2" t="s">
        <v>2014</v>
      </c>
      <c r="B1961" s="2" t="s">
        <v>38</v>
      </c>
      <c r="C1961" s="2" t="s">
        <v>75</v>
      </c>
      <c r="D1961" s="2" t="s">
        <v>62</v>
      </c>
      <c r="E1961" s="2" t="s">
        <v>49</v>
      </c>
      <c r="F1961" s="2" t="s">
        <v>35</v>
      </c>
      <c r="G1961" s="8">
        <v>66.739999999999995</v>
      </c>
      <c r="H1961" s="11">
        <v>0</v>
      </c>
      <c r="I1961" s="8">
        <v>66.739999999999995</v>
      </c>
      <c r="J1961" s="3">
        <v>45875</v>
      </c>
      <c r="K1961" s="14">
        <v>26</v>
      </c>
      <c r="L1961" s="17">
        <v>4.5999999999999996</v>
      </c>
      <c r="M1961" s="2" t="b">
        <v>0</v>
      </c>
      <c r="N1961" s="2"/>
      <c r="O1961" s="2" t="str">
        <f>IF(Table1[[#This Row],[is_returned]]=TRUE,IF(Table1[[#This Row],[return_reason]]="","Error","OK"),"OK")</f>
        <v>OK</v>
      </c>
      <c r="P1961" s="8">
        <f>Table1[[#This Row],[original_price]]*Table1[[#This Row],[markdown_percentage]]/100</f>
        <v>0</v>
      </c>
      <c r="Q196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961" s="25">
        <f>Table1[[#This Row],[current_price]]*Table1[[#This Row],[stock_quantity]]</f>
        <v>1735.2399999999998</v>
      </c>
    </row>
    <row r="1962" spans="1:18" x14ac:dyDescent="0.25">
      <c r="A1962" s="2" t="s">
        <v>2015</v>
      </c>
      <c r="B1962" s="2" t="s">
        <v>30</v>
      </c>
      <c r="C1962" s="2" t="s">
        <v>48</v>
      </c>
      <c r="D1962" s="2" t="s">
        <v>62</v>
      </c>
      <c r="E1962" s="2" t="s">
        <v>58</v>
      </c>
      <c r="F1962" s="2" t="s">
        <v>46</v>
      </c>
      <c r="G1962" s="8">
        <v>104.19</v>
      </c>
      <c r="H1962" s="11">
        <v>0</v>
      </c>
      <c r="I1962" s="8">
        <v>104.19</v>
      </c>
      <c r="J1962" s="3">
        <v>45875</v>
      </c>
      <c r="K1962" s="14">
        <v>4</v>
      </c>
      <c r="L1962" s="17">
        <v>4.7</v>
      </c>
      <c r="M1962" s="2" t="b">
        <v>0</v>
      </c>
      <c r="N1962" s="2"/>
      <c r="O1962" s="2" t="str">
        <f>IF(Table1[[#This Row],[is_returned]]=TRUE,IF(Table1[[#This Row],[return_reason]]="","Error","OK"),"OK")</f>
        <v>OK</v>
      </c>
      <c r="P1962" s="8">
        <f>Table1[[#This Row],[original_price]]*Table1[[#This Row],[markdown_percentage]]/100</f>
        <v>0</v>
      </c>
      <c r="Q196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962" s="25">
        <f>Table1[[#This Row],[current_price]]*Table1[[#This Row],[stock_quantity]]</f>
        <v>416.76</v>
      </c>
    </row>
    <row r="1963" spans="1:18" x14ac:dyDescent="0.25">
      <c r="A1963" s="2" t="s">
        <v>2016</v>
      </c>
      <c r="B1963" s="2" t="s">
        <v>15</v>
      </c>
      <c r="C1963" s="2" t="s">
        <v>22</v>
      </c>
      <c r="D1963" s="2" t="s">
        <v>62</v>
      </c>
      <c r="E1963" s="2" t="s">
        <v>58</v>
      </c>
      <c r="F1963" s="2" t="s">
        <v>46</v>
      </c>
      <c r="G1963" s="8">
        <v>216.73</v>
      </c>
      <c r="H1963" s="11">
        <v>0</v>
      </c>
      <c r="I1963" s="8">
        <v>216.73</v>
      </c>
      <c r="J1963" s="3">
        <v>45875</v>
      </c>
      <c r="K1963" s="14">
        <v>5</v>
      </c>
      <c r="L1963" s="17">
        <v>2.7</v>
      </c>
      <c r="M1963" s="2" t="b">
        <v>1</v>
      </c>
      <c r="N1963" s="2" t="s">
        <v>125</v>
      </c>
      <c r="O1963" s="2" t="str">
        <f>IF(Table1[[#This Row],[is_returned]]=TRUE,IF(Table1[[#This Row],[return_reason]]="","Error","OK"),"OK")</f>
        <v>OK</v>
      </c>
      <c r="P1963" s="8">
        <f>Table1[[#This Row],[original_price]]*Table1[[#This Row],[markdown_percentage]]/100</f>
        <v>0</v>
      </c>
      <c r="Q196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963" s="25">
        <f>Table1[[#This Row],[current_price]]*Table1[[#This Row],[stock_quantity]]</f>
        <v>1083.6499999999999</v>
      </c>
    </row>
    <row r="1964" spans="1:18" x14ac:dyDescent="0.25">
      <c r="A1964" s="2" t="s">
        <v>2017</v>
      </c>
      <c r="B1964" s="2" t="s">
        <v>42</v>
      </c>
      <c r="C1964" s="2" t="s">
        <v>43</v>
      </c>
      <c r="D1964" s="2" t="s">
        <v>62</v>
      </c>
      <c r="E1964" s="2" t="s">
        <v>49</v>
      </c>
      <c r="F1964" s="2" t="s">
        <v>56</v>
      </c>
      <c r="G1964" s="8">
        <v>87.82</v>
      </c>
      <c r="H1964" s="11">
        <v>0</v>
      </c>
      <c r="I1964" s="8">
        <v>87.82</v>
      </c>
      <c r="J1964" s="3">
        <v>45875</v>
      </c>
      <c r="K1964" s="14">
        <v>24</v>
      </c>
      <c r="L1964" s="17">
        <v>4.2</v>
      </c>
      <c r="M1964" s="2" t="b">
        <v>0</v>
      </c>
      <c r="N1964" s="2"/>
      <c r="O1964" s="2" t="str">
        <f>IF(Table1[[#This Row],[is_returned]]=TRUE,IF(Table1[[#This Row],[return_reason]]="","Error","OK"),"OK")</f>
        <v>OK</v>
      </c>
      <c r="P1964" s="8">
        <f>Table1[[#This Row],[original_price]]*Table1[[#This Row],[markdown_percentage]]/100</f>
        <v>0</v>
      </c>
      <c r="Q196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964" s="25">
        <f>Table1[[#This Row],[current_price]]*Table1[[#This Row],[stock_quantity]]</f>
        <v>2107.6799999999998</v>
      </c>
    </row>
    <row r="1965" spans="1:18" x14ac:dyDescent="0.25">
      <c r="A1965" s="2" t="s">
        <v>2018</v>
      </c>
      <c r="B1965" s="2" t="s">
        <v>30</v>
      </c>
      <c r="C1965" s="2" t="s">
        <v>16</v>
      </c>
      <c r="D1965" s="2" t="s">
        <v>62</v>
      </c>
      <c r="E1965" s="2" t="s">
        <v>24</v>
      </c>
      <c r="F1965" s="2" t="s">
        <v>46</v>
      </c>
      <c r="G1965" s="8">
        <v>81.59</v>
      </c>
      <c r="H1965" s="11">
        <v>0</v>
      </c>
      <c r="I1965" s="8">
        <v>81.59</v>
      </c>
      <c r="J1965" s="3">
        <v>45875</v>
      </c>
      <c r="K1965" s="14">
        <v>5</v>
      </c>
      <c r="L1965" s="17">
        <v>2.5</v>
      </c>
      <c r="M1965" s="2" t="b">
        <v>0</v>
      </c>
      <c r="N1965" s="2"/>
      <c r="O1965" s="2" t="str">
        <f>IF(Table1[[#This Row],[is_returned]]=TRUE,IF(Table1[[#This Row],[return_reason]]="","Error","OK"),"OK")</f>
        <v>OK</v>
      </c>
      <c r="P1965" s="8">
        <f>Table1[[#This Row],[original_price]]*Table1[[#This Row],[markdown_percentage]]/100</f>
        <v>0</v>
      </c>
      <c r="Q196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965" s="25">
        <f>Table1[[#This Row],[current_price]]*Table1[[#This Row],[stock_quantity]]</f>
        <v>407.95000000000005</v>
      </c>
    </row>
    <row r="1966" spans="1:18" x14ac:dyDescent="0.25">
      <c r="A1966" s="2" t="s">
        <v>2019</v>
      </c>
      <c r="B1966" s="2" t="s">
        <v>15</v>
      </c>
      <c r="C1966" s="2" t="s">
        <v>61</v>
      </c>
      <c r="D1966" s="2" t="s">
        <v>62</v>
      </c>
      <c r="E1966" s="2"/>
      <c r="F1966" s="2" t="s">
        <v>44</v>
      </c>
      <c r="G1966" s="8">
        <v>93.14</v>
      </c>
      <c r="H1966" s="11">
        <v>32.799999999999997</v>
      </c>
      <c r="I1966" s="8">
        <v>62.59</v>
      </c>
      <c r="J1966" s="3">
        <v>45875</v>
      </c>
      <c r="K1966" s="14">
        <v>45</v>
      </c>
      <c r="L1966" s="17">
        <v>4.5</v>
      </c>
      <c r="M1966" s="2" t="b">
        <v>0</v>
      </c>
      <c r="N1966" s="2"/>
      <c r="O1966" s="2" t="str">
        <f>IF(Table1[[#This Row],[is_returned]]=TRUE,IF(Table1[[#This Row],[return_reason]]="","Error","OK"),"OK")</f>
        <v>OK</v>
      </c>
      <c r="P1966" s="8">
        <f>Table1[[#This Row],[original_price]]*Table1[[#This Row],[markdown_percentage]]/100</f>
        <v>30.549919999999997</v>
      </c>
      <c r="Q196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966" s="25">
        <f>Table1[[#This Row],[current_price]]*Table1[[#This Row],[stock_quantity]]</f>
        <v>2816.55</v>
      </c>
    </row>
    <row r="1967" spans="1:18" x14ac:dyDescent="0.25">
      <c r="A1967" s="2" t="s">
        <v>2020</v>
      </c>
      <c r="B1967" s="2" t="s">
        <v>38</v>
      </c>
      <c r="C1967" s="2" t="s">
        <v>61</v>
      </c>
      <c r="D1967" s="2" t="s">
        <v>17</v>
      </c>
      <c r="E1967" s="2" t="s">
        <v>55</v>
      </c>
      <c r="F1967" s="2" t="s">
        <v>40</v>
      </c>
      <c r="G1967" s="8">
        <v>96.73</v>
      </c>
      <c r="H1967" s="11">
        <v>0</v>
      </c>
      <c r="I1967" s="8">
        <v>96.73</v>
      </c>
      <c r="J1967" s="3">
        <v>45605</v>
      </c>
      <c r="K1967" s="14">
        <v>18</v>
      </c>
      <c r="L1967" s="17">
        <v>4.8</v>
      </c>
      <c r="M1967" s="2" t="b">
        <v>0</v>
      </c>
      <c r="N1967" s="2"/>
      <c r="O1967" s="2" t="str">
        <f>IF(Table1[[#This Row],[is_returned]]=TRUE,IF(Table1[[#This Row],[return_reason]]="","Error","OK"),"OK")</f>
        <v>OK</v>
      </c>
      <c r="P1967" s="8">
        <f>Table1[[#This Row],[original_price]]*Table1[[#This Row],[markdown_percentage]]/100</f>
        <v>0</v>
      </c>
      <c r="Q196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967" s="25">
        <f>Table1[[#This Row],[current_price]]*Table1[[#This Row],[stock_quantity]]</f>
        <v>1741.14</v>
      </c>
    </row>
    <row r="1968" spans="1:18" x14ac:dyDescent="0.25">
      <c r="A1968" s="2" t="s">
        <v>2021</v>
      </c>
      <c r="B1968" s="2" t="s">
        <v>27</v>
      </c>
      <c r="C1968" s="2" t="s">
        <v>75</v>
      </c>
      <c r="D1968" s="2" t="s">
        <v>23</v>
      </c>
      <c r="E1968" s="2"/>
      <c r="F1968" s="2" t="s">
        <v>44</v>
      </c>
      <c r="G1968" s="8">
        <v>19.34</v>
      </c>
      <c r="H1968" s="11">
        <v>0</v>
      </c>
      <c r="I1968" s="8">
        <v>19.34</v>
      </c>
      <c r="J1968" s="3">
        <v>45875</v>
      </c>
      <c r="K1968" s="14">
        <v>19</v>
      </c>
      <c r="L1968" s="17"/>
      <c r="M1968" s="2" t="b">
        <v>0</v>
      </c>
      <c r="N1968" s="2"/>
      <c r="O1968" s="2" t="str">
        <f>IF(Table1[[#This Row],[is_returned]]=TRUE,IF(Table1[[#This Row],[return_reason]]="","Error","OK"),"OK")</f>
        <v>OK</v>
      </c>
      <c r="P1968" s="8">
        <f>Table1[[#This Row],[original_price]]*Table1[[#This Row],[markdown_percentage]]/100</f>
        <v>0</v>
      </c>
      <c r="Q196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968" s="25">
        <f>Table1[[#This Row],[current_price]]*Table1[[#This Row],[stock_quantity]]</f>
        <v>367.46</v>
      </c>
    </row>
    <row r="1969" spans="1:18" x14ac:dyDescent="0.25">
      <c r="A1969" s="2" t="s">
        <v>2022</v>
      </c>
      <c r="B1969" s="2" t="s">
        <v>30</v>
      </c>
      <c r="C1969" s="2" t="s">
        <v>16</v>
      </c>
      <c r="D1969" s="2" t="s">
        <v>17</v>
      </c>
      <c r="E1969" s="2" t="s">
        <v>39</v>
      </c>
      <c r="F1969" s="2" t="s">
        <v>19</v>
      </c>
      <c r="G1969" s="8">
        <v>113.88</v>
      </c>
      <c r="H1969" s="11">
        <v>31.1</v>
      </c>
      <c r="I1969" s="8">
        <v>78.459999999999994</v>
      </c>
      <c r="J1969" s="3">
        <v>45818</v>
      </c>
      <c r="K1969" s="14">
        <v>22</v>
      </c>
      <c r="L1969" s="17">
        <v>3.1</v>
      </c>
      <c r="M1969" s="2" t="b">
        <v>0</v>
      </c>
      <c r="N1969" s="2"/>
      <c r="O1969" s="2" t="str">
        <f>IF(Table1[[#This Row],[is_returned]]=TRUE,IF(Table1[[#This Row],[return_reason]]="","Error","OK"),"OK")</f>
        <v>OK</v>
      </c>
      <c r="P1969" s="8">
        <f>Table1[[#This Row],[original_price]]*Table1[[#This Row],[markdown_percentage]]/100</f>
        <v>35.416679999999999</v>
      </c>
      <c r="Q196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969" s="25">
        <f>Table1[[#This Row],[current_price]]*Table1[[#This Row],[stock_quantity]]</f>
        <v>1726.12</v>
      </c>
    </row>
    <row r="1970" spans="1:18" x14ac:dyDescent="0.25">
      <c r="A1970" s="2" t="s">
        <v>2023</v>
      </c>
      <c r="B1970" s="2" t="s">
        <v>42</v>
      </c>
      <c r="C1970" s="2" t="s">
        <v>16</v>
      </c>
      <c r="D1970" s="2" t="s">
        <v>17</v>
      </c>
      <c r="E1970" s="2" t="s">
        <v>18</v>
      </c>
      <c r="F1970" s="2" t="s">
        <v>64</v>
      </c>
      <c r="G1970" s="8">
        <v>90.32</v>
      </c>
      <c r="H1970" s="11">
        <v>0</v>
      </c>
      <c r="I1970" s="8">
        <v>90.32</v>
      </c>
      <c r="J1970" s="3">
        <v>45742</v>
      </c>
      <c r="K1970" s="14">
        <v>41</v>
      </c>
      <c r="L1970" s="17">
        <v>2.8</v>
      </c>
      <c r="M1970" s="2" t="b">
        <v>0</v>
      </c>
      <c r="N1970" s="2"/>
      <c r="O1970" s="2" t="str">
        <f>IF(Table1[[#This Row],[is_returned]]=TRUE,IF(Table1[[#This Row],[return_reason]]="","Error","OK"),"OK")</f>
        <v>OK</v>
      </c>
      <c r="P1970" s="8">
        <f>Table1[[#This Row],[original_price]]*Table1[[#This Row],[markdown_percentage]]/100</f>
        <v>0</v>
      </c>
      <c r="Q197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970" s="25">
        <f>Table1[[#This Row],[current_price]]*Table1[[#This Row],[stock_quantity]]</f>
        <v>3703.12</v>
      </c>
    </row>
    <row r="1971" spans="1:18" x14ac:dyDescent="0.25">
      <c r="A1971" s="2" t="s">
        <v>2024</v>
      </c>
      <c r="B1971" s="2" t="s">
        <v>21</v>
      </c>
      <c r="C1971" s="2" t="s">
        <v>32</v>
      </c>
      <c r="D1971" s="2" t="s">
        <v>62</v>
      </c>
      <c r="E1971" s="2" t="s">
        <v>24</v>
      </c>
      <c r="F1971" s="2" t="s">
        <v>40</v>
      </c>
      <c r="G1971" s="8">
        <v>38.119999999999997</v>
      </c>
      <c r="H1971" s="11">
        <v>0</v>
      </c>
      <c r="I1971" s="8">
        <v>38.119999999999997</v>
      </c>
      <c r="J1971" s="3">
        <v>45875</v>
      </c>
      <c r="K1971" s="14">
        <v>44</v>
      </c>
      <c r="L1971" s="17"/>
      <c r="M1971" s="2" t="b">
        <v>0</v>
      </c>
      <c r="N1971" s="2"/>
      <c r="O1971" s="2" t="str">
        <f>IF(Table1[[#This Row],[is_returned]]=TRUE,IF(Table1[[#This Row],[return_reason]]="","Error","OK"),"OK")</f>
        <v>OK</v>
      </c>
      <c r="P1971" s="8">
        <f>Table1[[#This Row],[original_price]]*Table1[[#This Row],[markdown_percentage]]/100</f>
        <v>0</v>
      </c>
      <c r="Q197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971" s="25">
        <f>Table1[[#This Row],[current_price]]*Table1[[#This Row],[stock_quantity]]</f>
        <v>1677.28</v>
      </c>
    </row>
    <row r="1972" spans="1:18" x14ac:dyDescent="0.25">
      <c r="A1972" s="2" t="s">
        <v>2025</v>
      </c>
      <c r="B1972" s="2" t="s">
        <v>30</v>
      </c>
      <c r="C1972" s="2" t="s">
        <v>32</v>
      </c>
      <c r="D1972" s="2" t="s">
        <v>62</v>
      </c>
      <c r="E1972" s="2" t="s">
        <v>39</v>
      </c>
      <c r="F1972" s="2" t="s">
        <v>44</v>
      </c>
      <c r="G1972" s="8">
        <v>175.31</v>
      </c>
      <c r="H1972" s="11">
        <v>0</v>
      </c>
      <c r="I1972" s="8">
        <v>175.31</v>
      </c>
      <c r="J1972" s="3">
        <v>45875</v>
      </c>
      <c r="K1972" s="14">
        <v>13</v>
      </c>
      <c r="L1972" s="17"/>
      <c r="M1972" s="2" t="b">
        <v>0</v>
      </c>
      <c r="N1972" s="2"/>
      <c r="O1972" s="2" t="str">
        <f>IF(Table1[[#This Row],[is_returned]]=TRUE,IF(Table1[[#This Row],[return_reason]]="","Error","OK"),"OK")</f>
        <v>OK</v>
      </c>
      <c r="P1972" s="8">
        <f>Table1[[#This Row],[original_price]]*Table1[[#This Row],[markdown_percentage]]/100</f>
        <v>0</v>
      </c>
      <c r="Q197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972" s="25">
        <f>Table1[[#This Row],[current_price]]*Table1[[#This Row],[stock_quantity]]</f>
        <v>2279.0300000000002</v>
      </c>
    </row>
    <row r="1973" spans="1:18" x14ac:dyDescent="0.25">
      <c r="A1973" s="2" t="s">
        <v>2026</v>
      </c>
      <c r="B1973" s="2" t="s">
        <v>42</v>
      </c>
      <c r="C1973" s="2" t="s">
        <v>16</v>
      </c>
      <c r="D1973" s="2" t="s">
        <v>17</v>
      </c>
      <c r="E1973" s="2" t="s">
        <v>24</v>
      </c>
      <c r="F1973" s="2" t="s">
        <v>19</v>
      </c>
      <c r="G1973" s="8">
        <v>171.92</v>
      </c>
      <c r="H1973" s="11">
        <v>0</v>
      </c>
      <c r="I1973" s="8">
        <v>171.92</v>
      </c>
      <c r="J1973" s="3">
        <v>45816</v>
      </c>
      <c r="K1973" s="14">
        <v>12</v>
      </c>
      <c r="L1973" s="17">
        <v>1.3</v>
      </c>
      <c r="M1973" s="2" t="b">
        <v>0</v>
      </c>
      <c r="N1973" s="2"/>
      <c r="O1973" s="2" t="str">
        <f>IF(Table1[[#This Row],[is_returned]]=TRUE,IF(Table1[[#This Row],[return_reason]]="","Error","OK"),"OK")</f>
        <v>OK</v>
      </c>
      <c r="P1973" s="8">
        <f>Table1[[#This Row],[original_price]]*Table1[[#This Row],[markdown_percentage]]/100</f>
        <v>0</v>
      </c>
      <c r="Q197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973" s="25">
        <f>Table1[[#This Row],[current_price]]*Table1[[#This Row],[stock_quantity]]</f>
        <v>2063.04</v>
      </c>
    </row>
    <row r="1974" spans="1:18" x14ac:dyDescent="0.25">
      <c r="A1974" s="2" t="s">
        <v>2027</v>
      </c>
      <c r="B1974" s="2" t="s">
        <v>27</v>
      </c>
      <c r="C1974" s="2" t="s">
        <v>61</v>
      </c>
      <c r="D1974" s="2" t="s">
        <v>62</v>
      </c>
      <c r="E1974" s="2"/>
      <c r="F1974" s="2" t="s">
        <v>44</v>
      </c>
      <c r="G1974" s="8">
        <v>35.6</v>
      </c>
      <c r="H1974" s="11">
        <v>0</v>
      </c>
      <c r="I1974" s="8">
        <v>35.6</v>
      </c>
      <c r="J1974" s="3">
        <v>45875</v>
      </c>
      <c r="K1974" s="14">
        <v>24</v>
      </c>
      <c r="L1974" s="17">
        <v>3.1</v>
      </c>
      <c r="M1974" s="2" t="b">
        <v>0</v>
      </c>
      <c r="N1974" s="2"/>
      <c r="O1974" s="2" t="str">
        <f>IF(Table1[[#This Row],[is_returned]]=TRUE,IF(Table1[[#This Row],[return_reason]]="","Error","OK"),"OK")</f>
        <v>OK</v>
      </c>
      <c r="P1974" s="8">
        <f>Table1[[#This Row],[original_price]]*Table1[[#This Row],[markdown_percentage]]/100</f>
        <v>0</v>
      </c>
      <c r="Q197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974" s="25">
        <f>Table1[[#This Row],[current_price]]*Table1[[#This Row],[stock_quantity]]</f>
        <v>854.40000000000009</v>
      </c>
    </row>
    <row r="1975" spans="1:18" x14ac:dyDescent="0.25">
      <c r="A1975" s="2" t="s">
        <v>2028</v>
      </c>
      <c r="B1975" s="2" t="s">
        <v>38</v>
      </c>
      <c r="C1975" s="2" t="s">
        <v>48</v>
      </c>
      <c r="D1975" s="2" t="s">
        <v>62</v>
      </c>
      <c r="E1975" s="2" t="s">
        <v>58</v>
      </c>
      <c r="F1975" s="2" t="s">
        <v>64</v>
      </c>
      <c r="G1975" s="8">
        <v>81.7</v>
      </c>
      <c r="H1975" s="11">
        <v>0</v>
      </c>
      <c r="I1975" s="8">
        <v>81.7</v>
      </c>
      <c r="J1975" s="3">
        <v>45875</v>
      </c>
      <c r="K1975" s="14">
        <v>33</v>
      </c>
      <c r="L1975" s="17"/>
      <c r="M1975" s="2" t="b">
        <v>1</v>
      </c>
      <c r="N1975" s="2" t="s">
        <v>125</v>
      </c>
      <c r="O1975" s="2" t="str">
        <f>IF(Table1[[#This Row],[is_returned]]=TRUE,IF(Table1[[#This Row],[return_reason]]="","Error","OK"),"OK")</f>
        <v>OK</v>
      </c>
      <c r="P1975" s="8">
        <f>Table1[[#This Row],[original_price]]*Table1[[#This Row],[markdown_percentage]]/100</f>
        <v>0</v>
      </c>
      <c r="Q197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975" s="25">
        <f>Table1[[#This Row],[current_price]]*Table1[[#This Row],[stock_quantity]]</f>
        <v>2696.1</v>
      </c>
    </row>
    <row r="1976" spans="1:18" x14ac:dyDescent="0.25">
      <c r="A1976" s="2" t="s">
        <v>2029</v>
      </c>
      <c r="B1976" s="2" t="s">
        <v>38</v>
      </c>
      <c r="C1976" s="2" t="s">
        <v>32</v>
      </c>
      <c r="D1976" s="2" t="s">
        <v>62</v>
      </c>
      <c r="E1976" s="2"/>
      <c r="F1976" s="2" t="s">
        <v>66</v>
      </c>
      <c r="G1976" s="8">
        <v>29.7</v>
      </c>
      <c r="H1976" s="11">
        <v>0</v>
      </c>
      <c r="I1976" s="8">
        <v>29.7</v>
      </c>
      <c r="J1976" s="3">
        <v>45875</v>
      </c>
      <c r="K1976" s="14">
        <v>16</v>
      </c>
      <c r="L1976" s="17">
        <v>2.7</v>
      </c>
      <c r="M1976" s="2" t="b">
        <v>0</v>
      </c>
      <c r="N1976" s="2"/>
      <c r="O1976" s="2" t="str">
        <f>IF(Table1[[#This Row],[is_returned]]=TRUE,IF(Table1[[#This Row],[return_reason]]="","Error","OK"),"OK")</f>
        <v>OK</v>
      </c>
      <c r="P1976" s="8">
        <f>Table1[[#This Row],[original_price]]*Table1[[#This Row],[markdown_percentage]]/100</f>
        <v>0</v>
      </c>
      <c r="Q197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976" s="25">
        <f>Table1[[#This Row],[current_price]]*Table1[[#This Row],[stock_quantity]]</f>
        <v>475.2</v>
      </c>
    </row>
    <row r="1977" spans="1:18" x14ac:dyDescent="0.25">
      <c r="A1977" s="2" t="s">
        <v>2030</v>
      </c>
      <c r="B1977" s="2" t="s">
        <v>15</v>
      </c>
      <c r="C1977" s="2" t="s">
        <v>43</v>
      </c>
      <c r="D1977" s="2" t="s">
        <v>23</v>
      </c>
      <c r="E1977" s="2" t="s">
        <v>39</v>
      </c>
      <c r="F1977" s="2" t="s">
        <v>70</v>
      </c>
      <c r="G1977" s="8">
        <v>239.65</v>
      </c>
      <c r="H1977" s="11">
        <v>0</v>
      </c>
      <c r="I1977" s="8">
        <v>239.65</v>
      </c>
      <c r="J1977" s="3">
        <v>45875</v>
      </c>
      <c r="K1977" s="14">
        <v>27</v>
      </c>
      <c r="L1977" s="17">
        <v>2.9</v>
      </c>
      <c r="M1977" s="2" t="b">
        <v>0</v>
      </c>
      <c r="N1977" s="2"/>
      <c r="O1977" s="2" t="str">
        <f>IF(Table1[[#This Row],[is_returned]]=TRUE,IF(Table1[[#This Row],[return_reason]]="","Error","OK"),"OK")</f>
        <v>OK</v>
      </c>
      <c r="P1977" s="8">
        <f>Table1[[#This Row],[original_price]]*Table1[[#This Row],[markdown_percentage]]/100</f>
        <v>0</v>
      </c>
      <c r="Q197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977" s="25">
        <f>Table1[[#This Row],[current_price]]*Table1[[#This Row],[stock_quantity]]</f>
        <v>6470.55</v>
      </c>
    </row>
    <row r="1978" spans="1:18" x14ac:dyDescent="0.25">
      <c r="A1978" s="2" t="s">
        <v>2031</v>
      </c>
      <c r="B1978" s="2" t="s">
        <v>21</v>
      </c>
      <c r="C1978" s="2" t="s">
        <v>48</v>
      </c>
      <c r="D1978" s="2" t="s">
        <v>34</v>
      </c>
      <c r="E1978" s="2" t="s">
        <v>58</v>
      </c>
      <c r="F1978" s="2" t="s">
        <v>19</v>
      </c>
      <c r="G1978" s="8">
        <v>90.41</v>
      </c>
      <c r="H1978" s="11">
        <v>0</v>
      </c>
      <c r="I1978" s="8">
        <v>90.41</v>
      </c>
      <c r="J1978" s="3">
        <v>45875</v>
      </c>
      <c r="K1978" s="14">
        <v>11</v>
      </c>
      <c r="L1978" s="17"/>
      <c r="M1978" s="2" t="b">
        <v>0</v>
      </c>
      <c r="N1978" s="2"/>
      <c r="O1978" s="2" t="str">
        <f>IF(Table1[[#This Row],[is_returned]]=TRUE,IF(Table1[[#This Row],[return_reason]]="","Error","OK"),"OK")</f>
        <v>OK</v>
      </c>
      <c r="P1978" s="8">
        <f>Table1[[#This Row],[original_price]]*Table1[[#This Row],[markdown_percentage]]/100</f>
        <v>0</v>
      </c>
      <c r="Q197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978" s="25">
        <f>Table1[[#This Row],[current_price]]*Table1[[#This Row],[stock_quantity]]</f>
        <v>994.51</v>
      </c>
    </row>
    <row r="1979" spans="1:18" x14ac:dyDescent="0.25">
      <c r="A1979" s="2" t="s">
        <v>2032</v>
      </c>
      <c r="B1979" s="2" t="s">
        <v>42</v>
      </c>
      <c r="C1979" s="2" t="s">
        <v>53</v>
      </c>
      <c r="D1979" s="2" t="s">
        <v>23</v>
      </c>
      <c r="E1979" s="2" t="s">
        <v>18</v>
      </c>
      <c r="F1979" s="2" t="s">
        <v>35</v>
      </c>
      <c r="G1979" s="8">
        <v>81.78</v>
      </c>
      <c r="H1979" s="11">
        <v>10</v>
      </c>
      <c r="I1979" s="8">
        <v>73.599999999999994</v>
      </c>
      <c r="J1979" s="3">
        <v>45875</v>
      </c>
      <c r="K1979" s="14">
        <v>24</v>
      </c>
      <c r="L1979" s="17">
        <v>1.2</v>
      </c>
      <c r="M1979" s="2" t="b">
        <v>0</v>
      </c>
      <c r="N1979" s="2"/>
      <c r="O1979" s="2" t="str">
        <f>IF(Table1[[#This Row],[is_returned]]=TRUE,IF(Table1[[#This Row],[return_reason]]="","Error","OK"),"OK")</f>
        <v>OK</v>
      </c>
      <c r="P1979" s="8">
        <f>Table1[[#This Row],[original_price]]*Table1[[#This Row],[markdown_percentage]]/100</f>
        <v>8.177999999999999</v>
      </c>
      <c r="Q197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979" s="25">
        <f>Table1[[#This Row],[current_price]]*Table1[[#This Row],[stock_quantity]]</f>
        <v>1766.3999999999999</v>
      </c>
    </row>
    <row r="1980" spans="1:18" x14ac:dyDescent="0.25">
      <c r="A1980" s="2" t="s">
        <v>2033</v>
      </c>
      <c r="B1980" s="2" t="s">
        <v>15</v>
      </c>
      <c r="C1980" s="2" t="s">
        <v>75</v>
      </c>
      <c r="D1980" s="2" t="s">
        <v>23</v>
      </c>
      <c r="E1980" s="2" t="s">
        <v>24</v>
      </c>
      <c r="F1980" s="2" t="s">
        <v>28</v>
      </c>
      <c r="G1980" s="8">
        <v>142.55000000000001</v>
      </c>
      <c r="H1980" s="11">
        <v>0</v>
      </c>
      <c r="I1980" s="8">
        <v>142.55000000000001</v>
      </c>
      <c r="J1980" s="3">
        <v>45875</v>
      </c>
      <c r="K1980" s="14">
        <v>21</v>
      </c>
      <c r="L1980" s="17">
        <v>4.5</v>
      </c>
      <c r="M1980" s="2" t="b">
        <v>0</v>
      </c>
      <c r="N1980" s="2"/>
      <c r="O1980" s="2" t="str">
        <f>IF(Table1[[#This Row],[is_returned]]=TRUE,IF(Table1[[#This Row],[return_reason]]="","Error","OK"),"OK")</f>
        <v>OK</v>
      </c>
      <c r="P1980" s="8">
        <f>Table1[[#This Row],[original_price]]*Table1[[#This Row],[markdown_percentage]]/100</f>
        <v>0</v>
      </c>
      <c r="Q198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980" s="25">
        <f>Table1[[#This Row],[current_price]]*Table1[[#This Row],[stock_quantity]]</f>
        <v>2993.55</v>
      </c>
    </row>
    <row r="1981" spans="1:18" x14ac:dyDescent="0.25">
      <c r="A1981" s="2" t="s">
        <v>2034</v>
      </c>
      <c r="B1981" s="2" t="s">
        <v>42</v>
      </c>
      <c r="C1981" s="2" t="s">
        <v>61</v>
      </c>
      <c r="D1981" s="2" t="s">
        <v>34</v>
      </c>
      <c r="E1981" s="2" t="s">
        <v>39</v>
      </c>
      <c r="F1981" s="2" t="s">
        <v>28</v>
      </c>
      <c r="G1981" s="8">
        <v>53.13</v>
      </c>
      <c r="H1981" s="11">
        <v>0</v>
      </c>
      <c r="I1981" s="8">
        <v>53.13</v>
      </c>
      <c r="J1981" s="3">
        <v>45875</v>
      </c>
      <c r="K1981" s="14">
        <v>5</v>
      </c>
      <c r="L1981" s="17">
        <v>4.5999999999999996</v>
      </c>
      <c r="M1981" s="2" t="b">
        <v>0</v>
      </c>
      <c r="N1981" s="2"/>
      <c r="O1981" s="2" t="str">
        <f>IF(Table1[[#This Row],[is_returned]]=TRUE,IF(Table1[[#This Row],[return_reason]]="","Error","OK"),"OK")</f>
        <v>OK</v>
      </c>
      <c r="P1981" s="8">
        <f>Table1[[#This Row],[original_price]]*Table1[[#This Row],[markdown_percentage]]/100</f>
        <v>0</v>
      </c>
      <c r="Q198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981" s="25">
        <f>Table1[[#This Row],[current_price]]*Table1[[#This Row],[stock_quantity]]</f>
        <v>265.65000000000003</v>
      </c>
    </row>
    <row r="1982" spans="1:18" x14ac:dyDescent="0.25">
      <c r="A1982" s="2" t="s">
        <v>2035</v>
      </c>
      <c r="B1982" s="2" t="s">
        <v>38</v>
      </c>
      <c r="C1982" s="2" t="s">
        <v>75</v>
      </c>
      <c r="D1982" s="2" t="s">
        <v>62</v>
      </c>
      <c r="E1982" s="2" t="s">
        <v>24</v>
      </c>
      <c r="F1982" s="2" t="s">
        <v>64</v>
      </c>
      <c r="G1982" s="8">
        <v>80.81</v>
      </c>
      <c r="H1982" s="11">
        <v>0</v>
      </c>
      <c r="I1982" s="8">
        <v>80.81</v>
      </c>
      <c r="J1982" s="3">
        <v>45875</v>
      </c>
      <c r="K1982" s="14">
        <v>15</v>
      </c>
      <c r="L1982" s="17">
        <v>4.5999999999999996</v>
      </c>
      <c r="M1982" s="2" t="b">
        <v>0</v>
      </c>
      <c r="N1982" s="2"/>
      <c r="O1982" s="2" t="str">
        <f>IF(Table1[[#This Row],[is_returned]]=TRUE,IF(Table1[[#This Row],[return_reason]]="","Error","OK"),"OK")</f>
        <v>OK</v>
      </c>
      <c r="P1982" s="8">
        <f>Table1[[#This Row],[original_price]]*Table1[[#This Row],[markdown_percentage]]/100</f>
        <v>0</v>
      </c>
      <c r="Q198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982" s="25">
        <f>Table1[[#This Row],[current_price]]*Table1[[#This Row],[stock_quantity]]</f>
        <v>1212.1500000000001</v>
      </c>
    </row>
    <row r="1983" spans="1:18" x14ac:dyDescent="0.25">
      <c r="A1983" s="2" t="s">
        <v>2036</v>
      </c>
      <c r="B1983" s="2" t="s">
        <v>21</v>
      </c>
      <c r="C1983" s="2" t="s">
        <v>22</v>
      </c>
      <c r="D1983" s="2" t="s">
        <v>34</v>
      </c>
      <c r="E1983" s="2" t="s">
        <v>58</v>
      </c>
      <c r="F1983" s="2" t="s">
        <v>64</v>
      </c>
      <c r="G1983" s="8">
        <v>89.39</v>
      </c>
      <c r="H1983" s="11">
        <v>0</v>
      </c>
      <c r="I1983" s="8">
        <v>89.39</v>
      </c>
      <c r="J1983" s="3">
        <v>45875</v>
      </c>
      <c r="K1983" s="14">
        <v>33</v>
      </c>
      <c r="L1983" s="17">
        <v>4.2</v>
      </c>
      <c r="M1983" s="2" t="b">
        <v>0</v>
      </c>
      <c r="N1983" s="2"/>
      <c r="O1983" s="2" t="str">
        <f>IF(Table1[[#This Row],[is_returned]]=TRUE,IF(Table1[[#This Row],[return_reason]]="","Error","OK"),"OK")</f>
        <v>OK</v>
      </c>
      <c r="P1983" s="8">
        <f>Table1[[#This Row],[original_price]]*Table1[[#This Row],[markdown_percentage]]/100</f>
        <v>0</v>
      </c>
      <c r="Q198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983" s="25">
        <f>Table1[[#This Row],[current_price]]*Table1[[#This Row],[stock_quantity]]</f>
        <v>2949.87</v>
      </c>
    </row>
    <row r="1984" spans="1:18" x14ac:dyDescent="0.25">
      <c r="A1984" s="2" t="s">
        <v>2037</v>
      </c>
      <c r="B1984" s="2" t="s">
        <v>38</v>
      </c>
      <c r="C1984" s="2" t="s">
        <v>43</v>
      </c>
      <c r="D1984" s="2" t="s">
        <v>62</v>
      </c>
      <c r="E1984" s="2" t="s">
        <v>39</v>
      </c>
      <c r="F1984" s="2" t="s">
        <v>44</v>
      </c>
      <c r="G1984" s="8">
        <v>37.9</v>
      </c>
      <c r="H1984" s="11">
        <v>37.9</v>
      </c>
      <c r="I1984" s="8">
        <v>23.54</v>
      </c>
      <c r="J1984" s="3">
        <v>45875</v>
      </c>
      <c r="K1984" s="14">
        <v>34</v>
      </c>
      <c r="L1984" s="17">
        <v>1.3</v>
      </c>
      <c r="M1984" s="2" t="b">
        <v>0</v>
      </c>
      <c r="N1984" s="2"/>
      <c r="O1984" s="2" t="str">
        <f>IF(Table1[[#This Row],[is_returned]]=TRUE,IF(Table1[[#This Row],[return_reason]]="","Error","OK"),"OK")</f>
        <v>OK</v>
      </c>
      <c r="P1984" s="8">
        <f>Table1[[#This Row],[original_price]]*Table1[[#This Row],[markdown_percentage]]/100</f>
        <v>14.364099999999999</v>
      </c>
      <c r="Q198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984" s="25">
        <f>Table1[[#This Row],[current_price]]*Table1[[#This Row],[stock_quantity]]</f>
        <v>800.36</v>
      </c>
    </row>
    <row r="1985" spans="1:18" x14ac:dyDescent="0.25">
      <c r="A1985" s="2" t="s">
        <v>2038</v>
      </c>
      <c r="B1985" s="2" t="s">
        <v>27</v>
      </c>
      <c r="C1985" s="2" t="s">
        <v>43</v>
      </c>
      <c r="D1985" s="2" t="s">
        <v>17</v>
      </c>
      <c r="E1985" s="2"/>
      <c r="F1985" s="2" t="s">
        <v>70</v>
      </c>
      <c r="G1985" s="8">
        <v>44.49</v>
      </c>
      <c r="H1985" s="11">
        <v>0</v>
      </c>
      <c r="I1985" s="8">
        <v>44.49</v>
      </c>
      <c r="J1985" s="3">
        <v>45835</v>
      </c>
      <c r="K1985" s="14">
        <v>34</v>
      </c>
      <c r="L1985" s="17">
        <v>2.1</v>
      </c>
      <c r="M1985" s="2" t="b">
        <v>0</v>
      </c>
      <c r="N1985" s="2"/>
      <c r="O1985" s="2" t="str">
        <f>IF(Table1[[#This Row],[is_returned]]=TRUE,IF(Table1[[#This Row],[return_reason]]="","Error","OK"),"OK")</f>
        <v>OK</v>
      </c>
      <c r="P1985" s="8">
        <f>Table1[[#This Row],[original_price]]*Table1[[#This Row],[markdown_percentage]]/100</f>
        <v>0</v>
      </c>
      <c r="Q198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985" s="25">
        <f>Table1[[#This Row],[current_price]]*Table1[[#This Row],[stock_quantity]]</f>
        <v>1512.66</v>
      </c>
    </row>
    <row r="1986" spans="1:18" x14ac:dyDescent="0.25">
      <c r="A1986" s="2" t="s">
        <v>2039</v>
      </c>
      <c r="B1986" s="2" t="s">
        <v>21</v>
      </c>
      <c r="C1986" s="2" t="s">
        <v>43</v>
      </c>
      <c r="D1986" s="2" t="s">
        <v>62</v>
      </c>
      <c r="E1986" s="2" t="s">
        <v>24</v>
      </c>
      <c r="F1986" s="2" t="s">
        <v>56</v>
      </c>
      <c r="G1986" s="8">
        <v>111.7</v>
      </c>
      <c r="H1986" s="11">
        <v>0</v>
      </c>
      <c r="I1986" s="8">
        <v>111.7</v>
      </c>
      <c r="J1986" s="3">
        <v>45875</v>
      </c>
      <c r="K1986" s="14">
        <v>2</v>
      </c>
      <c r="L1986" s="17"/>
      <c r="M1986" s="2" t="b">
        <v>1</v>
      </c>
      <c r="N1986" s="2" t="s">
        <v>73</v>
      </c>
      <c r="O1986" s="2" t="str">
        <f>IF(Table1[[#This Row],[is_returned]]=TRUE,IF(Table1[[#This Row],[return_reason]]="","Error","OK"),"OK")</f>
        <v>OK</v>
      </c>
      <c r="P1986" s="8">
        <f>Table1[[#This Row],[original_price]]*Table1[[#This Row],[markdown_percentage]]/100</f>
        <v>0</v>
      </c>
      <c r="Q198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986" s="25">
        <f>Table1[[#This Row],[current_price]]*Table1[[#This Row],[stock_quantity]]</f>
        <v>223.4</v>
      </c>
    </row>
    <row r="1987" spans="1:18" x14ac:dyDescent="0.25">
      <c r="A1987" s="2" t="s">
        <v>2040</v>
      </c>
      <c r="B1987" s="2" t="s">
        <v>21</v>
      </c>
      <c r="C1987" s="2" t="s">
        <v>48</v>
      </c>
      <c r="D1987" s="2" t="s">
        <v>17</v>
      </c>
      <c r="E1987" s="2" t="s">
        <v>24</v>
      </c>
      <c r="F1987" s="2" t="s">
        <v>64</v>
      </c>
      <c r="G1987" s="8">
        <v>109.76</v>
      </c>
      <c r="H1987" s="11">
        <v>0</v>
      </c>
      <c r="I1987" s="8">
        <v>109.76</v>
      </c>
      <c r="J1987" s="3">
        <v>45669</v>
      </c>
      <c r="K1987" s="14">
        <v>23</v>
      </c>
      <c r="L1987" s="17">
        <v>2</v>
      </c>
      <c r="M1987" s="2" t="b">
        <v>1</v>
      </c>
      <c r="N1987" s="2" t="s">
        <v>83</v>
      </c>
      <c r="O1987" s="2" t="str">
        <f>IF(Table1[[#This Row],[is_returned]]=TRUE,IF(Table1[[#This Row],[return_reason]]="","Error","OK"),"OK")</f>
        <v>OK</v>
      </c>
      <c r="P1987" s="8">
        <f>Table1[[#This Row],[original_price]]*Table1[[#This Row],[markdown_percentage]]/100</f>
        <v>0</v>
      </c>
      <c r="Q198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987" s="25">
        <f>Table1[[#This Row],[current_price]]*Table1[[#This Row],[stock_quantity]]</f>
        <v>2524.48</v>
      </c>
    </row>
    <row r="1988" spans="1:18" x14ac:dyDescent="0.25">
      <c r="A1988" s="2" t="s">
        <v>2041</v>
      </c>
      <c r="B1988" s="2" t="s">
        <v>27</v>
      </c>
      <c r="C1988" s="2" t="s">
        <v>22</v>
      </c>
      <c r="D1988" s="2" t="s">
        <v>34</v>
      </c>
      <c r="E1988" s="2"/>
      <c r="F1988" s="2" t="s">
        <v>64</v>
      </c>
      <c r="G1988" s="8">
        <v>33</v>
      </c>
      <c r="H1988" s="11">
        <v>0</v>
      </c>
      <c r="I1988" s="8">
        <v>33</v>
      </c>
      <c r="J1988" s="3">
        <v>45875</v>
      </c>
      <c r="K1988" s="14">
        <v>50</v>
      </c>
      <c r="L1988" s="17">
        <v>4</v>
      </c>
      <c r="M1988" s="2" t="b">
        <v>0</v>
      </c>
      <c r="N1988" s="2"/>
      <c r="O1988" s="2" t="str">
        <f>IF(Table1[[#This Row],[is_returned]]=TRUE,IF(Table1[[#This Row],[return_reason]]="","Error","OK"),"OK")</f>
        <v>OK</v>
      </c>
      <c r="P1988" s="8">
        <f>Table1[[#This Row],[original_price]]*Table1[[#This Row],[markdown_percentage]]/100</f>
        <v>0</v>
      </c>
      <c r="Q198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988" s="25">
        <f>Table1[[#This Row],[current_price]]*Table1[[#This Row],[stock_quantity]]</f>
        <v>1650</v>
      </c>
    </row>
    <row r="1989" spans="1:18" x14ac:dyDescent="0.25">
      <c r="A1989" s="2" t="s">
        <v>2042</v>
      </c>
      <c r="B1989" s="2" t="s">
        <v>30</v>
      </c>
      <c r="C1989" s="2" t="s">
        <v>53</v>
      </c>
      <c r="D1989" s="2" t="s">
        <v>23</v>
      </c>
      <c r="E1989" s="2" t="s">
        <v>58</v>
      </c>
      <c r="F1989" s="2" t="s">
        <v>46</v>
      </c>
      <c r="G1989" s="8">
        <v>150.65</v>
      </c>
      <c r="H1989" s="11">
        <v>8.9</v>
      </c>
      <c r="I1989" s="8">
        <v>137.24</v>
      </c>
      <c r="J1989" s="3">
        <v>45875</v>
      </c>
      <c r="K1989" s="14">
        <v>43</v>
      </c>
      <c r="L1989" s="17">
        <v>3.4</v>
      </c>
      <c r="M1989" s="2" t="b">
        <v>0</v>
      </c>
      <c r="N1989" s="2"/>
      <c r="O1989" s="2" t="str">
        <f>IF(Table1[[#This Row],[is_returned]]=TRUE,IF(Table1[[#This Row],[return_reason]]="","Error","OK"),"OK")</f>
        <v>OK</v>
      </c>
      <c r="P1989" s="8">
        <f>Table1[[#This Row],[original_price]]*Table1[[#This Row],[markdown_percentage]]/100</f>
        <v>13.407850000000002</v>
      </c>
      <c r="Q198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989" s="25">
        <f>Table1[[#This Row],[current_price]]*Table1[[#This Row],[stock_quantity]]</f>
        <v>5901.3200000000006</v>
      </c>
    </row>
    <row r="1990" spans="1:18" x14ac:dyDescent="0.25">
      <c r="A1990" s="2" t="s">
        <v>2043</v>
      </c>
      <c r="B1990" s="2" t="s">
        <v>38</v>
      </c>
      <c r="C1990" s="2" t="s">
        <v>16</v>
      </c>
      <c r="D1990" s="2" t="s">
        <v>34</v>
      </c>
      <c r="E1990" s="2" t="s">
        <v>39</v>
      </c>
      <c r="F1990" s="2" t="s">
        <v>46</v>
      </c>
      <c r="G1990" s="8">
        <v>66.34</v>
      </c>
      <c r="H1990" s="11">
        <v>19</v>
      </c>
      <c r="I1990" s="8">
        <v>53.74</v>
      </c>
      <c r="J1990" s="3">
        <v>45875</v>
      </c>
      <c r="K1990" s="14">
        <v>42</v>
      </c>
      <c r="L1990" s="17">
        <v>1.9</v>
      </c>
      <c r="M1990" s="2" t="b">
        <v>0</v>
      </c>
      <c r="N1990" s="2"/>
      <c r="O1990" s="2" t="str">
        <f>IF(Table1[[#This Row],[is_returned]]=TRUE,IF(Table1[[#This Row],[return_reason]]="","Error","OK"),"OK")</f>
        <v>OK</v>
      </c>
      <c r="P1990" s="8">
        <f>Table1[[#This Row],[original_price]]*Table1[[#This Row],[markdown_percentage]]/100</f>
        <v>12.6046</v>
      </c>
      <c r="Q199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990" s="25">
        <f>Table1[[#This Row],[current_price]]*Table1[[#This Row],[stock_quantity]]</f>
        <v>2257.08</v>
      </c>
    </row>
    <row r="1991" spans="1:18" x14ac:dyDescent="0.25">
      <c r="A1991" s="2" t="s">
        <v>2044</v>
      </c>
      <c r="B1991" s="2" t="s">
        <v>38</v>
      </c>
      <c r="C1991" s="2" t="s">
        <v>61</v>
      </c>
      <c r="D1991" s="2" t="s">
        <v>17</v>
      </c>
      <c r="E1991" s="2" t="s">
        <v>58</v>
      </c>
      <c r="F1991" s="2" t="s">
        <v>25</v>
      </c>
      <c r="G1991" s="8">
        <v>27.89</v>
      </c>
      <c r="H1991" s="11">
        <v>17.399999999999999</v>
      </c>
      <c r="I1991" s="8">
        <v>23.04</v>
      </c>
      <c r="J1991" s="3">
        <v>45541</v>
      </c>
      <c r="K1991" s="14">
        <v>43</v>
      </c>
      <c r="L1991" s="17">
        <v>2.1</v>
      </c>
      <c r="M1991" s="2" t="b">
        <v>0</v>
      </c>
      <c r="N1991" s="2"/>
      <c r="O1991" s="2" t="str">
        <f>IF(Table1[[#This Row],[is_returned]]=TRUE,IF(Table1[[#This Row],[return_reason]]="","Error","OK"),"OK")</f>
        <v>OK</v>
      </c>
      <c r="P1991" s="8">
        <f>Table1[[#This Row],[original_price]]*Table1[[#This Row],[markdown_percentage]]/100</f>
        <v>4.8528599999999997</v>
      </c>
      <c r="Q199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991" s="25">
        <f>Table1[[#This Row],[current_price]]*Table1[[#This Row],[stock_quantity]]</f>
        <v>990.71999999999991</v>
      </c>
    </row>
    <row r="1992" spans="1:18" x14ac:dyDescent="0.25">
      <c r="A1992" s="2" t="s">
        <v>2045</v>
      </c>
      <c r="B1992" s="2" t="s">
        <v>27</v>
      </c>
      <c r="C1992" s="2" t="s">
        <v>22</v>
      </c>
      <c r="D1992" s="2" t="s">
        <v>62</v>
      </c>
      <c r="E1992" s="2"/>
      <c r="F1992" s="2" t="s">
        <v>40</v>
      </c>
      <c r="G1992" s="8">
        <v>60.18</v>
      </c>
      <c r="H1992" s="11">
        <v>0</v>
      </c>
      <c r="I1992" s="8">
        <v>60.18</v>
      </c>
      <c r="J1992" s="3">
        <v>45875</v>
      </c>
      <c r="K1992" s="14">
        <v>36</v>
      </c>
      <c r="L1992" s="17">
        <v>1.4</v>
      </c>
      <c r="M1992" s="2" t="b">
        <v>0</v>
      </c>
      <c r="N1992" s="2"/>
      <c r="O1992" s="2" t="str">
        <f>IF(Table1[[#This Row],[is_returned]]=TRUE,IF(Table1[[#This Row],[return_reason]]="","Error","OK"),"OK")</f>
        <v>OK</v>
      </c>
      <c r="P1992" s="8">
        <f>Table1[[#This Row],[original_price]]*Table1[[#This Row],[markdown_percentage]]/100</f>
        <v>0</v>
      </c>
      <c r="Q199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992" s="25">
        <f>Table1[[#This Row],[current_price]]*Table1[[#This Row],[stock_quantity]]</f>
        <v>2166.48</v>
      </c>
    </row>
    <row r="1993" spans="1:18" x14ac:dyDescent="0.25">
      <c r="A1993" s="2" t="s">
        <v>2046</v>
      </c>
      <c r="B1993" s="2" t="s">
        <v>21</v>
      </c>
      <c r="C1993" s="2" t="s">
        <v>16</v>
      </c>
      <c r="D1993" s="2" t="s">
        <v>34</v>
      </c>
      <c r="E1993" s="2" t="s">
        <v>18</v>
      </c>
      <c r="F1993" s="2" t="s">
        <v>19</v>
      </c>
      <c r="G1993" s="8">
        <v>54.26</v>
      </c>
      <c r="H1993" s="11">
        <v>18.399999999999999</v>
      </c>
      <c r="I1993" s="8">
        <v>44.28</v>
      </c>
      <c r="J1993" s="3">
        <v>45875</v>
      </c>
      <c r="K1993" s="14">
        <v>29</v>
      </c>
      <c r="L1993" s="17">
        <v>2.6</v>
      </c>
      <c r="M1993" s="2" t="b">
        <v>0</v>
      </c>
      <c r="N1993" s="2"/>
      <c r="O1993" s="2" t="str">
        <f>IF(Table1[[#This Row],[is_returned]]=TRUE,IF(Table1[[#This Row],[return_reason]]="","Error","OK"),"OK")</f>
        <v>OK</v>
      </c>
      <c r="P1993" s="8">
        <f>Table1[[#This Row],[original_price]]*Table1[[#This Row],[markdown_percentage]]/100</f>
        <v>9.9838399999999989</v>
      </c>
      <c r="Q199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993" s="25">
        <f>Table1[[#This Row],[current_price]]*Table1[[#This Row],[stock_quantity]]</f>
        <v>1284.1200000000001</v>
      </c>
    </row>
    <row r="1994" spans="1:18" x14ac:dyDescent="0.25">
      <c r="A1994" s="2" t="s">
        <v>2047</v>
      </c>
      <c r="B1994" s="2" t="s">
        <v>30</v>
      </c>
      <c r="C1994" s="2" t="s">
        <v>22</v>
      </c>
      <c r="D1994" s="2" t="s">
        <v>17</v>
      </c>
      <c r="E1994" s="2" t="s">
        <v>39</v>
      </c>
      <c r="F1994" s="2" t="s">
        <v>19</v>
      </c>
      <c r="G1994" s="8">
        <v>78.44</v>
      </c>
      <c r="H1994" s="11">
        <v>0</v>
      </c>
      <c r="I1994" s="8">
        <v>78.44</v>
      </c>
      <c r="J1994" s="3">
        <v>45555</v>
      </c>
      <c r="K1994" s="14">
        <v>42</v>
      </c>
      <c r="L1994" s="17"/>
      <c r="M1994" s="2" t="b">
        <v>1</v>
      </c>
      <c r="N1994" s="2" t="s">
        <v>83</v>
      </c>
      <c r="O1994" s="2" t="str">
        <f>IF(Table1[[#This Row],[is_returned]]=TRUE,IF(Table1[[#This Row],[return_reason]]="","Error","OK"),"OK")</f>
        <v>OK</v>
      </c>
      <c r="P1994" s="8">
        <f>Table1[[#This Row],[original_price]]*Table1[[#This Row],[markdown_percentage]]/100</f>
        <v>0</v>
      </c>
      <c r="Q199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994" s="25">
        <f>Table1[[#This Row],[current_price]]*Table1[[#This Row],[stock_quantity]]</f>
        <v>3294.48</v>
      </c>
    </row>
    <row r="1995" spans="1:18" x14ac:dyDescent="0.25">
      <c r="A1995" s="2" t="s">
        <v>2048</v>
      </c>
      <c r="B1995" s="2" t="s">
        <v>15</v>
      </c>
      <c r="C1995" s="2" t="s">
        <v>48</v>
      </c>
      <c r="D1995" s="2" t="s">
        <v>34</v>
      </c>
      <c r="E1995" s="2" t="s">
        <v>55</v>
      </c>
      <c r="F1995" s="2" t="s">
        <v>28</v>
      </c>
      <c r="G1995" s="8">
        <v>183.05</v>
      </c>
      <c r="H1995" s="11">
        <v>0</v>
      </c>
      <c r="I1995" s="8">
        <v>183.05</v>
      </c>
      <c r="J1995" s="3">
        <v>45875</v>
      </c>
      <c r="K1995" s="14">
        <v>4</v>
      </c>
      <c r="L1995" s="17">
        <v>4.5999999999999996</v>
      </c>
      <c r="M1995" s="2" t="b">
        <v>0</v>
      </c>
      <c r="N1995" s="2"/>
      <c r="O1995" s="2" t="str">
        <f>IF(Table1[[#This Row],[is_returned]]=TRUE,IF(Table1[[#This Row],[return_reason]]="","Error","OK"),"OK")</f>
        <v>OK</v>
      </c>
      <c r="P1995" s="8">
        <f>Table1[[#This Row],[original_price]]*Table1[[#This Row],[markdown_percentage]]/100</f>
        <v>0</v>
      </c>
      <c r="Q199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995" s="25">
        <f>Table1[[#This Row],[current_price]]*Table1[[#This Row],[stock_quantity]]</f>
        <v>732.2</v>
      </c>
    </row>
    <row r="1996" spans="1:18" x14ac:dyDescent="0.25">
      <c r="A1996" s="2" t="s">
        <v>2049</v>
      </c>
      <c r="B1996" s="2" t="s">
        <v>30</v>
      </c>
      <c r="C1996" s="2" t="s">
        <v>22</v>
      </c>
      <c r="D1996" s="2" t="s">
        <v>17</v>
      </c>
      <c r="E1996" s="2" t="s">
        <v>58</v>
      </c>
      <c r="F1996" s="2" t="s">
        <v>40</v>
      </c>
      <c r="G1996" s="8">
        <v>76.3</v>
      </c>
      <c r="H1996" s="11">
        <v>0</v>
      </c>
      <c r="I1996" s="8">
        <v>76.3</v>
      </c>
      <c r="J1996" s="3">
        <v>45841</v>
      </c>
      <c r="K1996" s="14">
        <v>35</v>
      </c>
      <c r="L1996" s="17">
        <v>2.6</v>
      </c>
      <c r="M1996" s="2" t="b">
        <v>0</v>
      </c>
      <c r="N1996" s="2"/>
      <c r="O1996" s="2" t="str">
        <f>IF(Table1[[#This Row],[is_returned]]=TRUE,IF(Table1[[#This Row],[return_reason]]="","Error","OK"),"OK")</f>
        <v>OK</v>
      </c>
      <c r="P1996" s="8">
        <f>Table1[[#This Row],[original_price]]*Table1[[#This Row],[markdown_percentage]]/100</f>
        <v>0</v>
      </c>
      <c r="Q199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996" s="25">
        <f>Table1[[#This Row],[current_price]]*Table1[[#This Row],[stock_quantity]]</f>
        <v>2670.5</v>
      </c>
    </row>
    <row r="1997" spans="1:18" x14ac:dyDescent="0.25">
      <c r="A1997" s="2" t="s">
        <v>2050</v>
      </c>
      <c r="B1997" s="2" t="s">
        <v>21</v>
      </c>
      <c r="C1997" s="2" t="s">
        <v>16</v>
      </c>
      <c r="D1997" s="2" t="s">
        <v>17</v>
      </c>
      <c r="E1997" s="2" t="s">
        <v>55</v>
      </c>
      <c r="F1997" s="2" t="s">
        <v>66</v>
      </c>
      <c r="G1997" s="8">
        <v>84.21</v>
      </c>
      <c r="H1997" s="11">
        <v>0</v>
      </c>
      <c r="I1997" s="8">
        <v>84.21</v>
      </c>
      <c r="J1997" s="3">
        <v>45672</v>
      </c>
      <c r="K1997" s="14">
        <v>43</v>
      </c>
      <c r="L1997" s="17">
        <v>3.4</v>
      </c>
      <c r="M1997" s="2" t="b">
        <v>0</v>
      </c>
      <c r="N1997" s="2"/>
      <c r="O1997" s="2" t="str">
        <f>IF(Table1[[#This Row],[is_returned]]=TRUE,IF(Table1[[#This Row],[return_reason]]="","Error","OK"),"OK")</f>
        <v>OK</v>
      </c>
      <c r="P1997" s="8">
        <f>Table1[[#This Row],[original_price]]*Table1[[#This Row],[markdown_percentage]]/100</f>
        <v>0</v>
      </c>
      <c r="Q199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997" s="25">
        <f>Table1[[#This Row],[current_price]]*Table1[[#This Row],[stock_quantity]]</f>
        <v>3621.0299999999997</v>
      </c>
    </row>
    <row r="1998" spans="1:18" x14ac:dyDescent="0.25">
      <c r="A1998" s="2" t="s">
        <v>2051</v>
      </c>
      <c r="B1998" s="2" t="s">
        <v>27</v>
      </c>
      <c r="C1998" s="2" t="s">
        <v>53</v>
      </c>
      <c r="D1998" s="2" t="s">
        <v>17</v>
      </c>
      <c r="E1998" s="2"/>
      <c r="F1998" s="2" t="s">
        <v>40</v>
      </c>
      <c r="G1998" s="8">
        <v>77.34</v>
      </c>
      <c r="H1998" s="11">
        <v>0</v>
      </c>
      <c r="I1998" s="8">
        <v>77.34</v>
      </c>
      <c r="J1998" s="3">
        <v>45667</v>
      </c>
      <c r="K1998" s="14">
        <v>27</v>
      </c>
      <c r="L1998" s="17"/>
      <c r="M1998" s="2" t="b">
        <v>0</v>
      </c>
      <c r="N1998" s="2"/>
      <c r="O1998" s="2" t="str">
        <f>IF(Table1[[#This Row],[is_returned]]=TRUE,IF(Table1[[#This Row],[return_reason]]="","Error","OK"),"OK")</f>
        <v>OK</v>
      </c>
      <c r="P1998" s="8">
        <f>Table1[[#This Row],[original_price]]*Table1[[#This Row],[markdown_percentage]]/100</f>
        <v>0</v>
      </c>
      <c r="Q199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998" s="25">
        <f>Table1[[#This Row],[current_price]]*Table1[[#This Row],[stock_quantity]]</f>
        <v>2088.1800000000003</v>
      </c>
    </row>
    <row r="1999" spans="1:18" x14ac:dyDescent="0.25">
      <c r="A1999" s="2" t="s">
        <v>2052</v>
      </c>
      <c r="B1999" s="2" t="s">
        <v>42</v>
      </c>
      <c r="C1999" s="2" t="s">
        <v>16</v>
      </c>
      <c r="D1999" s="2" t="s">
        <v>17</v>
      </c>
      <c r="E1999" s="2" t="s">
        <v>39</v>
      </c>
      <c r="F1999" s="2" t="s">
        <v>64</v>
      </c>
      <c r="G1999" s="8">
        <v>122.82</v>
      </c>
      <c r="H1999" s="11">
        <v>45.4</v>
      </c>
      <c r="I1999" s="8">
        <v>67.06</v>
      </c>
      <c r="J1999" s="3">
        <v>45534</v>
      </c>
      <c r="K1999" s="14">
        <v>9</v>
      </c>
      <c r="L1999" s="17">
        <v>3.1</v>
      </c>
      <c r="M1999" s="2" t="b">
        <v>0</v>
      </c>
      <c r="N1999" s="2"/>
      <c r="O1999" s="2" t="str">
        <f>IF(Table1[[#This Row],[is_returned]]=TRUE,IF(Table1[[#This Row],[return_reason]]="","Error","OK"),"OK")</f>
        <v>OK</v>
      </c>
      <c r="P1999" s="8">
        <f>Table1[[#This Row],[original_price]]*Table1[[#This Row],[markdown_percentage]]/100</f>
        <v>55.760279999999995</v>
      </c>
      <c r="Q199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1999" s="25">
        <f>Table1[[#This Row],[current_price]]*Table1[[#This Row],[stock_quantity]]</f>
        <v>603.54</v>
      </c>
    </row>
    <row r="2000" spans="1:18" x14ac:dyDescent="0.25">
      <c r="A2000" s="2" t="s">
        <v>2053</v>
      </c>
      <c r="B2000" s="2" t="s">
        <v>42</v>
      </c>
      <c r="C2000" s="2" t="s">
        <v>43</v>
      </c>
      <c r="D2000" s="2" t="s">
        <v>23</v>
      </c>
      <c r="E2000" s="2" t="s">
        <v>49</v>
      </c>
      <c r="F2000" s="2" t="s">
        <v>44</v>
      </c>
      <c r="G2000" s="8">
        <v>103.85</v>
      </c>
      <c r="H2000" s="11">
        <v>0</v>
      </c>
      <c r="I2000" s="8">
        <v>103.85</v>
      </c>
      <c r="J2000" s="3">
        <v>45875</v>
      </c>
      <c r="K2000" s="14">
        <v>26</v>
      </c>
      <c r="L2000" s="17">
        <v>3.1</v>
      </c>
      <c r="M2000" s="2" t="b">
        <v>0</v>
      </c>
      <c r="N2000" s="2"/>
      <c r="O2000" s="2" t="str">
        <f>IF(Table1[[#This Row],[is_returned]]=TRUE,IF(Table1[[#This Row],[return_reason]]="","Error","OK"),"OK")</f>
        <v>OK</v>
      </c>
      <c r="P2000" s="8">
        <f>Table1[[#This Row],[original_price]]*Table1[[#This Row],[markdown_percentage]]/100</f>
        <v>0</v>
      </c>
      <c r="Q200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000" s="25">
        <f>Table1[[#This Row],[current_price]]*Table1[[#This Row],[stock_quantity]]</f>
        <v>2700.1</v>
      </c>
    </row>
    <row r="2001" spans="1:18" x14ac:dyDescent="0.25">
      <c r="A2001" s="2" t="s">
        <v>2054</v>
      </c>
      <c r="B2001" s="2" t="s">
        <v>38</v>
      </c>
      <c r="C2001" s="2" t="s">
        <v>48</v>
      </c>
      <c r="D2001" s="2" t="s">
        <v>34</v>
      </c>
      <c r="E2001" s="2" t="s">
        <v>49</v>
      </c>
      <c r="F2001" s="2" t="s">
        <v>19</v>
      </c>
      <c r="G2001" s="8">
        <v>117.73</v>
      </c>
      <c r="H2001" s="11">
        <v>41.3</v>
      </c>
      <c r="I2001" s="8">
        <v>69.11</v>
      </c>
      <c r="J2001" s="3">
        <v>45875</v>
      </c>
      <c r="K2001" s="14">
        <v>8</v>
      </c>
      <c r="L2001" s="17"/>
      <c r="M2001" s="2" t="b">
        <v>0</v>
      </c>
      <c r="N2001" s="2"/>
      <c r="O2001" s="2" t="str">
        <f>IF(Table1[[#This Row],[is_returned]]=TRUE,IF(Table1[[#This Row],[return_reason]]="","Error","OK"),"OK")</f>
        <v>OK</v>
      </c>
      <c r="P2001" s="8">
        <f>Table1[[#This Row],[original_price]]*Table1[[#This Row],[markdown_percentage]]/100</f>
        <v>48.622489999999999</v>
      </c>
      <c r="Q200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001" s="25">
        <f>Table1[[#This Row],[current_price]]*Table1[[#This Row],[stock_quantity]]</f>
        <v>552.88</v>
      </c>
    </row>
    <row r="2002" spans="1:18" x14ac:dyDescent="0.25">
      <c r="A2002" s="2" t="s">
        <v>2055</v>
      </c>
      <c r="B2002" s="2" t="s">
        <v>42</v>
      </c>
      <c r="C2002" s="2" t="s">
        <v>75</v>
      </c>
      <c r="D2002" s="2" t="s">
        <v>34</v>
      </c>
      <c r="E2002" s="2" t="s">
        <v>18</v>
      </c>
      <c r="F2002" s="2" t="s">
        <v>46</v>
      </c>
      <c r="G2002" s="8">
        <v>115.98</v>
      </c>
      <c r="H2002" s="11">
        <v>0</v>
      </c>
      <c r="I2002" s="8">
        <v>115.98</v>
      </c>
      <c r="J2002" s="3">
        <v>45875</v>
      </c>
      <c r="K2002" s="14">
        <v>42</v>
      </c>
      <c r="L2002" s="17">
        <v>3.7</v>
      </c>
      <c r="M2002" s="2" t="b">
        <v>0</v>
      </c>
      <c r="N2002" s="2"/>
      <c r="O2002" s="2" t="str">
        <f>IF(Table1[[#This Row],[is_returned]]=TRUE,IF(Table1[[#This Row],[return_reason]]="","Error","OK"),"OK")</f>
        <v>OK</v>
      </c>
      <c r="P2002" s="8">
        <f>Table1[[#This Row],[original_price]]*Table1[[#This Row],[markdown_percentage]]/100</f>
        <v>0</v>
      </c>
      <c r="Q200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002" s="25">
        <f>Table1[[#This Row],[current_price]]*Table1[[#This Row],[stock_quantity]]</f>
        <v>4871.16</v>
      </c>
    </row>
    <row r="2003" spans="1:18" x14ac:dyDescent="0.25">
      <c r="A2003" s="2" t="s">
        <v>2056</v>
      </c>
      <c r="B2003" s="2" t="s">
        <v>42</v>
      </c>
      <c r="C2003" s="2" t="s">
        <v>16</v>
      </c>
      <c r="D2003" s="2" t="s">
        <v>34</v>
      </c>
      <c r="E2003" s="2" t="s">
        <v>24</v>
      </c>
      <c r="F2003" s="2" t="s">
        <v>64</v>
      </c>
      <c r="G2003" s="8">
        <v>175.43</v>
      </c>
      <c r="H2003" s="11">
        <v>0</v>
      </c>
      <c r="I2003" s="8">
        <v>175.43</v>
      </c>
      <c r="J2003" s="3">
        <v>45875</v>
      </c>
      <c r="K2003" s="14">
        <v>3</v>
      </c>
      <c r="L2003" s="17">
        <v>1.8</v>
      </c>
      <c r="M2003" s="2" t="b">
        <v>1</v>
      </c>
      <c r="N2003" s="2" t="s">
        <v>36</v>
      </c>
      <c r="O2003" s="2" t="str">
        <f>IF(Table1[[#This Row],[is_returned]]=TRUE,IF(Table1[[#This Row],[return_reason]]="","Error","OK"),"OK")</f>
        <v>OK</v>
      </c>
      <c r="P2003" s="8">
        <f>Table1[[#This Row],[original_price]]*Table1[[#This Row],[markdown_percentage]]/100</f>
        <v>0</v>
      </c>
      <c r="Q200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003" s="25">
        <f>Table1[[#This Row],[current_price]]*Table1[[#This Row],[stock_quantity]]</f>
        <v>526.29</v>
      </c>
    </row>
    <row r="2004" spans="1:18" x14ac:dyDescent="0.25">
      <c r="A2004" s="2" t="s">
        <v>2057</v>
      </c>
      <c r="B2004" s="2" t="s">
        <v>15</v>
      </c>
      <c r="C2004" s="2" t="s">
        <v>61</v>
      </c>
      <c r="D2004" s="2" t="s">
        <v>17</v>
      </c>
      <c r="E2004" s="2" t="s">
        <v>39</v>
      </c>
      <c r="F2004" s="2" t="s">
        <v>46</v>
      </c>
      <c r="G2004" s="8">
        <v>162.81</v>
      </c>
      <c r="H2004" s="11">
        <v>0</v>
      </c>
      <c r="I2004" s="8">
        <v>162.81</v>
      </c>
      <c r="J2004" s="3">
        <v>45667</v>
      </c>
      <c r="K2004" s="14">
        <v>40</v>
      </c>
      <c r="L2004" s="17">
        <v>2.1</v>
      </c>
      <c r="M2004" s="2" t="b">
        <v>0</v>
      </c>
      <c r="N2004" s="2"/>
      <c r="O2004" s="2" t="str">
        <f>IF(Table1[[#This Row],[is_returned]]=TRUE,IF(Table1[[#This Row],[return_reason]]="","Error","OK"),"OK")</f>
        <v>OK</v>
      </c>
      <c r="P2004" s="8">
        <f>Table1[[#This Row],[original_price]]*Table1[[#This Row],[markdown_percentage]]/100</f>
        <v>0</v>
      </c>
      <c r="Q200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004" s="25">
        <f>Table1[[#This Row],[current_price]]*Table1[[#This Row],[stock_quantity]]</f>
        <v>6512.4</v>
      </c>
    </row>
    <row r="2005" spans="1:18" x14ac:dyDescent="0.25">
      <c r="A2005" s="2" t="s">
        <v>2058</v>
      </c>
      <c r="B2005" s="2" t="s">
        <v>42</v>
      </c>
      <c r="C2005" s="2" t="s">
        <v>22</v>
      </c>
      <c r="D2005" s="2" t="s">
        <v>17</v>
      </c>
      <c r="E2005" s="2" t="s">
        <v>24</v>
      </c>
      <c r="F2005" s="2" t="s">
        <v>66</v>
      </c>
      <c r="G2005" s="8">
        <v>146.68</v>
      </c>
      <c r="H2005" s="11">
        <v>0</v>
      </c>
      <c r="I2005" s="8">
        <v>146.68</v>
      </c>
      <c r="J2005" s="3">
        <v>45511</v>
      </c>
      <c r="K2005" s="14">
        <v>8</v>
      </c>
      <c r="L2005" s="17"/>
      <c r="M2005" s="2" t="b">
        <v>0</v>
      </c>
      <c r="N2005" s="2"/>
      <c r="O2005" s="2" t="str">
        <f>IF(Table1[[#This Row],[is_returned]]=TRUE,IF(Table1[[#This Row],[return_reason]]="","Error","OK"),"OK")</f>
        <v>OK</v>
      </c>
      <c r="P2005" s="8">
        <f>Table1[[#This Row],[original_price]]*Table1[[#This Row],[markdown_percentage]]/100</f>
        <v>0</v>
      </c>
      <c r="Q200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005" s="25">
        <f>Table1[[#This Row],[current_price]]*Table1[[#This Row],[stock_quantity]]</f>
        <v>1173.44</v>
      </c>
    </row>
    <row r="2006" spans="1:18" x14ac:dyDescent="0.25">
      <c r="A2006" s="2" t="s">
        <v>2059</v>
      </c>
      <c r="B2006" s="2" t="s">
        <v>42</v>
      </c>
      <c r="C2006" s="2" t="s">
        <v>48</v>
      </c>
      <c r="D2006" s="2" t="s">
        <v>34</v>
      </c>
      <c r="E2006" s="2" t="s">
        <v>24</v>
      </c>
      <c r="F2006" s="2" t="s">
        <v>25</v>
      </c>
      <c r="G2006" s="8">
        <v>82.9</v>
      </c>
      <c r="H2006" s="11">
        <v>42.2</v>
      </c>
      <c r="I2006" s="8">
        <v>47.92</v>
      </c>
      <c r="J2006" s="3">
        <v>45875</v>
      </c>
      <c r="K2006" s="14">
        <v>4</v>
      </c>
      <c r="L2006" s="17">
        <v>2.1</v>
      </c>
      <c r="M2006" s="2" t="b">
        <v>0</v>
      </c>
      <c r="N2006" s="2"/>
      <c r="O2006" s="2" t="str">
        <f>IF(Table1[[#This Row],[is_returned]]=TRUE,IF(Table1[[#This Row],[return_reason]]="","Error","OK"),"OK")</f>
        <v>OK</v>
      </c>
      <c r="P2006" s="8">
        <f>Table1[[#This Row],[original_price]]*Table1[[#This Row],[markdown_percentage]]/100</f>
        <v>34.983800000000002</v>
      </c>
      <c r="Q200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006" s="25">
        <f>Table1[[#This Row],[current_price]]*Table1[[#This Row],[stock_quantity]]</f>
        <v>191.68</v>
      </c>
    </row>
    <row r="2007" spans="1:18" x14ac:dyDescent="0.25">
      <c r="A2007" s="2" t="s">
        <v>2060</v>
      </c>
      <c r="B2007" s="2" t="s">
        <v>21</v>
      </c>
      <c r="C2007" s="2" t="s">
        <v>16</v>
      </c>
      <c r="D2007" s="2" t="s">
        <v>34</v>
      </c>
      <c r="E2007" s="2" t="s">
        <v>55</v>
      </c>
      <c r="F2007" s="2" t="s">
        <v>35</v>
      </c>
      <c r="G2007" s="8">
        <v>92.9</v>
      </c>
      <c r="H2007" s="11">
        <v>0</v>
      </c>
      <c r="I2007" s="8">
        <v>92.9</v>
      </c>
      <c r="J2007" s="3">
        <v>45875</v>
      </c>
      <c r="K2007" s="14">
        <v>30</v>
      </c>
      <c r="L2007" s="17"/>
      <c r="M2007" s="2" t="b">
        <v>0</v>
      </c>
      <c r="N2007" s="2"/>
      <c r="O2007" s="2" t="str">
        <f>IF(Table1[[#This Row],[is_returned]]=TRUE,IF(Table1[[#This Row],[return_reason]]="","Error","OK"),"OK")</f>
        <v>OK</v>
      </c>
      <c r="P2007" s="8">
        <f>Table1[[#This Row],[original_price]]*Table1[[#This Row],[markdown_percentage]]/100</f>
        <v>0</v>
      </c>
      <c r="Q200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007" s="25">
        <f>Table1[[#This Row],[current_price]]*Table1[[#This Row],[stock_quantity]]</f>
        <v>2787</v>
      </c>
    </row>
    <row r="2008" spans="1:18" x14ac:dyDescent="0.25">
      <c r="A2008" s="2" t="s">
        <v>2061</v>
      </c>
      <c r="B2008" s="2" t="s">
        <v>42</v>
      </c>
      <c r="C2008" s="2" t="s">
        <v>32</v>
      </c>
      <c r="D2008" s="2" t="s">
        <v>23</v>
      </c>
      <c r="E2008" s="2" t="s">
        <v>49</v>
      </c>
      <c r="F2008" s="2" t="s">
        <v>44</v>
      </c>
      <c r="G2008" s="8">
        <v>133.88999999999999</v>
      </c>
      <c r="H2008" s="11">
        <v>5.7</v>
      </c>
      <c r="I2008" s="8">
        <v>126.26</v>
      </c>
      <c r="J2008" s="3">
        <v>45875</v>
      </c>
      <c r="K2008" s="14">
        <v>17</v>
      </c>
      <c r="L2008" s="17">
        <v>3.4</v>
      </c>
      <c r="M2008" s="2" t="b">
        <v>1</v>
      </c>
      <c r="N2008" s="2" t="s">
        <v>73</v>
      </c>
      <c r="O2008" s="2" t="str">
        <f>IF(Table1[[#This Row],[is_returned]]=TRUE,IF(Table1[[#This Row],[return_reason]]="","Error","OK"),"OK")</f>
        <v>OK</v>
      </c>
      <c r="P2008" s="8">
        <f>Table1[[#This Row],[original_price]]*Table1[[#This Row],[markdown_percentage]]/100</f>
        <v>7.6317300000000001</v>
      </c>
      <c r="Q200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008" s="25">
        <f>Table1[[#This Row],[current_price]]*Table1[[#This Row],[stock_quantity]]</f>
        <v>2146.42</v>
      </c>
    </row>
    <row r="2009" spans="1:18" x14ac:dyDescent="0.25">
      <c r="A2009" s="2" t="s">
        <v>2062</v>
      </c>
      <c r="B2009" s="2" t="s">
        <v>42</v>
      </c>
      <c r="C2009" s="2" t="s">
        <v>53</v>
      </c>
      <c r="D2009" s="2" t="s">
        <v>23</v>
      </c>
      <c r="E2009" s="2" t="s">
        <v>49</v>
      </c>
      <c r="F2009" s="2" t="s">
        <v>56</v>
      </c>
      <c r="G2009" s="8">
        <v>89.1</v>
      </c>
      <c r="H2009" s="11">
        <v>0</v>
      </c>
      <c r="I2009" s="8">
        <v>89.1</v>
      </c>
      <c r="J2009" s="3">
        <v>45875</v>
      </c>
      <c r="K2009" s="14">
        <v>8</v>
      </c>
      <c r="L2009" s="17">
        <v>2.2000000000000002</v>
      </c>
      <c r="M2009" s="2" t="b">
        <v>0</v>
      </c>
      <c r="N2009" s="2"/>
      <c r="O2009" s="2" t="str">
        <f>IF(Table1[[#This Row],[is_returned]]=TRUE,IF(Table1[[#This Row],[return_reason]]="","Error","OK"),"OK")</f>
        <v>OK</v>
      </c>
      <c r="P2009" s="8">
        <f>Table1[[#This Row],[original_price]]*Table1[[#This Row],[markdown_percentage]]/100</f>
        <v>0</v>
      </c>
      <c r="Q200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009" s="25">
        <f>Table1[[#This Row],[current_price]]*Table1[[#This Row],[stock_quantity]]</f>
        <v>712.8</v>
      </c>
    </row>
    <row r="2010" spans="1:18" x14ac:dyDescent="0.25">
      <c r="A2010" s="2" t="s">
        <v>2063</v>
      </c>
      <c r="B2010" s="2" t="s">
        <v>15</v>
      </c>
      <c r="C2010" s="2" t="s">
        <v>32</v>
      </c>
      <c r="D2010" s="2" t="s">
        <v>23</v>
      </c>
      <c r="E2010" s="2" t="s">
        <v>18</v>
      </c>
      <c r="F2010" s="2" t="s">
        <v>56</v>
      </c>
      <c r="G2010" s="8">
        <v>175.62</v>
      </c>
      <c r="H2010" s="11">
        <v>3.2</v>
      </c>
      <c r="I2010" s="8">
        <v>170</v>
      </c>
      <c r="J2010" s="3">
        <v>45875</v>
      </c>
      <c r="K2010" s="14">
        <v>46</v>
      </c>
      <c r="L2010" s="17"/>
      <c r="M2010" s="2" t="b">
        <v>0</v>
      </c>
      <c r="N2010" s="2"/>
      <c r="O2010" s="2" t="str">
        <f>IF(Table1[[#This Row],[is_returned]]=TRUE,IF(Table1[[#This Row],[return_reason]]="","Error","OK"),"OK")</f>
        <v>OK</v>
      </c>
      <c r="P2010" s="8">
        <f>Table1[[#This Row],[original_price]]*Table1[[#This Row],[markdown_percentage]]/100</f>
        <v>5.6198399999999999</v>
      </c>
      <c r="Q201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010" s="25">
        <f>Table1[[#This Row],[current_price]]*Table1[[#This Row],[stock_quantity]]</f>
        <v>7820</v>
      </c>
    </row>
    <row r="2011" spans="1:18" x14ac:dyDescent="0.25">
      <c r="A2011" s="2" t="s">
        <v>2064</v>
      </c>
      <c r="B2011" s="2" t="s">
        <v>42</v>
      </c>
      <c r="C2011" s="2" t="s">
        <v>48</v>
      </c>
      <c r="D2011" s="2" t="s">
        <v>62</v>
      </c>
      <c r="E2011" s="2" t="s">
        <v>24</v>
      </c>
      <c r="F2011" s="2" t="s">
        <v>28</v>
      </c>
      <c r="G2011" s="8">
        <v>154.02000000000001</v>
      </c>
      <c r="H2011" s="11">
        <v>0</v>
      </c>
      <c r="I2011" s="8">
        <v>154.02000000000001</v>
      </c>
      <c r="J2011" s="3">
        <v>45875</v>
      </c>
      <c r="K2011" s="14">
        <v>21</v>
      </c>
      <c r="L2011" s="17">
        <v>3.3</v>
      </c>
      <c r="M2011" s="2" t="b">
        <v>0</v>
      </c>
      <c r="N2011" s="2"/>
      <c r="O2011" s="2" t="str">
        <f>IF(Table1[[#This Row],[is_returned]]=TRUE,IF(Table1[[#This Row],[return_reason]]="","Error","OK"),"OK")</f>
        <v>OK</v>
      </c>
      <c r="P2011" s="8">
        <f>Table1[[#This Row],[original_price]]*Table1[[#This Row],[markdown_percentage]]/100</f>
        <v>0</v>
      </c>
      <c r="Q201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011" s="25">
        <f>Table1[[#This Row],[current_price]]*Table1[[#This Row],[stock_quantity]]</f>
        <v>3234.42</v>
      </c>
    </row>
    <row r="2012" spans="1:18" x14ac:dyDescent="0.25">
      <c r="A2012" s="2" t="s">
        <v>2065</v>
      </c>
      <c r="B2012" s="2" t="s">
        <v>15</v>
      </c>
      <c r="C2012" s="2" t="s">
        <v>16</v>
      </c>
      <c r="D2012" s="2" t="s">
        <v>34</v>
      </c>
      <c r="E2012" s="2" t="s">
        <v>39</v>
      </c>
      <c r="F2012" s="2" t="s">
        <v>56</v>
      </c>
      <c r="G2012" s="8">
        <v>215.1</v>
      </c>
      <c r="H2012" s="11">
        <v>0</v>
      </c>
      <c r="I2012" s="8">
        <v>215.1</v>
      </c>
      <c r="J2012" s="3">
        <v>45875</v>
      </c>
      <c r="K2012" s="14">
        <v>16</v>
      </c>
      <c r="L2012" s="17">
        <v>2.5</v>
      </c>
      <c r="M2012" s="2" t="b">
        <v>0</v>
      </c>
      <c r="N2012" s="2"/>
      <c r="O2012" s="2" t="str">
        <f>IF(Table1[[#This Row],[is_returned]]=TRUE,IF(Table1[[#This Row],[return_reason]]="","Error","OK"),"OK")</f>
        <v>OK</v>
      </c>
      <c r="P2012" s="8">
        <f>Table1[[#This Row],[original_price]]*Table1[[#This Row],[markdown_percentage]]/100</f>
        <v>0</v>
      </c>
      <c r="Q201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012" s="25">
        <f>Table1[[#This Row],[current_price]]*Table1[[#This Row],[stock_quantity]]</f>
        <v>3441.6</v>
      </c>
    </row>
    <row r="2013" spans="1:18" x14ac:dyDescent="0.25">
      <c r="A2013" s="2" t="s">
        <v>2066</v>
      </c>
      <c r="B2013" s="2" t="s">
        <v>21</v>
      </c>
      <c r="C2013" s="2" t="s">
        <v>53</v>
      </c>
      <c r="D2013" s="2" t="s">
        <v>34</v>
      </c>
      <c r="E2013" s="2" t="s">
        <v>58</v>
      </c>
      <c r="F2013" s="2" t="s">
        <v>70</v>
      </c>
      <c r="G2013" s="8">
        <v>40.28</v>
      </c>
      <c r="H2013" s="11">
        <v>0</v>
      </c>
      <c r="I2013" s="8">
        <v>40.28</v>
      </c>
      <c r="J2013" s="3">
        <v>45875</v>
      </c>
      <c r="K2013" s="14">
        <v>35</v>
      </c>
      <c r="L2013" s="17">
        <v>3.8</v>
      </c>
      <c r="M2013" s="2" t="b">
        <v>0</v>
      </c>
      <c r="N2013" s="2"/>
      <c r="O2013" s="2" t="str">
        <f>IF(Table1[[#This Row],[is_returned]]=TRUE,IF(Table1[[#This Row],[return_reason]]="","Error","OK"),"OK")</f>
        <v>OK</v>
      </c>
      <c r="P2013" s="8">
        <f>Table1[[#This Row],[original_price]]*Table1[[#This Row],[markdown_percentage]]/100</f>
        <v>0</v>
      </c>
      <c r="Q201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013" s="25">
        <f>Table1[[#This Row],[current_price]]*Table1[[#This Row],[stock_quantity]]</f>
        <v>1409.8</v>
      </c>
    </row>
    <row r="2014" spans="1:18" x14ac:dyDescent="0.25">
      <c r="A2014" s="2" t="s">
        <v>2067</v>
      </c>
      <c r="B2014" s="2" t="s">
        <v>27</v>
      </c>
      <c r="C2014" s="2" t="s">
        <v>75</v>
      </c>
      <c r="D2014" s="2" t="s">
        <v>34</v>
      </c>
      <c r="E2014" s="2"/>
      <c r="F2014" s="2" t="s">
        <v>40</v>
      </c>
      <c r="G2014" s="8">
        <v>25.95</v>
      </c>
      <c r="H2014" s="11">
        <v>18.8</v>
      </c>
      <c r="I2014" s="8">
        <v>21.07</v>
      </c>
      <c r="J2014" s="3">
        <v>45875</v>
      </c>
      <c r="K2014" s="14">
        <v>1</v>
      </c>
      <c r="L2014" s="17">
        <v>4</v>
      </c>
      <c r="M2014" s="2" t="b">
        <v>0</v>
      </c>
      <c r="N2014" s="2"/>
      <c r="O2014" s="2" t="str">
        <f>IF(Table1[[#This Row],[is_returned]]=TRUE,IF(Table1[[#This Row],[return_reason]]="","Error","OK"),"OK")</f>
        <v>OK</v>
      </c>
      <c r="P2014" s="8">
        <f>Table1[[#This Row],[original_price]]*Table1[[#This Row],[markdown_percentage]]/100</f>
        <v>4.8786000000000005</v>
      </c>
      <c r="Q201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014" s="25">
        <f>Table1[[#This Row],[current_price]]*Table1[[#This Row],[stock_quantity]]</f>
        <v>21.07</v>
      </c>
    </row>
    <row r="2015" spans="1:18" x14ac:dyDescent="0.25">
      <c r="A2015" s="2" t="s">
        <v>2068</v>
      </c>
      <c r="B2015" s="2" t="s">
        <v>27</v>
      </c>
      <c r="C2015" s="2" t="s">
        <v>22</v>
      </c>
      <c r="D2015" s="2" t="s">
        <v>34</v>
      </c>
      <c r="E2015" s="2"/>
      <c r="F2015" s="2" t="s">
        <v>64</v>
      </c>
      <c r="G2015" s="8">
        <v>21.26</v>
      </c>
      <c r="H2015" s="11">
        <v>50.7</v>
      </c>
      <c r="I2015" s="8">
        <v>10.48</v>
      </c>
      <c r="J2015" s="3">
        <v>45875</v>
      </c>
      <c r="K2015" s="14">
        <v>39</v>
      </c>
      <c r="L2015" s="17">
        <v>4.3</v>
      </c>
      <c r="M2015" s="2" t="b">
        <v>0</v>
      </c>
      <c r="N2015" s="2"/>
      <c r="O2015" s="2" t="str">
        <f>IF(Table1[[#This Row],[is_returned]]=TRUE,IF(Table1[[#This Row],[return_reason]]="","Error","OK"),"OK")</f>
        <v>OK</v>
      </c>
      <c r="P2015" s="8">
        <f>Table1[[#This Row],[original_price]]*Table1[[#This Row],[markdown_percentage]]/100</f>
        <v>10.778820000000001</v>
      </c>
      <c r="Q201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015" s="25">
        <f>Table1[[#This Row],[current_price]]*Table1[[#This Row],[stock_quantity]]</f>
        <v>408.72</v>
      </c>
    </row>
    <row r="2016" spans="1:18" x14ac:dyDescent="0.25">
      <c r="A2016" s="2" t="s">
        <v>2069</v>
      </c>
      <c r="B2016" s="2" t="s">
        <v>42</v>
      </c>
      <c r="C2016" s="2" t="s">
        <v>16</v>
      </c>
      <c r="D2016" s="2" t="s">
        <v>17</v>
      </c>
      <c r="E2016" s="2" t="s">
        <v>55</v>
      </c>
      <c r="F2016" s="2" t="s">
        <v>44</v>
      </c>
      <c r="G2016" s="8">
        <v>146.07</v>
      </c>
      <c r="H2016" s="11">
        <v>0</v>
      </c>
      <c r="I2016" s="8">
        <v>146.07</v>
      </c>
      <c r="J2016" s="3">
        <v>45847</v>
      </c>
      <c r="K2016" s="14">
        <v>33</v>
      </c>
      <c r="L2016" s="17">
        <v>3.7</v>
      </c>
      <c r="M2016" s="2" t="b">
        <v>0</v>
      </c>
      <c r="N2016" s="2"/>
      <c r="O2016" s="2" t="str">
        <f>IF(Table1[[#This Row],[is_returned]]=TRUE,IF(Table1[[#This Row],[return_reason]]="","Error","OK"),"OK")</f>
        <v>OK</v>
      </c>
      <c r="P2016" s="8">
        <f>Table1[[#This Row],[original_price]]*Table1[[#This Row],[markdown_percentage]]/100</f>
        <v>0</v>
      </c>
      <c r="Q201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016" s="25">
        <f>Table1[[#This Row],[current_price]]*Table1[[#This Row],[stock_quantity]]</f>
        <v>4820.3099999999995</v>
      </c>
    </row>
    <row r="2017" spans="1:18" x14ac:dyDescent="0.25">
      <c r="A2017" s="2" t="s">
        <v>2070</v>
      </c>
      <c r="B2017" s="2" t="s">
        <v>42</v>
      </c>
      <c r="C2017" s="2" t="s">
        <v>53</v>
      </c>
      <c r="D2017" s="2" t="s">
        <v>17</v>
      </c>
      <c r="E2017" s="2" t="s">
        <v>39</v>
      </c>
      <c r="F2017" s="2" t="s">
        <v>40</v>
      </c>
      <c r="G2017" s="8">
        <v>135.97</v>
      </c>
      <c r="H2017" s="11">
        <v>0</v>
      </c>
      <c r="I2017" s="8">
        <v>135.97</v>
      </c>
      <c r="J2017" s="3">
        <v>45545</v>
      </c>
      <c r="K2017" s="14">
        <v>30</v>
      </c>
      <c r="L2017" s="17">
        <v>1.1000000000000001</v>
      </c>
      <c r="M2017" s="2" t="b">
        <v>0</v>
      </c>
      <c r="N2017" s="2"/>
      <c r="O2017" s="2" t="str">
        <f>IF(Table1[[#This Row],[is_returned]]=TRUE,IF(Table1[[#This Row],[return_reason]]="","Error","OK"),"OK")</f>
        <v>OK</v>
      </c>
      <c r="P2017" s="8">
        <f>Table1[[#This Row],[original_price]]*Table1[[#This Row],[markdown_percentage]]/100</f>
        <v>0</v>
      </c>
      <c r="Q201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017" s="25">
        <f>Table1[[#This Row],[current_price]]*Table1[[#This Row],[stock_quantity]]</f>
        <v>4079.1</v>
      </c>
    </row>
    <row r="2018" spans="1:18" x14ac:dyDescent="0.25">
      <c r="A2018" s="2" t="s">
        <v>2071</v>
      </c>
      <c r="B2018" s="2" t="s">
        <v>30</v>
      </c>
      <c r="C2018" s="2" t="s">
        <v>16</v>
      </c>
      <c r="D2018" s="2" t="s">
        <v>17</v>
      </c>
      <c r="E2018" s="2" t="s">
        <v>24</v>
      </c>
      <c r="F2018" s="2" t="s">
        <v>46</v>
      </c>
      <c r="G2018" s="8">
        <v>84.88</v>
      </c>
      <c r="H2018" s="11">
        <v>7.4</v>
      </c>
      <c r="I2018" s="8">
        <v>78.599999999999994</v>
      </c>
      <c r="J2018" s="3">
        <v>45742</v>
      </c>
      <c r="K2018" s="14">
        <v>42</v>
      </c>
      <c r="L2018" s="17">
        <v>3.4</v>
      </c>
      <c r="M2018" s="2" t="b">
        <v>0</v>
      </c>
      <c r="N2018" s="2"/>
      <c r="O2018" s="2" t="str">
        <f>IF(Table1[[#This Row],[is_returned]]=TRUE,IF(Table1[[#This Row],[return_reason]]="","Error","OK"),"OK")</f>
        <v>OK</v>
      </c>
      <c r="P2018" s="8">
        <f>Table1[[#This Row],[original_price]]*Table1[[#This Row],[markdown_percentage]]/100</f>
        <v>6.2811199999999996</v>
      </c>
      <c r="Q201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018" s="25">
        <f>Table1[[#This Row],[current_price]]*Table1[[#This Row],[stock_quantity]]</f>
        <v>3301.2</v>
      </c>
    </row>
    <row r="2019" spans="1:18" x14ac:dyDescent="0.25">
      <c r="A2019" s="2" t="s">
        <v>2072</v>
      </c>
      <c r="B2019" s="2" t="s">
        <v>30</v>
      </c>
      <c r="C2019" s="2" t="s">
        <v>48</v>
      </c>
      <c r="D2019" s="2" t="s">
        <v>23</v>
      </c>
      <c r="E2019" s="2" t="s">
        <v>55</v>
      </c>
      <c r="F2019" s="2" t="s">
        <v>56</v>
      </c>
      <c r="G2019" s="8">
        <v>159.25</v>
      </c>
      <c r="H2019" s="11">
        <v>5.5</v>
      </c>
      <c r="I2019" s="8">
        <v>150.49</v>
      </c>
      <c r="J2019" s="3">
        <v>45875</v>
      </c>
      <c r="K2019" s="14">
        <v>8</v>
      </c>
      <c r="L2019" s="17"/>
      <c r="M2019" s="2" t="b">
        <v>0</v>
      </c>
      <c r="N2019" s="2"/>
      <c r="O2019" s="2" t="str">
        <f>IF(Table1[[#This Row],[is_returned]]=TRUE,IF(Table1[[#This Row],[return_reason]]="","Error","OK"),"OK")</f>
        <v>OK</v>
      </c>
      <c r="P2019" s="8">
        <f>Table1[[#This Row],[original_price]]*Table1[[#This Row],[markdown_percentage]]/100</f>
        <v>8.7587499999999991</v>
      </c>
      <c r="Q201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019" s="25">
        <f>Table1[[#This Row],[current_price]]*Table1[[#This Row],[stock_quantity]]</f>
        <v>1203.92</v>
      </c>
    </row>
    <row r="2020" spans="1:18" x14ac:dyDescent="0.25">
      <c r="A2020" s="2" t="s">
        <v>2073</v>
      </c>
      <c r="B2020" s="2" t="s">
        <v>38</v>
      </c>
      <c r="C2020" s="2" t="s">
        <v>53</v>
      </c>
      <c r="D2020" s="2" t="s">
        <v>23</v>
      </c>
      <c r="E2020" s="2" t="s">
        <v>58</v>
      </c>
      <c r="F2020" s="2" t="s">
        <v>70</v>
      </c>
      <c r="G2020" s="8">
        <v>84.29</v>
      </c>
      <c r="H2020" s="11">
        <v>0</v>
      </c>
      <c r="I2020" s="8">
        <v>84.29</v>
      </c>
      <c r="J2020" s="3">
        <v>45875</v>
      </c>
      <c r="K2020" s="14">
        <v>4</v>
      </c>
      <c r="L2020" s="17">
        <v>2.8</v>
      </c>
      <c r="M2020" s="2" t="b">
        <v>0</v>
      </c>
      <c r="N2020" s="2"/>
      <c r="O2020" s="2" t="str">
        <f>IF(Table1[[#This Row],[is_returned]]=TRUE,IF(Table1[[#This Row],[return_reason]]="","Error","OK"),"OK")</f>
        <v>OK</v>
      </c>
      <c r="P2020" s="8">
        <f>Table1[[#This Row],[original_price]]*Table1[[#This Row],[markdown_percentage]]/100</f>
        <v>0</v>
      </c>
      <c r="Q202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020" s="25">
        <f>Table1[[#This Row],[current_price]]*Table1[[#This Row],[stock_quantity]]</f>
        <v>337.16</v>
      </c>
    </row>
    <row r="2021" spans="1:18" x14ac:dyDescent="0.25">
      <c r="A2021" s="2" t="s">
        <v>2074</v>
      </c>
      <c r="B2021" s="2" t="s">
        <v>27</v>
      </c>
      <c r="C2021" s="2" t="s">
        <v>75</v>
      </c>
      <c r="D2021" s="2" t="s">
        <v>23</v>
      </c>
      <c r="E2021" s="2"/>
      <c r="F2021" s="2" t="s">
        <v>19</v>
      </c>
      <c r="G2021" s="8">
        <v>38.86</v>
      </c>
      <c r="H2021" s="11">
        <v>0</v>
      </c>
      <c r="I2021" s="8">
        <v>38.86</v>
      </c>
      <c r="J2021" s="3">
        <v>45875</v>
      </c>
      <c r="K2021" s="14">
        <v>44</v>
      </c>
      <c r="L2021" s="17"/>
      <c r="M2021" s="2" t="b">
        <v>0</v>
      </c>
      <c r="N2021" s="2"/>
      <c r="O2021" s="2" t="str">
        <f>IF(Table1[[#This Row],[is_returned]]=TRUE,IF(Table1[[#This Row],[return_reason]]="","Error","OK"),"OK")</f>
        <v>OK</v>
      </c>
      <c r="P2021" s="8">
        <f>Table1[[#This Row],[original_price]]*Table1[[#This Row],[markdown_percentage]]/100</f>
        <v>0</v>
      </c>
      <c r="Q202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021" s="25">
        <f>Table1[[#This Row],[current_price]]*Table1[[#This Row],[stock_quantity]]</f>
        <v>1709.84</v>
      </c>
    </row>
    <row r="2022" spans="1:18" x14ac:dyDescent="0.25">
      <c r="A2022" s="2" t="s">
        <v>2075</v>
      </c>
      <c r="B2022" s="2" t="s">
        <v>21</v>
      </c>
      <c r="C2022" s="2" t="s">
        <v>32</v>
      </c>
      <c r="D2022" s="2" t="s">
        <v>62</v>
      </c>
      <c r="E2022" s="2" t="s">
        <v>58</v>
      </c>
      <c r="F2022" s="2" t="s">
        <v>44</v>
      </c>
      <c r="G2022" s="8">
        <v>38.72</v>
      </c>
      <c r="H2022" s="11">
        <v>0</v>
      </c>
      <c r="I2022" s="8">
        <v>38.72</v>
      </c>
      <c r="J2022" s="3">
        <v>45875</v>
      </c>
      <c r="K2022" s="14">
        <v>35</v>
      </c>
      <c r="L2022" s="17">
        <v>4</v>
      </c>
      <c r="M2022" s="2" t="b">
        <v>0</v>
      </c>
      <c r="N2022" s="2"/>
      <c r="O2022" s="2" t="str">
        <f>IF(Table1[[#This Row],[is_returned]]=TRUE,IF(Table1[[#This Row],[return_reason]]="","Error","OK"),"OK")</f>
        <v>OK</v>
      </c>
      <c r="P2022" s="8">
        <f>Table1[[#This Row],[original_price]]*Table1[[#This Row],[markdown_percentage]]/100</f>
        <v>0</v>
      </c>
      <c r="Q202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022" s="25">
        <f>Table1[[#This Row],[current_price]]*Table1[[#This Row],[stock_quantity]]</f>
        <v>1355.2</v>
      </c>
    </row>
    <row r="2023" spans="1:18" x14ac:dyDescent="0.25">
      <c r="A2023" s="2" t="s">
        <v>2076</v>
      </c>
      <c r="B2023" s="2" t="s">
        <v>42</v>
      </c>
      <c r="C2023" s="2" t="s">
        <v>16</v>
      </c>
      <c r="D2023" s="2" t="s">
        <v>23</v>
      </c>
      <c r="E2023" s="2" t="s">
        <v>55</v>
      </c>
      <c r="F2023" s="2" t="s">
        <v>28</v>
      </c>
      <c r="G2023" s="8">
        <v>177.1</v>
      </c>
      <c r="H2023" s="11">
        <v>0</v>
      </c>
      <c r="I2023" s="8">
        <v>177.1</v>
      </c>
      <c r="J2023" s="3">
        <v>45875</v>
      </c>
      <c r="K2023" s="14">
        <v>49</v>
      </c>
      <c r="L2023" s="17">
        <v>1.6</v>
      </c>
      <c r="M2023" s="2" t="b">
        <v>0</v>
      </c>
      <c r="N2023" s="2"/>
      <c r="O2023" s="2" t="str">
        <f>IF(Table1[[#This Row],[is_returned]]=TRUE,IF(Table1[[#This Row],[return_reason]]="","Error","OK"),"OK")</f>
        <v>OK</v>
      </c>
      <c r="P2023" s="8">
        <f>Table1[[#This Row],[original_price]]*Table1[[#This Row],[markdown_percentage]]/100</f>
        <v>0</v>
      </c>
      <c r="Q202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023" s="25">
        <f>Table1[[#This Row],[current_price]]*Table1[[#This Row],[stock_quantity]]</f>
        <v>8677.9</v>
      </c>
    </row>
    <row r="2024" spans="1:18" x14ac:dyDescent="0.25">
      <c r="A2024" s="2" t="s">
        <v>2077</v>
      </c>
      <c r="B2024" s="2" t="s">
        <v>38</v>
      </c>
      <c r="C2024" s="2" t="s">
        <v>75</v>
      </c>
      <c r="D2024" s="2" t="s">
        <v>17</v>
      </c>
      <c r="E2024" s="2" t="s">
        <v>55</v>
      </c>
      <c r="F2024" s="2" t="s">
        <v>40</v>
      </c>
      <c r="G2024" s="8">
        <v>31.49</v>
      </c>
      <c r="H2024" s="11">
        <v>0</v>
      </c>
      <c r="I2024" s="8">
        <v>31.49</v>
      </c>
      <c r="J2024" s="3">
        <v>45584</v>
      </c>
      <c r="K2024" s="14">
        <v>28</v>
      </c>
      <c r="L2024" s="17"/>
      <c r="M2024" s="2" t="b">
        <v>0</v>
      </c>
      <c r="N2024" s="2"/>
      <c r="O2024" s="2" t="str">
        <f>IF(Table1[[#This Row],[is_returned]]=TRUE,IF(Table1[[#This Row],[return_reason]]="","Error","OK"),"OK")</f>
        <v>OK</v>
      </c>
      <c r="P2024" s="8">
        <f>Table1[[#This Row],[original_price]]*Table1[[#This Row],[markdown_percentage]]/100</f>
        <v>0</v>
      </c>
      <c r="Q202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024" s="25">
        <f>Table1[[#This Row],[current_price]]*Table1[[#This Row],[stock_quantity]]</f>
        <v>881.71999999999991</v>
      </c>
    </row>
    <row r="2025" spans="1:18" x14ac:dyDescent="0.25">
      <c r="A2025" s="2" t="s">
        <v>2078</v>
      </c>
      <c r="B2025" s="2" t="s">
        <v>21</v>
      </c>
      <c r="C2025" s="2" t="s">
        <v>22</v>
      </c>
      <c r="D2025" s="2" t="s">
        <v>62</v>
      </c>
      <c r="E2025" s="2"/>
      <c r="F2025" s="2" t="s">
        <v>25</v>
      </c>
      <c r="G2025" s="8">
        <v>118.14</v>
      </c>
      <c r="H2025" s="11">
        <v>0</v>
      </c>
      <c r="I2025" s="8">
        <v>118.14</v>
      </c>
      <c r="J2025" s="3">
        <v>45875</v>
      </c>
      <c r="K2025" s="14">
        <v>33</v>
      </c>
      <c r="L2025" s="17">
        <v>2.4</v>
      </c>
      <c r="M2025" s="2" t="b">
        <v>0</v>
      </c>
      <c r="N2025" s="2"/>
      <c r="O2025" s="2" t="str">
        <f>IF(Table1[[#This Row],[is_returned]]=TRUE,IF(Table1[[#This Row],[return_reason]]="","Error","OK"),"OK")</f>
        <v>OK</v>
      </c>
      <c r="P2025" s="8">
        <f>Table1[[#This Row],[original_price]]*Table1[[#This Row],[markdown_percentage]]/100</f>
        <v>0</v>
      </c>
      <c r="Q202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025" s="25">
        <f>Table1[[#This Row],[current_price]]*Table1[[#This Row],[stock_quantity]]</f>
        <v>3898.62</v>
      </c>
    </row>
    <row r="2026" spans="1:18" x14ac:dyDescent="0.25">
      <c r="A2026" s="2" t="s">
        <v>2079</v>
      </c>
      <c r="B2026" s="2" t="s">
        <v>21</v>
      </c>
      <c r="C2026" s="2" t="s">
        <v>61</v>
      </c>
      <c r="D2026" s="2" t="s">
        <v>17</v>
      </c>
      <c r="E2026" s="2" t="s">
        <v>39</v>
      </c>
      <c r="F2026" s="2" t="s">
        <v>46</v>
      </c>
      <c r="G2026" s="8">
        <v>26.51</v>
      </c>
      <c r="H2026" s="11">
        <v>24</v>
      </c>
      <c r="I2026" s="8">
        <v>20.149999999999999</v>
      </c>
      <c r="J2026" s="3">
        <v>45801</v>
      </c>
      <c r="K2026" s="14">
        <v>1</v>
      </c>
      <c r="L2026" s="17">
        <v>4.7</v>
      </c>
      <c r="M2026" s="2" t="b">
        <v>0</v>
      </c>
      <c r="N2026" s="2"/>
      <c r="O2026" s="2" t="str">
        <f>IF(Table1[[#This Row],[is_returned]]=TRUE,IF(Table1[[#This Row],[return_reason]]="","Error","OK"),"OK")</f>
        <v>OK</v>
      </c>
      <c r="P2026" s="8">
        <f>Table1[[#This Row],[original_price]]*Table1[[#This Row],[markdown_percentage]]/100</f>
        <v>6.3624000000000001</v>
      </c>
      <c r="Q202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026" s="25">
        <f>Table1[[#This Row],[current_price]]*Table1[[#This Row],[stock_quantity]]</f>
        <v>20.149999999999999</v>
      </c>
    </row>
    <row r="2027" spans="1:18" x14ac:dyDescent="0.25">
      <c r="A2027" s="2" t="s">
        <v>2080</v>
      </c>
      <c r="B2027" s="2" t="s">
        <v>21</v>
      </c>
      <c r="C2027" s="2" t="s">
        <v>75</v>
      </c>
      <c r="D2027" s="2" t="s">
        <v>34</v>
      </c>
      <c r="E2027" s="2" t="s">
        <v>24</v>
      </c>
      <c r="F2027" s="2" t="s">
        <v>44</v>
      </c>
      <c r="G2027" s="8">
        <v>29.61</v>
      </c>
      <c r="H2027" s="11">
        <v>0</v>
      </c>
      <c r="I2027" s="8">
        <v>29.61</v>
      </c>
      <c r="J2027" s="3">
        <v>45875</v>
      </c>
      <c r="K2027" s="14">
        <v>9</v>
      </c>
      <c r="L2027" s="17">
        <v>1</v>
      </c>
      <c r="M2027" s="2" t="b">
        <v>0</v>
      </c>
      <c r="N2027" s="2"/>
      <c r="O2027" s="2" t="str">
        <f>IF(Table1[[#This Row],[is_returned]]=TRUE,IF(Table1[[#This Row],[return_reason]]="","Error","OK"),"OK")</f>
        <v>OK</v>
      </c>
      <c r="P2027" s="8">
        <f>Table1[[#This Row],[original_price]]*Table1[[#This Row],[markdown_percentage]]/100</f>
        <v>0</v>
      </c>
      <c r="Q202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027" s="25">
        <f>Table1[[#This Row],[current_price]]*Table1[[#This Row],[stock_quantity]]</f>
        <v>266.49</v>
      </c>
    </row>
    <row r="2028" spans="1:18" x14ac:dyDescent="0.25">
      <c r="A2028" s="2" t="s">
        <v>2081</v>
      </c>
      <c r="B2028" s="2" t="s">
        <v>15</v>
      </c>
      <c r="C2028" s="2" t="s">
        <v>53</v>
      </c>
      <c r="D2028" s="2" t="s">
        <v>62</v>
      </c>
      <c r="E2028" s="2" t="s">
        <v>39</v>
      </c>
      <c r="F2028" s="2" t="s">
        <v>40</v>
      </c>
      <c r="G2028" s="8">
        <v>244.13</v>
      </c>
      <c r="H2028" s="11">
        <v>0</v>
      </c>
      <c r="I2028" s="8">
        <v>244.13</v>
      </c>
      <c r="J2028" s="3">
        <v>45875</v>
      </c>
      <c r="K2028" s="14">
        <v>2</v>
      </c>
      <c r="L2028" s="17">
        <v>3.5</v>
      </c>
      <c r="M2028" s="2" t="b">
        <v>1</v>
      </c>
      <c r="N2028" s="2" t="s">
        <v>73</v>
      </c>
      <c r="O2028" s="2" t="str">
        <f>IF(Table1[[#This Row],[is_returned]]=TRUE,IF(Table1[[#This Row],[return_reason]]="","Error","OK"),"OK")</f>
        <v>OK</v>
      </c>
      <c r="P2028" s="8">
        <f>Table1[[#This Row],[original_price]]*Table1[[#This Row],[markdown_percentage]]/100</f>
        <v>0</v>
      </c>
      <c r="Q202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028" s="25">
        <f>Table1[[#This Row],[current_price]]*Table1[[#This Row],[stock_quantity]]</f>
        <v>488.26</v>
      </c>
    </row>
    <row r="2029" spans="1:18" x14ac:dyDescent="0.25">
      <c r="A2029" s="2" t="s">
        <v>2082</v>
      </c>
      <c r="B2029" s="2" t="s">
        <v>27</v>
      </c>
      <c r="C2029" s="2" t="s">
        <v>61</v>
      </c>
      <c r="D2029" s="2" t="s">
        <v>17</v>
      </c>
      <c r="E2029" s="2"/>
      <c r="F2029" s="2" t="s">
        <v>35</v>
      </c>
      <c r="G2029" s="8">
        <v>16.54</v>
      </c>
      <c r="H2029" s="11">
        <v>0</v>
      </c>
      <c r="I2029" s="8">
        <v>16.54</v>
      </c>
      <c r="J2029" s="3">
        <v>45773</v>
      </c>
      <c r="K2029" s="14">
        <v>30</v>
      </c>
      <c r="L2029" s="17"/>
      <c r="M2029" s="2" t="b">
        <v>0</v>
      </c>
      <c r="N2029" s="2"/>
      <c r="O2029" s="2" t="str">
        <f>IF(Table1[[#This Row],[is_returned]]=TRUE,IF(Table1[[#This Row],[return_reason]]="","Error","OK"),"OK")</f>
        <v>OK</v>
      </c>
      <c r="P2029" s="8">
        <f>Table1[[#This Row],[original_price]]*Table1[[#This Row],[markdown_percentage]]/100</f>
        <v>0</v>
      </c>
      <c r="Q202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029" s="25">
        <f>Table1[[#This Row],[current_price]]*Table1[[#This Row],[stock_quantity]]</f>
        <v>496.2</v>
      </c>
    </row>
    <row r="2030" spans="1:18" x14ac:dyDescent="0.25">
      <c r="A2030" s="2" t="s">
        <v>2083</v>
      </c>
      <c r="B2030" s="2" t="s">
        <v>21</v>
      </c>
      <c r="C2030" s="2" t="s">
        <v>16</v>
      </c>
      <c r="D2030" s="2" t="s">
        <v>34</v>
      </c>
      <c r="E2030" s="2" t="s">
        <v>39</v>
      </c>
      <c r="F2030" s="2" t="s">
        <v>35</v>
      </c>
      <c r="G2030" s="8">
        <v>100.98</v>
      </c>
      <c r="H2030" s="11">
        <v>0</v>
      </c>
      <c r="I2030" s="8">
        <v>100.98</v>
      </c>
      <c r="J2030" s="3">
        <v>45875</v>
      </c>
      <c r="K2030" s="14">
        <v>41</v>
      </c>
      <c r="L2030" s="17"/>
      <c r="M2030" s="2" t="b">
        <v>0</v>
      </c>
      <c r="N2030" s="2"/>
      <c r="O2030" s="2" t="str">
        <f>IF(Table1[[#This Row],[is_returned]]=TRUE,IF(Table1[[#This Row],[return_reason]]="","Error","OK"),"OK")</f>
        <v>OK</v>
      </c>
      <c r="P2030" s="8">
        <f>Table1[[#This Row],[original_price]]*Table1[[#This Row],[markdown_percentage]]/100</f>
        <v>0</v>
      </c>
      <c r="Q203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030" s="25">
        <f>Table1[[#This Row],[current_price]]*Table1[[#This Row],[stock_quantity]]</f>
        <v>4140.18</v>
      </c>
    </row>
    <row r="2031" spans="1:18" x14ac:dyDescent="0.25">
      <c r="A2031" s="2" t="s">
        <v>2084</v>
      </c>
      <c r="B2031" s="2" t="s">
        <v>15</v>
      </c>
      <c r="C2031" s="2" t="s">
        <v>22</v>
      </c>
      <c r="D2031" s="2" t="s">
        <v>23</v>
      </c>
      <c r="E2031" s="2"/>
      <c r="F2031" s="2" t="s">
        <v>40</v>
      </c>
      <c r="G2031" s="8">
        <v>175.42</v>
      </c>
      <c r="H2031" s="11">
        <v>0</v>
      </c>
      <c r="I2031" s="8">
        <v>175.42</v>
      </c>
      <c r="J2031" s="3">
        <v>45875</v>
      </c>
      <c r="K2031" s="14">
        <v>5</v>
      </c>
      <c r="L2031" s="17">
        <v>3.6</v>
      </c>
      <c r="M2031" s="2" t="b">
        <v>0</v>
      </c>
      <c r="N2031" s="2"/>
      <c r="O2031" s="2" t="str">
        <f>IF(Table1[[#This Row],[is_returned]]=TRUE,IF(Table1[[#This Row],[return_reason]]="","Error","OK"),"OK")</f>
        <v>OK</v>
      </c>
      <c r="P2031" s="8">
        <f>Table1[[#This Row],[original_price]]*Table1[[#This Row],[markdown_percentage]]/100</f>
        <v>0</v>
      </c>
      <c r="Q203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031" s="25">
        <f>Table1[[#This Row],[current_price]]*Table1[[#This Row],[stock_quantity]]</f>
        <v>877.09999999999991</v>
      </c>
    </row>
    <row r="2032" spans="1:18" x14ac:dyDescent="0.25">
      <c r="A2032" s="2" t="s">
        <v>2085</v>
      </c>
      <c r="B2032" s="2" t="s">
        <v>42</v>
      </c>
      <c r="C2032" s="2" t="s">
        <v>53</v>
      </c>
      <c r="D2032" s="2" t="s">
        <v>17</v>
      </c>
      <c r="E2032" s="2" t="s">
        <v>49</v>
      </c>
      <c r="F2032" s="2" t="s">
        <v>25</v>
      </c>
      <c r="G2032" s="8">
        <v>133.15</v>
      </c>
      <c r="H2032" s="11">
        <v>20.3</v>
      </c>
      <c r="I2032" s="8">
        <v>106.12</v>
      </c>
      <c r="J2032" s="3">
        <v>45811</v>
      </c>
      <c r="K2032" s="14">
        <v>9</v>
      </c>
      <c r="L2032" s="17">
        <v>3.2</v>
      </c>
      <c r="M2032" s="2" t="b">
        <v>0</v>
      </c>
      <c r="N2032" s="2"/>
      <c r="O2032" s="2" t="str">
        <f>IF(Table1[[#This Row],[is_returned]]=TRUE,IF(Table1[[#This Row],[return_reason]]="","Error","OK"),"OK")</f>
        <v>OK</v>
      </c>
      <c r="P2032" s="8">
        <f>Table1[[#This Row],[original_price]]*Table1[[#This Row],[markdown_percentage]]/100</f>
        <v>27.029450000000001</v>
      </c>
      <c r="Q203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032" s="25">
        <f>Table1[[#This Row],[current_price]]*Table1[[#This Row],[stock_quantity]]</f>
        <v>955.08</v>
      </c>
    </row>
    <row r="2033" spans="1:18" x14ac:dyDescent="0.25">
      <c r="A2033" s="2" t="s">
        <v>2086</v>
      </c>
      <c r="B2033" s="2" t="s">
        <v>42</v>
      </c>
      <c r="C2033" s="2" t="s">
        <v>22</v>
      </c>
      <c r="D2033" s="2" t="s">
        <v>34</v>
      </c>
      <c r="E2033" s="2"/>
      <c r="F2033" s="2" t="s">
        <v>25</v>
      </c>
      <c r="G2033" s="8">
        <v>94.21</v>
      </c>
      <c r="H2033" s="11">
        <v>44.7</v>
      </c>
      <c r="I2033" s="8">
        <v>52.1</v>
      </c>
      <c r="J2033" s="3">
        <v>45875</v>
      </c>
      <c r="K2033" s="14">
        <v>48</v>
      </c>
      <c r="L2033" s="17">
        <v>4.3</v>
      </c>
      <c r="M2033" s="2" t="b">
        <v>0</v>
      </c>
      <c r="N2033" s="2"/>
      <c r="O2033" s="2" t="str">
        <f>IF(Table1[[#This Row],[is_returned]]=TRUE,IF(Table1[[#This Row],[return_reason]]="","Error","OK"),"OK")</f>
        <v>OK</v>
      </c>
      <c r="P2033" s="8">
        <f>Table1[[#This Row],[original_price]]*Table1[[#This Row],[markdown_percentage]]/100</f>
        <v>42.111869999999996</v>
      </c>
      <c r="Q203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033" s="25">
        <f>Table1[[#This Row],[current_price]]*Table1[[#This Row],[stock_quantity]]</f>
        <v>2500.8000000000002</v>
      </c>
    </row>
    <row r="2034" spans="1:18" x14ac:dyDescent="0.25">
      <c r="A2034" s="2" t="s">
        <v>2087</v>
      </c>
      <c r="B2034" s="2" t="s">
        <v>21</v>
      </c>
      <c r="C2034" s="2" t="s">
        <v>75</v>
      </c>
      <c r="D2034" s="2" t="s">
        <v>23</v>
      </c>
      <c r="E2034" s="2" t="s">
        <v>58</v>
      </c>
      <c r="F2034" s="2" t="s">
        <v>25</v>
      </c>
      <c r="G2034" s="8">
        <v>115.44</v>
      </c>
      <c r="H2034" s="11">
        <v>0</v>
      </c>
      <c r="I2034" s="8">
        <v>115.44</v>
      </c>
      <c r="J2034" s="3">
        <v>45875</v>
      </c>
      <c r="K2034" s="14">
        <v>21</v>
      </c>
      <c r="L2034" s="17">
        <v>1.2</v>
      </c>
      <c r="M2034" s="2" t="b">
        <v>0</v>
      </c>
      <c r="N2034" s="2"/>
      <c r="O2034" s="2" t="str">
        <f>IF(Table1[[#This Row],[is_returned]]=TRUE,IF(Table1[[#This Row],[return_reason]]="","Error","OK"),"OK")</f>
        <v>OK</v>
      </c>
      <c r="P2034" s="8">
        <f>Table1[[#This Row],[original_price]]*Table1[[#This Row],[markdown_percentage]]/100</f>
        <v>0</v>
      </c>
      <c r="Q203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034" s="25">
        <f>Table1[[#This Row],[current_price]]*Table1[[#This Row],[stock_quantity]]</f>
        <v>2424.2399999999998</v>
      </c>
    </row>
    <row r="2035" spans="1:18" x14ac:dyDescent="0.25">
      <c r="A2035" s="2" t="s">
        <v>2088</v>
      </c>
      <c r="B2035" s="2" t="s">
        <v>15</v>
      </c>
      <c r="C2035" s="2" t="s">
        <v>16</v>
      </c>
      <c r="D2035" s="2" t="s">
        <v>17</v>
      </c>
      <c r="E2035" s="2" t="s">
        <v>39</v>
      </c>
      <c r="F2035" s="2" t="s">
        <v>35</v>
      </c>
      <c r="G2035" s="8">
        <v>194.39</v>
      </c>
      <c r="H2035" s="11">
        <v>26.5</v>
      </c>
      <c r="I2035" s="8">
        <v>142.88</v>
      </c>
      <c r="J2035" s="3">
        <v>45762</v>
      </c>
      <c r="K2035" s="14">
        <v>12</v>
      </c>
      <c r="L2035" s="17">
        <v>1.2</v>
      </c>
      <c r="M2035" s="2" t="b">
        <v>0</v>
      </c>
      <c r="N2035" s="2"/>
      <c r="O2035" s="2" t="str">
        <f>IF(Table1[[#This Row],[is_returned]]=TRUE,IF(Table1[[#This Row],[return_reason]]="","Error","OK"),"OK")</f>
        <v>OK</v>
      </c>
      <c r="P2035" s="8">
        <f>Table1[[#This Row],[original_price]]*Table1[[#This Row],[markdown_percentage]]/100</f>
        <v>51.513350000000003</v>
      </c>
      <c r="Q203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035" s="25">
        <f>Table1[[#This Row],[current_price]]*Table1[[#This Row],[stock_quantity]]</f>
        <v>1714.56</v>
      </c>
    </row>
    <row r="2036" spans="1:18" x14ac:dyDescent="0.25">
      <c r="A2036" s="2" t="s">
        <v>2089</v>
      </c>
      <c r="B2036" s="2" t="s">
        <v>30</v>
      </c>
      <c r="C2036" s="2" t="s">
        <v>32</v>
      </c>
      <c r="D2036" s="2" t="s">
        <v>17</v>
      </c>
      <c r="E2036" s="2" t="s">
        <v>24</v>
      </c>
      <c r="F2036" s="2" t="s">
        <v>35</v>
      </c>
      <c r="G2036" s="8">
        <v>132.38999999999999</v>
      </c>
      <c r="H2036" s="11">
        <v>27.6</v>
      </c>
      <c r="I2036" s="8">
        <v>95.85</v>
      </c>
      <c r="J2036" s="3">
        <v>45596</v>
      </c>
      <c r="K2036" s="14">
        <v>16</v>
      </c>
      <c r="L2036" s="17"/>
      <c r="M2036" s="2" t="b">
        <v>0</v>
      </c>
      <c r="N2036" s="2"/>
      <c r="O2036" s="2" t="str">
        <f>IF(Table1[[#This Row],[is_returned]]=TRUE,IF(Table1[[#This Row],[return_reason]]="","Error","OK"),"OK")</f>
        <v>OK</v>
      </c>
      <c r="P2036" s="8">
        <f>Table1[[#This Row],[original_price]]*Table1[[#This Row],[markdown_percentage]]/100</f>
        <v>36.539639999999999</v>
      </c>
      <c r="Q203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036" s="25">
        <f>Table1[[#This Row],[current_price]]*Table1[[#This Row],[stock_quantity]]</f>
        <v>1533.6</v>
      </c>
    </row>
    <row r="2037" spans="1:18" x14ac:dyDescent="0.25">
      <c r="A2037" s="2" t="s">
        <v>2090</v>
      </c>
      <c r="B2037" s="2" t="s">
        <v>27</v>
      </c>
      <c r="C2037" s="2" t="s">
        <v>22</v>
      </c>
      <c r="D2037" s="2" t="s">
        <v>17</v>
      </c>
      <c r="E2037" s="2"/>
      <c r="F2037" s="2" t="s">
        <v>19</v>
      </c>
      <c r="G2037" s="8">
        <v>52.54</v>
      </c>
      <c r="H2037" s="11">
        <v>14.6</v>
      </c>
      <c r="I2037" s="8">
        <v>44.87</v>
      </c>
      <c r="J2037" s="3">
        <v>45552</v>
      </c>
      <c r="K2037" s="14">
        <v>7</v>
      </c>
      <c r="L2037" s="17">
        <v>1.4</v>
      </c>
      <c r="M2037" s="2" t="b">
        <v>0</v>
      </c>
      <c r="N2037" s="2"/>
      <c r="O2037" s="2" t="str">
        <f>IF(Table1[[#This Row],[is_returned]]=TRUE,IF(Table1[[#This Row],[return_reason]]="","Error","OK"),"OK")</f>
        <v>OK</v>
      </c>
      <c r="P2037" s="8">
        <f>Table1[[#This Row],[original_price]]*Table1[[#This Row],[markdown_percentage]]/100</f>
        <v>7.6708399999999992</v>
      </c>
      <c r="Q203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037" s="25">
        <f>Table1[[#This Row],[current_price]]*Table1[[#This Row],[stock_quantity]]</f>
        <v>314.08999999999997</v>
      </c>
    </row>
    <row r="2038" spans="1:18" x14ac:dyDescent="0.25">
      <c r="A2038" s="2" t="s">
        <v>2091</v>
      </c>
      <c r="B2038" s="2" t="s">
        <v>42</v>
      </c>
      <c r="C2038" s="2" t="s">
        <v>22</v>
      </c>
      <c r="D2038" s="2" t="s">
        <v>17</v>
      </c>
      <c r="E2038" s="2" t="s">
        <v>18</v>
      </c>
      <c r="F2038" s="2" t="s">
        <v>28</v>
      </c>
      <c r="G2038" s="8">
        <v>165.01</v>
      </c>
      <c r="H2038" s="11">
        <v>41.2</v>
      </c>
      <c r="I2038" s="8">
        <v>97.03</v>
      </c>
      <c r="J2038" s="3">
        <v>45584</v>
      </c>
      <c r="K2038" s="14">
        <v>22</v>
      </c>
      <c r="L2038" s="17"/>
      <c r="M2038" s="2" t="b">
        <v>0</v>
      </c>
      <c r="N2038" s="2"/>
      <c r="O2038" s="2" t="str">
        <f>IF(Table1[[#This Row],[is_returned]]=TRUE,IF(Table1[[#This Row],[return_reason]]="","Error","OK"),"OK")</f>
        <v>OK</v>
      </c>
      <c r="P2038" s="8">
        <f>Table1[[#This Row],[original_price]]*Table1[[#This Row],[markdown_percentage]]/100</f>
        <v>67.984120000000004</v>
      </c>
      <c r="Q203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038" s="25">
        <f>Table1[[#This Row],[current_price]]*Table1[[#This Row],[stock_quantity]]</f>
        <v>2134.66</v>
      </c>
    </row>
    <row r="2039" spans="1:18" x14ac:dyDescent="0.25">
      <c r="A2039" s="2" t="s">
        <v>2092</v>
      </c>
      <c r="B2039" s="2" t="s">
        <v>27</v>
      </c>
      <c r="C2039" s="2" t="s">
        <v>53</v>
      </c>
      <c r="D2039" s="2" t="s">
        <v>17</v>
      </c>
      <c r="E2039" s="2"/>
      <c r="F2039" s="2" t="s">
        <v>66</v>
      </c>
      <c r="G2039" s="8">
        <v>42.94</v>
      </c>
      <c r="H2039" s="11">
        <v>34.299999999999997</v>
      </c>
      <c r="I2039" s="8">
        <v>28.21</v>
      </c>
      <c r="J2039" s="3">
        <v>45648</v>
      </c>
      <c r="K2039" s="14">
        <v>41</v>
      </c>
      <c r="L2039" s="17"/>
      <c r="M2039" s="2" t="b">
        <v>0</v>
      </c>
      <c r="N2039" s="2"/>
      <c r="O2039" s="2" t="str">
        <f>IF(Table1[[#This Row],[is_returned]]=TRUE,IF(Table1[[#This Row],[return_reason]]="","Error","OK"),"OK")</f>
        <v>OK</v>
      </c>
      <c r="P2039" s="8">
        <f>Table1[[#This Row],[original_price]]*Table1[[#This Row],[markdown_percentage]]/100</f>
        <v>14.728419999999998</v>
      </c>
      <c r="Q203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039" s="25">
        <f>Table1[[#This Row],[current_price]]*Table1[[#This Row],[stock_quantity]]</f>
        <v>1156.6100000000001</v>
      </c>
    </row>
    <row r="2040" spans="1:18" x14ac:dyDescent="0.25">
      <c r="A2040" s="2" t="s">
        <v>2093</v>
      </c>
      <c r="B2040" s="2" t="s">
        <v>21</v>
      </c>
      <c r="C2040" s="2" t="s">
        <v>22</v>
      </c>
      <c r="D2040" s="2" t="s">
        <v>34</v>
      </c>
      <c r="E2040" s="2" t="s">
        <v>18</v>
      </c>
      <c r="F2040" s="2" t="s">
        <v>56</v>
      </c>
      <c r="G2040" s="8">
        <v>72.78</v>
      </c>
      <c r="H2040" s="11">
        <v>0</v>
      </c>
      <c r="I2040" s="8">
        <v>72.78</v>
      </c>
      <c r="J2040" s="3">
        <v>45875</v>
      </c>
      <c r="K2040" s="14">
        <v>49</v>
      </c>
      <c r="L2040" s="17">
        <v>3.1</v>
      </c>
      <c r="M2040" s="2" t="b">
        <v>0</v>
      </c>
      <c r="N2040" s="2"/>
      <c r="O2040" s="2" t="str">
        <f>IF(Table1[[#This Row],[is_returned]]=TRUE,IF(Table1[[#This Row],[return_reason]]="","Error","OK"),"OK")</f>
        <v>OK</v>
      </c>
      <c r="P2040" s="8">
        <f>Table1[[#This Row],[original_price]]*Table1[[#This Row],[markdown_percentage]]/100</f>
        <v>0</v>
      </c>
      <c r="Q204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040" s="25">
        <f>Table1[[#This Row],[current_price]]*Table1[[#This Row],[stock_quantity]]</f>
        <v>3566.2200000000003</v>
      </c>
    </row>
    <row r="2041" spans="1:18" x14ac:dyDescent="0.25">
      <c r="A2041" s="2" t="s">
        <v>2094</v>
      </c>
      <c r="B2041" s="2" t="s">
        <v>30</v>
      </c>
      <c r="C2041" s="2" t="s">
        <v>22</v>
      </c>
      <c r="D2041" s="2" t="s">
        <v>34</v>
      </c>
      <c r="E2041" s="2" t="s">
        <v>39</v>
      </c>
      <c r="F2041" s="2" t="s">
        <v>19</v>
      </c>
      <c r="G2041" s="8">
        <v>189.32</v>
      </c>
      <c r="H2041" s="11">
        <v>0</v>
      </c>
      <c r="I2041" s="8">
        <v>189.32</v>
      </c>
      <c r="J2041" s="3">
        <v>45875</v>
      </c>
      <c r="K2041" s="14">
        <v>35</v>
      </c>
      <c r="L2041" s="17">
        <v>2.5</v>
      </c>
      <c r="M2041" s="2" t="b">
        <v>0</v>
      </c>
      <c r="N2041" s="2"/>
      <c r="O2041" s="2" t="str">
        <f>IF(Table1[[#This Row],[is_returned]]=TRUE,IF(Table1[[#This Row],[return_reason]]="","Error","OK"),"OK")</f>
        <v>OK</v>
      </c>
      <c r="P2041" s="8">
        <f>Table1[[#This Row],[original_price]]*Table1[[#This Row],[markdown_percentage]]/100</f>
        <v>0</v>
      </c>
      <c r="Q204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041" s="25">
        <f>Table1[[#This Row],[current_price]]*Table1[[#This Row],[stock_quantity]]</f>
        <v>6626.2</v>
      </c>
    </row>
    <row r="2042" spans="1:18" x14ac:dyDescent="0.25">
      <c r="A2042" s="2" t="s">
        <v>2095</v>
      </c>
      <c r="B2042" s="2" t="s">
        <v>42</v>
      </c>
      <c r="C2042" s="2" t="s">
        <v>53</v>
      </c>
      <c r="D2042" s="2" t="s">
        <v>62</v>
      </c>
      <c r="E2042" s="2" t="s">
        <v>18</v>
      </c>
      <c r="F2042" s="2" t="s">
        <v>35</v>
      </c>
      <c r="G2042" s="8">
        <v>157</v>
      </c>
      <c r="H2042" s="11">
        <v>55.7</v>
      </c>
      <c r="I2042" s="8">
        <v>69.55</v>
      </c>
      <c r="J2042" s="3">
        <v>45875</v>
      </c>
      <c r="K2042" s="14">
        <v>6</v>
      </c>
      <c r="L2042" s="17">
        <v>2.1</v>
      </c>
      <c r="M2042" s="2" t="b">
        <v>0</v>
      </c>
      <c r="N2042" s="2"/>
      <c r="O2042" s="2" t="str">
        <f>IF(Table1[[#This Row],[is_returned]]=TRUE,IF(Table1[[#This Row],[return_reason]]="","Error","OK"),"OK")</f>
        <v>OK</v>
      </c>
      <c r="P2042" s="8">
        <f>Table1[[#This Row],[original_price]]*Table1[[#This Row],[markdown_percentage]]/100</f>
        <v>87.448999999999998</v>
      </c>
      <c r="Q204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042" s="25">
        <f>Table1[[#This Row],[current_price]]*Table1[[#This Row],[stock_quantity]]</f>
        <v>417.29999999999995</v>
      </c>
    </row>
    <row r="2043" spans="1:18" x14ac:dyDescent="0.25">
      <c r="A2043" s="2" t="s">
        <v>2096</v>
      </c>
      <c r="B2043" s="2" t="s">
        <v>21</v>
      </c>
      <c r="C2043" s="2" t="s">
        <v>61</v>
      </c>
      <c r="D2043" s="2" t="s">
        <v>17</v>
      </c>
      <c r="E2043" s="2" t="s">
        <v>39</v>
      </c>
      <c r="F2043" s="2" t="s">
        <v>66</v>
      </c>
      <c r="G2043" s="8">
        <v>28.73</v>
      </c>
      <c r="H2043" s="11">
        <v>26.4</v>
      </c>
      <c r="I2043" s="8">
        <v>21.15</v>
      </c>
      <c r="J2043" s="3">
        <v>45575</v>
      </c>
      <c r="K2043" s="14">
        <v>47</v>
      </c>
      <c r="L2043" s="17">
        <v>2.2999999999999998</v>
      </c>
      <c r="M2043" s="2" t="b">
        <v>1</v>
      </c>
      <c r="N2043" s="2" t="s">
        <v>73</v>
      </c>
      <c r="O2043" s="2" t="str">
        <f>IF(Table1[[#This Row],[is_returned]]=TRUE,IF(Table1[[#This Row],[return_reason]]="","Error","OK"),"OK")</f>
        <v>OK</v>
      </c>
      <c r="P2043" s="8">
        <f>Table1[[#This Row],[original_price]]*Table1[[#This Row],[markdown_percentage]]/100</f>
        <v>7.5847199999999999</v>
      </c>
      <c r="Q204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043" s="25">
        <f>Table1[[#This Row],[current_price]]*Table1[[#This Row],[stock_quantity]]</f>
        <v>994.05</v>
      </c>
    </row>
    <row r="2044" spans="1:18" x14ac:dyDescent="0.25">
      <c r="A2044" s="2" t="s">
        <v>2097</v>
      </c>
      <c r="B2044" s="2" t="s">
        <v>15</v>
      </c>
      <c r="C2044" s="2" t="s">
        <v>75</v>
      </c>
      <c r="D2044" s="2" t="s">
        <v>23</v>
      </c>
      <c r="E2044" s="2" t="s">
        <v>24</v>
      </c>
      <c r="F2044" s="2" t="s">
        <v>40</v>
      </c>
      <c r="G2044" s="8">
        <v>144.63999999999999</v>
      </c>
      <c r="H2044" s="11">
        <v>0</v>
      </c>
      <c r="I2044" s="8">
        <v>144.63999999999999</v>
      </c>
      <c r="J2044" s="3">
        <v>45875</v>
      </c>
      <c r="K2044" s="14">
        <v>0</v>
      </c>
      <c r="L2044" s="17">
        <v>4.5</v>
      </c>
      <c r="M2044" s="2" t="b">
        <v>0</v>
      </c>
      <c r="N2044" s="2"/>
      <c r="O2044" s="2" t="str">
        <f>IF(Table1[[#This Row],[is_returned]]=TRUE,IF(Table1[[#This Row],[return_reason]]="","Error","OK"),"OK")</f>
        <v>OK</v>
      </c>
      <c r="P2044" s="8">
        <f>Table1[[#This Row],[original_price]]*Table1[[#This Row],[markdown_percentage]]/100</f>
        <v>0</v>
      </c>
      <c r="Q204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044" s="25">
        <f>Table1[[#This Row],[current_price]]*Table1[[#This Row],[stock_quantity]]</f>
        <v>0</v>
      </c>
    </row>
    <row r="2045" spans="1:18" x14ac:dyDescent="0.25">
      <c r="A2045" s="2" t="s">
        <v>2098</v>
      </c>
      <c r="B2045" s="2" t="s">
        <v>30</v>
      </c>
      <c r="C2045" s="2" t="s">
        <v>32</v>
      </c>
      <c r="D2045" s="2" t="s">
        <v>34</v>
      </c>
      <c r="E2045" s="2" t="s">
        <v>24</v>
      </c>
      <c r="F2045" s="2" t="s">
        <v>44</v>
      </c>
      <c r="G2045" s="8">
        <v>180.99</v>
      </c>
      <c r="H2045" s="11">
        <v>0</v>
      </c>
      <c r="I2045" s="8">
        <v>180.99</v>
      </c>
      <c r="J2045" s="3">
        <v>45875</v>
      </c>
      <c r="K2045" s="14">
        <v>0</v>
      </c>
      <c r="L2045" s="17">
        <v>4.5</v>
      </c>
      <c r="M2045" s="2" t="b">
        <v>0</v>
      </c>
      <c r="N2045" s="2"/>
      <c r="O2045" s="2" t="str">
        <f>IF(Table1[[#This Row],[is_returned]]=TRUE,IF(Table1[[#This Row],[return_reason]]="","Error","OK"),"OK")</f>
        <v>OK</v>
      </c>
      <c r="P2045" s="8">
        <f>Table1[[#This Row],[original_price]]*Table1[[#This Row],[markdown_percentage]]/100</f>
        <v>0</v>
      </c>
      <c r="Q204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045" s="25">
        <f>Table1[[#This Row],[current_price]]*Table1[[#This Row],[stock_quantity]]</f>
        <v>0</v>
      </c>
    </row>
    <row r="2046" spans="1:18" x14ac:dyDescent="0.25">
      <c r="A2046" s="2" t="s">
        <v>2099</v>
      </c>
      <c r="B2046" s="2" t="s">
        <v>21</v>
      </c>
      <c r="C2046" s="2" t="s">
        <v>53</v>
      </c>
      <c r="D2046" s="2" t="s">
        <v>34</v>
      </c>
      <c r="E2046" s="2" t="s">
        <v>58</v>
      </c>
      <c r="F2046" s="2" t="s">
        <v>46</v>
      </c>
      <c r="G2046" s="8">
        <v>74.959999999999994</v>
      </c>
      <c r="H2046" s="11">
        <v>56.1</v>
      </c>
      <c r="I2046" s="8">
        <v>32.909999999999997</v>
      </c>
      <c r="J2046" s="3">
        <v>45875</v>
      </c>
      <c r="K2046" s="14">
        <v>16</v>
      </c>
      <c r="L2046" s="17"/>
      <c r="M2046" s="2" t="b">
        <v>1</v>
      </c>
      <c r="N2046" s="2" t="s">
        <v>125</v>
      </c>
      <c r="O2046" s="2" t="str">
        <f>IF(Table1[[#This Row],[is_returned]]=TRUE,IF(Table1[[#This Row],[return_reason]]="","Error","OK"),"OK")</f>
        <v>OK</v>
      </c>
      <c r="P2046" s="8">
        <f>Table1[[#This Row],[original_price]]*Table1[[#This Row],[markdown_percentage]]/100</f>
        <v>42.052559999999993</v>
      </c>
      <c r="Q204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046" s="25">
        <f>Table1[[#This Row],[current_price]]*Table1[[#This Row],[stock_quantity]]</f>
        <v>526.55999999999995</v>
      </c>
    </row>
    <row r="2047" spans="1:18" x14ac:dyDescent="0.25">
      <c r="A2047" s="2" t="s">
        <v>2100</v>
      </c>
      <c r="B2047" s="2" t="s">
        <v>42</v>
      </c>
      <c r="C2047" s="2" t="s">
        <v>53</v>
      </c>
      <c r="D2047" s="2" t="s">
        <v>34</v>
      </c>
      <c r="E2047" s="2" t="s">
        <v>49</v>
      </c>
      <c r="F2047" s="2" t="s">
        <v>64</v>
      </c>
      <c r="G2047" s="8">
        <v>63.46</v>
      </c>
      <c r="H2047" s="11">
        <v>0</v>
      </c>
      <c r="I2047" s="8">
        <v>63.46</v>
      </c>
      <c r="J2047" s="3">
        <v>45875</v>
      </c>
      <c r="K2047" s="14">
        <v>36</v>
      </c>
      <c r="L2047" s="17">
        <v>1.2</v>
      </c>
      <c r="M2047" s="2" t="b">
        <v>0</v>
      </c>
      <c r="N2047" s="2"/>
      <c r="O2047" s="2" t="str">
        <f>IF(Table1[[#This Row],[is_returned]]=TRUE,IF(Table1[[#This Row],[return_reason]]="","Error","OK"),"OK")</f>
        <v>OK</v>
      </c>
      <c r="P2047" s="8">
        <f>Table1[[#This Row],[original_price]]*Table1[[#This Row],[markdown_percentage]]/100</f>
        <v>0</v>
      </c>
      <c r="Q204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047" s="25">
        <f>Table1[[#This Row],[current_price]]*Table1[[#This Row],[stock_quantity]]</f>
        <v>2284.56</v>
      </c>
    </row>
    <row r="2048" spans="1:18" x14ac:dyDescent="0.25">
      <c r="A2048" s="2" t="s">
        <v>2101</v>
      </c>
      <c r="B2048" s="2" t="s">
        <v>30</v>
      </c>
      <c r="C2048" s="2" t="s">
        <v>43</v>
      </c>
      <c r="D2048" s="2" t="s">
        <v>17</v>
      </c>
      <c r="E2048" s="2" t="s">
        <v>39</v>
      </c>
      <c r="F2048" s="2" t="s">
        <v>28</v>
      </c>
      <c r="G2048" s="8">
        <v>105.95</v>
      </c>
      <c r="H2048" s="11">
        <v>31.6</v>
      </c>
      <c r="I2048" s="8">
        <v>72.47</v>
      </c>
      <c r="J2048" s="3">
        <v>45748</v>
      </c>
      <c r="K2048" s="14">
        <v>38</v>
      </c>
      <c r="L2048" s="17">
        <v>3.5</v>
      </c>
      <c r="M2048" s="2" t="b">
        <v>0</v>
      </c>
      <c r="N2048" s="2"/>
      <c r="O2048" s="2" t="str">
        <f>IF(Table1[[#This Row],[is_returned]]=TRUE,IF(Table1[[#This Row],[return_reason]]="","Error","OK"),"OK")</f>
        <v>OK</v>
      </c>
      <c r="P2048" s="8">
        <f>Table1[[#This Row],[original_price]]*Table1[[#This Row],[markdown_percentage]]/100</f>
        <v>33.480200000000004</v>
      </c>
      <c r="Q204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048" s="25">
        <f>Table1[[#This Row],[current_price]]*Table1[[#This Row],[stock_quantity]]</f>
        <v>2753.86</v>
      </c>
    </row>
    <row r="2049" spans="1:18" x14ac:dyDescent="0.25">
      <c r="A2049" s="2" t="s">
        <v>2102</v>
      </c>
      <c r="B2049" s="2" t="s">
        <v>42</v>
      </c>
      <c r="C2049" s="2" t="s">
        <v>43</v>
      </c>
      <c r="D2049" s="2" t="s">
        <v>62</v>
      </c>
      <c r="E2049" s="2" t="s">
        <v>39</v>
      </c>
      <c r="F2049" s="2" t="s">
        <v>64</v>
      </c>
      <c r="G2049" s="8">
        <v>86.55</v>
      </c>
      <c r="H2049" s="11">
        <v>24.5</v>
      </c>
      <c r="I2049" s="8">
        <v>65.349999999999994</v>
      </c>
      <c r="J2049" s="3">
        <v>45875</v>
      </c>
      <c r="K2049" s="14">
        <v>40</v>
      </c>
      <c r="L2049" s="17">
        <v>3.5</v>
      </c>
      <c r="M2049" s="2" t="b">
        <v>0</v>
      </c>
      <c r="N2049" s="2"/>
      <c r="O2049" s="2" t="str">
        <f>IF(Table1[[#This Row],[is_returned]]=TRUE,IF(Table1[[#This Row],[return_reason]]="","Error","OK"),"OK")</f>
        <v>OK</v>
      </c>
      <c r="P2049" s="8">
        <f>Table1[[#This Row],[original_price]]*Table1[[#This Row],[markdown_percentage]]/100</f>
        <v>21.204750000000001</v>
      </c>
      <c r="Q204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049" s="25">
        <f>Table1[[#This Row],[current_price]]*Table1[[#This Row],[stock_quantity]]</f>
        <v>2614</v>
      </c>
    </row>
    <row r="2050" spans="1:18" x14ac:dyDescent="0.25">
      <c r="A2050" s="2" t="s">
        <v>2103</v>
      </c>
      <c r="B2050" s="2" t="s">
        <v>38</v>
      </c>
      <c r="C2050" s="2" t="s">
        <v>61</v>
      </c>
      <c r="D2050" s="2" t="s">
        <v>34</v>
      </c>
      <c r="E2050" s="2" t="s">
        <v>58</v>
      </c>
      <c r="F2050" s="2" t="s">
        <v>64</v>
      </c>
      <c r="G2050" s="8">
        <v>90.97</v>
      </c>
      <c r="H2050" s="11">
        <v>10.8</v>
      </c>
      <c r="I2050" s="8">
        <v>81.150000000000006</v>
      </c>
      <c r="J2050" s="3">
        <v>45875</v>
      </c>
      <c r="K2050" s="14">
        <v>33</v>
      </c>
      <c r="L2050" s="17">
        <v>2.2000000000000002</v>
      </c>
      <c r="M2050" s="2" t="b">
        <v>1</v>
      </c>
      <c r="N2050" s="2" t="s">
        <v>78</v>
      </c>
      <c r="O2050" s="2" t="str">
        <f>IF(Table1[[#This Row],[is_returned]]=TRUE,IF(Table1[[#This Row],[return_reason]]="","Error","OK"),"OK")</f>
        <v>OK</v>
      </c>
      <c r="P2050" s="8">
        <f>Table1[[#This Row],[original_price]]*Table1[[#This Row],[markdown_percentage]]/100</f>
        <v>9.8247599999999995</v>
      </c>
      <c r="Q205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050" s="25">
        <f>Table1[[#This Row],[current_price]]*Table1[[#This Row],[stock_quantity]]</f>
        <v>2677.9500000000003</v>
      </c>
    </row>
    <row r="2051" spans="1:18" x14ac:dyDescent="0.25">
      <c r="A2051" s="2" t="s">
        <v>2104</v>
      </c>
      <c r="B2051" s="2" t="s">
        <v>42</v>
      </c>
      <c r="C2051" s="2" t="s">
        <v>43</v>
      </c>
      <c r="D2051" s="2" t="s">
        <v>23</v>
      </c>
      <c r="E2051" s="2" t="s">
        <v>24</v>
      </c>
      <c r="F2051" s="2" t="s">
        <v>56</v>
      </c>
      <c r="G2051" s="8">
        <v>122.41</v>
      </c>
      <c r="H2051" s="11">
        <v>48.2</v>
      </c>
      <c r="I2051" s="8">
        <v>63.41</v>
      </c>
      <c r="J2051" s="3">
        <v>45875</v>
      </c>
      <c r="K2051" s="14">
        <v>49</v>
      </c>
      <c r="L2051" s="17">
        <v>4.5</v>
      </c>
      <c r="M2051" s="2" t="b">
        <v>0</v>
      </c>
      <c r="N2051" s="2"/>
      <c r="O2051" s="2" t="str">
        <f>IF(Table1[[#This Row],[is_returned]]=TRUE,IF(Table1[[#This Row],[return_reason]]="","Error","OK"),"OK")</f>
        <v>OK</v>
      </c>
      <c r="P2051" s="8">
        <f>Table1[[#This Row],[original_price]]*Table1[[#This Row],[markdown_percentage]]/100</f>
        <v>59.001620000000003</v>
      </c>
      <c r="Q205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051" s="25">
        <f>Table1[[#This Row],[current_price]]*Table1[[#This Row],[stock_quantity]]</f>
        <v>3107.0899999999997</v>
      </c>
    </row>
    <row r="2052" spans="1:18" x14ac:dyDescent="0.25">
      <c r="A2052" s="2" t="s">
        <v>2105</v>
      </c>
      <c r="B2052" s="2" t="s">
        <v>30</v>
      </c>
      <c r="C2052" s="2" t="s">
        <v>32</v>
      </c>
      <c r="D2052" s="2" t="s">
        <v>23</v>
      </c>
      <c r="E2052" s="2" t="s">
        <v>49</v>
      </c>
      <c r="F2052" s="2" t="s">
        <v>40</v>
      </c>
      <c r="G2052" s="8">
        <v>198.22</v>
      </c>
      <c r="H2052" s="11">
        <v>0</v>
      </c>
      <c r="I2052" s="8">
        <v>198.22</v>
      </c>
      <c r="J2052" s="3">
        <v>45875</v>
      </c>
      <c r="K2052" s="14">
        <v>12</v>
      </c>
      <c r="L2052" s="17"/>
      <c r="M2052" s="2" t="b">
        <v>0</v>
      </c>
      <c r="N2052" s="2"/>
      <c r="O2052" s="2" t="str">
        <f>IF(Table1[[#This Row],[is_returned]]=TRUE,IF(Table1[[#This Row],[return_reason]]="","Error","OK"),"OK")</f>
        <v>OK</v>
      </c>
      <c r="P2052" s="8">
        <f>Table1[[#This Row],[original_price]]*Table1[[#This Row],[markdown_percentage]]/100</f>
        <v>0</v>
      </c>
      <c r="Q205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052" s="25">
        <f>Table1[[#This Row],[current_price]]*Table1[[#This Row],[stock_quantity]]</f>
        <v>2378.64</v>
      </c>
    </row>
    <row r="2053" spans="1:18" x14ac:dyDescent="0.25">
      <c r="A2053" s="2" t="s">
        <v>2106</v>
      </c>
      <c r="B2053" s="2" t="s">
        <v>30</v>
      </c>
      <c r="C2053" s="2" t="s">
        <v>16</v>
      </c>
      <c r="D2053" s="2" t="s">
        <v>23</v>
      </c>
      <c r="E2053" s="2" t="s">
        <v>58</v>
      </c>
      <c r="F2053" s="2" t="s">
        <v>56</v>
      </c>
      <c r="G2053" s="8">
        <v>129.56</v>
      </c>
      <c r="H2053" s="11">
        <v>20.8</v>
      </c>
      <c r="I2053" s="8">
        <v>102.61</v>
      </c>
      <c r="J2053" s="3">
        <v>45875</v>
      </c>
      <c r="K2053" s="14">
        <v>3</v>
      </c>
      <c r="L2053" s="17">
        <v>2.9</v>
      </c>
      <c r="M2053" s="2" t="b">
        <v>0</v>
      </c>
      <c r="N2053" s="2"/>
      <c r="O2053" s="2" t="str">
        <f>IF(Table1[[#This Row],[is_returned]]=TRUE,IF(Table1[[#This Row],[return_reason]]="","Error","OK"),"OK")</f>
        <v>OK</v>
      </c>
      <c r="P2053" s="8">
        <f>Table1[[#This Row],[original_price]]*Table1[[#This Row],[markdown_percentage]]/100</f>
        <v>26.94848</v>
      </c>
      <c r="Q205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053" s="25">
        <f>Table1[[#This Row],[current_price]]*Table1[[#This Row],[stock_quantity]]</f>
        <v>307.83</v>
      </c>
    </row>
    <row r="2054" spans="1:18" x14ac:dyDescent="0.25">
      <c r="A2054" s="2" t="s">
        <v>2107</v>
      </c>
      <c r="B2054" s="2" t="s">
        <v>27</v>
      </c>
      <c r="C2054" s="2" t="s">
        <v>16</v>
      </c>
      <c r="D2054" s="2" t="s">
        <v>62</v>
      </c>
      <c r="E2054" s="2"/>
      <c r="F2054" s="2" t="s">
        <v>25</v>
      </c>
      <c r="G2054" s="8">
        <v>49.31</v>
      </c>
      <c r="H2054" s="11">
        <v>0</v>
      </c>
      <c r="I2054" s="8">
        <v>49.31</v>
      </c>
      <c r="J2054" s="3">
        <v>45875</v>
      </c>
      <c r="K2054" s="14">
        <v>49</v>
      </c>
      <c r="L2054" s="17">
        <v>3.4</v>
      </c>
      <c r="M2054" s="2" t="b">
        <v>0</v>
      </c>
      <c r="N2054" s="2"/>
      <c r="O2054" s="2" t="str">
        <f>IF(Table1[[#This Row],[is_returned]]=TRUE,IF(Table1[[#This Row],[return_reason]]="","Error","OK"),"OK")</f>
        <v>OK</v>
      </c>
      <c r="P2054" s="8">
        <f>Table1[[#This Row],[original_price]]*Table1[[#This Row],[markdown_percentage]]/100</f>
        <v>0</v>
      </c>
      <c r="Q205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054" s="25">
        <f>Table1[[#This Row],[current_price]]*Table1[[#This Row],[stock_quantity]]</f>
        <v>2416.19</v>
      </c>
    </row>
    <row r="2055" spans="1:18" x14ac:dyDescent="0.25">
      <c r="A2055" s="2" t="s">
        <v>2108</v>
      </c>
      <c r="B2055" s="2" t="s">
        <v>15</v>
      </c>
      <c r="C2055" s="2" t="s">
        <v>22</v>
      </c>
      <c r="D2055" s="2" t="s">
        <v>62</v>
      </c>
      <c r="E2055" s="2" t="s">
        <v>39</v>
      </c>
      <c r="F2055" s="2" t="s">
        <v>25</v>
      </c>
      <c r="G2055" s="8">
        <v>206.94</v>
      </c>
      <c r="H2055" s="11">
        <v>0</v>
      </c>
      <c r="I2055" s="8">
        <v>206.94</v>
      </c>
      <c r="J2055" s="3">
        <v>45875</v>
      </c>
      <c r="K2055" s="14">
        <v>43</v>
      </c>
      <c r="L2055" s="17">
        <v>3.3</v>
      </c>
      <c r="M2055" s="2" t="b">
        <v>0</v>
      </c>
      <c r="N2055" s="2"/>
      <c r="O2055" s="2" t="str">
        <f>IF(Table1[[#This Row],[is_returned]]=TRUE,IF(Table1[[#This Row],[return_reason]]="","Error","OK"),"OK")</f>
        <v>OK</v>
      </c>
      <c r="P2055" s="8">
        <f>Table1[[#This Row],[original_price]]*Table1[[#This Row],[markdown_percentage]]/100</f>
        <v>0</v>
      </c>
      <c r="Q205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055" s="25">
        <f>Table1[[#This Row],[current_price]]*Table1[[#This Row],[stock_quantity]]</f>
        <v>8898.42</v>
      </c>
    </row>
    <row r="2056" spans="1:18" x14ac:dyDescent="0.25">
      <c r="A2056" s="2" t="s">
        <v>2109</v>
      </c>
      <c r="B2056" s="2" t="s">
        <v>27</v>
      </c>
      <c r="C2056" s="2" t="s">
        <v>32</v>
      </c>
      <c r="D2056" s="2" t="s">
        <v>62</v>
      </c>
      <c r="E2056" s="2"/>
      <c r="F2056" s="2" t="s">
        <v>28</v>
      </c>
      <c r="G2056" s="8">
        <v>36.93</v>
      </c>
      <c r="H2056" s="11">
        <v>0</v>
      </c>
      <c r="I2056" s="8">
        <v>36.93</v>
      </c>
      <c r="J2056" s="3">
        <v>45875</v>
      </c>
      <c r="K2056" s="14">
        <v>18</v>
      </c>
      <c r="L2056" s="17"/>
      <c r="M2056" s="2" t="b">
        <v>0</v>
      </c>
      <c r="N2056" s="2"/>
      <c r="O2056" s="2" t="str">
        <f>IF(Table1[[#This Row],[is_returned]]=TRUE,IF(Table1[[#This Row],[return_reason]]="","Error","OK"),"OK")</f>
        <v>OK</v>
      </c>
      <c r="P2056" s="8">
        <f>Table1[[#This Row],[original_price]]*Table1[[#This Row],[markdown_percentage]]/100</f>
        <v>0</v>
      </c>
      <c r="Q205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056" s="25">
        <f>Table1[[#This Row],[current_price]]*Table1[[#This Row],[stock_quantity]]</f>
        <v>664.74</v>
      </c>
    </row>
    <row r="2057" spans="1:18" x14ac:dyDescent="0.25">
      <c r="A2057" s="2" t="s">
        <v>2110</v>
      </c>
      <c r="B2057" s="2" t="s">
        <v>27</v>
      </c>
      <c r="C2057" s="2" t="s">
        <v>22</v>
      </c>
      <c r="D2057" s="2" t="s">
        <v>62</v>
      </c>
      <c r="E2057" s="2"/>
      <c r="F2057" s="2" t="s">
        <v>46</v>
      </c>
      <c r="G2057" s="8">
        <v>21.85</v>
      </c>
      <c r="H2057" s="11">
        <v>12</v>
      </c>
      <c r="I2057" s="8">
        <v>19.23</v>
      </c>
      <c r="J2057" s="3">
        <v>45875</v>
      </c>
      <c r="K2057" s="14">
        <v>18</v>
      </c>
      <c r="L2057" s="17">
        <v>4.8</v>
      </c>
      <c r="M2057" s="2" t="b">
        <v>0</v>
      </c>
      <c r="N2057" s="2"/>
      <c r="O2057" s="2" t="str">
        <f>IF(Table1[[#This Row],[is_returned]]=TRUE,IF(Table1[[#This Row],[return_reason]]="","Error","OK"),"OK")</f>
        <v>OK</v>
      </c>
      <c r="P2057" s="8">
        <f>Table1[[#This Row],[original_price]]*Table1[[#This Row],[markdown_percentage]]/100</f>
        <v>2.6220000000000003</v>
      </c>
      <c r="Q205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057" s="25">
        <f>Table1[[#This Row],[current_price]]*Table1[[#This Row],[stock_quantity]]</f>
        <v>346.14</v>
      </c>
    </row>
    <row r="2058" spans="1:18" x14ac:dyDescent="0.25">
      <c r="A2058" s="2" t="s">
        <v>2111</v>
      </c>
      <c r="B2058" s="2" t="s">
        <v>30</v>
      </c>
      <c r="C2058" s="2" t="s">
        <v>32</v>
      </c>
      <c r="D2058" s="2" t="s">
        <v>23</v>
      </c>
      <c r="E2058" s="2" t="s">
        <v>39</v>
      </c>
      <c r="F2058" s="2" t="s">
        <v>70</v>
      </c>
      <c r="G2058" s="8">
        <v>174.65</v>
      </c>
      <c r="H2058" s="11">
        <v>43.8</v>
      </c>
      <c r="I2058" s="8">
        <v>98.15</v>
      </c>
      <c r="J2058" s="3">
        <v>45875</v>
      </c>
      <c r="K2058" s="14">
        <v>28</v>
      </c>
      <c r="L2058" s="17">
        <v>3.3</v>
      </c>
      <c r="M2058" s="2" t="b">
        <v>0</v>
      </c>
      <c r="N2058" s="2"/>
      <c r="O2058" s="2" t="str">
        <f>IF(Table1[[#This Row],[is_returned]]=TRUE,IF(Table1[[#This Row],[return_reason]]="","Error","OK"),"OK")</f>
        <v>OK</v>
      </c>
      <c r="P2058" s="8">
        <f>Table1[[#This Row],[original_price]]*Table1[[#This Row],[markdown_percentage]]/100</f>
        <v>76.496700000000004</v>
      </c>
      <c r="Q205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058" s="25">
        <f>Table1[[#This Row],[current_price]]*Table1[[#This Row],[stock_quantity]]</f>
        <v>2748.2000000000003</v>
      </c>
    </row>
    <row r="2059" spans="1:18" x14ac:dyDescent="0.25">
      <c r="A2059" s="2" t="s">
        <v>2112</v>
      </c>
      <c r="B2059" s="2" t="s">
        <v>27</v>
      </c>
      <c r="C2059" s="2" t="s">
        <v>43</v>
      </c>
      <c r="D2059" s="2" t="s">
        <v>17</v>
      </c>
      <c r="E2059" s="2"/>
      <c r="F2059" s="2" t="s">
        <v>25</v>
      </c>
      <c r="G2059" s="8">
        <v>19.96</v>
      </c>
      <c r="H2059" s="11">
        <v>0</v>
      </c>
      <c r="I2059" s="8">
        <v>19.96</v>
      </c>
      <c r="J2059" s="3">
        <v>45827</v>
      </c>
      <c r="K2059" s="14">
        <v>16</v>
      </c>
      <c r="L2059" s="17">
        <v>1.4</v>
      </c>
      <c r="M2059" s="2" t="b">
        <v>0</v>
      </c>
      <c r="N2059" s="2"/>
      <c r="O2059" s="2" t="str">
        <f>IF(Table1[[#This Row],[is_returned]]=TRUE,IF(Table1[[#This Row],[return_reason]]="","Error","OK"),"OK")</f>
        <v>OK</v>
      </c>
      <c r="P2059" s="8">
        <f>Table1[[#This Row],[original_price]]*Table1[[#This Row],[markdown_percentage]]/100</f>
        <v>0</v>
      </c>
      <c r="Q205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059" s="25">
        <f>Table1[[#This Row],[current_price]]*Table1[[#This Row],[stock_quantity]]</f>
        <v>319.36</v>
      </c>
    </row>
    <row r="2060" spans="1:18" x14ac:dyDescent="0.25">
      <c r="A2060" s="2" t="s">
        <v>2113</v>
      </c>
      <c r="B2060" s="2" t="s">
        <v>21</v>
      </c>
      <c r="C2060" s="2" t="s">
        <v>48</v>
      </c>
      <c r="D2060" s="2" t="s">
        <v>34</v>
      </c>
      <c r="E2060" s="2" t="s">
        <v>58</v>
      </c>
      <c r="F2060" s="2" t="s">
        <v>46</v>
      </c>
      <c r="G2060" s="8">
        <v>90.46</v>
      </c>
      <c r="H2060" s="11">
        <v>54.1</v>
      </c>
      <c r="I2060" s="8">
        <v>41.52</v>
      </c>
      <c r="J2060" s="3">
        <v>45875</v>
      </c>
      <c r="K2060" s="14">
        <v>15</v>
      </c>
      <c r="L2060" s="17">
        <v>2.5</v>
      </c>
      <c r="M2060" s="2" t="b">
        <v>0</v>
      </c>
      <c r="N2060" s="2"/>
      <c r="O2060" s="2" t="str">
        <f>IF(Table1[[#This Row],[is_returned]]=TRUE,IF(Table1[[#This Row],[return_reason]]="","Error","OK"),"OK")</f>
        <v>OK</v>
      </c>
      <c r="P2060" s="8">
        <f>Table1[[#This Row],[original_price]]*Table1[[#This Row],[markdown_percentage]]/100</f>
        <v>48.938859999999998</v>
      </c>
      <c r="Q206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060" s="25">
        <f>Table1[[#This Row],[current_price]]*Table1[[#This Row],[stock_quantity]]</f>
        <v>622.80000000000007</v>
      </c>
    </row>
    <row r="2061" spans="1:18" x14ac:dyDescent="0.25">
      <c r="A2061" s="2" t="s">
        <v>2114</v>
      </c>
      <c r="B2061" s="2" t="s">
        <v>30</v>
      </c>
      <c r="C2061" s="2" t="s">
        <v>48</v>
      </c>
      <c r="D2061" s="2" t="s">
        <v>34</v>
      </c>
      <c r="E2061" s="2" t="s">
        <v>24</v>
      </c>
      <c r="F2061" s="2" t="s">
        <v>44</v>
      </c>
      <c r="G2061" s="8">
        <v>189.24</v>
      </c>
      <c r="H2061" s="11">
        <v>0</v>
      </c>
      <c r="I2061" s="8">
        <v>189.24</v>
      </c>
      <c r="J2061" s="3">
        <v>45875</v>
      </c>
      <c r="K2061" s="14">
        <v>25</v>
      </c>
      <c r="L2061" s="17">
        <v>3.6</v>
      </c>
      <c r="M2061" s="2" t="b">
        <v>1</v>
      </c>
      <c r="N2061" s="2" t="s">
        <v>36</v>
      </c>
      <c r="O2061" s="2" t="str">
        <f>IF(Table1[[#This Row],[is_returned]]=TRUE,IF(Table1[[#This Row],[return_reason]]="","Error","OK"),"OK")</f>
        <v>OK</v>
      </c>
      <c r="P2061" s="8">
        <f>Table1[[#This Row],[original_price]]*Table1[[#This Row],[markdown_percentage]]/100</f>
        <v>0</v>
      </c>
      <c r="Q206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061" s="25">
        <f>Table1[[#This Row],[current_price]]*Table1[[#This Row],[stock_quantity]]</f>
        <v>4731</v>
      </c>
    </row>
    <row r="2062" spans="1:18" x14ac:dyDescent="0.25">
      <c r="A2062" s="2" t="s">
        <v>2115</v>
      </c>
      <c r="B2062" s="2" t="s">
        <v>15</v>
      </c>
      <c r="C2062" s="2" t="s">
        <v>32</v>
      </c>
      <c r="D2062" s="2" t="s">
        <v>62</v>
      </c>
      <c r="E2062" s="2" t="s">
        <v>49</v>
      </c>
      <c r="F2062" s="2" t="s">
        <v>28</v>
      </c>
      <c r="G2062" s="8">
        <v>231.24</v>
      </c>
      <c r="H2062" s="11">
        <v>44.6</v>
      </c>
      <c r="I2062" s="8">
        <v>128.11000000000001</v>
      </c>
      <c r="J2062" s="3">
        <v>45875</v>
      </c>
      <c r="K2062" s="14">
        <v>15</v>
      </c>
      <c r="L2062" s="17">
        <v>3.7</v>
      </c>
      <c r="M2062" s="2" t="b">
        <v>0</v>
      </c>
      <c r="N2062" s="2"/>
      <c r="O2062" s="2" t="str">
        <f>IF(Table1[[#This Row],[is_returned]]=TRUE,IF(Table1[[#This Row],[return_reason]]="","Error","OK"),"OK")</f>
        <v>OK</v>
      </c>
      <c r="P2062" s="8">
        <f>Table1[[#This Row],[original_price]]*Table1[[#This Row],[markdown_percentage]]/100</f>
        <v>103.13303999999999</v>
      </c>
      <c r="Q206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062" s="25">
        <f>Table1[[#This Row],[current_price]]*Table1[[#This Row],[stock_quantity]]</f>
        <v>1921.65</v>
      </c>
    </row>
    <row r="2063" spans="1:18" x14ac:dyDescent="0.25">
      <c r="A2063" s="2" t="s">
        <v>2116</v>
      </c>
      <c r="B2063" s="2" t="s">
        <v>27</v>
      </c>
      <c r="C2063" s="2" t="s">
        <v>43</v>
      </c>
      <c r="D2063" s="2" t="s">
        <v>34</v>
      </c>
      <c r="E2063" s="2"/>
      <c r="F2063" s="2" t="s">
        <v>56</v>
      </c>
      <c r="G2063" s="8">
        <v>66.48</v>
      </c>
      <c r="H2063" s="11">
        <v>0</v>
      </c>
      <c r="I2063" s="8">
        <v>66.48</v>
      </c>
      <c r="J2063" s="3">
        <v>45875</v>
      </c>
      <c r="K2063" s="14">
        <v>38</v>
      </c>
      <c r="L2063" s="17">
        <v>1.4</v>
      </c>
      <c r="M2063" s="2" t="b">
        <v>0</v>
      </c>
      <c r="N2063" s="2"/>
      <c r="O2063" s="2" t="str">
        <f>IF(Table1[[#This Row],[is_returned]]=TRUE,IF(Table1[[#This Row],[return_reason]]="","Error","OK"),"OK")</f>
        <v>OK</v>
      </c>
      <c r="P2063" s="8">
        <f>Table1[[#This Row],[original_price]]*Table1[[#This Row],[markdown_percentage]]/100</f>
        <v>0</v>
      </c>
      <c r="Q206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063" s="25">
        <f>Table1[[#This Row],[current_price]]*Table1[[#This Row],[stock_quantity]]</f>
        <v>2526.2400000000002</v>
      </c>
    </row>
    <row r="2064" spans="1:18" x14ac:dyDescent="0.25">
      <c r="A2064" s="2" t="s">
        <v>2117</v>
      </c>
      <c r="B2064" s="2" t="s">
        <v>27</v>
      </c>
      <c r="C2064" s="2" t="s">
        <v>48</v>
      </c>
      <c r="D2064" s="2" t="s">
        <v>34</v>
      </c>
      <c r="E2064" s="2"/>
      <c r="F2064" s="2" t="s">
        <v>56</v>
      </c>
      <c r="G2064" s="8">
        <v>37.270000000000003</v>
      </c>
      <c r="H2064" s="11">
        <v>0</v>
      </c>
      <c r="I2064" s="8">
        <v>37.270000000000003</v>
      </c>
      <c r="J2064" s="3">
        <v>45875</v>
      </c>
      <c r="K2064" s="14">
        <v>15</v>
      </c>
      <c r="L2064" s="17">
        <v>3.8</v>
      </c>
      <c r="M2064" s="2" t="b">
        <v>0</v>
      </c>
      <c r="N2064" s="2"/>
      <c r="O2064" s="2" t="str">
        <f>IF(Table1[[#This Row],[is_returned]]=TRUE,IF(Table1[[#This Row],[return_reason]]="","Error","OK"),"OK")</f>
        <v>OK</v>
      </c>
      <c r="P2064" s="8">
        <f>Table1[[#This Row],[original_price]]*Table1[[#This Row],[markdown_percentage]]/100</f>
        <v>0</v>
      </c>
      <c r="Q206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064" s="25">
        <f>Table1[[#This Row],[current_price]]*Table1[[#This Row],[stock_quantity]]</f>
        <v>559.05000000000007</v>
      </c>
    </row>
    <row r="2065" spans="1:18" x14ac:dyDescent="0.25">
      <c r="A2065" s="2" t="s">
        <v>2118</v>
      </c>
      <c r="B2065" s="2" t="s">
        <v>30</v>
      </c>
      <c r="C2065" s="2" t="s">
        <v>22</v>
      </c>
      <c r="D2065" s="2" t="s">
        <v>17</v>
      </c>
      <c r="E2065" s="2" t="s">
        <v>24</v>
      </c>
      <c r="F2065" s="2" t="s">
        <v>70</v>
      </c>
      <c r="G2065" s="8">
        <v>178.05</v>
      </c>
      <c r="H2065" s="11">
        <v>0</v>
      </c>
      <c r="I2065" s="8">
        <v>178.05</v>
      </c>
      <c r="J2065" s="3">
        <v>45724</v>
      </c>
      <c r="K2065" s="14">
        <v>24</v>
      </c>
      <c r="L2065" s="17"/>
      <c r="M2065" s="2" t="b">
        <v>0</v>
      </c>
      <c r="N2065" s="2"/>
      <c r="O2065" s="2" t="str">
        <f>IF(Table1[[#This Row],[is_returned]]=TRUE,IF(Table1[[#This Row],[return_reason]]="","Error","OK"),"OK")</f>
        <v>OK</v>
      </c>
      <c r="P2065" s="8">
        <f>Table1[[#This Row],[original_price]]*Table1[[#This Row],[markdown_percentage]]/100</f>
        <v>0</v>
      </c>
      <c r="Q206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065" s="25">
        <f>Table1[[#This Row],[current_price]]*Table1[[#This Row],[stock_quantity]]</f>
        <v>4273.2000000000007</v>
      </c>
    </row>
    <row r="2066" spans="1:18" x14ac:dyDescent="0.25">
      <c r="A2066" s="2" t="s">
        <v>2119</v>
      </c>
      <c r="B2066" s="2" t="s">
        <v>21</v>
      </c>
      <c r="C2066" s="2" t="s">
        <v>75</v>
      </c>
      <c r="D2066" s="2" t="s">
        <v>17</v>
      </c>
      <c r="E2066" s="2" t="s">
        <v>55</v>
      </c>
      <c r="F2066" s="2" t="s">
        <v>25</v>
      </c>
      <c r="G2066" s="8">
        <v>73.760000000000005</v>
      </c>
      <c r="H2066" s="11">
        <v>0</v>
      </c>
      <c r="I2066" s="8">
        <v>73.760000000000005</v>
      </c>
      <c r="J2066" s="3">
        <v>45523</v>
      </c>
      <c r="K2066" s="14">
        <v>25</v>
      </c>
      <c r="L2066" s="17">
        <v>1.3</v>
      </c>
      <c r="M2066" s="2" t="b">
        <v>0</v>
      </c>
      <c r="N2066" s="2"/>
      <c r="O2066" s="2" t="str">
        <f>IF(Table1[[#This Row],[is_returned]]=TRUE,IF(Table1[[#This Row],[return_reason]]="","Error","OK"),"OK")</f>
        <v>OK</v>
      </c>
      <c r="P2066" s="8">
        <f>Table1[[#This Row],[original_price]]*Table1[[#This Row],[markdown_percentage]]/100</f>
        <v>0</v>
      </c>
      <c r="Q206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066" s="25">
        <f>Table1[[#This Row],[current_price]]*Table1[[#This Row],[stock_quantity]]</f>
        <v>1844.0000000000002</v>
      </c>
    </row>
    <row r="2067" spans="1:18" x14ac:dyDescent="0.25">
      <c r="A2067" s="2" t="s">
        <v>2120</v>
      </c>
      <c r="B2067" s="2" t="s">
        <v>38</v>
      </c>
      <c r="C2067" s="2" t="s">
        <v>16</v>
      </c>
      <c r="D2067" s="2" t="s">
        <v>23</v>
      </c>
      <c r="E2067" s="2" t="s">
        <v>18</v>
      </c>
      <c r="F2067" s="2" t="s">
        <v>25</v>
      </c>
      <c r="G2067" s="8">
        <v>36.229999999999997</v>
      </c>
      <c r="H2067" s="11">
        <v>0</v>
      </c>
      <c r="I2067" s="8">
        <v>36.229999999999997</v>
      </c>
      <c r="J2067" s="3">
        <v>45875</v>
      </c>
      <c r="K2067" s="14">
        <v>49</v>
      </c>
      <c r="L2067" s="17"/>
      <c r="M2067" s="2" t="b">
        <v>0</v>
      </c>
      <c r="N2067" s="2"/>
      <c r="O2067" s="2" t="str">
        <f>IF(Table1[[#This Row],[is_returned]]=TRUE,IF(Table1[[#This Row],[return_reason]]="","Error","OK"),"OK")</f>
        <v>OK</v>
      </c>
      <c r="P2067" s="8">
        <f>Table1[[#This Row],[original_price]]*Table1[[#This Row],[markdown_percentage]]/100</f>
        <v>0</v>
      </c>
      <c r="Q206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067" s="25">
        <f>Table1[[#This Row],[current_price]]*Table1[[#This Row],[stock_quantity]]</f>
        <v>1775.2699999999998</v>
      </c>
    </row>
    <row r="2068" spans="1:18" x14ac:dyDescent="0.25">
      <c r="A2068" s="2" t="s">
        <v>2121</v>
      </c>
      <c r="B2068" s="2" t="s">
        <v>38</v>
      </c>
      <c r="C2068" s="2" t="s">
        <v>48</v>
      </c>
      <c r="D2068" s="2" t="s">
        <v>17</v>
      </c>
      <c r="E2068" s="2" t="s">
        <v>39</v>
      </c>
      <c r="F2068" s="2" t="s">
        <v>66</v>
      </c>
      <c r="G2068" s="8">
        <v>48.89</v>
      </c>
      <c r="H2068" s="11">
        <v>0</v>
      </c>
      <c r="I2068" s="8">
        <v>48.89</v>
      </c>
      <c r="J2068" s="3">
        <v>45636</v>
      </c>
      <c r="K2068" s="14">
        <v>9</v>
      </c>
      <c r="L2068" s="17">
        <v>3.1</v>
      </c>
      <c r="M2068" s="2" t="b">
        <v>0</v>
      </c>
      <c r="N2068" s="2"/>
      <c r="O2068" s="2" t="str">
        <f>IF(Table1[[#This Row],[is_returned]]=TRUE,IF(Table1[[#This Row],[return_reason]]="","Error","OK"),"OK")</f>
        <v>OK</v>
      </c>
      <c r="P2068" s="8">
        <f>Table1[[#This Row],[original_price]]*Table1[[#This Row],[markdown_percentage]]/100</f>
        <v>0</v>
      </c>
      <c r="Q206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068" s="25">
        <f>Table1[[#This Row],[current_price]]*Table1[[#This Row],[stock_quantity]]</f>
        <v>440.01</v>
      </c>
    </row>
    <row r="2069" spans="1:18" x14ac:dyDescent="0.25">
      <c r="A2069" s="2" t="s">
        <v>2122</v>
      </c>
      <c r="B2069" s="2" t="s">
        <v>21</v>
      </c>
      <c r="C2069" s="2" t="s">
        <v>48</v>
      </c>
      <c r="D2069" s="2" t="s">
        <v>23</v>
      </c>
      <c r="E2069" s="2" t="s">
        <v>18</v>
      </c>
      <c r="F2069" s="2" t="s">
        <v>25</v>
      </c>
      <c r="G2069" s="8">
        <v>94.15</v>
      </c>
      <c r="H2069" s="11">
        <v>31</v>
      </c>
      <c r="I2069" s="8">
        <v>64.959999999999994</v>
      </c>
      <c r="J2069" s="3">
        <v>45875</v>
      </c>
      <c r="K2069" s="14">
        <v>25</v>
      </c>
      <c r="L2069" s="17"/>
      <c r="M2069" s="2" t="b">
        <v>0</v>
      </c>
      <c r="N2069" s="2"/>
      <c r="O2069" s="2" t="str">
        <f>IF(Table1[[#This Row],[is_returned]]=TRUE,IF(Table1[[#This Row],[return_reason]]="","Error","OK"),"OK")</f>
        <v>OK</v>
      </c>
      <c r="P2069" s="8">
        <f>Table1[[#This Row],[original_price]]*Table1[[#This Row],[markdown_percentage]]/100</f>
        <v>29.186500000000002</v>
      </c>
      <c r="Q206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069" s="25">
        <f>Table1[[#This Row],[current_price]]*Table1[[#This Row],[stock_quantity]]</f>
        <v>1623.9999999999998</v>
      </c>
    </row>
    <row r="2070" spans="1:18" x14ac:dyDescent="0.25">
      <c r="A2070" s="2" t="s">
        <v>2123</v>
      </c>
      <c r="B2070" s="2" t="s">
        <v>27</v>
      </c>
      <c r="C2070" s="2" t="s">
        <v>75</v>
      </c>
      <c r="D2070" s="2" t="s">
        <v>62</v>
      </c>
      <c r="E2070" s="2"/>
      <c r="F2070" s="2" t="s">
        <v>70</v>
      </c>
      <c r="G2070" s="8">
        <v>27.7</v>
      </c>
      <c r="H2070" s="11">
        <v>0</v>
      </c>
      <c r="I2070" s="8">
        <v>27.7</v>
      </c>
      <c r="J2070" s="3">
        <v>45875</v>
      </c>
      <c r="K2070" s="14">
        <v>27</v>
      </c>
      <c r="L2070" s="17">
        <v>4.8</v>
      </c>
      <c r="M2070" s="2" t="b">
        <v>0</v>
      </c>
      <c r="N2070" s="2"/>
      <c r="O2070" s="2" t="str">
        <f>IF(Table1[[#This Row],[is_returned]]=TRUE,IF(Table1[[#This Row],[return_reason]]="","Error","OK"),"OK")</f>
        <v>OK</v>
      </c>
      <c r="P2070" s="8">
        <f>Table1[[#This Row],[original_price]]*Table1[[#This Row],[markdown_percentage]]/100</f>
        <v>0</v>
      </c>
      <c r="Q207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070" s="25">
        <f>Table1[[#This Row],[current_price]]*Table1[[#This Row],[stock_quantity]]</f>
        <v>747.9</v>
      </c>
    </row>
    <row r="2071" spans="1:18" x14ac:dyDescent="0.25">
      <c r="A2071" s="2" t="s">
        <v>2124</v>
      </c>
      <c r="B2071" s="2" t="s">
        <v>30</v>
      </c>
      <c r="C2071" s="2" t="s">
        <v>48</v>
      </c>
      <c r="D2071" s="2" t="s">
        <v>17</v>
      </c>
      <c r="E2071" s="2" t="s">
        <v>49</v>
      </c>
      <c r="F2071" s="2" t="s">
        <v>40</v>
      </c>
      <c r="G2071" s="8">
        <v>122.55</v>
      </c>
      <c r="H2071" s="11">
        <v>11.2</v>
      </c>
      <c r="I2071" s="8">
        <v>108.82</v>
      </c>
      <c r="J2071" s="3">
        <v>45567</v>
      </c>
      <c r="K2071" s="14">
        <v>23</v>
      </c>
      <c r="L2071" s="17"/>
      <c r="M2071" s="2" t="b">
        <v>0</v>
      </c>
      <c r="N2071" s="2"/>
      <c r="O2071" s="2" t="str">
        <f>IF(Table1[[#This Row],[is_returned]]=TRUE,IF(Table1[[#This Row],[return_reason]]="","Error","OK"),"OK")</f>
        <v>OK</v>
      </c>
      <c r="P2071" s="8">
        <f>Table1[[#This Row],[original_price]]*Table1[[#This Row],[markdown_percentage]]/100</f>
        <v>13.7256</v>
      </c>
      <c r="Q207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071" s="25">
        <f>Table1[[#This Row],[current_price]]*Table1[[#This Row],[stock_quantity]]</f>
        <v>2502.8599999999997</v>
      </c>
    </row>
    <row r="2072" spans="1:18" x14ac:dyDescent="0.25">
      <c r="A2072" s="2" t="s">
        <v>2125</v>
      </c>
      <c r="B2072" s="2" t="s">
        <v>42</v>
      </c>
      <c r="C2072" s="2" t="s">
        <v>43</v>
      </c>
      <c r="D2072" s="2" t="s">
        <v>17</v>
      </c>
      <c r="E2072" s="2" t="s">
        <v>18</v>
      </c>
      <c r="F2072" s="2" t="s">
        <v>25</v>
      </c>
      <c r="G2072" s="8">
        <v>173.77</v>
      </c>
      <c r="H2072" s="11">
        <v>17</v>
      </c>
      <c r="I2072" s="8">
        <v>144.22999999999999</v>
      </c>
      <c r="J2072" s="3">
        <v>45616</v>
      </c>
      <c r="K2072" s="14">
        <v>5</v>
      </c>
      <c r="L2072" s="17">
        <v>1.9</v>
      </c>
      <c r="M2072" s="2" t="b">
        <v>0</v>
      </c>
      <c r="N2072" s="2"/>
      <c r="O2072" s="2" t="str">
        <f>IF(Table1[[#This Row],[is_returned]]=TRUE,IF(Table1[[#This Row],[return_reason]]="","Error","OK"),"OK")</f>
        <v>OK</v>
      </c>
      <c r="P2072" s="8">
        <f>Table1[[#This Row],[original_price]]*Table1[[#This Row],[markdown_percentage]]/100</f>
        <v>29.540900000000001</v>
      </c>
      <c r="Q207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072" s="25">
        <f>Table1[[#This Row],[current_price]]*Table1[[#This Row],[stock_quantity]]</f>
        <v>721.15</v>
      </c>
    </row>
    <row r="2073" spans="1:18" x14ac:dyDescent="0.25">
      <c r="A2073" s="2" t="s">
        <v>2126</v>
      </c>
      <c r="B2073" s="2" t="s">
        <v>27</v>
      </c>
      <c r="C2073" s="2" t="s">
        <v>22</v>
      </c>
      <c r="D2073" s="2" t="s">
        <v>62</v>
      </c>
      <c r="E2073" s="2"/>
      <c r="F2073" s="2" t="s">
        <v>25</v>
      </c>
      <c r="G2073" s="8">
        <v>77.45</v>
      </c>
      <c r="H2073" s="11">
        <v>0</v>
      </c>
      <c r="I2073" s="8">
        <v>77.45</v>
      </c>
      <c r="J2073" s="3">
        <v>45875</v>
      </c>
      <c r="K2073" s="14">
        <v>0</v>
      </c>
      <c r="L2073" s="17">
        <v>3.1</v>
      </c>
      <c r="M2073" s="2" t="b">
        <v>0</v>
      </c>
      <c r="N2073" s="2"/>
      <c r="O2073" s="2" t="str">
        <f>IF(Table1[[#This Row],[is_returned]]=TRUE,IF(Table1[[#This Row],[return_reason]]="","Error","OK"),"OK")</f>
        <v>OK</v>
      </c>
      <c r="P2073" s="8">
        <f>Table1[[#This Row],[original_price]]*Table1[[#This Row],[markdown_percentage]]/100</f>
        <v>0</v>
      </c>
      <c r="Q207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073" s="25">
        <f>Table1[[#This Row],[current_price]]*Table1[[#This Row],[stock_quantity]]</f>
        <v>0</v>
      </c>
    </row>
    <row r="2074" spans="1:18" x14ac:dyDescent="0.25">
      <c r="A2074" s="2" t="s">
        <v>2127</v>
      </c>
      <c r="B2074" s="2" t="s">
        <v>38</v>
      </c>
      <c r="C2074" s="2" t="s">
        <v>22</v>
      </c>
      <c r="D2074" s="2" t="s">
        <v>23</v>
      </c>
      <c r="E2074" s="2" t="s">
        <v>58</v>
      </c>
      <c r="F2074" s="2" t="s">
        <v>28</v>
      </c>
      <c r="G2074" s="8">
        <v>34.159999999999997</v>
      </c>
      <c r="H2074" s="11">
        <v>0</v>
      </c>
      <c r="I2074" s="8">
        <v>34.159999999999997</v>
      </c>
      <c r="J2074" s="3">
        <v>45875</v>
      </c>
      <c r="K2074" s="14">
        <v>37</v>
      </c>
      <c r="L2074" s="17">
        <v>1.3</v>
      </c>
      <c r="M2074" s="2" t="b">
        <v>0</v>
      </c>
      <c r="N2074" s="2"/>
      <c r="O2074" s="2" t="str">
        <f>IF(Table1[[#This Row],[is_returned]]=TRUE,IF(Table1[[#This Row],[return_reason]]="","Error","OK"),"OK")</f>
        <v>OK</v>
      </c>
      <c r="P2074" s="8">
        <f>Table1[[#This Row],[original_price]]*Table1[[#This Row],[markdown_percentage]]/100</f>
        <v>0</v>
      </c>
      <c r="Q207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074" s="25">
        <f>Table1[[#This Row],[current_price]]*Table1[[#This Row],[stock_quantity]]</f>
        <v>1263.9199999999998</v>
      </c>
    </row>
    <row r="2075" spans="1:18" x14ac:dyDescent="0.25">
      <c r="A2075" s="2" t="s">
        <v>2128</v>
      </c>
      <c r="B2075" s="2" t="s">
        <v>27</v>
      </c>
      <c r="C2075" s="2" t="s">
        <v>75</v>
      </c>
      <c r="D2075" s="2" t="s">
        <v>62</v>
      </c>
      <c r="E2075" s="2"/>
      <c r="F2075" s="2" t="s">
        <v>35</v>
      </c>
      <c r="G2075" s="8">
        <v>71.3</v>
      </c>
      <c r="H2075" s="11">
        <v>0</v>
      </c>
      <c r="I2075" s="8">
        <v>71.3</v>
      </c>
      <c r="J2075" s="3">
        <v>45875</v>
      </c>
      <c r="K2075" s="14">
        <v>21</v>
      </c>
      <c r="L2075" s="17">
        <v>1.6</v>
      </c>
      <c r="M2075" s="2" t="b">
        <v>0</v>
      </c>
      <c r="N2075" s="2"/>
      <c r="O2075" s="2" t="str">
        <f>IF(Table1[[#This Row],[is_returned]]=TRUE,IF(Table1[[#This Row],[return_reason]]="","Error","OK"),"OK")</f>
        <v>OK</v>
      </c>
      <c r="P2075" s="8">
        <f>Table1[[#This Row],[original_price]]*Table1[[#This Row],[markdown_percentage]]/100</f>
        <v>0</v>
      </c>
      <c r="Q207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075" s="25">
        <f>Table1[[#This Row],[current_price]]*Table1[[#This Row],[stock_quantity]]</f>
        <v>1497.3</v>
      </c>
    </row>
    <row r="2076" spans="1:18" x14ac:dyDescent="0.25">
      <c r="A2076" s="2" t="s">
        <v>2129</v>
      </c>
      <c r="B2076" s="2" t="s">
        <v>21</v>
      </c>
      <c r="C2076" s="2" t="s">
        <v>48</v>
      </c>
      <c r="D2076" s="2" t="s">
        <v>62</v>
      </c>
      <c r="E2076" s="2" t="s">
        <v>58</v>
      </c>
      <c r="F2076" s="2" t="s">
        <v>70</v>
      </c>
      <c r="G2076" s="8">
        <v>63.67</v>
      </c>
      <c r="H2076" s="11">
        <v>0</v>
      </c>
      <c r="I2076" s="8">
        <v>63.67</v>
      </c>
      <c r="J2076" s="3">
        <v>45875</v>
      </c>
      <c r="K2076" s="14">
        <v>18</v>
      </c>
      <c r="L2076" s="17">
        <v>1.6</v>
      </c>
      <c r="M2076" s="2" t="b">
        <v>0</v>
      </c>
      <c r="N2076" s="2"/>
      <c r="O2076" s="2" t="str">
        <f>IF(Table1[[#This Row],[is_returned]]=TRUE,IF(Table1[[#This Row],[return_reason]]="","Error","OK"),"OK")</f>
        <v>OK</v>
      </c>
      <c r="P2076" s="8">
        <f>Table1[[#This Row],[original_price]]*Table1[[#This Row],[markdown_percentage]]/100</f>
        <v>0</v>
      </c>
      <c r="Q207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076" s="25">
        <f>Table1[[#This Row],[current_price]]*Table1[[#This Row],[stock_quantity]]</f>
        <v>1146.06</v>
      </c>
    </row>
    <row r="2077" spans="1:18" x14ac:dyDescent="0.25">
      <c r="A2077" s="2" t="s">
        <v>2130</v>
      </c>
      <c r="B2077" s="2" t="s">
        <v>15</v>
      </c>
      <c r="C2077" s="2" t="s">
        <v>75</v>
      </c>
      <c r="D2077" s="2" t="s">
        <v>34</v>
      </c>
      <c r="E2077" s="2" t="s">
        <v>39</v>
      </c>
      <c r="F2077" s="2" t="s">
        <v>40</v>
      </c>
      <c r="G2077" s="8">
        <v>249.98</v>
      </c>
      <c r="H2077" s="11">
        <v>0</v>
      </c>
      <c r="I2077" s="8">
        <v>249.98</v>
      </c>
      <c r="J2077" s="3">
        <v>45875</v>
      </c>
      <c r="K2077" s="14">
        <v>46</v>
      </c>
      <c r="L2077" s="17">
        <v>3.6</v>
      </c>
      <c r="M2077" s="2" t="b">
        <v>0</v>
      </c>
      <c r="N2077" s="2"/>
      <c r="O2077" s="2" t="str">
        <f>IF(Table1[[#This Row],[is_returned]]=TRUE,IF(Table1[[#This Row],[return_reason]]="","Error","OK"),"OK")</f>
        <v>OK</v>
      </c>
      <c r="P2077" s="8">
        <f>Table1[[#This Row],[original_price]]*Table1[[#This Row],[markdown_percentage]]/100</f>
        <v>0</v>
      </c>
      <c r="Q207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077" s="25">
        <f>Table1[[#This Row],[current_price]]*Table1[[#This Row],[stock_quantity]]</f>
        <v>11499.08</v>
      </c>
    </row>
    <row r="2078" spans="1:18" x14ac:dyDescent="0.25">
      <c r="A2078" s="2" t="s">
        <v>2131</v>
      </c>
      <c r="B2078" s="2" t="s">
        <v>15</v>
      </c>
      <c r="C2078" s="2" t="s">
        <v>53</v>
      </c>
      <c r="D2078" s="2" t="s">
        <v>17</v>
      </c>
      <c r="E2078" s="2" t="s">
        <v>18</v>
      </c>
      <c r="F2078" s="2" t="s">
        <v>46</v>
      </c>
      <c r="G2078" s="8">
        <v>103.92</v>
      </c>
      <c r="H2078" s="11">
        <v>0</v>
      </c>
      <c r="I2078" s="8">
        <v>103.92</v>
      </c>
      <c r="J2078" s="3">
        <v>45589</v>
      </c>
      <c r="K2078" s="14">
        <v>5</v>
      </c>
      <c r="L2078" s="17"/>
      <c r="M2078" s="2" t="b">
        <v>0</v>
      </c>
      <c r="N2078" s="2"/>
      <c r="O2078" s="2" t="str">
        <f>IF(Table1[[#This Row],[is_returned]]=TRUE,IF(Table1[[#This Row],[return_reason]]="","Error","OK"),"OK")</f>
        <v>OK</v>
      </c>
      <c r="P2078" s="8">
        <f>Table1[[#This Row],[original_price]]*Table1[[#This Row],[markdown_percentage]]/100</f>
        <v>0</v>
      </c>
      <c r="Q207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078" s="25">
        <f>Table1[[#This Row],[current_price]]*Table1[[#This Row],[stock_quantity]]</f>
        <v>519.6</v>
      </c>
    </row>
    <row r="2079" spans="1:18" x14ac:dyDescent="0.25">
      <c r="A2079" s="2" t="s">
        <v>2132</v>
      </c>
      <c r="B2079" s="2" t="s">
        <v>30</v>
      </c>
      <c r="C2079" s="2" t="s">
        <v>22</v>
      </c>
      <c r="D2079" s="2" t="s">
        <v>62</v>
      </c>
      <c r="E2079" s="2" t="s">
        <v>18</v>
      </c>
      <c r="F2079" s="2" t="s">
        <v>28</v>
      </c>
      <c r="G2079" s="8">
        <v>116.76</v>
      </c>
      <c r="H2079" s="11">
        <v>0</v>
      </c>
      <c r="I2079" s="8">
        <v>116.76</v>
      </c>
      <c r="J2079" s="3">
        <v>45875</v>
      </c>
      <c r="K2079" s="14">
        <v>13</v>
      </c>
      <c r="L2079" s="17"/>
      <c r="M2079" s="2" t="b">
        <v>0</v>
      </c>
      <c r="N2079" s="2"/>
      <c r="O2079" s="2" t="str">
        <f>IF(Table1[[#This Row],[is_returned]]=TRUE,IF(Table1[[#This Row],[return_reason]]="","Error","OK"),"OK")</f>
        <v>OK</v>
      </c>
      <c r="P2079" s="8">
        <f>Table1[[#This Row],[original_price]]*Table1[[#This Row],[markdown_percentage]]/100</f>
        <v>0</v>
      </c>
      <c r="Q207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079" s="25">
        <f>Table1[[#This Row],[current_price]]*Table1[[#This Row],[stock_quantity]]</f>
        <v>1517.88</v>
      </c>
    </row>
    <row r="2080" spans="1:18" x14ac:dyDescent="0.25">
      <c r="A2080" s="2" t="s">
        <v>2133</v>
      </c>
      <c r="B2080" s="2" t="s">
        <v>30</v>
      </c>
      <c r="C2080" s="2" t="s">
        <v>61</v>
      </c>
      <c r="D2080" s="2" t="s">
        <v>23</v>
      </c>
      <c r="E2080" s="2" t="s">
        <v>49</v>
      </c>
      <c r="F2080" s="2" t="s">
        <v>35</v>
      </c>
      <c r="G2080" s="8">
        <v>102.61</v>
      </c>
      <c r="H2080" s="11">
        <v>0</v>
      </c>
      <c r="I2080" s="8">
        <v>102.61</v>
      </c>
      <c r="J2080" s="3">
        <v>45875</v>
      </c>
      <c r="K2080" s="14">
        <v>47</v>
      </c>
      <c r="L2080" s="17">
        <v>3.5</v>
      </c>
      <c r="M2080" s="2" t="b">
        <v>0</v>
      </c>
      <c r="N2080" s="2"/>
      <c r="O2080" s="2" t="str">
        <f>IF(Table1[[#This Row],[is_returned]]=TRUE,IF(Table1[[#This Row],[return_reason]]="","Error","OK"),"OK")</f>
        <v>OK</v>
      </c>
      <c r="P2080" s="8">
        <f>Table1[[#This Row],[original_price]]*Table1[[#This Row],[markdown_percentage]]/100</f>
        <v>0</v>
      </c>
      <c r="Q208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080" s="25">
        <f>Table1[[#This Row],[current_price]]*Table1[[#This Row],[stock_quantity]]</f>
        <v>4822.67</v>
      </c>
    </row>
    <row r="2081" spans="1:18" x14ac:dyDescent="0.25">
      <c r="A2081" s="2" t="s">
        <v>2134</v>
      </c>
      <c r="B2081" s="2" t="s">
        <v>27</v>
      </c>
      <c r="C2081" s="2" t="s">
        <v>53</v>
      </c>
      <c r="D2081" s="2" t="s">
        <v>17</v>
      </c>
      <c r="E2081" s="2"/>
      <c r="F2081" s="2" t="s">
        <v>25</v>
      </c>
      <c r="G2081" s="8">
        <v>43.48</v>
      </c>
      <c r="H2081" s="11">
        <v>0</v>
      </c>
      <c r="I2081" s="8">
        <v>43.48</v>
      </c>
      <c r="J2081" s="3">
        <v>45527</v>
      </c>
      <c r="K2081" s="14">
        <v>11</v>
      </c>
      <c r="L2081" s="17">
        <v>4.7</v>
      </c>
      <c r="M2081" s="2" t="b">
        <v>0</v>
      </c>
      <c r="N2081" s="2"/>
      <c r="O2081" s="2" t="str">
        <f>IF(Table1[[#This Row],[is_returned]]=TRUE,IF(Table1[[#This Row],[return_reason]]="","Error","OK"),"OK")</f>
        <v>OK</v>
      </c>
      <c r="P2081" s="8">
        <f>Table1[[#This Row],[original_price]]*Table1[[#This Row],[markdown_percentage]]/100</f>
        <v>0</v>
      </c>
      <c r="Q208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081" s="25">
        <f>Table1[[#This Row],[current_price]]*Table1[[#This Row],[stock_quantity]]</f>
        <v>478.28</v>
      </c>
    </row>
    <row r="2082" spans="1:18" x14ac:dyDescent="0.25">
      <c r="A2082" s="2" t="s">
        <v>2135</v>
      </c>
      <c r="B2082" s="2" t="s">
        <v>27</v>
      </c>
      <c r="C2082" s="2" t="s">
        <v>75</v>
      </c>
      <c r="D2082" s="2" t="s">
        <v>23</v>
      </c>
      <c r="E2082" s="2"/>
      <c r="F2082" s="2" t="s">
        <v>25</v>
      </c>
      <c r="G2082" s="8">
        <v>39.9</v>
      </c>
      <c r="H2082" s="11">
        <v>0</v>
      </c>
      <c r="I2082" s="8">
        <v>39.9</v>
      </c>
      <c r="J2082" s="3">
        <v>45875</v>
      </c>
      <c r="K2082" s="14">
        <v>6</v>
      </c>
      <c r="L2082" s="17">
        <v>2.4</v>
      </c>
      <c r="M2082" s="2" t="b">
        <v>1</v>
      </c>
      <c r="N2082" s="2" t="s">
        <v>78</v>
      </c>
      <c r="O2082" s="2" t="str">
        <f>IF(Table1[[#This Row],[is_returned]]=TRUE,IF(Table1[[#This Row],[return_reason]]="","Error","OK"),"OK")</f>
        <v>OK</v>
      </c>
      <c r="P2082" s="8">
        <f>Table1[[#This Row],[original_price]]*Table1[[#This Row],[markdown_percentage]]/100</f>
        <v>0</v>
      </c>
      <c r="Q208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082" s="25">
        <f>Table1[[#This Row],[current_price]]*Table1[[#This Row],[stock_quantity]]</f>
        <v>239.39999999999998</v>
      </c>
    </row>
    <row r="2083" spans="1:18" x14ac:dyDescent="0.25">
      <c r="A2083" s="2" t="s">
        <v>2136</v>
      </c>
      <c r="B2083" s="2" t="s">
        <v>38</v>
      </c>
      <c r="C2083" s="2" t="s">
        <v>16</v>
      </c>
      <c r="D2083" s="2" t="s">
        <v>17</v>
      </c>
      <c r="E2083" s="2" t="s">
        <v>39</v>
      </c>
      <c r="F2083" s="2" t="s">
        <v>25</v>
      </c>
      <c r="G2083" s="8">
        <v>86</v>
      </c>
      <c r="H2083" s="11">
        <v>36.700000000000003</v>
      </c>
      <c r="I2083" s="8">
        <v>54.44</v>
      </c>
      <c r="J2083" s="3">
        <v>45770</v>
      </c>
      <c r="K2083" s="14">
        <v>18</v>
      </c>
      <c r="L2083" s="17">
        <v>2.4</v>
      </c>
      <c r="M2083" s="2" t="b">
        <v>1</v>
      </c>
      <c r="N2083" s="2" t="s">
        <v>73</v>
      </c>
      <c r="O2083" s="2" t="str">
        <f>IF(Table1[[#This Row],[is_returned]]=TRUE,IF(Table1[[#This Row],[return_reason]]="","Error","OK"),"OK")</f>
        <v>OK</v>
      </c>
      <c r="P2083" s="8">
        <f>Table1[[#This Row],[original_price]]*Table1[[#This Row],[markdown_percentage]]/100</f>
        <v>31.562000000000001</v>
      </c>
      <c r="Q208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083" s="25">
        <f>Table1[[#This Row],[current_price]]*Table1[[#This Row],[stock_quantity]]</f>
        <v>979.92</v>
      </c>
    </row>
    <row r="2084" spans="1:18" x14ac:dyDescent="0.25">
      <c r="A2084" s="2" t="s">
        <v>2137</v>
      </c>
      <c r="B2084" s="2" t="s">
        <v>30</v>
      </c>
      <c r="C2084" s="2" t="s">
        <v>61</v>
      </c>
      <c r="D2084" s="2" t="s">
        <v>62</v>
      </c>
      <c r="E2084" s="2" t="s">
        <v>49</v>
      </c>
      <c r="F2084" s="2" t="s">
        <v>44</v>
      </c>
      <c r="G2084" s="8">
        <v>154.47999999999999</v>
      </c>
      <c r="H2084" s="11">
        <v>58.5</v>
      </c>
      <c r="I2084" s="8">
        <v>64.11</v>
      </c>
      <c r="J2084" s="3">
        <v>45875</v>
      </c>
      <c r="K2084" s="14">
        <v>19</v>
      </c>
      <c r="L2084" s="17">
        <v>3.2</v>
      </c>
      <c r="M2084" s="2" t="b">
        <v>0</v>
      </c>
      <c r="N2084" s="2"/>
      <c r="O2084" s="2" t="str">
        <f>IF(Table1[[#This Row],[is_returned]]=TRUE,IF(Table1[[#This Row],[return_reason]]="","Error","OK"),"OK")</f>
        <v>OK</v>
      </c>
      <c r="P2084" s="8">
        <f>Table1[[#This Row],[original_price]]*Table1[[#This Row],[markdown_percentage]]/100</f>
        <v>90.370800000000003</v>
      </c>
      <c r="Q208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084" s="25">
        <f>Table1[[#This Row],[current_price]]*Table1[[#This Row],[stock_quantity]]</f>
        <v>1218.0899999999999</v>
      </c>
    </row>
    <row r="2085" spans="1:18" x14ac:dyDescent="0.25">
      <c r="A2085" s="2" t="s">
        <v>2138</v>
      </c>
      <c r="B2085" s="2" t="s">
        <v>42</v>
      </c>
      <c r="C2085" s="2" t="s">
        <v>61</v>
      </c>
      <c r="D2085" s="2" t="s">
        <v>62</v>
      </c>
      <c r="E2085" s="2" t="s">
        <v>39</v>
      </c>
      <c r="F2085" s="2" t="s">
        <v>19</v>
      </c>
      <c r="G2085" s="8">
        <v>141.97</v>
      </c>
      <c r="H2085" s="11">
        <v>35.299999999999997</v>
      </c>
      <c r="I2085" s="8">
        <v>91.85</v>
      </c>
      <c r="J2085" s="3">
        <v>45875</v>
      </c>
      <c r="K2085" s="14">
        <v>12</v>
      </c>
      <c r="L2085" s="17">
        <v>2.6</v>
      </c>
      <c r="M2085" s="2" t="b">
        <v>0</v>
      </c>
      <c r="N2085" s="2"/>
      <c r="O2085" s="2" t="str">
        <f>IF(Table1[[#This Row],[is_returned]]=TRUE,IF(Table1[[#This Row],[return_reason]]="","Error","OK"),"OK")</f>
        <v>OK</v>
      </c>
      <c r="P2085" s="8">
        <f>Table1[[#This Row],[original_price]]*Table1[[#This Row],[markdown_percentage]]/100</f>
        <v>50.11540999999999</v>
      </c>
      <c r="Q208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085" s="25">
        <f>Table1[[#This Row],[current_price]]*Table1[[#This Row],[stock_quantity]]</f>
        <v>1102.1999999999998</v>
      </c>
    </row>
    <row r="2086" spans="1:18" x14ac:dyDescent="0.25">
      <c r="A2086" s="2" t="s">
        <v>2139</v>
      </c>
      <c r="B2086" s="2" t="s">
        <v>15</v>
      </c>
      <c r="C2086" s="2" t="s">
        <v>61</v>
      </c>
      <c r="D2086" s="2" t="s">
        <v>17</v>
      </c>
      <c r="E2086" s="2" t="s">
        <v>55</v>
      </c>
      <c r="F2086" s="2" t="s">
        <v>19</v>
      </c>
      <c r="G2086" s="8">
        <v>119.36</v>
      </c>
      <c r="H2086" s="11">
        <v>0</v>
      </c>
      <c r="I2086" s="8">
        <v>119.36</v>
      </c>
      <c r="J2086" s="3">
        <v>45840</v>
      </c>
      <c r="K2086" s="14">
        <v>30</v>
      </c>
      <c r="L2086" s="17">
        <v>2.7</v>
      </c>
      <c r="M2086" s="2" t="b">
        <v>1</v>
      </c>
      <c r="N2086" s="2" t="s">
        <v>73</v>
      </c>
      <c r="O2086" s="2" t="str">
        <f>IF(Table1[[#This Row],[is_returned]]=TRUE,IF(Table1[[#This Row],[return_reason]]="","Error","OK"),"OK")</f>
        <v>OK</v>
      </c>
      <c r="P2086" s="8">
        <f>Table1[[#This Row],[original_price]]*Table1[[#This Row],[markdown_percentage]]/100</f>
        <v>0</v>
      </c>
      <c r="Q208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086" s="25">
        <f>Table1[[#This Row],[current_price]]*Table1[[#This Row],[stock_quantity]]</f>
        <v>3580.8</v>
      </c>
    </row>
    <row r="2087" spans="1:18" x14ac:dyDescent="0.25">
      <c r="A2087" s="2" t="s">
        <v>2140</v>
      </c>
      <c r="B2087" s="2" t="s">
        <v>27</v>
      </c>
      <c r="C2087" s="2" t="s">
        <v>75</v>
      </c>
      <c r="D2087" s="2" t="s">
        <v>62</v>
      </c>
      <c r="E2087" s="2"/>
      <c r="F2087" s="2" t="s">
        <v>64</v>
      </c>
      <c r="G2087" s="8">
        <v>15.71</v>
      </c>
      <c r="H2087" s="11">
        <v>47.6</v>
      </c>
      <c r="I2087" s="8">
        <v>8.23</v>
      </c>
      <c r="J2087" s="3">
        <v>45875</v>
      </c>
      <c r="K2087" s="14">
        <v>42</v>
      </c>
      <c r="L2087" s="17">
        <v>2</v>
      </c>
      <c r="M2087" s="2" t="b">
        <v>0</v>
      </c>
      <c r="N2087" s="2"/>
      <c r="O2087" s="2" t="str">
        <f>IF(Table1[[#This Row],[is_returned]]=TRUE,IF(Table1[[#This Row],[return_reason]]="","Error","OK"),"OK")</f>
        <v>OK</v>
      </c>
      <c r="P2087" s="8">
        <f>Table1[[#This Row],[original_price]]*Table1[[#This Row],[markdown_percentage]]/100</f>
        <v>7.4779600000000004</v>
      </c>
      <c r="Q208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087" s="25">
        <f>Table1[[#This Row],[current_price]]*Table1[[#This Row],[stock_quantity]]</f>
        <v>345.66</v>
      </c>
    </row>
    <row r="2088" spans="1:18" x14ac:dyDescent="0.25">
      <c r="A2088" s="2" t="s">
        <v>2141</v>
      </c>
      <c r="B2088" s="2" t="s">
        <v>30</v>
      </c>
      <c r="C2088" s="2" t="s">
        <v>43</v>
      </c>
      <c r="D2088" s="2" t="s">
        <v>23</v>
      </c>
      <c r="E2088" s="2" t="s">
        <v>58</v>
      </c>
      <c r="F2088" s="2" t="s">
        <v>28</v>
      </c>
      <c r="G2088" s="8">
        <v>89.12</v>
      </c>
      <c r="H2088" s="11">
        <v>0</v>
      </c>
      <c r="I2088" s="8">
        <v>89.12</v>
      </c>
      <c r="J2088" s="3">
        <v>45875</v>
      </c>
      <c r="K2088" s="14">
        <v>27</v>
      </c>
      <c r="L2088" s="17"/>
      <c r="M2088" s="2" t="b">
        <v>1</v>
      </c>
      <c r="N2088" s="2" t="s">
        <v>78</v>
      </c>
      <c r="O2088" s="2" t="str">
        <f>IF(Table1[[#This Row],[is_returned]]=TRUE,IF(Table1[[#This Row],[return_reason]]="","Error","OK"),"OK")</f>
        <v>OK</v>
      </c>
      <c r="P2088" s="8">
        <f>Table1[[#This Row],[original_price]]*Table1[[#This Row],[markdown_percentage]]/100</f>
        <v>0</v>
      </c>
      <c r="Q208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088" s="25">
        <f>Table1[[#This Row],[current_price]]*Table1[[#This Row],[stock_quantity]]</f>
        <v>2406.2400000000002</v>
      </c>
    </row>
    <row r="2089" spans="1:18" x14ac:dyDescent="0.25">
      <c r="A2089" s="2" t="s">
        <v>2142</v>
      </c>
      <c r="B2089" s="2" t="s">
        <v>38</v>
      </c>
      <c r="C2089" s="2" t="s">
        <v>48</v>
      </c>
      <c r="D2089" s="2" t="s">
        <v>34</v>
      </c>
      <c r="E2089" s="2" t="s">
        <v>39</v>
      </c>
      <c r="F2089" s="2" t="s">
        <v>44</v>
      </c>
      <c r="G2089" s="8">
        <v>30.43</v>
      </c>
      <c r="H2089" s="11">
        <v>0</v>
      </c>
      <c r="I2089" s="8">
        <v>30.43</v>
      </c>
      <c r="J2089" s="3">
        <v>45875</v>
      </c>
      <c r="K2089" s="14">
        <v>32</v>
      </c>
      <c r="L2089" s="17">
        <v>3.1</v>
      </c>
      <c r="M2089" s="2" t="b">
        <v>0</v>
      </c>
      <c r="N2089" s="2"/>
      <c r="O2089" s="2" t="str">
        <f>IF(Table1[[#This Row],[is_returned]]=TRUE,IF(Table1[[#This Row],[return_reason]]="","Error","OK"),"OK")</f>
        <v>OK</v>
      </c>
      <c r="P2089" s="8">
        <f>Table1[[#This Row],[original_price]]*Table1[[#This Row],[markdown_percentage]]/100</f>
        <v>0</v>
      </c>
      <c r="Q208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089" s="25">
        <f>Table1[[#This Row],[current_price]]*Table1[[#This Row],[stock_quantity]]</f>
        <v>973.76</v>
      </c>
    </row>
    <row r="2090" spans="1:18" x14ac:dyDescent="0.25">
      <c r="A2090" s="2" t="s">
        <v>2143</v>
      </c>
      <c r="B2090" s="2" t="s">
        <v>42</v>
      </c>
      <c r="C2090" s="2" t="s">
        <v>75</v>
      </c>
      <c r="D2090" s="2" t="s">
        <v>23</v>
      </c>
      <c r="E2090" s="2" t="s">
        <v>55</v>
      </c>
      <c r="F2090" s="2" t="s">
        <v>25</v>
      </c>
      <c r="G2090" s="8">
        <v>115.4</v>
      </c>
      <c r="H2090" s="11">
        <v>0</v>
      </c>
      <c r="I2090" s="8">
        <v>115.4</v>
      </c>
      <c r="J2090" s="3">
        <v>45875</v>
      </c>
      <c r="K2090" s="14">
        <v>7</v>
      </c>
      <c r="L2090" s="17">
        <v>4.5</v>
      </c>
      <c r="M2090" s="2" t="b">
        <v>0</v>
      </c>
      <c r="N2090" s="2"/>
      <c r="O2090" s="2" t="str">
        <f>IF(Table1[[#This Row],[is_returned]]=TRUE,IF(Table1[[#This Row],[return_reason]]="","Error","OK"),"OK")</f>
        <v>OK</v>
      </c>
      <c r="P2090" s="8">
        <f>Table1[[#This Row],[original_price]]*Table1[[#This Row],[markdown_percentage]]/100</f>
        <v>0</v>
      </c>
      <c r="Q209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090" s="25">
        <f>Table1[[#This Row],[current_price]]*Table1[[#This Row],[stock_quantity]]</f>
        <v>807.80000000000007</v>
      </c>
    </row>
    <row r="2091" spans="1:18" x14ac:dyDescent="0.25">
      <c r="A2091" s="2" t="s">
        <v>2144</v>
      </c>
      <c r="B2091" s="2" t="s">
        <v>15</v>
      </c>
      <c r="C2091" s="2" t="s">
        <v>61</v>
      </c>
      <c r="D2091" s="2" t="s">
        <v>23</v>
      </c>
      <c r="E2091" s="2" t="s">
        <v>39</v>
      </c>
      <c r="F2091" s="2" t="s">
        <v>19</v>
      </c>
      <c r="G2091" s="8">
        <v>155.19999999999999</v>
      </c>
      <c r="H2091" s="11">
        <v>0</v>
      </c>
      <c r="I2091" s="8">
        <v>155.19999999999999</v>
      </c>
      <c r="J2091" s="3">
        <v>45875</v>
      </c>
      <c r="K2091" s="14">
        <v>5</v>
      </c>
      <c r="L2091" s="17">
        <v>4.8</v>
      </c>
      <c r="M2091" s="2" t="b">
        <v>0</v>
      </c>
      <c r="N2091" s="2"/>
      <c r="O2091" s="2" t="str">
        <f>IF(Table1[[#This Row],[is_returned]]=TRUE,IF(Table1[[#This Row],[return_reason]]="","Error","OK"),"OK")</f>
        <v>OK</v>
      </c>
      <c r="P2091" s="8">
        <f>Table1[[#This Row],[original_price]]*Table1[[#This Row],[markdown_percentage]]/100</f>
        <v>0</v>
      </c>
      <c r="Q209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091" s="25">
        <f>Table1[[#This Row],[current_price]]*Table1[[#This Row],[stock_quantity]]</f>
        <v>776</v>
      </c>
    </row>
    <row r="2092" spans="1:18" x14ac:dyDescent="0.25">
      <c r="A2092" s="2" t="s">
        <v>2145</v>
      </c>
      <c r="B2092" s="2" t="s">
        <v>38</v>
      </c>
      <c r="C2092" s="2" t="s">
        <v>75</v>
      </c>
      <c r="D2092" s="2" t="s">
        <v>34</v>
      </c>
      <c r="E2092" s="2" t="s">
        <v>24</v>
      </c>
      <c r="F2092" s="2" t="s">
        <v>40</v>
      </c>
      <c r="G2092" s="8">
        <v>104.83</v>
      </c>
      <c r="H2092" s="11">
        <v>0</v>
      </c>
      <c r="I2092" s="8">
        <v>104.83</v>
      </c>
      <c r="J2092" s="3">
        <v>45875</v>
      </c>
      <c r="K2092" s="14">
        <v>26</v>
      </c>
      <c r="L2092" s="17">
        <v>4</v>
      </c>
      <c r="M2092" s="2" t="b">
        <v>0</v>
      </c>
      <c r="N2092" s="2"/>
      <c r="O2092" s="2" t="str">
        <f>IF(Table1[[#This Row],[is_returned]]=TRUE,IF(Table1[[#This Row],[return_reason]]="","Error","OK"),"OK")</f>
        <v>OK</v>
      </c>
      <c r="P2092" s="8">
        <f>Table1[[#This Row],[original_price]]*Table1[[#This Row],[markdown_percentage]]/100</f>
        <v>0</v>
      </c>
      <c r="Q209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092" s="25">
        <f>Table1[[#This Row],[current_price]]*Table1[[#This Row],[stock_quantity]]</f>
        <v>2725.58</v>
      </c>
    </row>
    <row r="2093" spans="1:18" x14ac:dyDescent="0.25">
      <c r="A2093" s="2" t="s">
        <v>2146</v>
      </c>
      <c r="B2093" s="2" t="s">
        <v>27</v>
      </c>
      <c r="C2093" s="2" t="s">
        <v>61</v>
      </c>
      <c r="D2093" s="2" t="s">
        <v>62</v>
      </c>
      <c r="E2093" s="2"/>
      <c r="F2093" s="2" t="s">
        <v>40</v>
      </c>
      <c r="G2093" s="8">
        <v>41.62</v>
      </c>
      <c r="H2093" s="11">
        <v>0</v>
      </c>
      <c r="I2093" s="8">
        <v>41.62</v>
      </c>
      <c r="J2093" s="3">
        <v>45875</v>
      </c>
      <c r="K2093" s="14">
        <v>33</v>
      </c>
      <c r="L2093" s="17"/>
      <c r="M2093" s="2" t="b">
        <v>0</v>
      </c>
      <c r="N2093" s="2"/>
      <c r="O2093" s="2" t="str">
        <f>IF(Table1[[#This Row],[is_returned]]=TRUE,IF(Table1[[#This Row],[return_reason]]="","Error","OK"),"OK")</f>
        <v>OK</v>
      </c>
      <c r="P2093" s="8">
        <f>Table1[[#This Row],[original_price]]*Table1[[#This Row],[markdown_percentage]]/100</f>
        <v>0</v>
      </c>
      <c r="Q209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093" s="25">
        <f>Table1[[#This Row],[current_price]]*Table1[[#This Row],[stock_quantity]]</f>
        <v>1373.4599999999998</v>
      </c>
    </row>
    <row r="2094" spans="1:18" x14ac:dyDescent="0.25">
      <c r="A2094" s="2" t="s">
        <v>2147</v>
      </c>
      <c r="B2094" s="2" t="s">
        <v>38</v>
      </c>
      <c r="C2094" s="2" t="s">
        <v>53</v>
      </c>
      <c r="D2094" s="2" t="s">
        <v>17</v>
      </c>
      <c r="E2094" s="2" t="s">
        <v>58</v>
      </c>
      <c r="F2094" s="2" t="s">
        <v>56</v>
      </c>
      <c r="G2094" s="8">
        <v>94.92</v>
      </c>
      <c r="H2094" s="11">
        <v>0</v>
      </c>
      <c r="I2094" s="8">
        <v>94.92</v>
      </c>
      <c r="J2094" s="3">
        <v>45564</v>
      </c>
      <c r="K2094" s="14">
        <v>20</v>
      </c>
      <c r="L2094" s="17">
        <v>2.2999999999999998</v>
      </c>
      <c r="M2094" s="2" t="b">
        <v>0</v>
      </c>
      <c r="N2094" s="2"/>
      <c r="O2094" s="2" t="str">
        <f>IF(Table1[[#This Row],[is_returned]]=TRUE,IF(Table1[[#This Row],[return_reason]]="","Error","OK"),"OK")</f>
        <v>OK</v>
      </c>
      <c r="P2094" s="8">
        <f>Table1[[#This Row],[original_price]]*Table1[[#This Row],[markdown_percentage]]/100</f>
        <v>0</v>
      </c>
      <c r="Q209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094" s="25">
        <f>Table1[[#This Row],[current_price]]*Table1[[#This Row],[stock_quantity]]</f>
        <v>1898.4</v>
      </c>
    </row>
    <row r="2095" spans="1:18" x14ac:dyDescent="0.25">
      <c r="A2095" s="2" t="s">
        <v>2148</v>
      </c>
      <c r="B2095" s="2" t="s">
        <v>38</v>
      </c>
      <c r="C2095" s="2" t="s">
        <v>43</v>
      </c>
      <c r="D2095" s="2" t="s">
        <v>34</v>
      </c>
      <c r="E2095" s="2" t="s">
        <v>49</v>
      </c>
      <c r="F2095" s="2" t="s">
        <v>19</v>
      </c>
      <c r="G2095" s="8">
        <v>107.92</v>
      </c>
      <c r="H2095" s="11">
        <v>22.2</v>
      </c>
      <c r="I2095" s="8">
        <v>83.96</v>
      </c>
      <c r="J2095" s="3">
        <v>45875</v>
      </c>
      <c r="K2095" s="14">
        <v>35</v>
      </c>
      <c r="L2095" s="17">
        <v>3.7</v>
      </c>
      <c r="M2095" s="2" t="b">
        <v>0</v>
      </c>
      <c r="N2095" s="2"/>
      <c r="O2095" s="2" t="str">
        <f>IF(Table1[[#This Row],[is_returned]]=TRUE,IF(Table1[[#This Row],[return_reason]]="","Error","OK"),"OK")</f>
        <v>OK</v>
      </c>
      <c r="P2095" s="8">
        <f>Table1[[#This Row],[original_price]]*Table1[[#This Row],[markdown_percentage]]/100</f>
        <v>23.95824</v>
      </c>
      <c r="Q209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095" s="25">
        <f>Table1[[#This Row],[current_price]]*Table1[[#This Row],[stock_quantity]]</f>
        <v>2938.6</v>
      </c>
    </row>
    <row r="2096" spans="1:18" x14ac:dyDescent="0.25">
      <c r="A2096" s="2" t="s">
        <v>2149</v>
      </c>
      <c r="B2096" s="2" t="s">
        <v>27</v>
      </c>
      <c r="C2096" s="2" t="s">
        <v>75</v>
      </c>
      <c r="D2096" s="2" t="s">
        <v>62</v>
      </c>
      <c r="E2096" s="2"/>
      <c r="F2096" s="2" t="s">
        <v>46</v>
      </c>
      <c r="G2096" s="8">
        <v>45.52</v>
      </c>
      <c r="H2096" s="11">
        <v>0</v>
      </c>
      <c r="I2096" s="8">
        <v>45.52</v>
      </c>
      <c r="J2096" s="3">
        <v>45875</v>
      </c>
      <c r="K2096" s="14">
        <v>41</v>
      </c>
      <c r="L2096" s="17">
        <v>1.6</v>
      </c>
      <c r="M2096" s="2" t="b">
        <v>0</v>
      </c>
      <c r="N2096" s="2"/>
      <c r="O2096" s="2" t="str">
        <f>IF(Table1[[#This Row],[is_returned]]=TRUE,IF(Table1[[#This Row],[return_reason]]="","Error","OK"),"OK")</f>
        <v>OK</v>
      </c>
      <c r="P2096" s="8">
        <f>Table1[[#This Row],[original_price]]*Table1[[#This Row],[markdown_percentage]]/100</f>
        <v>0</v>
      </c>
      <c r="Q209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096" s="25">
        <f>Table1[[#This Row],[current_price]]*Table1[[#This Row],[stock_quantity]]</f>
        <v>1866.3200000000002</v>
      </c>
    </row>
    <row r="2097" spans="1:18" x14ac:dyDescent="0.25">
      <c r="A2097" s="2" t="s">
        <v>2150</v>
      </c>
      <c r="B2097" s="2" t="s">
        <v>38</v>
      </c>
      <c r="C2097" s="2" t="s">
        <v>61</v>
      </c>
      <c r="D2097" s="2" t="s">
        <v>23</v>
      </c>
      <c r="E2097" s="2" t="s">
        <v>58</v>
      </c>
      <c r="F2097" s="2" t="s">
        <v>46</v>
      </c>
      <c r="G2097" s="8">
        <v>112.1</v>
      </c>
      <c r="H2097" s="11">
        <v>30.7</v>
      </c>
      <c r="I2097" s="8">
        <v>77.69</v>
      </c>
      <c r="J2097" s="3">
        <v>45875</v>
      </c>
      <c r="K2097" s="14">
        <v>10</v>
      </c>
      <c r="L2097" s="17">
        <v>1</v>
      </c>
      <c r="M2097" s="2" t="b">
        <v>0</v>
      </c>
      <c r="N2097" s="2"/>
      <c r="O2097" s="2" t="str">
        <f>IF(Table1[[#This Row],[is_returned]]=TRUE,IF(Table1[[#This Row],[return_reason]]="","Error","OK"),"OK")</f>
        <v>OK</v>
      </c>
      <c r="P2097" s="8">
        <f>Table1[[#This Row],[original_price]]*Table1[[#This Row],[markdown_percentage]]/100</f>
        <v>34.414699999999996</v>
      </c>
      <c r="Q209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097" s="25">
        <f>Table1[[#This Row],[current_price]]*Table1[[#This Row],[stock_quantity]]</f>
        <v>776.9</v>
      </c>
    </row>
    <row r="2098" spans="1:18" x14ac:dyDescent="0.25">
      <c r="A2098" s="2" t="s">
        <v>2151</v>
      </c>
      <c r="B2098" s="2" t="s">
        <v>30</v>
      </c>
      <c r="C2098" s="2" t="s">
        <v>22</v>
      </c>
      <c r="D2098" s="2" t="s">
        <v>17</v>
      </c>
      <c r="E2098" s="2" t="s">
        <v>24</v>
      </c>
      <c r="F2098" s="2" t="s">
        <v>66</v>
      </c>
      <c r="G2098" s="8">
        <v>103.9</v>
      </c>
      <c r="H2098" s="11">
        <v>0</v>
      </c>
      <c r="I2098" s="8">
        <v>103.9</v>
      </c>
      <c r="J2098" s="3">
        <v>45861</v>
      </c>
      <c r="K2098" s="14">
        <v>27</v>
      </c>
      <c r="L2098" s="17">
        <v>2.1</v>
      </c>
      <c r="M2098" s="2" t="b">
        <v>0</v>
      </c>
      <c r="N2098" s="2"/>
      <c r="O2098" s="2" t="str">
        <f>IF(Table1[[#This Row],[is_returned]]=TRUE,IF(Table1[[#This Row],[return_reason]]="","Error","OK"),"OK")</f>
        <v>OK</v>
      </c>
      <c r="P2098" s="8">
        <f>Table1[[#This Row],[original_price]]*Table1[[#This Row],[markdown_percentage]]/100</f>
        <v>0</v>
      </c>
      <c r="Q209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098" s="25">
        <f>Table1[[#This Row],[current_price]]*Table1[[#This Row],[stock_quantity]]</f>
        <v>2805.3</v>
      </c>
    </row>
    <row r="2099" spans="1:18" x14ac:dyDescent="0.25">
      <c r="A2099" s="2" t="s">
        <v>2152</v>
      </c>
      <c r="B2099" s="2" t="s">
        <v>15</v>
      </c>
      <c r="C2099" s="2" t="s">
        <v>32</v>
      </c>
      <c r="D2099" s="2" t="s">
        <v>23</v>
      </c>
      <c r="E2099" s="2" t="s">
        <v>24</v>
      </c>
      <c r="F2099" s="2" t="s">
        <v>25</v>
      </c>
      <c r="G2099" s="8">
        <v>168.02</v>
      </c>
      <c r="H2099" s="11">
        <v>0</v>
      </c>
      <c r="I2099" s="8">
        <v>168.02</v>
      </c>
      <c r="J2099" s="3">
        <v>45875</v>
      </c>
      <c r="K2099" s="14">
        <v>30</v>
      </c>
      <c r="L2099" s="17">
        <v>1.6</v>
      </c>
      <c r="M2099" s="2" t="b">
        <v>1</v>
      </c>
      <c r="N2099" s="2" t="s">
        <v>73</v>
      </c>
      <c r="O2099" s="2" t="str">
        <f>IF(Table1[[#This Row],[is_returned]]=TRUE,IF(Table1[[#This Row],[return_reason]]="","Error","OK"),"OK")</f>
        <v>OK</v>
      </c>
      <c r="P2099" s="8">
        <f>Table1[[#This Row],[original_price]]*Table1[[#This Row],[markdown_percentage]]/100</f>
        <v>0</v>
      </c>
      <c r="Q209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099" s="25">
        <f>Table1[[#This Row],[current_price]]*Table1[[#This Row],[stock_quantity]]</f>
        <v>5040.6000000000004</v>
      </c>
    </row>
    <row r="2100" spans="1:18" x14ac:dyDescent="0.25">
      <c r="A2100" s="2" t="s">
        <v>2153</v>
      </c>
      <c r="B2100" s="2" t="s">
        <v>30</v>
      </c>
      <c r="C2100" s="2" t="s">
        <v>43</v>
      </c>
      <c r="D2100" s="2" t="s">
        <v>34</v>
      </c>
      <c r="E2100" s="2" t="s">
        <v>58</v>
      </c>
      <c r="F2100" s="2" t="s">
        <v>70</v>
      </c>
      <c r="G2100" s="8">
        <v>80.41</v>
      </c>
      <c r="H2100" s="11">
        <v>0</v>
      </c>
      <c r="I2100" s="8">
        <v>80.41</v>
      </c>
      <c r="J2100" s="3">
        <v>45875</v>
      </c>
      <c r="K2100" s="14">
        <v>46</v>
      </c>
      <c r="L2100" s="17">
        <v>2.8</v>
      </c>
      <c r="M2100" s="2" t="b">
        <v>0</v>
      </c>
      <c r="N2100" s="2"/>
      <c r="O2100" s="2" t="str">
        <f>IF(Table1[[#This Row],[is_returned]]=TRUE,IF(Table1[[#This Row],[return_reason]]="","Error","OK"),"OK")</f>
        <v>OK</v>
      </c>
      <c r="P2100" s="8">
        <f>Table1[[#This Row],[original_price]]*Table1[[#This Row],[markdown_percentage]]/100</f>
        <v>0</v>
      </c>
      <c r="Q210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100" s="25">
        <f>Table1[[#This Row],[current_price]]*Table1[[#This Row],[stock_quantity]]</f>
        <v>3698.8599999999997</v>
      </c>
    </row>
    <row r="2101" spans="1:18" x14ac:dyDescent="0.25">
      <c r="A2101" s="2" t="s">
        <v>2154</v>
      </c>
      <c r="B2101" s="2" t="s">
        <v>38</v>
      </c>
      <c r="C2101" s="2" t="s">
        <v>75</v>
      </c>
      <c r="D2101" s="2" t="s">
        <v>17</v>
      </c>
      <c r="E2101" s="2" t="s">
        <v>18</v>
      </c>
      <c r="F2101" s="2" t="s">
        <v>46</v>
      </c>
      <c r="G2101" s="8">
        <v>102.76</v>
      </c>
      <c r="H2101" s="11">
        <v>0</v>
      </c>
      <c r="I2101" s="8">
        <v>102.76</v>
      </c>
      <c r="J2101" s="3">
        <v>45612</v>
      </c>
      <c r="K2101" s="14">
        <v>35</v>
      </c>
      <c r="L2101" s="17">
        <v>2.2000000000000002</v>
      </c>
      <c r="M2101" s="2" t="b">
        <v>0</v>
      </c>
      <c r="N2101" s="2"/>
      <c r="O2101" s="2" t="str">
        <f>IF(Table1[[#This Row],[is_returned]]=TRUE,IF(Table1[[#This Row],[return_reason]]="","Error","OK"),"OK")</f>
        <v>OK</v>
      </c>
      <c r="P2101" s="8">
        <f>Table1[[#This Row],[original_price]]*Table1[[#This Row],[markdown_percentage]]/100</f>
        <v>0</v>
      </c>
      <c r="Q210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101" s="25">
        <f>Table1[[#This Row],[current_price]]*Table1[[#This Row],[stock_quantity]]</f>
        <v>3596.6000000000004</v>
      </c>
    </row>
    <row r="2102" spans="1:18" x14ac:dyDescent="0.25">
      <c r="A2102" s="2" t="s">
        <v>2155</v>
      </c>
      <c r="B2102" s="2" t="s">
        <v>21</v>
      </c>
      <c r="C2102" s="2" t="s">
        <v>75</v>
      </c>
      <c r="D2102" s="2" t="s">
        <v>34</v>
      </c>
      <c r="E2102" s="2" t="s">
        <v>49</v>
      </c>
      <c r="F2102" s="2" t="s">
        <v>28</v>
      </c>
      <c r="G2102" s="8">
        <v>81.2</v>
      </c>
      <c r="H2102" s="11">
        <v>0</v>
      </c>
      <c r="I2102" s="8">
        <v>81.2</v>
      </c>
      <c r="J2102" s="3">
        <v>45875</v>
      </c>
      <c r="K2102" s="14">
        <v>27</v>
      </c>
      <c r="L2102" s="17">
        <v>1.7</v>
      </c>
      <c r="M2102" s="2" t="b">
        <v>0</v>
      </c>
      <c r="N2102" s="2"/>
      <c r="O2102" s="2" t="str">
        <f>IF(Table1[[#This Row],[is_returned]]=TRUE,IF(Table1[[#This Row],[return_reason]]="","Error","OK"),"OK")</f>
        <v>OK</v>
      </c>
      <c r="P2102" s="8">
        <f>Table1[[#This Row],[original_price]]*Table1[[#This Row],[markdown_percentage]]/100</f>
        <v>0</v>
      </c>
      <c r="Q210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102" s="25">
        <f>Table1[[#This Row],[current_price]]*Table1[[#This Row],[stock_quantity]]</f>
        <v>2192.4</v>
      </c>
    </row>
    <row r="2103" spans="1:18" x14ac:dyDescent="0.25">
      <c r="A2103" s="2" t="s">
        <v>2156</v>
      </c>
      <c r="B2103" s="2" t="s">
        <v>27</v>
      </c>
      <c r="C2103" s="2" t="s">
        <v>22</v>
      </c>
      <c r="D2103" s="2" t="s">
        <v>34</v>
      </c>
      <c r="E2103" s="2"/>
      <c r="F2103" s="2" t="s">
        <v>40</v>
      </c>
      <c r="G2103" s="8">
        <v>68.95</v>
      </c>
      <c r="H2103" s="11">
        <v>0</v>
      </c>
      <c r="I2103" s="8">
        <v>68.95</v>
      </c>
      <c r="J2103" s="3">
        <v>45875</v>
      </c>
      <c r="K2103" s="14">
        <v>47</v>
      </c>
      <c r="L2103" s="17">
        <v>3.6</v>
      </c>
      <c r="M2103" s="2" t="b">
        <v>0</v>
      </c>
      <c r="N2103" s="2"/>
      <c r="O2103" s="2" t="str">
        <f>IF(Table1[[#This Row],[is_returned]]=TRUE,IF(Table1[[#This Row],[return_reason]]="","Error","OK"),"OK")</f>
        <v>OK</v>
      </c>
      <c r="P2103" s="8">
        <f>Table1[[#This Row],[original_price]]*Table1[[#This Row],[markdown_percentage]]/100</f>
        <v>0</v>
      </c>
      <c r="Q210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103" s="25">
        <f>Table1[[#This Row],[current_price]]*Table1[[#This Row],[stock_quantity]]</f>
        <v>3240.65</v>
      </c>
    </row>
    <row r="2104" spans="1:18" x14ac:dyDescent="0.25">
      <c r="A2104" s="2" t="s">
        <v>2157</v>
      </c>
      <c r="B2104" s="2" t="s">
        <v>38</v>
      </c>
      <c r="C2104" s="2" t="s">
        <v>16</v>
      </c>
      <c r="D2104" s="2" t="s">
        <v>62</v>
      </c>
      <c r="E2104" s="2" t="s">
        <v>55</v>
      </c>
      <c r="F2104" s="2" t="s">
        <v>66</v>
      </c>
      <c r="G2104" s="8">
        <v>43.04</v>
      </c>
      <c r="H2104" s="11">
        <v>0</v>
      </c>
      <c r="I2104" s="8">
        <v>43.04</v>
      </c>
      <c r="J2104" s="3">
        <v>45875</v>
      </c>
      <c r="K2104" s="14">
        <v>26</v>
      </c>
      <c r="L2104" s="17">
        <v>4.8</v>
      </c>
      <c r="M2104" s="2" t="b">
        <v>1</v>
      </c>
      <c r="N2104" s="2" t="s">
        <v>125</v>
      </c>
      <c r="O2104" s="2" t="str">
        <f>IF(Table1[[#This Row],[is_returned]]=TRUE,IF(Table1[[#This Row],[return_reason]]="","Error","OK"),"OK")</f>
        <v>OK</v>
      </c>
      <c r="P2104" s="8">
        <f>Table1[[#This Row],[original_price]]*Table1[[#This Row],[markdown_percentage]]/100</f>
        <v>0</v>
      </c>
      <c r="Q210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104" s="25">
        <f>Table1[[#This Row],[current_price]]*Table1[[#This Row],[stock_quantity]]</f>
        <v>1119.04</v>
      </c>
    </row>
    <row r="2105" spans="1:18" x14ac:dyDescent="0.25">
      <c r="A2105" s="2" t="s">
        <v>2158</v>
      </c>
      <c r="B2105" s="2" t="s">
        <v>21</v>
      </c>
      <c r="C2105" s="2" t="s">
        <v>16</v>
      </c>
      <c r="D2105" s="2" t="s">
        <v>17</v>
      </c>
      <c r="E2105" s="2" t="s">
        <v>55</v>
      </c>
      <c r="F2105" s="2" t="s">
        <v>56</v>
      </c>
      <c r="G2105" s="8">
        <v>81.819999999999993</v>
      </c>
      <c r="H2105" s="11">
        <v>0</v>
      </c>
      <c r="I2105" s="8">
        <v>81.819999999999993</v>
      </c>
      <c r="J2105" s="3">
        <v>45786</v>
      </c>
      <c r="K2105" s="14">
        <v>1</v>
      </c>
      <c r="L2105" s="17">
        <v>3.5</v>
      </c>
      <c r="M2105" s="2" t="b">
        <v>0</v>
      </c>
      <c r="N2105" s="2"/>
      <c r="O2105" s="2" t="str">
        <f>IF(Table1[[#This Row],[is_returned]]=TRUE,IF(Table1[[#This Row],[return_reason]]="","Error","OK"),"OK")</f>
        <v>OK</v>
      </c>
      <c r="P2105" s="8">
        <f>Table1[[#This Row],[original_price]]*Table1[[#This Row],[markdown_percentage]]/100</f>
        <v>0</v>
      </c>
      <c r="Q210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105" s="25">
        <f>Table1[[#This Row],[current_price]]*Table1[[#This Row],[stock_quantity]]</f>
        <v>81.819999999999993</v>
      </c>
    </row>
    <row r="2106" spans="1:18" x14ac:dyDescent="0.25">
      <c r="A2106" s="2" t="s">
        <v>2159</v>
      </c>
      <c r="B2106" s="2" t="s">
        <v>27</v>
      </c>
      <c r="C2106" s="2" t="s">
        <v>43</v>
      </c>
      <c r="D2106" s="2" t="s">
        <v>62</v>
      </c>
      <c r="E2106" s="2"/>
      <c r="F2106" s="2" t="s">
        <v>44</v>
      </c>
      <c r="G2106" s="8">
        <v>53.7</v>
      </c>
      <c r="H2106" s="11">
        <v>0</v>
      </c>
      <c r="I2106" s="8">
        <v>53.7</v>
      </c>
      <c r="J2106" s="3">
        <v>45875</v>
      </c>
      <c r="K2106" s="14">
        <v>16</v>
      </c>
      <c r="L2106" s="17">
        <v>1.4</v>
      </c>
      <c r="M2106" s="2" t="b">
        <v>1</v>
      </c>
      <c r="N2106" s="2" t="s">
        <v>78</v>
      </c>
      <c r="O2106" s="2" t="str">
        <f>IF(Table1[[#This Row],[is_returned]]=TRUE,IF(Table1[[#This Row],[return_reason]]="","Error","OK"),"OK")</f>
        <v>OK</v>
      </c>
      <c r="P2106" s="8">
        <f>Table1[[#This Row],[original_price]]*Table1[[#This Row],[markdown_percentage]]/100</f>
        <v>0</v>
      </c>
      <c r="Q210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106" s="25">
        <f>Table1[[#This Row],[current_price]]*Table1[[#This Row],[stock_quantity]]</f>
        <v>859.2</v>
      </c>
    </row>
    <row r="2107" spans="1:18" x14ac:dyDescent="0.25">
      <c r="A2107" s="2" t="s">
        <v>2160</v>
      </c>
      <c r="B2107" s="2" t="s">
        <v>21</v>
      </c>
      <c r="C2107" s="2" t="s">
        <v>43</v>
      </c>
      <c r="D2107" s="2" t="s">
        <v>62</v>
      </c>
      <c r="E2107" s="2" t="s">
        <v>24</v>
      </c>
      <c r="F2107" s="2" t="s">
        <v>19</v>
      </c>
      <c r="G2107" s="8">
        <v>100.11</v>
      </c>
      <c r="H2107" s="11">
        <v>0</v>
      </c>
      <c r="I2107" s="8">
        <v>100.11</v>
      </c>
      <c r="J2107" s="3">
        <v>45875</v>
      </c>
      <c r="K2107" s="14">
        <v>41</v>
      </c>
      <c r="L2107" s="17">
        <v>4.7</v>
      </c>
      <c r="M2107" s="2" t="b">
        <v>0</v>
      </c>
      <c r="N2107" s="2"/>
      <c r="O2107" s="2" t="str">
        <f>IF(Table1[[#This Row],[is_returned]]=TRUE,IF(Table1[[#This Row],[return_reason]]="","Error","OK"),"OK")</f>
        <v>OK</v>
      </c>
      <c r="P2107" s="8">
        <f>Table1[[#This Row],[original_price]]*Table1[[#This Row],[markdown_percentage]]/100</f>
        <v>0</v>
      </c>
      <c r="Q210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107" s="25">
        <f>Table1[[#This Row],[current_price]]*Table1[[#This Row],[stock_quantity]]</f>
        <v>4104.51</v>
      </c>
    </row>
    <row r="2108" spans="1:18" x14ac:dyDescent="0.25">
      <c r="A2108" s="2" t="s">
        <v>2161</v>
      </c>
      <c r="B2108" s="2" t="s">
        <v>27</v>
      </c>
      <c r="C2108" s="2" t="s">
        <v>53</v>
      </c>
      <c r="D2108" s="2" t="s">
        <v>23</v>
      </c>
      <c r="E2108" s="2"/>
      <c r="F2108" s="2" t="s">
        <v>40</v>
      </c>
      <c r="G2108" s="8">
        <v>24.08</v>
      </c>
      <c r="H2108" s="11">
        <v>38.5</v>
      </c>
      <c r="I2108" s="8">
        <v>14.81</v>
      </c>
      <c r="J2108" s="3">
        <v>45875</v>
      </c>
      <c r="K2108" s="14">
        <v>43</v>
      </c>
      <c r="L2108" s="17">
        <v>4.0999999999999996</v>
      </c>
      <c r="M2108" s="2" t="b">
        <v>0</v>
      </c>
      <c r="N2108" s="2"/>
      <c r="O2108" s="2" t="str">
        <f>IF(Table1[[#This Row],[is_returned]]=TRUE,IF(Table1[[#This Row],[return_reason]]="","Error","OK"),"OK")</f>
        <v>OK</v>
      </c>
      <c r="P2108" s="8">
        <f>Table1[[#This Row],[original_price]]*Table1[[#This Row],[markdown_percentage]]/100</f>
        <v>9.2707999999999995</v>
      </c>
      <c r="Q210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108" s="25">
        <f>Table1[[#This Row],[current_price]]*Table1[[#This Row],[stock_quantity]]</f>
        <v>636.83000000000004</v>
      </c>
    </row>
    <row r="2109" spans="1:18" x14ac:dyDescent="0.25">
      <c r="A2109" s="2" t="s">
        <v>2162</v>
      </c>
      <c r="B2109" s="2" t="s">
        <v>27</v>
      </c>
      <c r="C2109" s="2" t="s">
        <v>53</v>
      </c>
      <c r="D2109" s="2" t="s">
        <v>17</v>
      </c>
      <c r="E2109" s="2"/>
      <c r="F2109" s="2" t="s">
        <v>19</v>
      </c>
      <c r="G2109" s="8">
        <v>74.77</v>
      </c>
      <c r="H2109" s="11">
        <v>0</v>
      </c>
      <c r="I2109" s="8">
        <v>74.77</v>
      </c>
      <c r="J2109" s="3">
        <v>45734</v>
      </c>
      <c r="K2109" s="14">
        <v>26</v>
      </c>
      <c r="L2109" s="17">
        <v>2.9</v>
      </c>
      <c r="M2109" s="2" t="b">
        <v>0</v>
      </c>
      <c r="N2109" s="2"/>
      <c r="O2109" s="2" t="str">
        <f>IF(Table1[[#This Row],[is_returned]]=TRUE,IF(Table1[[#This Row],[return_reason]]="","Error","OK"),"OK")</f>
        <v>OK</v>
      </c>
      <c r="P2109" s="8">
        <f>Table1[[#This Row],[original_price]]*Table1[[#This Row],[markdown_percentage]]/100</f>
        <v>0</v>
      </c>
      <c r="Q210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109" s="25">
        <f>Table1[[#This Row],[current_price]]*Table1[[#This Row],[stock_quantity]]</f>
        <v>1944.02</v>
      </c>
    </row>
    <row r="2110" spans="1:18" x14ac:dyDescent="0.25">
      <c r="A2110" s="2" t="s">
        <v>2163</v>
      </c>
      <c r="B2110" s="2" t="s">
        <v>42</v>
      </c>
      <c r="C2110" s="2" t="s">
        <v>48</v>
      </c>
      <c r="D2110" s="2" t="s">
        <v>17</v>
      </c>
      <c r="E2110" s="2" t="s">
        <v>18</v>
      </c>
      <c r="F2110" s="2" t="s">
        <v>64</v>
      </c>
      <c r="G2110" s="8">
        <v>105.98</v>
      </c>
      <c r="H2110" s="11">
        <v>0</v>
      </c>
      <c r="I2110" s="8">
        <v>105.98</v>
      </c>
      <c r="J2110" s="3">
        <v>45567</v>
      </c>
      <c r="K2110" s="14">
        <v>32</v>
      </c>
      <c r="L2110" s="17">
        <v>2.5</v>
      </c>
      <c r="M2110" s="2" t="b">
        <v>1</v>
      </c>
      <c r="N2110" s="2" t="s">
        <v>73</v>
      </c>
      <c r="O2110" s="2" t="str">
        <f>IF(Table1[[#This Row],[is_returned]]=TRUE,IF(Table1[[#This Row],[return_reason]]="","Error","OK"),"OK")</f>
        <v>OK</v>
      </c>
      <c r="P2110" s="8">
        <f>Table1[[#This Row],[original_price]]*Table1[[#This Row],[markdown_percentage]]/100</f>
        <v>0</v>
      </c>
      <c r="Q211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110" s="25">
        <f>Table1[[#This Row],[current_price]]*Table1[[#This Row],[stock_quantity]]</f>
        <v>3391.36</v>
      </c>
    </row>
    <row r="2111" spans="1:18" x14ac:dyDescent="0.25">
      <c r="A2111" s="2" t="s">
        <v>2164</v>
      </c>
      <c r="B2111" s="2" t="s">
        <v>30</v>
      </c>
      <c r="C2111" s="2" t="s">
        <v>16</v>
      </c>
      <c r="D2111" s="2" t="s">
        <v>62</v>
      </c>
      <c r="E2111" s="2" t="s">
        <v>24</v>
      </c>
      <c r="F2111" s="2" t="s">
        <v>35</v>
      </c>
      <c r="G2111" s="8">
        <v>81.650000000000006</v>
      </c>
      <c r="H2111" s="11">
        <v>7.7</v>
      </c>
      <c r="I2111" s="8">
        <v>75.36</v>
      </c>
      <c r="J2111" s="3">
        <v>45875</v>
      </c>
      <c r="K2111" s="14">
        <v>23</v>
      </c>
      <c r="L2111" s="17">
        <v>2.6</v>
      </c>
      <c r="M2111" s="2" t="b">
        <v>0</v>
      </c>
      <c r="N2111" s="2"/>
      <c r="O2111" s="2" t="str">
        <f>IF(Table1[[#This Row],[is_returned]]=TRUE,IF(Table1[[#This Row],[return_reason]]="","Error","OK"),"OK")</f>
        <v>OK</v>
      </c>
      <c r="P2111" s="8">
        <f>Table1[[#This Row],[original_price]]*Table1[[#This Row],[markdown_percentage]]/100</f>
        <v>6.2870500000000007</v>
      </c>
      <c r="Q211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111" s="25">
        <f>Table1[[#This Row],[current_price]]*Table1[[#This Row],[stock_quantity]]</f>
        <v>1733.28</v>
      </c>
    </row>
    <row r="2112" spans="1:18" x14ac:dyDescent="0.25">
      <c r="A2112" s="2" t="s">
        <v>2165</v>
      </c>
      <c r="B2112" s="2" t="s">
        <v>30</v>
      </c>
      <c r="C2112" s="2" t="s">
        <v>75</v>
      </c>
      <c r="D2112" s="2" t="s">
        <v>34</v>
      </c>
      <c r="E2112" s="2" t="s">
        <v>39</v>
      </c>
      <c r="F2112" s="2" t="s">
        <v>28</v>
      </c>
      <c r="G2112" s="8">
        <v>92.66</v>
      </c>
      <c r="H2112" s="11">
        <v>8.3000000000000007</v>
      </c>
      <c r="I2112" s="8">
        <v>84.97</v>
      </c>
      <c r="J2112" s="3">
        <v>45875</v>
      </c>
      <c r="K2112" s="14">
        <v>5</v>
      </c>
      <c r="L2112" s="17">
        <v>3.3</v>
      </c>
      <c r="M2112" s="2" t="b">
        <v>0</v>
      </c>
      <c r="N2112" s="2"/>
      <c r="O2112" s="2" t="str">
        <f>IF(Table1[[#This Row],[is_returned]]=TRUE,IF(Table1[[#This Row],[return_reason]]="","Error","OK"),"OK")</f>
        <v>OK</v>
      </c>
      <c r="P2112" s="8">
        <f>Table1[[#This Row],[original_price]]*Table1[[#This Row],[markdown_percentage]]/100</f>
        <v>7.6907800000000011</v>
      </c>
      <c r="Q211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112" s="25">
        <f>Table1[[#This Row],[current_price]]*Table1[[#This Row],[stock_quantity]]</f>
        <v>424.85</v>
      </c>
    </row>
    <row r="2113" spans="1:18" x14ac:dyDescent="0.25">
      <c r="A2113" s="2" t="s">
        <v>2166</v>
      </c>
      <c r="B2113" s="2" t="s">
        <v>27</v>
      </c>
      <c r="C2113" s="2" t="s">
        <v>43</v>
      </c>
      <c r="D2113" s="2" t="s">
        <v>62</v>
      </c>
      <c r="E2113" s="2"/>
      <c r="F2113" s="2" t="s">
        <v>70</v>
      </c>
      <c r="G2113" s="8">
        <v>41.04</v>
      </c>
      <c r="H2113" s="11">
        <v>0</v>
      </c>
      <c r="I2113" s="8">
        <v>41.04</v>
      </c>
      <c r="J2113" s="3">
        <v>45875</v>
      </c>
      <c r="K2113" s="14">
        <v>43</v>
      </c>
      <c r="L2113" s="17"/>
      <c r="M2113" s="2" t="b">
        <v>0</v>
      </c>
      <c r="N2113" s="2"/>
      <c r="O2113" s="2" t="str">
        <f>IF(Table1[[#This Row],[is_returned]]=TRUE,IF(Table1[[#This Row],[return_reason]]="","Error","OK"),"OK")</f>
        <v>OK</v>
      </c>
      <c r="P2113" s="8">
        <f>Table1[[#This Row],[original_price]]*Table1[[#This Row],[markdown_percentage]]/100</f>
        <v>0</v>
      </c>
      <c r="Q211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113" s="25">
        <f>Table1[[#This Row],[current_price]]*Table1[[#This Row],[stock_quantity]]</f>
        <v>1764.72</v>
      </c>
    </row>
    <row r="2114" spans="1:18" x14ac:dyDescent="0.25">
      <c r="A2114" s="2" t="s">
        <v>2167</v>
      </c>
      <c r="B2114" s="2" t="s">
        <v>15</v>
      </c>
      <c r="C2114" s="2" t="s">
        <v>75</v>
      </c>
      <c r="D2114" s="2" t="s">
        <v>34</v>
      </c>
      <c r="E2114" s="2" t="s">
        <v>58</v>
      </c>
      <c r="F2114" s="2" t="s">
        <v>25</v>
      </c>
      <c r="G2114" s="8">
        <v>169.98</v>
      </c>
      <c r="H2114" s="11">
        <v>5.8</v>
      </c>
      <c r="I2114" s="8">
        <v>160.12</v>
      </c>
      <c r="J2114" s="3">
        <v>45875</v>
      </c>
      <c r="K2114" s="14">
        <v>12</v>
      </c>
      <c r="L2114" s="17">
        <v>2.1</v>
      </c>
      <c r="M2114" s="2" t="b">
        <v>0</v>
      </c>
      <c r="N2114" s="2"/>
      <c r="O2114" s="2" t="str">
        <f>IF(Table1[[#This Row],[is_returned]]=TRUE,IF(Table1[[#This Row],[return_reason]]="","Error","OK"),"OK")</f>
        <v>OK</v>
      </c>
      <c r="P2114" s="8">
        <f>Table1[[#This Row],[original_price]]*Table1[[#This Row],[markdown_percentage]]/100</f>
        <v>9.8588399999999989</v>
      </c>
      <c r="Q211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114" s="25">
        <f>Table1[[#This Row],[current_price]]*Table1[[#This Row],[stock_quantity]]</f>
        <v>1921.44</v>
      </c>
    </row>
    <row r="2115" spans="1:18" x14ac:dyDescent="0.25">
      <c r="A2115" s="2" t="s">
        <v>2168</v>
      </c>
      <c r="B2115" s="2" t="s">
        <v>27</v>
      </c>
      <c r="C2115" s="2" t="s">
        <v>43</v>
      </c>
      <c r="D2115" s="2" t="s">
        <v>23</v>
      </c>
      <c r="E2115" s="2"/>
      <c r="F2115" s="2" t="s">
        <v>19</v>
      </c>
      <c r="G2115" s="8">
        <v>66.12</v>
      </c>
      <c r="H2115" s="11">
        <v>51</v>
      </c>
      <c r="I2115" s="8">
        <v>32.4</v>
      </c>
      <c r="J2115" s="3">
        <v>45875</v>
      </c>
      <c r="K2115" s="14">
        <v>17</v>
      </c>
      <c r="L2115" s="17">
        <v>2.2000000000000002</v>
      </c>
      <c r="M2115" s="2" t="b">
        <v>0</v>
      </c>
      <c r="N2115" s="2"/>
      <c r="O2115" s="2" t="str">
        <f>IF(Table1[[#This Row],[is_returned]]=TRUE,IF(Table1[[#This Row],[return_reason]]="","Error","OK"),"OK")</f>
        <v>OK</v>
      </c>
      <c r="P2115" s="8">
        <f>Table1[[#This Row],[original_price]]*Table1[[#This Row],[markdown_percentage]]/100</f>
        <v>33.721200000000003</v>
      </c>
      <c r="Q211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115" s="25">
        <f>Table1[[#This Row],[current_price]]*Table1[[#This Row],[stock_quantity]]</f>
        <v>550.79999999999995</v>
      </c>
    </row>
    <row r="2116" spans="1:18" x14ac:dyDescent="0.25">
      <c r="A2116" s="2" t="s">
        <v>2169</v>
      </c>
      <c r="B2116" s="2" t="s">
        <v>42</v>
      </c>
      <c r="C2116" s="2" t="s">
        <v>32</v>
      </c>
      <c r="D2116" s="2" t="s">
        <v>17</v>
      </c>
      <c r="E2116" s="2" t="s">
        <v>39</v>
      </c>
      <c r="F2116" s="2" t="s">
        <v>66</v>
      </c>
      <c r="G2116" s="8">
        <v>139.87</v>
      </c>
      <c r="H2116" s="11">
        <v>14.5</v>
      </c>
      <c r="I2116" s="8">
        <v>119.59</v>
      </c>
      <c r="J2116" s="3">
        <v>45548</v>
      </c>
      <c r="K2116" s="14">
        <v>13</v>
      </c>
      <c r="L2116" s="17">
        <v>1.3</v>
      </c>
      <c r="M2116" s="2" t="b">
        <v>0</v>
      </c>
      <c r="N2116" s="2"/>
      <c r="O2116" s="2" t="str">
        <f>IF(Table1[[#This Row],[is_returned]]=TRUE,IF(Table1[[#This Row],[return_reason]]="","Error","OK"),"OK")</f>
        <v>OK</v>
      </c>
      <c r="P2116" s="8">
        <f>Table1[[#This Row],[original_price]]*Table1[[#This Row],[markdown_percentage]]/100</f>
        <v>20.28115</v>
      </c>
      <c r="Q211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116" s="25">
        <f>Table1[[#This Row],[current_price]]*Table1[[#This Row],[stock_quantity]]</f>
        <v>1554.67</v>
      </c>
    </row>
    <row r="2117" spans="1:18" x14ac:dyDescent="0.25">
      <c r="A2117" s="2" t="s">
        <v>2170</v>
      </c>
      <c r="B2117" s="2" t="s">
        <v>27</v>
      </c>
      <c r="C2117" s="2" t="s">
        <v>16</v>
      </c>
      <c r="D2117" s="2" t="s">
        <v>23</v>
      </c>
      <c r="E2117" s="2"/>
      <c r="F2117" s="2" t="s">
        <v>25</v>
      </c>
      <c r="G2117" s="8">
        <v>70.23</v>
      </c>
      <c r="H2117" s="11">
        <v>49.9</v>
      </c>
      <c r="I2117" s="8">
        <v>35.19</v>
      </c>
      <c r="J2117" s="3">
        <v>45875</v>
      </c>
      <c r="K2117" s="14">
        <v>0</v>
      </c>
      <c r="L2117" s="17">
        <v>4.5999999999999996</v>
      </c>
      <c r="M2117" s="2" t="b">
        <v>1</v>
      </c>
      <c r="N2117" s="2" t="s">
        <v>78</v>
      </c>
      <c r="O2117" s="2" t="str">
        <f>IF(Table1[[#This Row],[is_returned]]=TRUE,IF(Table1[[#This Row],[return_reason]]="","Error","OK"),"OK")</f>
        <v>OK</v>
      </c>
      <c r="P2117" s="8">
        <f>Table1[[#This Row],[original_price]]*Table1[[#This Row],[markdown_percentage]]/100</f>
        <v>35.04477</v>
      </c>
      <c r="Q211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117" s="25">
        <f>Table1[[#This Row],[current_price]]*Table1[[#This Row],[stock_quantity]]</f>
        <v>0</v>
      </c>
    </row>
    <row r="2118" spans="1:18" x14ac:dyDescent="0.25">
      <c r="A2118" s="2" t="s">
        <v>2171</v>
      </c>
      <c r="B2118" s="2" t="s">
        <v>30</v>
      </c>
      <c r="C2118" s="2" t="s">
        <v>16</v>
      </c>
      <c r="D2118" s="2" t="s">
        <v>23</v>
      </c>
      <c r="E2118" s="2" t="s">
        <v>18</v>
      </c>
      <c r="F2118" s="2" t="s">
        <v>44</v>
      </c>
      <c r="G2118" s="8">
        <v>129.9</v>
      </c>
      <c r="H2118" s="11">
        <v>39.9</v>
      </c>
      <c r="I2118" s="8">
        <v>78.069999999999993</v>
      </c>
      <c r="J2118" s="3">
        <v>45875</v>
      </c>
      <c r="K2118" s="14">
        <v>28</v>
      </c>
      <c r="L2118" s="17">
        <v>1.3</v>
      </c>
      <c r="M2118" s="2" t="b">
        <v>0</v>
      </c>
      <c r="N2118" s="2"/>
      <c r="O2118" s="2" t="str">
        <f>IF(Table1[[#This Row],[is_returned]]=TRUE,IF(Table1[[#This Row],[return_reason]]="","Error","OK"),"OK")</f>
        <v>OK</v>
      </c>
      <c r="P2118" s="8">
        <f>Table1[[#This Row],[original_price]]*Table1[[#This Row],[markdown_percentage]]/100</f>
        <v>51.830100000000002</v>
      </c>
      <c r="Q211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118" s="25">
        <f>Table1[[#This Row],[current_price]]*Table1[[#This Row],[stock_quantity]]</f>
        <v>2185.96</v>
      </c>
    </row>
    <row r="2119" spans="1:18" x14ac:dyDescent="0.25">
      <c r="A2119" s="2" t="s">
        <v>2172</v>
      </c>
      <c r="B2119" s="2" t="s">
        <v>38</v>
      </c>
      <c r="C2119" s="2" t="s">
        <v>16</v>
      </c>
      <c r="D2119" s="2" t="s">
        <v>17</v>
      </c>
      <c r="E2119" s="2" t="s">
        <v>24</v>
      </c>
      <c r="F2119" s="2" t="s">
        <v>56</v>
      </c>
      <c r="G2119" s="8">
        <v>75.78</v>
      </c>
      <c r="H2119" s="11">
        <v>0</v>
      </c>
      <c r="I2119" s="8">
        <v>75.78</v>
      </c>
      <c r="J2119" s="3">
        <v>45685</v>
      </c>
      <c r="K2119" s="14">
        <v>12</v>
      </c>
      <c r="L2119" s="17">
        <v>3.6</v>
      </c>
      <c r="M2119" s="2" t="b">
        <v>0</v>
      </c>
      <c r="N2119" s="2"/>
      <c r="O2119" s="2" t="str">
        <f>IF(Table1[[#This Row],[is_returned]]=TRUE,IF(Table1[[#This Row],[return_reason]]="","Error","OK"),"OK")</f>
        <v>OK</v>
      </c>
      <c r="P2119" s="8">
        <f>Table1[[#This Row],[original_price]]*Table1[[#This Row],[markdown_percentage]]/100</f>
        <v>0</v>
      </c>
      <c r="Q211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119" s="25">
        <f>Table1[[#This Row],[current_price]]*Table1[[#This Row],[stock_quantity]]</f>
        <v>909.36</v>
      </c>
    </row>
    <row r="2120" spans="1:18" x14ac:dyDescent="0.25">
      <c r="A2120" s="2" t="s">
        <v>2173</v>
      </c>
      <c r="B2120" s="2" t="s">
        <v>38</v>
      </c>
      <c r="C2120" s="2" t="s">
        <v>48</v>
      </c>
      <c r="D2120" s="2" t="s">
        <v>23</v>
      </c>
      <c r="E2120" s="2" t="s">
        <v>58</v>
      </c>
      <c r="F2120" s="2" t="s">
        <v>56</v>
      </c>
      <c r="G2120" s="8">
        <v>93.41</v>
      </c>
      <c r="H2120" s="11">
        <v>0</v>
      </c>
      <c r="I2120" s="8">
        <v>93.41</v>
      </c>
      <c r="J2120" s="3">
        <v>45875</v>
      </c>
      <c r="K2120" s="14">
        <v>4</v>
      </c>
      <c r="L2120" s="17">
        <v>3.2</v>
      </c>
      <c r="M2120" s="2" t="b">
        <v>1</v>
      </c>
      <c r="N2120" s="2" t="s">
        <v>73</v>
      </c>
      <c r="O2120" s="2" t="str">
        <f>IF(Table1[[#This Row],[is_returned]]=TRUE,IF(Table1[[#This Row],[return_reason]]="","Error","OK"),"OK")</f>
        <v>OK</v>
      </c>
      <c r="P2120" s="8">
        <f>Table1[[#This Row],[original_price]]*Table1[[#This Row],[markdown_percentage]]/100</f>
        <v>0</v>
      </c>
      <c r="Q212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120" s="25">
        <f>Table1[[#This Row],[current_price]]*Table1[[#This Row],[stock_quantity]]</f>
        <v>373.64</v>
      </c>
    </row>
    <row r="2121" spans="1:18" x14ac:dyDescent="0.25">
      <c r="A2121" s="2" t="s">
        <v>2174</v>
      </c>
      <c r="B2121" s="2" t="s">
        <v>21</v>
      </c>
      <c r="C2121" s="2" t="s">
        <v>32</v>
      </c>
      <c r="D2121" s="2" t="s">
        <v>17</v>
      </c>
      <c r="E2121" s="2" t="s">
        <v>24</v>
      </c>
      <c r="F2121" s="2" t="s">
        <v>19</v>
      </c>
      <c r="G2121" s="8">
        <v>66.900000000000006</v>
      </c>
      <c r="H2121" s="11">
        <v>0</v>
      </c>
      <c r="I2121" s="8">
        <v>66.900000000000006</v>
      </c>
      <c r="J2121" s="3">
        <v>45784</v>
      </c>
      <c r="K2121" s="14">
        <v>1</v>
      </c>
      <c r="L2121" s="17">
        <v>2.8</v>
      </c>
      <c r="M2121" s="2" t="b">
        <v>0</v>
      </c>
      <c r="N2121" s="2"/>
      <c r="O2121" s="2" t="str">
        <f>IF(Table1[[#This Row],[is_returned]]=TRUE,IF(Table1[[#This Row],[return_reason]]="","Error","OK"),"OK")</f>
        <v>OK</v>
      </c>
      <c r="P2121" s="8">
        <f>Table1[[#This Row],[original_price]]*Table1[[#This Row],[markdown_percentage]]/100</f>
        <v>0</v>
      </c>
      <c r="Q212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121" s="25">
        <f>Table1[[#This Row],[current_price]]*Table1[[#This Row],[stock_quantity]]</f>
        <v>66.900000000000006</v>
      </c>
    </row>
    <row r="2122" spans="1:18" x14ac:dyDescent="0.25">
      <c r="A2122" s="2" t="s">
        <v>2175</v>
      </c>
      <c r="B2122" s="2" t="s">
        <v>21</v>
      </c>
      <c r="C2122" s="2" t="s">
        <v>43</v>
      </c>
      <c r="D2122" s="2" t="s">
        <v>34</v>
      </c>
      <c r="E2122" s="2" t="s">
        <v>24</v>
      </c>
      <c r="F2122" s="2" t="s">
        <v>46</v>
      </c>
      <c r="G2122" s="8">
        <v>110.45</v>
      </c>
      <c r="H2122" s="11">
        <v>6.6</v>
      </c>
      <c r="I2122" s="8">
        <v>103.16</v>
      </c>
      <c r="J2122" s="3">
        <v>45875</v>
      </c>
      <c r="K2122" s="14">
        <v>6</v>
      </c>
      <c r="L2122" s="17"/>
      <c r="M2122" s="2" t="b">
        <v>0</v>
      </c>
      <c r="N2122" s="2"/>
      <c r="O2122" s="2" t="str">
        <f>IF(Table1[[#This Row],[is_returned]]=TRUE,IF(Table1[[#This Row],[return_reason]]="","Error","OK"),"OK")</f>
        <v>OK</v>
      </c>
      <c r="P2122" s="8">
        <f>Table1[[#This Row],[original_price]]*Table1[[#This Row],[markdown_percentage]]/100</f>
        <v>7.2896999999999998</v>
      </c>
      <c r="Q212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122" s="25">
        <f>Table1[[#This Row],[current_price]]*Table1[[#This Row],[stock_quantity]]</f>
        <v>618.96</v>
      </c>
    </row>
    <row r="2123" spans="1:18" x14ac:dyDescent="0.25">
      <c r="A2123" s="2" t="s">
        <v>2176</v>
      </c>
      <c r="B2123" s="2" t="s">
        <v>38</v>
      </c>
      <c r="C2123" s="2" t="s">
        <v>16</v>
      </c>
      <c r="D2123" s="2" t="s">
        <v>34</v>
      </c>
      <c r="E2123" s="2" t="s">
        <v>24</v>
      </c>
      <c r="F2123" s="2" t="s">
        <v>40</v>
      </c>
      <c r="G2123" s="8">
        <v>52.73</v>
      </c>
      <c r="H2123" s="11">
        <v>0</v>
      </c>
      <c r="I2123" s="8">
        <v>52.73</v>
      </c>
      <c r="J2123" s="3">
        <v>45875</v>
      </c>
      <c r="K2123" s="14">
        <v>10</v>
      </c>
      <c r="L2123" s="17">
        <v>4.5</v>
      </c>
      <c r="M2123" s="2" t="b">
        <v>0</v>
      </c>
      <c r="N2123" s="2"/>
      <c r="O2123" s="2" t="str">
        <f>IF(Table1[[#This Row],[is_returned]]=TRUE,IF(Table1[[#This Row],[return_reason]]="","Error","OK"),"OK")</f>
        <v>OK</v>
      </c>
      <c r="P2123" s="8">
        <f>Table1[[#This Row],[original_price]]*Table1[[#This Row],[markdown_percentage]]/100</f>
        <v>0</v>
      </c>
      <c r="Q212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123" s="25">
        <f>Table1[[#This Row],[current_price]]*Table1[[#This Row],[stock_quantity]]</f>
        <v>527.29999999999995</v>
      </c>
    </row>
    <row r="2124" spans="1:18" x14ac:dyDescent="0.25">
      <c r="A2124" s="2" t="s">
        <v>2177</v>
      </c>
      <c r="B2124" s="2" t="s">
        <v>15</v>
      </c>
      <c r="C2124" s="2" t="s">
        <v>53</v>
      </c>
      <c r="D2124" s="2" t="s">
        <v>34</v>
      </c>
      <c r="E2124" s="2" t="s">
        <v>24</v>
      </c>
      <c r="F2124" s="2" t="s">
        <v>44</v>
      </c>
      <c r="G2124" s="8">
        <v>89.13</v>
      </c>
      <c r="H2124" s="11">
        <v>0</v>
      </c>
      <c r="I2124" s="8">
        <v>89.13</v>
      </c>
      <c r="J2124" s="3">
        <v>45875</v>
      </c>
      <c r="K2124" s="14">
        <v>17</v>
      </c>
      <c r="L2124" s="17">
        <v>4.0999999999999996</v>
      </c>
      <c r="M2124" s="2" t="b">
        <v>0</v>
      </c>
      <c r="N2124" s="2"/>
      <c r="O2124" s="2" t="str">
        <f>IF(Table1[[#This Row],[is_returned]]=TRUE,IF(Table1[[#This Row],[return_reason]]="","Error","OK"),"OK")</f>
        <v>OK</v>
      </c>
      <c r="P2124" s="8">
        <f>Table1[[#This Row],[original_price]]*Table1[[#This Row],[markdown_percentage]]/100</f>
        <v>0</v>
      </c>
      <c r="Q212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124" s="25">
        <f>Table1[[#This Row],[current_price]]*Table1[[#This Row],[stock_quantity]]</f>
        <v>1515.21</v>
      </c>
    </row>
    <row r="2125" spans="1:18" x14ac:dyDescent="0.25">
      <c r="A2125" s="2" t="s">
        <v>2178</v>
      </c>
      <c r="B2125" s="2" t="s">
        <v>15</v>
      </c>
      <c r="C2125" s="2" t="s">
        <v>32</v>
      </c>
      <c r="D2125" s="2" t="s">
        <v>62</v>
      </c>
      <c r="E2125" s="2" t="s">
        <v>24</v>
      </c>
      <c r="F2125" s="2" t="s">
        <v>46</v>
      </c>
      <c r="G2125" s="8">
        <v>171.78</v>
      </c>
      <c r="H2125" s="11">
        <v>44.1</v>
      </c>
      <c r="I2125" s="8">
        <v>96.03</v>
      </c>
      <c r="J2125" s="3">
        <v>45875</v>
      </c>
      <c r="K2125" s="14">
        <v>25</v>
      </c>
      <c r="L2125" s="17"/>
      <c r="M2125" s="2" t="b">
        <v>1</v>
      </c>
      <c r="N2125" s="2" t="s">
        <v>36</v>
      </c>
      <c r="O2125" s="2" t="str">
        <f>IF(Table1[[#This Row],[is_returned]]=TRUE,IF(Table1[[#This Row],[return_reason]]="","Error","OK"),"OK")</f>
        <v>OK</v>
      </c>
      <c r="P2125" s="8">
        <f>Table1[[#This Row],[original_price]]*Table1[[#This Row],[markdown_percentage]]/100</f>
        <v>75.754980000000003</v>
      </c>
      <c r="Q212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125" s="25">
        <f>Table1[[#This Row],[current_price]]*Table1[[#This Row],[stock_quantity]]</f>
        <v>2400.75</v>
      </c>
    </row>
    <row r="2126" spans="1:18" x14ac:dyDescent="0.25">
      <c r="A2126" s="2" t="s">
        <v>2179</v>
      </c>
      <c r="B2126" s="2" t="s">
        <v>30</v>
      </c>
      <c r="C2126" s="2" t="s">
        <v>61</v>
      </c>
      <c r="D2126" s="2" t="s">
        <v>23</v>
      </c>
      <c r="E2126" s="2" t="s">
        <v>58</v>
      </c>
      <c r="F2126" s="2" t="s">
        <v>25</v>
      </c>
      <c r="G2126" s="8">
        <v>129</v>
      </c>
      <c r="H2126" s="11">
        <v>0</v>
      </c>
      <c r="I2126" s="8">
        <v>129</v>
      </c>
      <c r="J2126" s="3">
        <v>45875</v>
      </c>
      <c r="K2126" s="14">
        <v>13</v>
      </c>
      <c r="L2126" s="17">
        <v>3.8</v>
      </c>
      <c r="M2126" s="2" t="b">
        <v>1</v>
      </c>
      <c r="N2126" s="2" t="s">
        <v>115</v>
      </c>
      <c r="O2126" s="2" t="str">
        <f>IF(Table1[[#This Row],[is_returned]]=TRUE,IF(Table1[[#This Row],[return_reason]]="","Error","OK"),"OK")</f>
        <v>OK</v>
      </c>
      <c r="P2126" s="8">
        <f>Table1[[#This Row],[original_price]]*Table1[[#This Row],[markdown_percentage]]/100</f>
        <v>0</v>
      </c>
      <c r="Q212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126" s="25">
        <f>Table1[[#This Row],[current_price]]*Table1[[#This Row],[stock_quantity]]</f>
        <v>1677</v>
      </c>
    </row>
    <row r="2127" spans="1:18" x14ac:dyDescent="0.25">
      <c r="A2127" s="2" t="s">
        <v>2180</v>
      </c>
      <c r="B2127" s="2" t="s">
        <v>30</v>
      </c>
      <c r="C2127" s="2" t="s">
        <v>16</v>
      </c>
      <c r="D2127" s="2" t="s">
        <v>62</v>
      </c>
      <c r="E2127" s="2" t="s">
        <v>55</v>
      </c>
      <c r="F2127" s="2" t="s">
        <v>70</v>
      </c>
      <c r="G2127" s="8">
        <v>160.59</v>
      </c>
      <c r="H2127" s="11">
        <v>0</v>
      </c>
      <c r="I2127" s="8">
        <v>160.59</v>
      </c>
      <c r="J2127" s="3">
        <v>45875</v>
      </c>
      <c r="K2127" s="14">
        <v>8</v>
      </c>
      <c r="L2127" s="17">
        <v>2.9</v>
      </c>
      <c r="M2127" s="2" t="b">
        <v>0</v>
      </c>
      <c r="N2127" s="2"/>
      <c r="O2127" s="2" t="str">
        <f>IF(Table1[[#This Row],[is_returned]]=TRUE,IF(Table1[[#This Row],[return_reason]]="","Error","OK"),"OK")</f>
        <v>OK</v>
      </c>
      <c r="P2127" s="8">
        <f>Table1[[#This Row],[original_price]]*Table1[[#This Row],[markdown_percentage]]/100</f>
        <v>0</v>
      </c>
      <c r="Q212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127" s="25">
        <f>Table1[[#This Row],[current_price]]*Table1[[#This Row],[stock_quantity]]</f>
        <v>1284.72</v>
      </c>
    </row>
    <row r="2128" spans="1:18" x14ac:dyDescent="0.25">
      <c r="A2128" s="2" t="s">
        <v>2181</v>
      </c>
      <c r="B2128" s="2" t="s">
        <v>21</v>
      </c>
      <c r="C2128" s="2" t="s">
        <v>32</v>
      </c>
      <c r="D2128" s="2" t="s">
        <v>62</v>
      </c>
      <c r="E2128" s="2" t="s">
        <v>24</v>
      </c>
      <c r="F2128" s="2" t="s">
        <v>19</v>
      </c>
      <c r="G2128" s="8">
        <v>56.38</v>
      </c>
      <c r="H2128" s="11">
        <v>0</v>
      </c>
      <c r="I2128" s="8">
        <v>56.38</v>
      </c>
      <c r="J2128" s="3">
        <v>45875</v>
      </c>
      <c r="K2128" s="14">
        <v>9</v>
      </c>
      <c r="L2128" s="17"/>
      <c r="M2128" s="2" t="b">
        <v>0</v>
      </c>
      <c r="N2128" s="2"/>
      <c r="O2128" s="2" t="str">
        <f>IF(Table1[[#This Row],[is_returned]]=TRUE,IF(Table1[[#This Row],[return_reason]]="","Error","OK"),"OK")</f>
        <v>OK</v>
      </c>
      <c r="P2128" s="8">
        <f>Table1[[#This Row],[original_price]]*Table1[[#This Row],[markdown_percentage]]/100</f>
        <v>0</v>
      </c>
      <c r="Q212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128" s="25">
        <f>Table1[[#This Row],[current_price]]*Table1[[#This Row],[stock_quantity]]</f>
        <v>507.42</v>
      </c>
    </row>
    <row r="2129" spans="1:18" x14ac:dyDescent="0.25">
      <c r="A2129" s="2" t="s">
        <v>2182</v>
      </c>
      <c r="B2129" s="2" t="s">
        <v>15</v>
      </c>
      <c r="C2129" s="2" t="s">
        <v>61</v>
      </c>
      <c r="D2129" s="2" t="s">
        <v>23</v>
      </c>
      <c r="E2129" s="2" t="s">
        <v>24</v>
      </c>
      <c r="F2129" s="2" t="s">
        <v>46</v>
      </c>
      <c r="G2129" s="8">
        <v>109.2</v>
      </c>
      <c r="H2129" s="11">
        <v>26.6</v>
      </c>
      <c r="I2129" s="8">
        <v>80.150000000000006</v>
      </c>
      <c r="J2129" s="3">
        <v>45875</v>
      </c>
      <c r="K2129" s="14">
        <v>21</v>
      </c>
      <c r="L2129" s="17">
        <v>3.9</v>
      </c>
      <c r="M2129" s="2" t="b">
        <v>1</v>
      </c>
      <c r="N2129" s="2" t="s">
        <v>83</v>
      </c>
      <c r="O2129" s="2" t="str">
        <f>IF(Table1[[#This Row],[is_returned]]=TRUE,IF(Table1[[#This Row],[return_reason]]="","Error","OK"),"OK")</f>
        <v>OK</v>
      </c>
      <c r="P2129" s="8">
        <f>Table1[[#This Row],[original_price]]*Table1[[#This Row],[markdown_percentage]]/100</f>
        <v>29.047200000000004</v>
      </c>
      <c r="Q212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129" s="25">
        <f>Table1[[#This Row],[current_price]]*Table1[[#This Row],[stock_quantity]]</f>
        <v>1683.15</v>
      </c>
    </row>
    <row r="2130" spans="1:18" x14ac:dyDescent="0.25">
      <c r="A2130" s="2" t="s">
        <v>2183</v>
      </c>
      <c r="B2130" s="2" t="s">
        <v>27</v>
      </c>
      <c r="C2130" s="2" t="s">
        <v>22</v>
      </c>
      <c r="D2130" s="2" t="s">
        <v>17</v>
      </c>
      <c r="E2130" s="2"/>
      <c r="F2130" s="2" t="s">
        <v>25</v>
      </c>
      <c r="G2130" s="8">
        <v>21.43</v>
      </c>
      <c r="H2130" s="11">
        <v>0</v>
      </c>
      <c r="I2130" s="8">
        <v>21.43</v>
      </c>
      <c r="J2130" s="3">
        <v>45691</v>
      </c>
      <c r="K2130" s="14">
        <v>38</v>
      </c>
      <c r="L2130" s="17">
        <v>1.9</v>
      </c>
      <c r="M2130" s="2" t="b">
        <v>0</v>
      </c>
      <c r="N2130" s="2"/>
      <c r="O2130" s="2" t="str">
        <f>IF(Table1[[#This Row],[is_returned]]=TRUE,IF(Table1[[#This Row],[return_reason]]="","Error","OK"),"OK")</f>
        <v>OK</v>
      </c>
      <c r="P2130" s="8">
        <f>Table1[[#This Row],[original_price]]*Table1[[#This Row],[markdown_percentage]]/100</f>
        <v>0</v>
      </c>
      <c r="Q213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130" s="25">
        <f>Table1[[#This Row],[current_price]]*Table1[[#This Row],[stock_quantity]]</f>
        <v>814.34</v>
      </c>
    </row>
    <row r="2131" spans="1:18" x14ac:dyDescent="0.25">
      <c r="A2131" s="2" t="s">
        <v>2184</v>
      </c>
      <c r="B2131" s="2" t="s">
        <v>30</v>
      </c>
      <c r="C2131" s="2" t="s">
        <v>48</v>
      </c>
      <c r="D2131" s="2" t="s">
        <v>23</v>
      </c>
      <c r="E2131" s="2" t="s">
        <v>58</v>
      </c>
      <c r="F2131" s="2" t="s">
        <v>66</v>
      </c>
      <c r="G2131" s="8">
        <v>87.11</v>
      </c>
      <c r="H2131" s="11">
        <v>0</v>
      </c>
      <c r="I2131" s="8">
        <v>87.11</v>
      </c>
      <c r="J2131" s="3">
        <v>45875</v>
      </c>
      <c r="K2131" s="14">
        <v>36</v>
      </c>
      <c r="L2131" s="17">
        <v>2.2999999999999998</v>
      </c>
      <c r="M2131" s="2" t="b">
        <v>0</v>
      </c>
      <c r="N2131" s="2"/>
      <c r="O2131" s="2" t="str">
        <f>IF(Table1[[#This Row],[is_returned]]=TRUE,IF(Table1[[#This Row],[return_reason]]="","Error","OK"),"OK")</f>
        <v>OK</v>
      </c>
      <c r="P2131" s="8">
        <f>Table1[[#This Row],[original_price]]*Table1[[#This Row],[markdown_percentage]]/100</f>
        <v>0</v>
      </c>
      <c r="Q213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131" s="25">
        <f>Table1[[#This Row],[current_price]]*Table1[[#This Row],[stock_quantity]]</f>
        <v>3135.96</v>
      </c>
    </row>
    <row r="2132" spans="1:18" x14ac:dyDescent="0.25">
      <c r="A2132" s="2" t="s">
        <v>2185</v>
      </c>
      <c r="B2132" s="2" t="s">
        <v>27</v>
      </c>
      <c r="C2132" s="2" t="s">
        <v>75</v>
      </c>
      <c r="D2132" s="2" t="s">
        <v>34</v>
      </c>
      <c r="E2132" s="2"/>
      <c r="F2132" s="2" t="s">
        <v>64</v>
      </c>
      <c r="G2132" s="8">
        <v>36.29</v>
      </c>
      <c r="H2132" s="11">
        <v>0</v>
      </c>
      <c r="I2132" s="8">
        <v>36.29</v>
      </c>
      <c r="J2132" s="3">
        <v>45875</v>
      </c>
      <c r="K2132" s="14">
        <v>47</v>
      </c>
      <c r="L2132" s="17">
        <v>2.8</v>
      </c>
      <c r="M2132" s="2" t="b">
        <v>0</v>
      </c>
      <c r="N2132" s="2"/>
      <c r="O2132" s="2" t="str">
        <f>IF(Table1[[#This Row],[is_returned]]=TRUE,IF(Table1[[#This Row],[return_reason]]="","Error","OK"),"OK")</f>
        <v>OK</v>
      </c>
      <c r="P2132" s="8">
        <f>Table1[[#This Row],[original_price]]*Table1[[#This Row],[markdown_percentage]]/100</f>
        <v>0</v>
      </c>
      <c r="Q213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132" s="25">
        <f>Table1[[#This Row],[current_price]]*Table1[[#This Row],[stock_quantity]]</f>
        <v>1705.6299999999999</v>
      </c>
    </row>
    <row r="2133" spans="1:18" x14ac:dyDescent="0.25">
      <c r="A2133" s="2" t="s">
        <v>2186</v>
      </c>
      <c r="B2133" s="2" t="s">
        <v>42</v>
      </c>
      <c r="C2133" s="2" t="s">
        <v>48</v>
      </c>
      <c r="D2133" s="2" t="s">
        <v>17</v>
      </c>
      <c r="E2133" s="2" t="s">
        <v>58</v>
      </c>
      <c r="F2133" s="2" t="s">
        <v>46</v>
      </c>
      <c r="G2133" s="8">
        <v>105.59</v>
      </c>
      <c r="H2133" s="11">
        <v>0</v>
      </c>
      <c r="I2133" s="8">
        <v>105.59</v>
      </c>
      <c r="J2133" s="3">
        <v>45835</v>
      </c>
      <c r="K2133" s="14">
        <v>37</v>
      </c>
      <c r="L2133" s="17">
        <v>4.7</v>
      </c>
      <c r="M2133" s="2" t="b">
        <v>0</v>
      </c>
      <c r="N2133" s="2"/>
      <c r="O2133" s="2" t="str">
        <f>IF(Table1[[#This Row],[is_returned]]=TRUE,IF(Table1[[#This Row],[return_reason]]="","Error","OK"),"OK")</f>
        <v>OK</v>
      </c>
      <c r="P2133" s="8">
        <f>Table1[[#This Row],[original_price]]*Table1[[#This Row],[markdown_percentage]]/100</f>
        <v>0</v>
      </c>
      <c r="Q213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133" s="25">
        <f>Table1[[#This Row],[current_price]]*Table1[[#This Row],[stock_quantity]]</f>
        <v>3906.83</v>
      </c>
    </row>
    <row r="2134" spans="1:18" x14ac:dyDescent="0.25">
      <c r="A2134" s="2" t="s">
        <v>2187</v>
      </c>
      <c r="B2134" s="2" t="s">
        <v>42</v>
      </c>
      <c r="C2134" s="2" t="s">
        <v>16</v>
      </c>
      <c r="D2134" s="2" t="s">
        <v>34</v>
      </c>
      <c r="E2134" s="2" t="s">
        <v>39</v>
      </c>
      <c r="F2134" s="2" t="s">
        <v>28</v>
      </c>
      <c r="G2134" s="8">
        <v>93.5</v>
      </c>
      <c r="H2134" s="11">
        <v>0</v>
      </c>
      <c r="I2134" s="8">
        <v>93.5</v>
      </c>
      <c r="J2134" s="3">
        <v>45875</v>
      </c>
      <c r="K2134" s="14">
        <v>4</v>
      </c>
      <c r="L2134" s="17">
        <v>3.7</v>
      </c>
      <c r="M2134" s="2" t="b">
        <v>0</v>
      </c>
      <c r="N2134" s="2"/>
      <c r="O2134" s="2" t="str">
        <f>IF(Table1[[#This Row],[is_returned]]=TRUE,IF(Table1[[#This Row],[return_reason]]="","Error","OK"),"OK")</f>
        <v>OK</v>
      </c>
      <c r="P2134" s="8">
        <f>Table1[[#This Row],[original_price]]*Table1[[#This Row],[markdown_percentage]]/100</f>
        <v>0</v>
      </c>
      <c r="Q213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134" s="25">
        <f>Table1[[#This Row],[current_price]]*Table1[[#This Row],[stock_quantity]]</f>
        <v>374</v>
      </c>
    </row>
    <row r="2135" spans="1:18" x14ac:dyDescent="0.25">
      <c r="A2135" s="2" t="s">
        <v>2188</v>
      </c>
      <c r="B2135" s="2" t="s">
        <v>27</v>
      </c>
      <c r="C2135" s="2" t="s">
        <v>53</v>
      </c>
      <c r="D2135" s="2" t="s">
        <v>23</v>
      </c>
      <c r="E2135" s="2"/>
      <c r="F2135" s="2" t="s">
        <v>28</v>
      </c>
      <c r="G2135" s="8">
        <v>41.72</v>
      </c>
      <c r="H2135" s="11">
        <v>9.5</v>
      </c>
      <c r="I2135" s="8">
        <v>37.76</v>
      </c>
      <c r="J2135" s="3">
        <v>45875</v>
      </c>
      <c r="K2135" s="14">
        <v>9</v>
      </c>
      <c r="L2135" s="17">
        <v>3.9</v>
      </c>
      <c r="M2135" s="2" t="b">
        <v>0</v>
      </c>
      <c r="N2135" s="2"/>
      <c r="O2135" s="2" t="str">
        <f>IF(Table1[[#This Row],[is_returned]]=TRUE,IF(Table1[[#This Row],[return_reason]]="","Error","OK"),"OK")</f>
        <v>OK</v>
      </c>
      <c r="P2135" s="8">
        <f>Table1[[#This Row],[original_price]]*Table1[[#This Row],[markdown_percentage]]/100</f>
        <v>3.9633999999999996</v>
      </c>
      <c r="Q213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135" s="25">
        <f>Table1[[#This Row],[current_price]]*Table1[[#This Row],[stock_quantity]]</f>
        <v>339.84</v>
      </c>
    </row>
    <row r="2136" spans="1:18" x14ac:dyDescent="0.25">
      <c r="A2136" s="2" t="s">
        <v>2189</v>
      </c>
      <c r="B2136" s="2" t="s">
        <v>27</v>
      </c>
      <c r="C2136" s="2" t="s">
        <v>43</v>
      </c>
      <c r="D2136" s="2" t="s">
        <v>62</v>
      </c>
      <c r="E2136" s="2"/>
      <c r="F2136" s="2" t="s">
        <v>19</v>
      </c>
      <c r="G2136" s="8">
        <v>74.540000000000006</v>
      </c>
      <c r="H2136" s="11">
        <v>58.1</v>
      </c>
      <c r="I2136" s="8">
        <v>31.23</v>
      </c>
      <c r="J2136" s="3">
        <v>45875</v>
      </c>
      <c r="K2136" s="14">
        <v>35</v>
      </c>
      <c r="L2136" s="17">
        <v>4.8</v>
      </c>
      <c r="M2136" s="2" t="b">
        <v>0</v>
      </c>
      <c r="N2136" s="2"/>
      <c r="O2136" s="2" t="str">
        <f>IF(Table1[[#This Row],[is_returned]]=TRUE,IF(Table1[[#This Row],[return_reason]]="","Error","OK"),"OK")</f>
        <v>OK</v>
      </c>
      <c r="P2136" s="8">
        <f>Table1[[#This Row],[original_price]]*Table1[[#This Row],[markdown_percentage]]/100</f>
        <v>43.307740000000003</v>
      </c>
      <c r="Q213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136" s="25">
        <f>Table1[[#This Row],[current_price]]*Table1[[#This Row],[stock_quantity]]</f>
        <v>1093.05</v>
      </c>
    </row>
    <row r="2137" spans="1:18" x14ac:dyDescent="0.25">
      <c r="A2137" s="2" t="s">
        <v>2190</v>
      </c>
      <c r="B2137" s="2" t="s">
        <v>42</v>
      </c>
      <c r="C2137" s="2" t="s">
        <v>22</v>
      </c>
      <c r="D2137" s="2" t="s">
        <v>17</v>
      </c>
      <c r="E2137" s="2"/>
      <c r="F2137" s="2" t="s">
        <v>44</v>
      </c>
      <c r="G2137" s="8">
        <v>85.49</v>
      </c>
      <c r="H2137" s="11">
        <v>0</v>
      </c>
      <c r="I2137" s="8">
        <v>85.49</v>
      </c>
      <c r="J2137" s="3">
        <v>45642</v>
      </c>
      <c r="K2137" s="14">
        <v>0</v>
      </c>
      <c r="L2137" s="17">
        <v>3.7</v>
      </c>
      <c r="M2137" s="2" t="b">
        <v>0</v>
      </c>
      <c r="N2137" s="2"/>
      <c r="O2137" s="2" t="str">
        <f>IF(Table1[[#This Row],[is_returned]]=TRUE,IF(Table1[[#This Row],[return_reason]]="","Error","OK"),"OK")</f>
        <v>OK</v>
      </c>
      <c r="P2137" s="8">
        <f>Table1[[#This Row],[original_price]]*Table1[[#This Row],[markdown_percentage]]/100</f>
        <v>0</v>
      </c>
      <c r="Q213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137" s="25">
        <f>Table1[[#This Row],[current_price]]*Table1[[#This Row],[stock_quantity]]</f>
        <v>0</v>
      </c>
    </row>
    <row r="2138" spans="1:18" x14ac:dyDescent="0.25">
      <c r="A2138" s="2" t="s">
        <v>2191</v>
      </c>
      <c r="B2138" s="2" t="s">
        <v>42</v>
      </c>
      <c r="C2138" s="2" t="s">
        <v>16</v>
      </c>
      <c r="D2138" s="2" t="s">
        <v>62</v>
      </c>
      <c r="E2138" s="2" t="s">
        <v>58</v>
      </c>
      <c r="F2138" s="2" t="s">
        <v>46</v>
      </c>
      <c r="G2138" s="8">
        <v>131.05000000000001</v>
      </c>
      <c r="H2138" s="11">
        <v>0</v>
      </c>
      <c r="I2138" s="8">
        <v>131.05000000000001</v>
      </c>
      <c r="J2138" s="3">
        <v>45875</v>
      </c>
      <c r="K2138" s="14">
        <v>23</v>
      </c>
      <c r="L2138" s="17">
        <v>4.9000000000000004</v>
      </c>
      <c r="M2138" s="2" t="b">
        <v>0</v>
      </c>
      <c r="N2138" s="2"/>
      <c r="O2138" s="2" t="str">
        <f>IF(Table1[[#This Row],[is_returned]]=TRUE,IF(Table1[[#This Row],[return_reason]]="","Error","OK"),"OK")</f>
        <v>OK</v>
      </c>
      <c r="P2138" s="8">
        <f>Table1[[#This Row],[original_price]]*Table1[[#This Row],[markdown_percentage]]/100</f>
        <v>0</v>
      </c>
      <c r="Q213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138" s="25">
        <f>Table1[[#This Row],[current_price]]*Table1[[#This Row],[stock_quantity]]</f>
        <v>3014.15</v>
      </c>
    </row>
    <row r="2139" spans="1:18" x14ac:dyDescent="0.25">
      <c r="A2139" s="2" t="s">
        <v>2192</v>
      </c>
      <c r="B2139" s="2" t="s">
        <v>38</v>
      </c>
      <c r="C2139" s="2" t="s">
        <v>75</v>
      </c>
      <c r="D2139" s="2" t="s">
        <v>62</v>
      </c>
      <c r="E2139" s="2" t="s">
        <v>18</v>
      </c>
      <c r="F2139" s="2" t="s">
        <v>25</v>
      </c>
      <c r="G2139" s="8">
        <v>63.5</v>
      </c>
      <c r="H2139" s="11">
        <v>0</v>
      </c>
      <c r="I2139" s="8">
        <v>63.5</v>
      </c>
      <c r="J2139" s="3">
        <v>45875</v>
      </c>
      <c r="K2139" s="14">
        <v>17</v>
      </c>
      <c r="L2139" s="17">
        <v>2.6</v>
      </c>
      <c r="M2139" s="2" t="b">
        <v>0</v>
      </c>
      <c r="N2139" s="2"/>
      <c r="O2139" s="2" t="str">
        <f>IF(Table1[[#This Row],[is_returned]]=TRUE,IF(Table1[[#This Row],[return_reason]]="","Error","OK"),"OK")</f>
        <v>OK</v>
      </c>
      <c r="P2139" s="8">
        <f>Table1[[#This Row],[original_price]]*Table1[[#This Row],[markdown_percentage]]/100</f>
        <v>0</v>
      </c>
      <c r="Q213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139" s="25">
        <f>Table1[[#This Row],[current_price]]*Table1[[#This Row],[stock_quantity]]</f>
        <v>1079.5</v>
      </c>
    </row>
    <row r="2140" spans="1:18" x14ac:dyDescent="0.25">
      <c r="A2140" s="2" t="s">
        <v>2193</v>
      </c>
      <c r="B2140" s="2" t="s">
        <v>21</v>
      </c>
      <c r="C2140" s="2" t="s">
        <v>22</v>
      </c>
      <c r="D2140" s="2" t="s">
        <v>34</v>
      </c>
      <c r="E2140" s="2" t="s">
        <v>58</v>
      </c>
      <c r="F2140" s="2" t="s">
        <v>56</v>
      </c>
      <c r="G2140" s="8">
        <v>75.540000000000006</v>
      </c>
      <c r="H2140" s="11">
        <v>0</v>
      </c>
      <c r="I2140" s="8">
        <v>75.540000000000006</v>
      </c>
      <c r="J2140" s="3">
        <v>45875</v>
      </c>
      <c r="K2140" s="14">
        <v>7</v>
      </c>
      <c r="L2140" s="17">
        <v>3.3</v>
      </c>
      <c r="M2140" s="2" t="b">
        <v>0</v>
      </c>
      <c r="N2140" s="2"/>
      <c r="O2140" s="2" t="str">
        <f>IF(Table1[[#This Row],[is_returned]]=TRUE,IF(Table1[[#This Row],[return_reason]]="","Error","OK"),"OK")</f>
        <v>OK</v>
      </c>
      <c r="P2140" s="8">
        <f>Table1[[#This Row],[original_price]]*Table1[[#This Row],[markdown_percentage]]/100</f>
        <v>0</v>
      </c>
      <c r="Q214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140" s="25">
        <f>Table1[[#This Row],[current_price]]*Table1[[#This Row],[stock_quantity]]</f>
        <v>528.78000000000009</v>
      </c>
    </row>
    <row r="2141" spans="1:18" x14ac:dyDescent="0.25">
      <c r="A2141" s="2" t="s">
        <v>2194</v>
      </c>
      <c r="B2141" s="2" t="s">
        <v>21</v>
      </c>
      <c r="C2141" s="2" t="s">
        <v>43</v>
      </c>
      <c r="D2141" s="2" t="s">
        <v>34</v>
      </c>
      <c r="E2141" s="2" t="s">
        <v>49</v>
      </c>
      <c r="F2141" s="2" t="s">
        <v>56</v>
      </c>
      <c r="G2141" s="8">
        <v>110.77</v>
      </c>
      <c r="H2141" s="11">
        <v>0</v>
      </c>
      <c r="I2141" s="8">
        <v>110.77</v>
      </c>
      <c r="J2141" s="3">
        <v>45875</v>
      </c>
      <c r="K2141" s="14">
        <v>48</v>
      </c>
      <c r="L2141" s="17">
        <v>2.6</v>
      </c>
      <c r="M2141" s="2" t="b">
        <v>0</v>
      </c>
      <c r="N2141" s="2"/>
      <c r="O2141" s="2" t="str">
        <f>IF(Table1[[#This Row],[is_returned]]=TRUE,IF(Table1[[#This Row],[return_reason]]="","Error","OK"),"OK")</f>
        <v>OK</v>
      </c>
      <c r="P2141" s="8">
        <f>Table1[[#This Row],[original_price]]*Table1[[#This Row],[markdown_percentage]]/100</f>
        <v>0</v>
      </c>
      <c r="Q214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141" s="25">
        <f>Table1[[#This Row],[current_price]]*Table1[[#This Row],[stock_quantity]]</f>
        <v>5316.96</v>
      </c>
    </row>
    <row r="2142" spans="1:18" x14ac:dyDescent="0.25">
      <c r="A2142" s="2" t="s">
        <v>2195</v>
      </c>
      <c r="B2142" s="2" t="s">
        <v>30</v>
      </c>
      <c r="C2142" s="2" t="s">
        <v>43</v>
      </c>
      <c r="D2142" s="2" t="s">
        <v>62</v>
      </c>
      <c r="E2142" s="2" t="s">
        <v>58</v>
      </c>
      <c r="F2142" s="2" t="s">
        <v>35</v>
      </c>
      <c r="G2142" s="8">
        <v>190.71</v>
      </c>
      <c r="H2142" s="11">
        <v>6.3</v>
      </c>
      <c r="I2142" s="8">
        <v>178.7</v>
      </c>
      <c r="J2142" s="3">
        <v>45875</v>
      </c>
      <c r="K2142" s="14">
        <v>1</v>
      </c>
      <c r="L2142" s="17">
        <v>2</v>
      </c>
      <c r="M2142" s="2" t="b">
        <v>0</v>
      </c>
      <c r="N2142" s="2"/>
      <c r="O2142" s="2" t="str">
        <f>IF(Table1[[#This Row],[is_returned]]=TRUE,IF(Table1[[#This Row],[return_reason]]="","Error","OK"),"OK")</f>
        <v>OK</v>
      </c>
      <c r="P2142" s="8">
        <f>Table1[[#This Row],[original_price]]*Table1[[#This Row],[markdown_percentage]]/100</f>
        <v>12.01473</v>
      </c>
      <c r="Q214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142" s="25">
        <f>Table1[[#This Row],[current_price]]*Table1[[#This Row],[stock_quantity]]</f>
        <v>178.7</v>
      </c>
    </row>
    <row r="2143" spans="1:18" x14ac:dyDescent="0.25">
      <c r="A2143" s="2" t="s">
        <v>2196</v>
      </c>
      <c r="B2143" s="2" t="s">
        <v>21</v>
      </c>
      <c r="C2143" s="2" t="s">
        <v>43</v>
      </c>
      <c r="D2143" s="2" t="s">
        <v>34</v>
      </c>
      <c r="E2143" s="2" t="s">
        <v>24</v>
      </c>
      <c r="F2143" s="2" t="s">
        <v>35</v>
      </c>
      <c r="G2143" s="8">
        <v>100.56</v>
      </c>
      <c r="H2143" s="11">
        <v>17.3</v>
      </c>
      <c r="I2143" s="8">
        <v>83.16</v>
      </c>
      <c r="J2143" s="3">
        <v>45875</v>
      </c>
      <c r="K2143" s="14">
        <v>21</v>
      </c>
      <c r="L2143" s="17">
        <v>3.6</v>
      </c>
      <c r="M2143" s="2" t="b">
        <v>0</v>
      </c>
      <c r="N2143" s="2"/>
      <c r="O2143" s="2" t="str">
        <f>IF(Table1[[#This Row],[is_returned]]=TRUE,IF(Table1[[#This Row],[return_reason]]="","Error","OK"),"OK")</f>
        <v>OK</v>
      </c>
      <c r="P2143" s="8">
        <f>Table1[[#This Row],[original_price]]*Table1[[#This Row],[markdown_percentage]]/100</f>
        <v>17.396879999999999</v>
      </c>
      <c r="Q214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143" s="25">
        <f>Table1[[#This Row],[current_price]]*Table1[[#This Row],[stock_quantity]]</f>
        <v>1746.36</v>
      </c>
    </row>
    <row r="2144" spans="1:18" x14ac:dyDescent="0.25">
      <c r="A2144" s="2" t="s">
        <v>2197</v>
      </c>
      <c r="B2144" s="2" t="s">
        <v>15</v>
      </c>
      <c r="C2144" s="2" t="s">
        <v>75</v>
      </c>
      <c r="D2144" s="2" t="s">
        <v>62</v>
      </c>
      <c r="E2144" s="2" t="s">
        <v>49</v>
      </c>
      <c r="F2144" s="2" t="s">
        <v>25</v>
      </c>
      <c r="G2144" s="8">
        <v>221.59</v>
      </c>
      <c r="H2144" s="11">
        <v>8.6</v>
      </c>
      <c r="I2144" s="8">
        <v>202.53</v>
      </c>
      <c r="J2144" s="3">
        <v>45875</v>
      </c>
      <c r="K2144" s="14">
        <v>5</v>
      </c>
      <c r="L2144" s="17"/>
      <c r="M2144" s="2" t="b">
        <v>0</v>
      </c>
      <c r="N2144" s="2"/>
      <c r="O2144" s="2" t="str">
        <f>IF(Table1[[#This Row],[is_returned]]=TRUE,IF(Table1[[#This Row],[return_reason]]="","Error","OK"),"OK")</f>
        <v>OK</v>
      </c>
      <c r="P2144" s="8">
        <f>Table1[[#This Row],[original_price]]*Table1[[#This Row],[markdown_percentage]]/100</f>
        <v>19.056740000000001</v>
      </c>
      <c r="Q214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144" s="25">
        <f>Table1[[#This Row],[current_price]]*Table1[[#This Row],[stock_quantity]]</f>
        <v>1012.65</v>
      </c>
    </row>
    <row r="2145" spans="1:18" x14ac:dyDescent="0.25">
      <c r="A2145" s="2" t="s">
        <v>2198</v>
      </c>
      <c r="B2145" s="2" t="s">
        <v>38</v>
      </c>
      <c r="C2145" s="2" t="s">
        <v>61</v>
      </c>
      <c r="D2145" s="2" t="s">
        <v>62</v>
      </c>
      <c r="E2145" s="2" t="s">
        <v>24</v>
      </c>
      <c r="F2145" s="2" t="s">
        <v>56</v>
      </c>
      <c r="G2145" s="8">
        <v>55.21</v>
      </c>
      <c r="H2145" s="11">
        <v>0</v>
      </c>
      <c r="I2145" s="8">
        <v>55.21</v>
      </c>
      <c r="J2145" s="3">
        <v>45875</v>
      </c>
      <c r="K2145" s="14">
        <v>21</v>
      </c>
      <c r="L2145" s="17">
        <v>1.8</v>
      </c>
      <c r="M2145" s="2" t="b">
        <v>1</v>
      </c>
      <c r="N2145" s="2" t="s">
        <v>125</v>
      </c>
      <c r="O2145" s="2" t="str">
        <f>IF(Table1[[#This Row],[is_returned]]=TRUE,IF(Table1[[#This Row],[return_reason]]="","Error","OK"),"OK")</f>
        <v>OK</v>
      </c>
      <c r="P2145" s="8">
        <f>Table1[[#This Row],[original_price]]*Table1[[#This Row],[markdown_percentage]]/100</f>
        <v>0</v>
      </c>
      <c r="Q214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145" s="25">
        <f>Table1[[#This Row],[current_price]]*Table1[[#This Row],[stock_quantity]]</f>
        <v>1159.4100000000001</v>
      </c>
    </row>
    <row r="2146" spans="1:18" x14ac:dyDescent="0.25">
      <c r="A2146" s="2" t="s">
        <v>2199</v>
      </c>
      <c r="B2146" s="2" t="s">
        <v>27</v>
      </c>
      <c r="C2146" s="2" t="s">
        <v>22</v>
      </c>
      <c r="D2146" s="2" t="s">
        <v>34</v>
      </c>
      <c r="E2146" s="2"/>
      <c r="F2146" s="2" t="s">
        <v>28</v>
      </c>
      <c r="G2146" s="8">
        <v>17.87</v>
      </c>
      <c r="H2146" s="11">
        <v>0</v>
      </c>
      <c r="I2146" s="8">
        <v>17.87</v>
      </c>
      <c r="J2146" s="3">
        <v>45875</v>
      </c>
      <c r="K2146" s="14">
        <v>47</v>
      </c>
      <c r="L2146" s="17"/>
      <c r="M2146" s="2" t="b">
        <v>0</v>
      </c>
      <c r="N2146" s="2"/>
      <c r="O2146" s="2" t="str">
        <f>IF(Table1[[#This Row],[is_returned]]=TRUE,IF(Table1[[#This Row],[return_reason]]="","Error","OK"),"OK")</f>
        <v>OK</v>
      </c>
      <c r="P2146" s="8">
        <f>Table1[[#This Row],[original_price]]*Table1[[#This Row],[markdown_percentage]]/100</f>
        <v>0</v>
      </c>
      <c r="Q214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146" s="25">
        <f>Table1[[#This Row],[current_price]]*Table1[[#This Row],[stock_quantity]]</f>
        <v>839.8900000000001</v>
      </c>
    </row>
    <row r="2147" spans="1:18" x14ac:dyDescent="0.25">
      <c r="A2147" s="2" t="s">
        <v>2200</v>
      </c>
      <c r="B2147" s="2" t="s">
        <v>38</v>
      </c>
      <c r="C2147" s="2" t="s">
        <v>22</v>
      </c>
      <c r="D2147" s="2" t="s">
        <v>62</v>
      </c>
      <c r="E2147" s="2" t="s">
        <v>55</v>
      </c>
      <c r="F2147" s="2" t="s">
        <v>25</v>
      </c>
      <c r="G2147" s="8">
        <v>56.57</v>
      </c>
      <c r="H2147" s="11">
        <v>0</v>
      </c>
      <c r="I2147" s="8">
        <v>56.57</v>
      </c>
      <c r="J2147" s="3">
        <v>45875</v>
      </c>
      <c r="K2147" s="14">
        <v>43</v>
      </c>
      <c r="L2147" s="17">
        <v>4.4000000000000004</v>
      </c>
      <c r="M2147" s="2" t="b">
        <v>1</v>
      </c>
      <c r="N2147" s="2" t="s">
        <v>73</v>
      </c>
      <c r="O2147" s="2" t="str">
        <f>IF(Table1[[#This Row],[is_returned]]=TRUE,IF(Table1[[#This Row],[return_reason]]="","Error","OK"),"OK")</f>
        <v>OK</v>
      </c>
      <c r="P2147" s="8">
        <f>Table1[[#This Row],[original_price]]*Table1[[#This Row],[markdown_percentage]]/100</f>
        <v>0</v>
      </c>
      <c r="Q214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147" s="25">
        <f>Table1[[#This Row],[current_price]]*Table1[[#This Row],[stock_quantity]]</f>
        <v>2432.5100000000002</v>
      </c>
    </row>
    <row r="2148" spans="1:18" x14ac:dyDescent="0.25">
      <c r="A2148" s="2" t="s">
        <v>2201</v>
      </c>
      <c r="B2148" s="2" t="s">
        <v>27</v>
      </c>
      <c r="C2148" s="2" t="s">
        <v>61</v>
      </c>
      <c r="D2148" s="2" t="s">
        <v>17</v>
      </c>
      <c r="E2148" s="2"/>
      <c r="F2148" s="2" t="s">
        <v>66</v>
      </c>
      <c r="G2148" s="8">
        <v>47.74</v>
      </c>
      <c r="H2148" s="11">
        <v>0</v>
      </c>
      <c r="I2148" s="8">
        <v>47.74</v>
      </c>
      <c r="J2148" s="3">
        <v>45651</v>
      </c>
      <c r="K2148" s="14">
        <v>17</v>
      </c>
      <c r="L2148" s="17">
        <v>2.9</v>
      </c>
      <c r="M2148" s="2" t="b">
        <v>0</v>
      </c>
      <c r="N2148" s="2"/>
      <c r="O2148" s="2" t="str">
        <f>IF(Table1[[#This Row],[is_returned]]=TRUE,IF(Table1[[#This Row],[return_reason]]="","Error","OK"),"OK")</f>
        <v>OK</v>
      </c>
      <c r="P2148" s="8">
        <f>Table1[[#This Row],[original_price]]*Table1[[#This Row],[markdown_percentage]]/100</f>
        <v>0</v>
      </c>
      <c r="Q214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148" s="25">
        <f>Table1[[#This Row],[current_price]]*Table1[[#This Row],[stock_quantity]]</f>
        <v>811.58</v>
      </c>
    </row>
    <row r="2149" spans="1:18" x14ac:dyDescent="0.25">
      <c r="A2149" s="2" t="s">
        <v>2202</v>
      </c>
      <c r="B2149" s="2" t="s">
        <v>42</v>
      </c>
      <c r="C2149" s="2" t="s">
        <v>32</v>
      </c>
      <c r="D2149" s="2" t="s">
        <v>34</v>
      </c>
      <c r="E2149" s="2" t="s">
        <v>58</v>
      </c>
      <c r="F2149" s="2" t="s">
        <v>64</v>
      </c>
      <c r="G2149" s="8">
        <v>152.88</v>
      </c>
      <c r="H2149" s="11">
        <v>8.9</v>
      </c>
      <c r="I2149" s="8">
        <v>139.27000000000001</v>
      </c>
      <c r="J2149" s="3">
        <v>45875</v>
      </c>
      <c r="K2149" s="14">
        <v>19</v>
      </c>
      <c r="L2149" s="17">
        <v>2.2000000000000002</v>
      </c>
      <c r="M2149" s="2" t="b">
        <v>0</v>
      </c>
      <c r="N2149" s="2"/>
      <c r="O2149" s="2" t="str">
        <f>IF(Table1[[#This Row],[is_returned]]=TRUE,IF(Table1[[#This Row],[return_reason]]="","Error","OK"),"OK")</f>
        <v>OK</v>
      </c>
      <c r="P2149" s="8">
        <f>Table1[[#This Row],[original_price]]*Table1[[#This Row],[markdown_percentage]]/100</f>
        <v>13.60632</v>
      </c>
      <c r="Q214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149" s="25">
        <f>Table1[[#This Row],[current_price]]*Table1[[#This Row],[stock_quantity]]</f>
        <v>2646.13</v>
      </c>
    </row>
    <row r="2150" spans="1:18" x14ac:dyDescent="0.25">
      <c r="A2150" s="2" t="s">
        <v>2203</v>
      </c>
      <c r="B2150" s="2" t="s">
        <v>15</v>
      </c>
      <c r="C2150" s="2" t="s">
        <v>32</v>
      </c>
      <c r="D2150" s="2" t="s">
        <v>23</v>
      </c>
      <c r="E2150" s="2" t="s">
        <v>58</v>
      </c>
      <c r="F2150" s="2" t="s">
        <v>56</v>
      </c>
      <c r="G2150" s="8">
        <v>199.61</v>
      </c>
      <c r="H2150" s="11">
        <v>37.700000000000003</v>
      </c>
      <c r="I2150" s="8">
        <v>124.36</v>
      </c>
      <c r="J2150" s="3">
        <v>45875</v>
      </c>
      <c r="K2150" s="14">
        <v>6</v>
      </c>
      <c r="L2150" s="17"/>
      <c r="M2150" s="2" t="b">
        <v>0</v>
      </c>
      <c r="N2150" s="2"/>
      <c r="O2150" s="2" t="str">
        <f>IF(Table1[[#This Row],[is_returned]]=TRUE,IF(Table1[[#This Row],[return_reason]]="","Error","OK"),"OK")</f>
        <v>OK</v>
      </c>
      <c r="P2150" s="8">
        <f>Table1[[#This Row],[original_price]]*Table1[[#This Row],[markdown_percentage]]/100</f>
        <v>75.252970000000019</v>
      </c>
      <c r="Q215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150" s="25">
        <f>Table1[[#This Row],[current_price]]*Table1[[#This Row],[stock_quantity]]</f>
        <v>746.16</v>
      </c>
    </row>
    <row r="2151" spans="1:18" x14ac:dyDescent="0.25">
      <c r="A2151" s="2" t="s">
        <v>2204</v>
      </c>
      <c r="B2151" s="2" t="s">
        <v>27</v>
      </c>
      <c r="C2151" s="2" t="s">
        <v>61</v>
      </c>
      <c r="D2151" s="2" t="s">
        <v>62</v>
      </c>
      <c r="E2151" s="2"/>
      <c r="F2151" s="2" t="s">
        <v>40</v>
      </c>
      <c r="G2151" s="8">
        <v>57.25</v>
      </c>
      <c r="H2151" s="11">
        <v>0</v>
      </c>
      <c r="I2151" s="8">
        <v>57.25</v>
      </c>
      <c r="J2151" s="3">
        <v>45875</v>
      </c>
      <c r="K2151" s="14">
        <v>22</v>
      </c>
      <c r="L2151" s="17">
        <v>5</v>
      </c>
      <c r="M2151" s="2" t="b">
        <v>0</v>
      </c>
      <c r="N2151" s="2"/>
      <c r="O2151" s="2" t="str">
        <f>IF(Table1[[#This Row],[is_returned]]=TRUE,IF(Table1[[#This Row],[return_reason]]="","Error","OK"),"OK")</f>
        <v>OK</v>
      </c>
      <c r="P2151" s="8">
        <f>Table1[[#This Row],[original_price]]*Table1[[#This Row],[markdown_percentage]]/100</f>
        <v>0</v>
      </c>
      <c r="Q215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151" s="25">
        <f>Table1[[#This Row],[current_price]]*Table1[[#This Row],[stock_quantity]]</f>
        <v>1259.5</v>
      </c>
    </row>
    <row r="2152" spans="1:18" x14ac:dyDescent="0.25">
      <c r="A2152" s="2" t="s">
        <v>2205</v>
      </c>
      <c r="B2152" s="2" t="s">
        <v>42</v>
      </c>
      <c r="C2152" s="2" t="s">
        <v>48</v>
      </c>
      <c r="D2152" s="2" t="s">
        <v>34</v>
      </c>
      <c r="E2152" s="2" t="s">
        <v>18</v>
      </c>
      <c r="F2152" s="2" t="s">
        <v>44</v>
      </c>
      <c r="G2152" s="8">
        <v>134.41</v>
      </c>
      <c r="H2152" s="11">
        <v>55.3</v>
      </c>
      <c r="I2152" s="8">
        <v>60.08</v>
      </c>
      <c r="J2152" s="3">
        <v>45875</v>
      </c>
      <c r="K2152" s="14">
        <v>12</v>
      </c>
      <c r="L2152" s="17">
        <v>3.2</v>
      </c>
      <c r="M2152" s="2" t="b">
        <v>0</v>
      </c>
      <c r="N2152" s="2"/>
      <c r="O2152" s="2" t="str">
        <f>IF(Table1[[#This Row],[is_returned]]=TRUE,IF(Table1[[#This Row],[return_reason]]="","Error","OK"),"OK")</f>
        <v>OK</v>
      </c>
      <c r="P2152" s="8">
        <f>Table1[[#This Row],[original_price]]*Table1[[#This Row],[markdown_percentage]]/100</f>
        <v>74.328729999999993</v>
      </c>
      <c r="Q215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152" s="25">
        <f>Table1[[#This Row],[current_price]]*Table1[[#This Row],[stock_quantity]]</f>
        <v>720.96</v>
      </c>
    </row>
    <row r="2153" spans="1:18" x14ac:dyDescent="0.25">
      <c r="A2153" s="2" t="s">
        <v>2206</v>
      </c>
      <c r="B2153" s="2" t="s">
        <v>38</v>
      </c>
      <c r="C2153" s="2" t="s">
        <v>53</v>
      </c>
      <c r="D2153" s="2" t="s">
        <v>34</v>
      </c>
      <c r="E2153" s="2" t="s">
        <v>39</v>
      </c>
      <c r="F2153" s="2" t="s">
        <v>70</v>
      </c>
      <c r="G2153" s="8">
        <v>111.43</v>
      </c>
      <c r="H2153" s="11">
        <v>43.5</v>
      </c>
      <c r="I2153" s="8">
        <v>62.96</v>
      </c>
      <c r="J2153" s="3">
        <v>45875</v>
      </c>
      <c r="K2153" s="14">
        <v>22</v>
      </c>
      <c r="L2153" s="17">
        <v>4.8</v>
      </c>
      <c r="M2153" s="2" t="b">
        <v>0</v>
      </c>
      <c r="N2153" s="2"/>
      <c r="O2153" s="2" t="str">
        <f>IF(Table1[[#This Row],[is_returned]]=TRUE,IF(Table1[[#This Row],[return_reason]]="","Error","OK"),"OK")</f>
        <v>OK</v>
      </c>
      <c r="P2153" s="8">
        <f>Table1[[#This Row],[original_price]]*Table1[[#This Row],[markdown_percentage]]/100</f>
        <v>48.472049999999996</v>
      </c>
      <c r="Q215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153" s="25">
        <f>Table1[[#This Row],[current_price]]*Table1[[#This Row],[stock_quantity]]</f>
        <v>1385.1200000000001</v>
      </c>
    </row>
    <row r="2154" spans="1:18" x14ac:dyDescent="0.25">
      <c r="A2154" s="2" t="s">
        <v>2207</v>
      </c>
      <c r="B2154" s="2" t="s">
        <v>27</v>
      </c>
      <c r="C2154" s="2" t="s">
        <v>22</v>
      </c>
      <c r="D2154" s="2" t="s">
        <v>17</v>
      </c>
      <c r="E2154" s="2"/>
      <c r="F2154" s="2" t="s">
        <v>70</v>
      </c>
      <c r="G2154" s="8">
        <v>15.36</v>
      </c>
      <c r="H2154" s="11">
        <v>36.799999999999997</v>
      </c>
      <c r="I2154" s="8">
        <v>9.7100000000000009</v>
      </c>
      <c r="J2154" s="3">
        <v>45776</v>
      </c>
      <c r="K2154" s="14">
        <v>46</v>
      </c>
      <c r="L2154" s="17">
        <v>2.2999999999999998</v>
      </c>
      <c r="M2154" s="2" t="b">
        <v>0</v>
      </c>
      <c r="N2154" s="2"/>
      <c r="O2154" s="2" t="str">
        <f>IF(Table1[[#This Row],[is_returned]]=TRUE,IF(Table1[[#This Row],[return_reason]]="","Error","OK"),"OK")</f>
        <v>OK</v>
      </c>
      <c r="P2154" s="8">
        <f>Table1[[#This Row],[original_price]]*Table1[[#This Row],[markdown_percentage]]/100</f>
        <v>5.6524799999999997</v>
      </c>
      <c r="Q215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154" s="25">
        <f>Table1[[#This Row],[current_price]]*Table1[[#This Row],[stock_quantity]]</f>
        <v>446.66</v>
      </c>
    </row>
    <row r="2155" spans="1:18" x14ac:dyDescent="0.25">
      <c r="A2155" s="2" t="s">
        <v>2208</v>
      </c>
      <c r="B2155" s="2" t="s">
        <v>21</v>
      </c>
      <c r="C2155" s="2" t="s">
        <v>61</v>
      </c>
      <c r="D2155" s="2" t="s">
        <v>34</v>
      </c>
      <c r="E2155" s="2" t="s">
        <v>18</v>
      </c>
      <c r="F2155" s="2" t="s">
        <v>28</v>
      </c>
      <c r="G2155" s="8">
        <v>100.03</v>
      </c>
      <c r="H2155" s="11">
        <v>51.8</v>
      </c>
      <c r="I2155" s="8">
        <v>48.21</v>
      </c>
      <c r="J2155" s="3">
        <v>45875</v>
      </c>
      <c r="K2155" s="14">
        <v>43</v>
      </c>
      <c r="L2155" s="17">
        <v>5</v>
      </c>
      <c r="M2155" s="2" t="b">
        <v>0</v>
      </c>
      <c r="N2155" s="2"/>
      <c r="O2155" s="2" t="str">
        <f>IF(Table1[[#This Row],[is_returned]]=TRUE,IF(Table1[[#This Row],[return_reason]]="","Error","OK"),"OK")</f>
        <v>OK</v>
      </c>
      <c r="P2155" s="8">
        <f>Table1[[#This Row],[original_price]]*Table1[[#This Row],[markdown_percentage]]/100</f>
        <v>51.815539999999999</v>
      </c>
      <c r="Q215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155" s="25">
        <f>Table1[[#This Row],[current_price]]*Table1[[#This Row],[stock_quantity]]</f>
        <v>2073.0300000000002</v>
      </c>
    </row>
    <row r="2156" spans="1:18" x14ac:dyDescent="0.25">
      <c r="A2156" s="2" t="s">
        <v>2209</v>
      </c>
      <c r="B2156" s="2" t="s">
        <v>30</v>
      </c>
      <c r="C2156" s="2" t="s">
        <v>22</v>
      </c>
      <c r="D2156" s="2" t="s">
        <v>62</v>
      </c>
      <c r="E2156" s="2" t="s">
        <v>39</v>
      </c>
      <c r="F2156" s="2" t="s">
        <v>28</v>
      </c>
      <c r="G2156" s="8">
        <v>173.75</v>
      </c>
      <c r="H2156" s="11">
        <v>19.2</v>
      </c>
      <c r="I2156" s="8">
        <v>140.38999999999999</v>
      </c>
      <c r="J2156" s="3">
        <v>45875</v>
      </c>
      <c r="K2156" s="14">
        <v>38</v>
      </c>
      <c r="L2156" s="17"/>
      <c r="M2156" s="2" t="b">
        <v>0</v>
      </c>
      <c r="N2156" s="2"/>
      <c r="O2156" s="2" t="str">
        <f>IF(Table1[[#This Row],[is_returned]]=TRUE,IF(Table1[[#This Row],[return_reason]]="","Error","OK"),"OK")</f>
        <v>OK</v>
      </c>
      <c r="P2156" s="8">
        <f>Table1[[#This Row],[original_price]]*Table1[[#This Row],[markdown_percentage]]/100</f>
        <v>33.36</v>
      </c>
      <c r="Q215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156" s="25">
        <f>Table1[[#This Row],[current_price]]*Table1[[#This Row],[stock_quantity]]</f>
        <v>5334.82</v>
      </c>
    </row>
    <row r="2157" spans="1:18" x14ac:dyDescent="0.25">
      <c r="A2157" s="2" t="s">
        <v>2210</v>
      </c>
      <c r="B2157" s="2" t="s">
        <v>38</v>
      </c>
      <c r="C2157" s="2" t="s">
        <v>61</v>
      </c>
      <c r="D2157" s="2" t="s">
        <v>23</v>
      </c>
      <c r="E2157" s="2" t="s">
        <v>18</v>
      </c>
      <c r="F2157" s="2" t="s">
        <v>46</v>
      </c>
      <c r="G2157" s="8">
        <v>37.979999999999997</v>
      </c>
      <c r="H2157" s="11">
        <v>15.2</v>
      </c>
      <c r="I2157" s="8">
        <v>32.21</v>
      </c>
      <c r="J2157" s="3">
        <v>45875</v>
      </c>
      <c r="K2157" s="14">
        <v>25</v>
      </c>
      <c r="L2157" s="17">
        <v>3.6</v>
      </c>
      <c r="M2157" s="2" t="b">
        <v>0</v>
      </c>
      <c r="N2157" s="2"/>
      <c r="O2157" s="2" t="str">
        <f>IF(Table1[[#This Row],[is_returned]]=TRUE,IF(Table1[[#This Row],[return_reason]]="","Error","OK"),"OK")</f>
        <v>OK</v>
      </c>
      <c r="P2157" s="8">
        <f>Table1[[#This Row],[original_price]]*Table1[[#This Row],[markdown_percentage]]/100</f>
        <v>5.7729599999999994</v>
      </c>
      <c r="Q215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157" s="25">
        <f>Table1[[#This Row],[current_price]]*Table1[[#This Row],[stock_quantity]]</f>
        <v>805.25</v>
      </c>
    </row>
    <row r="2158" spans="1:18" x14ac:dyDescent="0.25">
      <c r="A2158" s="2" t="s">
        <v>2211</v>
      </c>
      <c r="B2158" s="2" t="s">
        <v>42</v>
      </c>
      <c r="C2158" s="2" t="s">
        <v>75</v>
      </c>
      <c r="D2158" s="2" t="s">
        <v>62</v>
      </c>
      <c r="E2158" s="2" t="s">
        <v>58</v>
      </c>
      <c r="F2158" s="2" t="s">
        <v>28</v>
      </c>
      <c r="G2158" s="8">
        <v>154.11000000000001</v>
      </c>
      <c r="H2158" s="11">
        <v>0</v>
      </c>
      <c r="I2158" s="8">
        <v>154.11000000000001</v>
      </c>
      <c r="J2158" s="3">
        <v>45875</v>
      </c>
      <c r="K2158" s="14">
        <v>50</v>
      </c>
      <c r="L2158" s="17">
        <v>3.1</v>
      </c>
      <c r="M2158" s="2" t="b">
        <v>0</v>
      </c>
      <c r="N2158" s="2"/>
      <c r="O2158" s="2" t="str">
        <f>IF(Table1[[#This Row],[is_returned]]=TRUE,IF(Table1[[#This Row],[return_reason]]="","Error","OK"),"OK")</f>
        <v>OK</v>
      </c>
      <c r="P2158" s="8">
        <f>Table1[[#This Row],[original_price]]*Table1[[#This Row],[markdown_percentage]]/100</f>
        <v>0</v>
      </c>
      <c r="Q215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158" s="25">
        <f>Table1[[#This Row],[current_price]]*Table1[[#This Row],[stock_quantity]]</f>
        <v>7705.5000000000009</v>
      </c>
    </row>
    <row r="2159" spans="1:18" x14ac:dyDescent="0.25">
      <c r="A2159" s="2" t="s">
        <v>2212</v>
      </c>
      <c r="B2159" s="2" t="s">
        <v>27</v>
      </c>
      <c r="C2159" s="2" t="s">
        <v>53</v>
      </c>
      <c r="D2159" s="2" t="s">
        <v>17</v>
      </c>
      <c r="E2159" s="2"/>
      <c r="F2159" s="2" t="s">
        <v>66</v>
      </c>
      <c r="G2159" s="8">
        <v>69.8</v>
      </c>
      <c r="H2159" s="11">
        <v>46.9</v>
      </c>
      <c r="I2159" s="8">
        <v>37.06</v>
      </c>
      <c r="J2159" s="3">
        <v>45586</v>
      </c>
      <c r="K2159" s="14">
        <v>26</v>
      </c>
      <c r="L2159" s="17">
        <v>3.8</v>
      </c>
      <c r="M2159" s="2" t="b">
        <v>0</v>
      </c>
      <c r="N2159" s="2"/>
      <c r="O2159" s="2" t="str">
        <f>IF(Table1[[#This Row],[is_returned]]=TRUE,IF(Table1[[#This Row],[return_reason]]="","Error","OK"),"OK")</f>
        <v>OK</v>
      </c>
      <c r="P2159" s="8">
        <f>Table1[[#This Row],[original_price]]*Table1[[#This Row],[markdown_percentage]]/100</f>
        <v>32.736199999999997</v>
      </c>
      <c r="Q215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159" s="25">
        <f>Table1[[#This Row],[current_price]]*Table1[[#This Row],[stock_quantity]]</f>
        <v>963.56000000000006</v>
      </c>
    </row>
    <row r="2160" spans="1:18" x14ac:dyDescent="0.25">
      <c r="A2160" s="2" t="s">
        <v>2213</v>
      </c>
      <c r="B2160" s="2" t="s">
        <v>42</v>
      </c>
      <c r="C2160" s="2" t="s">
        <v>61</v>
      </c>
      <c r="D2160" s="2" t="s">
        <v>23</v>
      </c>
      <c r="E2160" s="2" t="s">
        <v>49</v>
      </c>
      <c r="F2160" s="2" t="s">
        <v>40</v>
      </c>
      <c r="G2160" s="8">
        <v>171.16</v>
      </c>
      <c r="H2160" s="11">
        <v>0</v>
      </c>
      <c r="I2160" s="8">
        <v>171.16</v>
      </c>
      <c r="J2160" s="3">
        <v>45875</v>
      </c>
      <c r="K2160" s="14">
        <v>26</v>
      </c>
      <c r="L2160" s="17">
        <v>4.3</v>
      </c>
      <c r="M2160" s="2" t="b">
        <v>0</v>
      </c>
      <c r="N2160" s="2"/>
      <c r="O2160" s="2" t="str">
        <f>IF(Table1[[#This Row],[is_returned]]=TRUE,IF(Table1[[#This Row],[return_reason]]="","Error","OK"),"OK")</f>
        <v>OK</v>
      </c>
      <c r="P2160" s="8">
        <f>Table1[[#This Row],[original_price]]*Table1[[#This Row],[markdown_percentage]]/100</f>
        <v>0</v>
      </c>
      <c r="Q216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160" s="25">
        <f>Table1[[#This Row],[current_price]]*Table1[[#This Row],[stock_quantity]]</f>
        <v>4450.16</v>
      </c>
    </row>
    <row r="2161" spans="1:18" x14ac:dyDescent="0.25">
      <c r="A2161" s="2" t="s">
        <v>2214</v>
      </c>
      <c r="B2161" s="2" t="s">
        <v>15</v>
      </c>
      <c r="C2161" s="2" t="s">
        <v>16</v>
      </c>
      <c r="D2161" s="2" t="s">
        <v>62</v>
      </c>
      <c r="E2161" s="2" t="s">
        <v>49</v>
      </c>
      <c r="F2161" s="2" t="s">
        <v>35</v>
      </c>
      <c r="G2161" s="8">
        <v>118.57</v>
      </c>
      <c r="H2161" s="11">
        <v>0</v>
      </c>
      <c r="I2161" s="8">
        <v>118.57</v>
      </c>
      <c r="J2161" s="3">
        <v>45875</v>
      </c>
      <c r="K2161" s="14">
        <v>6</v>
      </c>
      <c r="L2161" s="17">
        <v>1.4</v>
      </c>
      <c r="M2161" s="2" t="b">
        <v>1</v>
      </c>
      <c r="N2161" s="2" t="s">
        <v>83</v>
      </c>
      <c r="O2161" s="2" t="str">
        <f>IF(Table1[[#This Row],[is_returned]]=TRUE,IF(Table1[[#This Row],[return_reason]]="","Error","OK"),"OK")</f>
        <v>OK</v>
      </c>
      <c r="P2161" s="8">
        <f>Table1[[#This Row],[original_price]]*Table1[[#This Row],[markdown_percentage]]/100</f>
        <v>0</v>
      </c>
      <c r="Q216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161" s="25">
        <f>Table1[[#This Row],[current_price]]*Table1[[#This Row],[stock_quantity]]</f>
        <v>711.42</v>
      </c>
    </row>
    <row r="2162" spans="1:18" x14ac:dyDescent="0.25">
      <c r="A2162" s="2" t="s">
        <v>2215</v>
      </c>
      <c r="B2162" s="2" t="s">
        <v>42</v>
      </c>
      <c r="C2162" s="2" t="s">
        <v>43</v>
      </c>
      <c r="D2162" s="2" t="s">
        <v>23</v>
      </c>
      <c r="E2162" s="2" t="s">
        <v>49</v>
      </c>
      <c r="F2162" s="2" t="s">
        <v>25</v>
      </c>
      <c r="G2162" s="8">
        <v>118.46</v>
      </c>
      <c r="H2162" s="11">
        <v>0</v>
      </c>
      <c r="I2162" s="8">
        <v>118.46</v>
      </c>
      <c r="J2162" s="3">
        <v>45875</v>
      </c>
      <c r="K2162" s="14">
        <v>40</v>
      </c>
      <c r="L2162" s="17">
        <v>2.2999999999999998</v>
      </c>
      <c r="M2162" s="2" t="b">
        <v>0</v>
      </c>
      <c r="N2162" s="2"/>
      <c r="O2162" s="2" t="str">
        <f>IF(Table1[[#This Row],[is_returned]]=TRUE,IF(Table1[[#This Row],[return_reason]]="","Error","OK"),"OK")</f>
        <v>OK</v>
      </c>
      <c r="P2162" s="8">
        <f>Table1[[#This Row],[original_price]]*Table1[[#This Row],[markdown_percentage]]/100</f>
        <v>0</v>
      </c>
      <c r="Q216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162" s="25">
        <f>Table1[[#This Row],[current_price]]*Table1[[#This Row],[stock_quantity]]</f>
        <v>4738.3999999999996</v>
      </c>
    </row>
    <row r="2163" spans="1:18" x14ac:dyDescent="0.25">
      <c r="A2163" s="2" t="s">
        <v>2216</v>
      </c>
      <c r="B2163" s="2" t="s">
        <v>30</v>
      </c>
      <c r="C2163" s="2" t="s">
        <v>16</v>
      </c>
      <c r="D2163" s="2" t="s">
        <v>62</v>
      </c>
      <c r="E2163" s="2" t="s">
        <v>24</v>
      </c>
      <c r="F2163" s="2" t="s">
        <v>46</v>
      </c>
      <c r="G2163" s="8">
        <v>122.7</v>
      </c>
      <c r="H2163" s="11">
        <v>0</v>
      </c>
      <c r="I2163" s="8">
        <v>122.7</v>
      </c>
      <c r="J2163" s="3">
        <v>45875</v>
      </c>
      <c r="K2163" s="14">
        <v>9</v>
      </c>
      <c r="L2163" s="17"/>
      <c r="M2163" s="2" t="b">
        <v>0</v>
      </c>
      <c r="N2163" s="2"/>
      <c r="O2163" s="2" t="str">
        <f>IF(Table1[[#This Row],[is_returned]]=TRUE,IF(Table1[[#This Row],[return_reason]]="","Error","OK"),"OK")</f>
        <v>OK</v>
      </c>
      <c r="P2163" s="8">
        <f>Table1[[#This Row],[original_price]]*Table1[[#This Row],[markdown_percentage]]/100</f>
        <v>0</v>
      </c>
      <c r="Q216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163" s="25">
        <f>Table1[[#This Row],[current_price]]*Table1[[#This Row],[stock_quantity]]</f>
        <v>1104.3</v>
      </c>
    </row>
    <row r="2164" spans="1:18" x14ac:dyDescent="0.25">
      <c r="A2164" s="2" t="s">
        <v>2217</v>
      </c>
      <c r="B2164" s="2" t="s">
        <v>27</v>
      </c>
      <c r="C2164" s="2" t="s">
        <v>61</v>
      </c>
      <c r="D2164" s="2" t="s">
        <v>17</v>
      </c>
      <c r="E2164" s="2"/>
      <c r="F2164" s="2" t="s">
        <v>28</v>
      </c>
      <c r="G2164" s="8">
        <v>68.2</v>
      </c>
      <c r="H2164" s="11">
        <v>0</v>
      </c>
      <c r="I2164" s="8">
        <v>68.2</v>
      </c>
      <c r="J2164" s="3">
        <v>45752</v>
      </c>
      <c r="K2164" s="14">
        <v>2</v>
      </c>
      <c r="L2164" s="17">
        <v>3.8</v>
      </c>
      <c r="M2164" s="2" t="b">
        <v>0</v>
      </c>
      <c r="N2164" s="2"/>
      <c r="O2164" s="2" t="str">
        <f>IF(Table1[[#This Row],[is_returned]]=TRUE,IF(Table1[[#This Row],[return_reason]]="","Error","OK"),"OK")</f>
        <v>OK</v>
      </c>
      <c r="P2164" s="8">
        <f>Table1[[#This Row],[original_price]]*Table1[[#This Row],[markdown_percentage]]/100</f>
        <v>0</v>
      </c>
      <c r="Q216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164" s="25">
        <f>Table1[[#This Row],[current_price]]*Table1[[#This Row],[stock_quantity]]</f>
        <v>136.4</v>
      </c>
    </row>
    <row r="2165" spans="1:18" x14ac:dyDescent="0.25">
      <c r="A2165" s="2" t="s">
        <v>2218</v>
      </c>
      <c r="B2165" s="2" t="s">
        <v>30</v>
      </c>
      <c r="C2165" s="2" t="s">
        <v>48</v>
      </c>
      <c r="D2165" s="2" t="s">
        <v>17</v>
      </c>
      <c r="E2165" s="2" t="s">
        <v>18</v>
      </c>
      <c r="F2165" s="2" t="s">
        <v>35</v>
      </c>
      <c r="G2165" s="8">
        <v>178.56</v>
      </c>
      <c r="H2165" s="11">
        <v>0</v>
      </c>
      <c r="I2165" s="8">
        <v>178.56</v>
      </c>
      <c r="J2165" s="3">
        <v>45732</v>
      </c>
      <c r="K2165" s="14">
        <v>46</v>
      </c>
      <c r="L2165" s="17">
        <v>2.6</v>
      </c>
      <c r="M2165" s="2" t="b">
        <v>0</v>
      </c>
      <c r="N2165" s="2"/>
      <c r="O2165" s="2" t="str">
        <f>IF(Table1[[#This Row],[is_returned]]=TRUE,IF(Table1[[#This Row],[return_reason]]="","Error","OK"),"OK")</f>
        <v>OK</v>
      </c>
      <c r="P2165" s="8">
        <f>Table1[[#This Row],[original_price]]*Table1[[#This Row],[markdown_percentage]]/100</f>
        <v>0</v>
      </c>
      <c r="Q216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165" s="25">
        <f>Table1[[#This Row],[current_price]]*Table1[[#This Row],[stock_quantity]]</f>
        <v>8213.76</v>
      </c>
    </row>
    <row r="2166" spans="1:18" x14ac:dyDescent="0.25">
      <c r="A2166" s="2" t="s">
        <v>2219</v>
      </c>
      <c r="B2166" s="2" t="s">
        <v>27</v>
      </c>
      <c r="C2166" s="2" t="s">
        <v>22</v>
      </c>
      <c r="D2166" s="2" t="s">
        <v>62</v>
      </c>
      <c r="E2166" s="2"/>
      <c r="F2166" s="2" t="s">
        <v>46</v>
      </c>
      <c r="G2166" s="8">
        <v>30.46</v>
      </c>
      <c r="H2166" s="11">
        <v>31.4</v>
      </c>
      <c r="I2166" s="8">
        <v>20.9</v>
      </c>
      <c r="J2166" s="3">
        <v>45875</v>
      </c>
      <c r="K2166" s="14">
        <v>40</v>
      </c>
      <c r="L2166" s="17">
        <v>2.4</v>
      </c>
      <c r="M2166" s="2" t="b">
        <v>0</v>
      </c>
      <c r="N2166" s="2"/>
      <c r="O2166" s="2" t="str">
        <f>IF(Table1[[#This Row],[is_returned]]=TRUE,IF(Table1[[#This Row],[return_reason]]="","Error","OK"),"OK")</f>
        <v>OK</v>
      </c>
      <c r="P2166" s="8">
        <f>Table1[[#This Row],[original_price]]*Table1[[#This Row],[markdown_percentage]]/100</f>
        <v>9.5644399999999994</v>
      </c>
      <c r="Q216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166" s="25">
        <f>Table1[[#This Row],[current_price]]*Table1[[#This Row],[stock_quantity]]</f>
        <v>836</v>
      </c>
    </row>
    <row r="2167" spans="1:18" x14ac:dyDescent="0.25">
      <c r="A2167" s="2" t="s">
        <v>2220</v>
      </c>
      <c r="B2167" s="2" t="s">
        <v>27</v>
      </c>
      <c r="C2167" s="2" t="s">
        <v>32</v>
      </c>
      <c r="D2167" s="2" t="s">
        <v>62</v>
      </c>
      <c r="E2167" s="2"/>
      <c r="F2167" s="2" t="s">
        <v>28</v>
      </c>
      <c r="G2167" s="8">
        <v>76.08</v>
      </c>
      <c r="H2167" s="11">
        <v>0</v>
      </c>
      <c r="I2167" s="8">
        <v>76.08</v>
      </c>
      <c r="J2167" s="3">
        <v>45875</v>
      </c>
      <c r="K2167" s="14">
        <v>6</v>
      </c>
      <c r="L2167" s="17">
        <v>4.9000000000000004</v>
      </c>
      <c r="M2167" s="2" t="b">
        <v>0</v>
      </c>
      <c r="N2167" s="2"/>
      <c r="O2167" s="2" t="str">
        <f>IF(Table1[[#This Row],[is_returned]]=TRUE,IF(Table1[[#This Row],[return_reason]]="","Error","OK"),"OK")</f>
        <v>OK</v>
      </c>
      <c r="P2167" s="8">
        <f>Table1[[#This Row],[original_price]]*Table1[[#This Row],[markdown_percentage]]/100</f>
        <v>0</v>
      </c>
      <c r="Q216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167" s="25">
        <f>Table1[[#This Row],[current_price]]*Table1[[#This Row],[stock_quantity]]</f>
        <v>456.48</v>
      </c>
    </row>
    <row r="2168" spans="1:18" x14ac:dyDescent="0.25">
      <c r="A2168" s="2" t="s">
        <v>2221</v>
      </c>
      <c r="B2168" s="2" t="s">
        <v>30</v>
      </c>
      <c r="C2168" s="2" t="s">
        <v>32</v>
      </c>
      <c r="D2168" s="2" t="s">
        <v>23</v>
      </c>
      <c r="E2168" s="2" t="s">
        <v>58</v>
      </c>
      <c r="F2168" s="2" t="s">
        <v>70</v>
      </c>
      <c r="G2168" s="8">
        <v>116.15</v>
      </c>
      <c r="H2168" s="11">
        <v>16.5</v>
      </c>
      <c r="I2168" s="8">
        <v>96.99</v>
      </c>
      <c r="J2168" s="3">
        <v>45875</v>
      </c>
      <c r="K2168" s="14">
        <v>11</v>
      </c>
      <c r="L2168" s="17">
        <v>3</v>
      </c>
      <c r="M2168" s="2" t="b">
        <v>0</v>
      </c>
      <c r="N2168" s="2"/>
      <c r="O2168" s="2" t="str">
        <f>IF(Table1[[#This Row],[is_returned]]=TRUE,IF(Table1[[#This Row],[return_reason]]="","Error","OK"),"OK")</f>
        <v>OK</v>
      </c>
      <c r="P2168" s="8">
        <f>Table1[[#This Row],[original_price]]*Table1[[#This Row],[markdown_percentage]]/100</f>
        <v>19.164750000000002</v>
      </c>
      <c r="Q2168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168" s="25">
        <f>Table1[[#This Row],[current_price]]*Table1[[#This Row],[stock_quantity]]</f>
        <v>1066.8899999999999</v>
      </c>
    </row>
    <row r="2169" spans="1:18" x14ac:dyDescent="0.25">
      <c r="A2169" s="2" t="s">
        <v>2222</v>
      </c>
      <c r="B2169" s="2" t="s">
        <v>30</v>
      </c>
      <c r="C2169" s="2" t="s">
        <v>48</v>
      </c>
      <c r="D2169" s="2" t="s">
        <v>23</v>
      </c>
      <c r="E2169" s="2" t="s">
        <v>55</v>
      </c>
      <c r="F2169" s="2" t="s">
        <v>35</v>
      </c>
      <c r="G2169" s="8">
        <v>98.22</v>
      </c>
      <c r="H2169" s="11">
        <v>0</v>
      </c>
      <c r="I2169" s="8">
        <v>98.22</v>
      </c>
      <c r="J2169" s="3">
        <v>45875</v>
      </c>
      <c r="K2169" s="14">
        <v>27</v>
      </c>
      <c r="L2169" s="17">
        <v>3.3</v>
      </c>
      <c r="M2169" s="2" t="b">
        <v>0</v>
      </c>
      <c r="N2169" s="2"/>
      <c r="O2169" s="2" t="str">
        <f>IF(Table1[[#This Row],[is_returned]]=TRUE,IF(Table1[[#This Row],[return_reason]]="","Error","OK"),"OK")</f>
        <v>OK</v>
      </c>
      <c r="P2169" s="8">
        <f>Table1[[#This Row],[original_price]]*Table1[[#This Row],[markdown_percentage]]/100</f>
        <v>0</v>
      </c>
      <c r="Q2169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169" s="25">
        <f>Table1[[#This Row],[current_price]]*Table1[[#This Row],[stock_quantity]]</f>
        <v>2651.94</v>
      </c>
    </row>
    <row r="2170" spans="1:18" x14ac:dyDescent="0.25">
      <c r="A2170" s="2" t="s">
        <v>2223</v>
      </c>
      <c r="B2170" s="2" t="s">
        <v>30</v>
      </c>
      <c r="C2170" s="2" t="s">
        <v>53</v>
      </c>
      <c r="D2170" s="2" t="s">
        <v>23</v>
      </c>
      <c r="E2170" s="2"/>
      <c r="F2170" s="2" t="s">
        <v>56</v>
      </c>
      <c r="G2170" s="8">
        <v>66.58</v>
      </c>
      <c r="H2170" s="11">
        <v>0</v>
      </c>
      <c r="I2170" s="8">
        <v>66.58</v>
      </c>
      <c r="J2170" s="3">
        <v>45875</v>
      </c>
      <c r="K2170" s="14">
        <v>45</v>
      </c>
      <c r="L2170" s="17">
        <v>3.4</v>
      </c>
      <c r="M2170" s="2" t="b">
        <v>0</v>
      </c>
      <c r="N2170" s="2"/>
      <c r="O2170" s="2" t="str">
        <f>IF(Table1[[#This Row],[is_returned]]=TRUE,IF(Table1[[#This Row],[return_reason]]="","Error","OK"),"OK")</f>
        <v>OK</v>
      </c>
      <c r="P2170" s="8">
        <f>Table1[[#This Row],[original_price]]*Table1[[#This Row],[markdown_percentage]]/100</f>
        <v>0</v>
      </c>
      <c r="Q2170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170" s="25">
        <f>Table1[[#This Row],[current_price]]*Table1[[#This Row],[stock_quantity]]</f>
        <v>2996.1</v>
      </c>
    </row>
    <row r="2171" spans="1:18" x14ac:dyDescent="0.25">
      <c r="A2171" s="2" t="s">
        <v>2224</v>
      </c>
      <c r="B2171" s="2" t="s">
        <v>27</v>
      </c>
      <c r="C2171" s="2" t="s">
        <v>22</v>
      </c>
      <c r="D2171" s="2" t="s">
        <v>17</v>
      </c>
      <c r="E2171" s="2"/>
      <c r="F2171" s="2" t="s">
        <v>56</v>
      </c>
      <c r="G2171" s="8">
        <v>69.22</v>
      </c>
      <c r="H2171" s="11">
        <v>0</v>
      </c>
      <c r="I2171" s="8">
        <v>69.22</v>
      </c>
      <c r="J2171" s="3">
        <v>45540</v>
      </c>
      <c r="K2171" s="14">
        <v>42</v>
      </c>
      <c r="L2171" s="17">
        <v>3.8</v>
      </c>
      <c r="M2171" s="2" t="b">
        <v>0</v>
      </c>
      <c r="N2171" s="2"/>
      <c r="O2171" s="2" t="str">
        <f>IF(Table1[[#This Row],[is_returned]]=TRUE,IF(Table1[[#This Row],[return_reason]]="","Error","OK"),"OK")</f>
        <v>OK</v>
      </c>
      <c r="P2171" s="8">
        <f>Table1[[#This Row],[original_price]]*Table1[[#This Row],[markdown_percentage]]/100</f>
        <v>0</v>
      </c>
      <c r="Q2171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171" s="25">
        <f>Table1[[#This Row],[current_price]]*Table1[[#This Row],[stock_quantity]]</f>
        <v>2907.24</v>
      </c>
    </row>
    <row r="2172" spans="1:18" x14ac:dyDescent="0.25">
      <c r="A2172" s="2" t="s">
        <v>2225</v>
      </c>
      <c r="B2172" s="2" t="s">
        <v>21</v>
      </c>
      <c r="C2172" s="2" t="s">
        <v>22</v>
      </c>
      <c r="D2172" s="2" t="s">
        <v>23</v>
      </c>
      <c r="E2172" s="2" t="s">
        <v>18</v>
      </c>
      <c r="F2172" s="2" t="s">
        <v>28</v>
      </c>
      <c r="G2172" s="8">
        <v>85.01</v>
      </c>
      <c r="H2172" s="11">
        <v>0</v>
      </c>
      <c r="I2172" s="8">
        <v>85.01</v>
      </c>
      <c r="J2172" s="3">
        <v>45875</v>
      </c>
      <c r="K2172" s="14">
        <v>39</v>
      </c>
      <c r="L2172" s="17">
        <v>4.3</v>
      </c>
      <c r="M2172" s="2" t="b">
        <v>0</v>
      </c>
      <c r="N2172" s="2"/>
      <c r="O2172" s="2" t="str">
        <f>IF(Table1[[#This Row],[is_returned]]=TRUE,IF(Table1[[#This Row],[return_reason]]="","Error","OK"),"OK")</f>
        <v>OK</v>
      </c>
      <c r="P2172" s="8">
        <f>Table1[[#This Row],[original_price]]*Table1[[#This Row],[markdown_percentage]]/100</f>
        <v>0</v>
      </c>
      <c r="Q2172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172" s="25">
        <f>Table1[[#This Row],[current_price]]*Table1[[#This Row],[stock_quantity]]</f>
        <v>3315.3900000000003</v>
      </c>
    </row>
    <row r="2173" spans="1:18" x14ac:dyDescent="0.25">
      <c r="A2173" s="2" t="s">
        <v>2226</v>
      </c>
      <c r="B2173" s="2" t="s">
        <v>21</v>
      </c>
      <c r="C2173" s="2" t="s">
        <v>43</v>
      </c>
      <c r="D2173" s="2" t="s">
        <v>62</v>
      </c>
      <c r="E2173" s="2" t="s">
        <v>18</v>
      </c>
      <c r="F2173" s="2" t="s">
        <v>28</v>
      </c>
      <c r="G2173" s="8">
        <v>31.41</v>
      </c>
      <c r="H2173" s="11">
        <v>0</v>
      </c>
      <c r="I2173" s="8">
        <v>31.41</v>
      </c>
      <c r="J2173" s="3">
        <v>45875</v>
      </c>
      <c r="K2173" s="14">
        <v>10</v>
      </c>
      <c r="L2173" s="17">
        <v>2.1</v>
      </c>
      <c r="M2173" s="2" t="b">
        <v>0</v>
      </c>
      <c r="N2173" s="2"/>
      <c r="O2173" s="2" t="str">
        <f>IF(Table1[[#This Row],[is_returned]]=TRUE,IF(Table1[[#This Row],[return_reason]]="","Error","OK"),"OK")</f>
        <v>OK</v>
      </c>
      <c r="P2173" s="8">
        <f>Table1[[#This Row],[original_price]]*Table1[[#This Row],[markdown_percentage]]/100</f>
        <v>0</v>
      </c>
      <c r="Q2173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173" s="25">
        <f>Table1[[#This Row],[current_price]]*Table1[[#This Row],[stock_quantity]]</f>
        <v>314.10000000000002</v>
      </c>
    </row>
    <row r="2174" spans="1:18" x14ac:dyDescent="0.25">
      <c r="A2174" s="2" t="s">
        <v>2227</v>
      </c>
      <c r="B2174" s="2" t="s">
        <v>42</v>
      </c>
      <c r="C2174" s="2" t="s">
        <v>32</v>
      </c>
      <c r="D2174" s="2" t="s">
        <v>23</v>
      </c>
      <c r="E2174" s="2" t="s">
        <v>24</v>
      </c>
      <c r="F2174" s="2" t="s">
        <v>70</v>
      </c>
      <c r="G2174" s="8">
        <v>50.58</v>
      </c>
      <c r="H2174" s="11">
        <v>0</v>
      </c>
      <c r="I2174" s="8">
        <v>50.58</v>
      </c>
      <c r="J2174" s="3">
        <v>45875</v>
      </c>
      <c r="K2174" s="14">
        <v>1</v>
      </c>
      <c r="L2174" s="17">
        <v>3.1</v>
      </c>
      <c r="M2174" s="2" t="b">
        <v>1</v>
      </c>
      <c r="N2174" s="2" t="s">
        <v>115</v>
      </c>
      <c r="O2174" s="2" t="str">
        <f>IF(Table1[[#This Row],[is_returned]]=TRUE,IF(Table1[[#This Row],[return_reason]]="","Error","OK"),"OK")</f>
        <v>OK</v>
      </c>
      <c r="P2174" s="8">
        <f>Table1[[#This Row],[original_price]]*Table1[[#This Row],[markdown_percentage]]/100</f>
        <v>0</v>
      </c>
      <c r="Q2174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174" s="25">
        <f>Table1[[#This Row],[current_price]]*Table1[[#This Row],[stock_quantity]]</f>
        <v>50.58</v>
      </c>
    </row>
    <row r="2175" spans="1:18" x14ac:dyDescent="0.25">
      <c r="A2175" s="2" t="s">
        <v>2228</v>
      </c>
      <c r="B2175" s="2" t="s">
        <v>27</v>
      </c>
      <c r="C2175" s="2" t="s">
        <v>32</v>
      </c>
      <c r="D2175" s="2" t="s">
        <v>23</v>
      </c>
      <c r="E2175" s="2"/>
      <c r="F2175" s="2" t="s">
        <v>56</v>
      </c>
      <c r="G2175" s="8">
        <v>79.37</v>
      </c>
      <c r="H2175" s="11">
        <v>54.8</v>
      </c>
      <c r="I2175" s="8">
        <v>35.880000000000003</v>
      </c>
      <c r="J2175" s="3">
        <v>45875</v>
      </c>
      <c r="K2175" s="14">
        <v>40</v>
      </c>
      <c r="L2175" s="17">
        <v>2.6</v>
      </c>
      <c r="M2175" s="2" t="b">
        <v>0</v>
      </c>
      <c r="N2175" s="2"/>
      <c r="O2175" s="2" t="str">
        <f>IF(Table1[[#This Row],[is_returned]]=TRUE,IF(Table1[[#This Row],[return_reason]]="","Error","OK"),"OK")</f>
        <v>OK</v>
      </c>
      <c r="P2175" s="8">
        <f>Table1[[#This Row],[original_price]]*Table1[[#This Row],[markdown_percentage]]/100</f>
        <v>43.494759999999999</v>
      </c>
      <c r="Q2175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175" s="25">
        <f>Table1[[#This Row],[current_price]]*Table1[[#This Row],[stock_quantity]]</f>
        <v>1435.2</v>
      </c>
    </row>
    <row r="2176" spans="1:18" x14ac:dyDescent="0.25">
      <c r="A2176" s="2" t="s">
        <v>2229</v>
      </c>
      <c r="B2176" s="2" t="s">
        <v>38</v>
      </c>
      <c r="C2176" s="2" t="s">
        <v>53</v>
      </c>
      <c r="D2176" s="2" t="s">
        <v>62</v>
      </c>
      <c r="E2176" s="2" t="s">
        <v>18</v>
      </c>
      <c r="F2176" s="2" t="s">
        <v>25</v>
      </c>
      <c r="G2176" s="8">
        <v>105.52</v>
      </c>
      <c r="H2176" s="11">
        <v>0</v>
      </c>
      <c r="I2176" s="8">
        <v>105.52</v>
      </c>
      <c r="J2176" s="3">
        <v>45875</v>
      </c>
      <c r="K2176" s="14">
        <v>20</v>
      </c>
      <c r="L2176" s="17">
        <v>4.9000000000000004</v>
      </c>
      <c r="M2176" s="2" t="b">
        <v>1</v>
      </c>
      <c r="N2176" s="2" t="s">
        <v>73</v>
      </c>
      <c r="O2176" s="2" t="str">
        <f>IF(Table1[[#This Row],[is_returned]]=TRUE,IF(Table1[[#This Row],[return_reason]]="","Error","OK"),"OK")</f>
        <v>OK</v>
      </c>
      <c r="P2176" s="8">
        <f>Table1[[#This Row],[original_price]]*Table1[[#This Row],[markdown_percentage]]/100</f>
        <v>0</v>
      </c>
      <c r="Q2176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176" s="25">
        <f>Table1[[#This Row],[current_price]]*Table1[[#This Row],[stock_quantity]]</f>
        <v>2110.4</v>
      </c>
    </row>
    <row r="2177" spans="1:18" x14ac:dyDescent="0.25">
      <c r="A2177" s="2" t="s">
        <v>2230</v>
      </c>
      <c r="B2177" s="2" t="s">
        <v>30</v>
      </c>
      <c r="C2177" s="2" t="s">
        <v>53</v>
      </c>
      <c r="D2177" s="2" t="s">
        <v>62</v>
      </c>
      <c r="E2177" s="2" t="s">
        <v>49</v>
      </c>
      <c r="F2177" s="2" t="s">
        <v>35</v>
      </c>
      <c r="G2177" s="8">
        <v>154.02000000000001</v>
      </c>
      <c r="H2177" s="11">
        <v>0</v>
      </c>
      <c r="I2177" s="8">
        <v>154.02000000000001</v>
      </c>
      <c r="J2177" s="3">
        <v>45875</v>
      </c>
      <c r="K2177" s="14">
        <v>23</v>
      </c>
      <c r="L2177" s="17">
        <v>1.3</v>
      </c>
      <c r="M2177" s="2" t="b">
        <v>0</v>
      </c>
      <c r="N2177" s="2"/>
      <c r="O2177" s="2" t="str">
        <f>IF(Table1[[#This Row],[is_returned]]=TRUE,IF(Table1[[#This Row],[return_reason]]="","Error","OK"),"OK")</f>
        <v>OK</v>
      </c>
      <c r="P2177" s="8">
        <f>Table1[[#This Row],[original_price]]*Table1[[#This Row],[markdown_percentage]]/100</f>
        <v>0</v>
      </c>
      <c r="Q2177" s="2" t="str">
        <f>IF(Table1[[#This Row],[markdown_percentage]]=0,
    IF(ROUND(Table1[[#This Row],[original_price]],2)=ROUND(Table1[[#This Row],[current_price]],2),"Correct Price","Incorrect Price"),
    IF(ROUND(Table1[[#This Row],[original_price]]-Table1[[#This Row],[amount_disscounted]],2)=ROUND(Table1[[#This Row],[current_price]],2),"Correct Price","Incorrect Price")
)</f>
        <v>Correct Price</v>
      </c>
      <c r="R2177" s="25">
        <f>Table1[[#This Row],[current_price]]*Table1[[#This Row],[stock_quantity]]</f>
        <v>3542.46</v>
      </c>
    </row>
  </sheetData>
  <dataValidations count="1">
    <dataValidation type="list" allowBlank="1" showInputMessage="1" showErrorMessage="1" sqref="M1:M1048576" xr:uid="{1E18945A-0F9D-448C-B453-8F84C274AA0C}">
      <formula1>"TRUE,FALSE"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5783C-16CF-46AA-A7E5-202BBD300C96}">
  <dimension ref="A1:H68"/>
  <sheetViews>
    <sheetView topLeftCell="A52" zoomScale="85" zoomScaleNormal="85" workbookViewId="0">
      <selection activeCell="G79" sqref="G79"/>
    </sheetView>
  </sheetViews>
  <sheetFormatPr defaultRowHeight="15" x14ac:dyDescent="0.25"/>
  <cols>
    <col min="1" max="1" width="16.140625" bestFit="1" customWidth="1"/>
    <col min="2" max="2" width="18.42578125" bestFit="1" customWidth="1"/>
    <col min="3" max="3" width="34.5703125" customWidth="1"/>
    <col min="4" max="4" width="16.140625" bestFit="1" customWidth="1"/>
    <col min="5" max="5" width="14" bestFit="1" customWidth="1"/>
    <col min="6" max="6" width="33.85546875" customWidth="1"/>
    <col min="7" max="7" width="20.140625" bestFit="1" customWidth="1"/>
    <col min="8" max="8" width="18.42578125" bestFit="1" customWidth="1"/>
  </cols>
  <sheetData>
    <row r="1" spans="1:8" x14ac:dyDescent="0.25">
      <c r="G1" s="20" t="s">
        <v>12</v>
      </c>
      <c r="H1" t="s">
        <v>2236</v>
      </c>
    </row>
    <row r="3" spans="1:8" x14ac:dyDescent="0.25">
      <c r="A3" s="20" t="s">
        <v>2244</v>
      </c>
      <c r="B3" t="s">
        <v>2243</v>
      </c>
      <c r="D3" s="20" t="s">
        <v>2246</v>
      </c>
      <c r="E3" t="s">
        <v>2247</v>
      </c>
      <c r="G3" s="20" t="s">
        <v>2248</v>
      </c>
      <c r="H3" t="s">
        <v>2243</v>
      </c>
    </row>
    <row r="4" spans="1:8" x14ac:dyDescent="0.25">
      <c r="A4" s="21" t="s">
        <v>16</v>
      </c>
      <c r="B4" s="22">
        <v>313</v>
      </c>
      <c r="D4" s="21" t="s">
        <v>30</v>
      </c>
      <c r="E4" s="22">
        <v>3.0508090614886725</v>
      </c>
      <c r="G4" s="23" t="s">
        <v>2237</v>
      </c>
      <c r="H4" s="22">
        <v>202</v>
      </c>
    </row>
    <row r="5" spans="1:8" x14ac:dyDescent="0.25">
      <c r="A5" s="21" t="s">
        <v>32</v>
      </c>
      <c r="B5" s="22">
        <v>285</v>
      </c>
      <c r="D5" s="21" t="s">
        <v>38</v>
      </c>
      <c r="E5" s="22">
        <v>3.0154320987654324</v>
      </c>
      <c r="G5" s="23" t="s">
        <v>2239</v>
      </c>
      <c r="H5" s="22">
        <v>36</v>
      </c>
    </row>
    <row r="6" spans="1:8" x14ac:dyDescent="0.25">
      <c r="A6" s="21" t="s">
        <v>43</v>
      </c>
      <c r="B6" s="22">
        <v>284</v>
      </c>
      <c r="D6" s="21" t="s">
        <v>42</v>
      </c>
      <c r="E6" s="22">
        <v>3.0135338345864682</v>
      </c>
      <c r="G6" s="23" t="s">
        <v>2241</v>
      </c>
      <c r="H6" s="22">
        <v>25</v>
      </c>
    </row>
    <row r="7" spans="1:8" x14ac:dyDescent="0.25">
      <c r="A7" s="21" t="s">
        <v>48</v>
      </c>
      <c r="B7" s="22">
        <v>283</v>
      </c>
      <c r="D7" s="21" t="s">
        <v>21</v>
      </c>
      <c r="E7" s="22">
        <v>2.9680412371134022</v>
      </c>
      <c r="G7" s="23" t="s">
        <v>2238</v>
      </c>
      <c r="H7" s="22">
        <v>20</v>
      </c>
    </row>
    <row r="8" spans="1:8" x14ac:dyDescent="0.25">
      <c r="A8" s="21" t="s">
        <v>22</v>
      </c>
      <c r="B8" s="22">
        <v>260</v>
      </c>
      <c r="D8" s="21" t="s">
        <v>27</v>
      </c>
      <c r="E8" s="22">
        <v>2.9605187319884712</v>
      </c>
      <c r="G8" s="23" t="s">
        <v>2242</v>
      </c>
      <c r="H8" s="22">
        <v>19</v>
      </c>
    </row>
    <row r="9" spans="1:8" x14ac:dyDescent="0.25">
      <c r="A9" s="21" t="s">
        <v>53</v>
      </c>
      <c r="B9" s="22">
        <v>257</v>
      </c>
      <c r="D9" s="21" t="s">
        <v>15</v>
      </c>
      <c r="E9" s="22">
        <v>2.9075812274368231</v>
      </c>
      <c r="G9" s="23" t="s">
        <v>2240</v>
      </c>
      <c r="H9" s="22">
        <v>18</v>
      </c>
    </row>
    <row r="10" spans="1:8" x14ac:dyDescent="0.25">
      <c r="A10" s="21" t="s">
        <v>75</v>
      </c>
      <c r="B10" s="22">
        <v>250</v>
      </c>
      <c r="D10" s="21" t="s">
        <v>2235</v>
      </c>
      <c r="E10" s="22">
        <v>2.986604189636163</v>
      </c>
      <c r="G10" s="23" t="s">
        <v>2235</v>
      </c>
      <c r="H10" s="22">
        <v>320</v>
      </c>
    </row>
    <row r="11" spans="1:8" x14ac:dyDescent="0.25">
      <c r="A11" s="21" t="s">
        <v>61</v>
      </c>
      <c r="B11" s="22">
        <v>244</v>
      </c>
    </row>
    <row r="12" spans="1:8" x14ac:dyDescent="0.25">
      <c r="A12" s="21" t="s">
        <v>2235</v>
      </c>
      <c r="B12" s="22">
        <v>2176</v>
      </c>
    </row>
    <row r="29" spans="1:8" x14ac:dyDescent="0.25">
      <c r="G29" s="20" t="s">
        <v>12</v>
      </c>
      <c r="H29" t="s">
        <v>2236</v>
      </c>
    </row>
    <row r="31" spans="1:8" x14ac:dyDescent="0.25">
      <c r="A31" s="20" t="s">
        <v>2246</v>
      </c>
      <c r="B31" t="s">
        <v>2245</v>
      </c>
      <c r="D31" s="20" t="s">
        <v>2244</v>
      </c>
      <c r="E31" t="s">
        <v>2247</v>
      </c>
      <c r="G31" s="20" t="s">
        <v>2234</v>
      </c>
      <c r="H31" t="s">
        <v>2249</v>
      </c>
    </row>
    <row r="32" spans="1:8" x14ac:dyDescent="0.25">
      <c r="A32" s="21" t="s">
        <v>27</v>
      </c>
      <c r="B32" s="15">
        <v>10541</v>
      </c>
      <c r="D32" s="21" t="s">
        <v>22</v>
      </c>
      <c r="E32" s="22">
        <v>3.1105990783410111</v>
      </c>
      <c r="G32" s="21" t="s">
        <v>62</v>
      </c>
      <c r="H32" s="22">
        <v>100</v>
      </c>
    </row>
    <row r="33" spans="1:8" x14ac:dyDescent="0.25">
      <c r="A33" s="21" t="s">
        <v>38</v>
      </c>
      <c r="B33" s="15">
        <v>9442</v>
      </c>
      <c r="D33" s="21" t="s">
        <v>53</v>
      </c>
      <c r="E33" s="22">
        <v>3.0942857142857156</v>
      </c>
      <c r="G33" s="21" t="s">
        <v>23</v>
      </c>
      <c r="H33" s="22">
        <v>83</v>
      </c>
    </row>
    <row r="34" spans="1:8" x14ac:dyDescent="0.25">
      <c r="A34" s="21" t="s">
        <v>30</v>
      </c>
      <c r="B34" s="15">
        <v>9118</v>
      </c>
      <c r="D34" s="21" t="s">
        <v>48</v>
      </c>
      <c r="E34" s="22">
        <v>3.0364806866952789</v>
      </c>
      <c r="G34" s="21" t="s">
        <v>17</v>
      </c>
      <c r="H34" s="22">
        <v>72</v>
      </c>
    </row>
    <row r="35" spans="1:8" x14ac:dyDescent="0.25">
      <c r="A35" s="21" t="s">
        <v>21</v>
      </c>
      <c r="B35" s="15">
        <v>8868</v>
      </c>
      <c r="D35" s="21" t="s">
        <v>61</v>
      </c>
      <c r="E35" s="22">
        <v>3.0346733668341694</v>
      </c>
      <c r="G35" s="21" t="s">
        <v>34</v>
      </c>
      <c r="H35" s="22">
        <v>65</v>
      </c>
    </row>
    <row r="36" spans="1:8" x14ac:dyDescent="0.25">
      <c r="A36" s="21" t="s">
        <v>15</v>
      </c>
      <c r="B36" s="15">
        <v>8368</v>
      </c>
      <c r="D36" s="21" t="s">
        <v>32</v>
      </c>
      <c r="E36" s="22">
        <v>3.0059071729957809</v>
      </c>
      <c r="G36" s="21" t="s">
        <v>2235</v>
      </c>
      <c r="H36" s="22">
        <v>320</v>
      </c>
    </row>
    <row r="37" spans="1:8" x14ac:dyDescent="0.25">
      <c r="A37" s="21" t="s">
        <v>42</v>
      </c>
      <c r="B37" s="15">
        <v>7928</v>
      </c>
      <c r="D37" s="21" t="s">
        <v>75</v>
      </c>
      <c r="E37" s="22">
        <v>2.9698113207547192</v>
      </c>
    </row>
    <row r="38" spans="1:8" x14ac:dyDescent="0.25">
      <c r="A38" s="21" t="s">
        <v>2235</v>
      </c>
      <c r="B38" s="15">
        <v>54265</v>
      </c>
      <c r="D38" s="21" t="s">
        <v>16</v>
      </c>
      <c r="E38" s="22">
        <v>2.90563909774436</v>
      </c>
    </row>
    <row r="39" spans="1:8" x14ac:dyDescent="0.25">
      <c r="D39" s="21" t="s">
        <v>43</v>
      </c>
      <c r="E39" s="22">
        <v>2.777499999999999</v>
      </c>
    </row>
    <row r="40" spans="1:8" x14ac:dyDescent="0.25">
      <c r="D40" s="21" t="s">
        <v>2235</v>
      </c>
      <c r="E40" s="22">
        <v>2.9866041896361675</v>
      </c>
    </row>
    <row r="59" spans="1:5" x14ac:dyDescent="0.25">
      <c r="A59" s="20" t="s">
        <v>2250</v>
      </c>
      <c r="B59" t="s">
        <v>2251</v>
      </c>
      <c r="D59" s="20" t="s">
        <v>2244</v>
      </c>
      <c r="E59" t="s">
        <v>2253</v>
      </c>
    </row>
    <row r="60" spans="1:5" x14ac:dyDescent="0.25">
      <c r="A60" s="21" t="s">
        <v>38</v>
      </c>
      <c r="B60" s="15">
        <v>13.227551020408161</v>
      </c>
      <c r="D60" s="21" t="s">
        <v>16</v>
      </c>
      <c r="E60" s="9">
        <v>660784.74000000011</v>
      </c>
    </row>
    <row r="61" spans="1:5" x14ac:dyDescent="0.25">
      <c r="A61" s="21" t="s">
        <v>42</v>
      </c>
      <c r="B61" s="15">
        <v>13.165930599369089</v>
      </c>
      <c r="D61" s="21" t="s">
        <v>43</v>
      </c>
      <c r="E61" s="9">
        <v>650877.21999999927</v>
      </c>
    </row>
    <row r="62" spans="1:5" x14ac:dyDescent="0.25">
      <c r="A62" s="21" t="s">
        <v>30</v>
      </c>
      <c r="B62" s="15">
        <v>12.984946236559141</v>
      </c>
      <c r="D62" s="21" t="s">
        <v>32</v>
      </c>
      <c r="E62" s="9">
        <v>615746.07999999973</v>
      </c>
    </row>
    <row r="63" spans="1:5" x14ac:dyDescent="0.25">
      <c r="A63" s="21" t="s">
        <v>27</v>
      </c>
      <c r="B63" s="15">
        <v>11.68656716417911</v>
      </c>
      <c r="D63" s="21" t="s">
        <v>22</v>
      </c>
      <c r="E63" s="9">
        <v>585501.79</v>
      </c>
    </row>
    <row r="64" spans="1:5" x14ac:dyDescent="0.25">
      <c r="A64" s="21" t="s">
        <v>21</v>
      </c>
      <c r="B64" s="15">
        <v>10.983008356545961</v>
      </c>
      <c r="D64" s="21" t="s">
        <v>48</v>
      </c>
      <c r="E64" s="9">
        <v>576382.07000000041</v>
      </c>
    </row>
    <row r="65" spans="1:5" x14ac:dyDescent="0.25">
      <c r="A65" s="21" t="s">
        <v>15</v>
      </c>
      <c r="B65" s="15">
        <v>10.7688622754491</v>
      </c>
      <c r="D65" s="21" t="s">
        <v>53</v>
      </c>
      <c r="E65" s="9">
        <v>542348.57000000018</v>
      </c>
    </row>
    <row r="66" spans="1:5" x14ac:dyDescent="0.25">
      <c r="A66" s="21" t="s">
        <v>2235</v>
      </c>
      <c r="B66" s="15">
        <v>12.144715073529397</v>
      </c>
      <c r="D66" s="21" t="s">
        <v>75</v>
      </c>
      <c r="E66" s="9">
        <v>526451.26000000024</v>
      </c>
    </row>
    <row r="67" spans="1:5" x14ac:dyDescent="0.25">
      <c r="D67" s="21" t="s">
        <v>61</v>
      </c>
      <c r="E67" s="9">
        <v>468318</v>
      </c>
    </row>
    <row r="68" spans="1:5" x14ac:dyDescent="0.25">
      <c r="D68" s="21" t="s">
        <v>2235</v>
      </c>
      <c r="E68" s="9">
        <v>4626409.7299999995</v>
      </c>
    </row>
  </sheetData>
  <pageMargins left="0.7" right="0.7" top="0.75" bottom="0.75" header="0.3" footer="0.3"/>
  <drawing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</vt:lpstr>
      <vt:lpstr>clean_data</vt:lpstr>
      <vt:lpstr>Pivots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Remuel</dc:creator>
  <cp:lastModifiedBy>Remuel</cp:lastModifiedBy>
  <dcterms:created xsi:type="dcterms:W3CDTF">2026-01-31T14:09:50Z</dcterms:created>
  <dcterms:modified xsi:type="dcterms:W3CDTF">2026-01-31T16:47:32Z</dcterms:modified>
</cp:coreProperties>
</file>